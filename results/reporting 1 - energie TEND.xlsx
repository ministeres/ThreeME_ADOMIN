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chartsheets/sheet3.xml" ContentType="application/vnd.openxmlformats-officedocument.spreadsheetml.chartsheet+xml"/>
  <Override PartName="/xl/chartsheets/sheet4.xml" ContentType="application/vnd.openxmlformats-officedocument.spreadsheetml.chartsheet+xml"/>
  <Override PartName="/xl/worksheets/sheet4.xml" ContentType="application/vnd.openxmlformats-officedocument.spreadsheetml.worksheet+xml"/>
  <Override PartName="/xl/chartsheets/sheet5.xml" ContentType="application/vnd.openxmlformats-officedocument.spreadsheetml.chartsheet+xml"/>
  <Override PartName="/xl/worksheets/sheet5.xml" ContentType="application/vnd.openxmlformats-officedocument.spreadsheetml.worksheet+xml"/>
  <Override PartName="/xl/chartsheets/sheet6.xml" ContentType="application/vnd.openxmlformats-officedocument.spreadsheetml.chartsheet+xml"/>
  <Override PartName="/xl/worksheets/sheet6.xml" ContentType="application/vnd.openxmlformats-officedocument.spreadsheetml.worksheet+xml"/>
  <Override PartName="/xl/chartsheets/sheet7.xml" ContentType="application/vnd.openxmlformats-officedocument.spreadsheetml.chart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omments2.xml" ContentType="application/vnd.openxmlformats-officedocument.spreadsheetml.comments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omments3.xml" ContentType="application/vnd.openxmlformats-officedocument.spreadsheetml.comments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24226"/>
  <mc:AlternateContent xmlns:mc="http://schemas.openxmlformats.org/markup-compatibility/2006">
    <mc:Choice Requires="x15">
      <x15ac:absPath xmlns:x15ac="http://schemas.microsoft.com/office/spreadsheetml/2010/11/ac" url="C:\Github\ThreeME\results\"/>
    </mc:Choice>
  </mc:AlternateContent>
  <xr:revisionPtr revIDLastSave="0" documentId="13_ncr:1_{19AD57EA-3444-4939-B09D-72E621CD86FD}" xr6:coauthVersionLast="47" xr6:coauthVersionMax="47" xr10:uidLastSave="{00000000-0000-0000-0000-000000000000}"/>
  <bookViews>
    <workbookView xWindow="-120" yWindow="-120" windowWidth="20730" windowHeight="11040" firstSheet="4" xr2:uid="{00000000-000D-0000-FFFF-FFFF00000000}"/>
  </bookViews>
  <sheets>
    <sheet name="Résultats" sheetId="2" r:id="rId1"/>
    <sheet name="T energie vecteurs" sheetId="13" r:id="rId2"/>
    <sheet name="T energie usages" sheetId="16" r:id="rId3"/>
    <sheet name="Graphique8" sheetId="27" r:id="rId4"/>
    <sheet name="Graphique9" sheetId="22" r:id="rId5"/>
    <sheet name="Graphique10" sheetId="23" r:id="rId6"/>
    <sheet name="Graphique11" sheetId="24" r:id="rId7"/>
    <sheet name="T CO2" sheetId="10" r:id="rId8"/>
    <sheet name="Graphique12" sheetId="26" r:id="rId9"/>
    <sheet name="T parc auto" sheetId="25" r:id="rId10"/>
    <sheet name="Graphique13" sheetId="19" r:id="rId11"/>
    <sheet name="T logement" sheetId="14" r:id="rId12"/>
    <sheet name="Graphique14" sheetId="20" r:id="rId13"/>
    <sheet name="Table Graphs" sheetId="28" r:id="rId14"/>
  </sheets>
  <externalReferences>
    <externalReference r:id="rId15"/>
  </externalReferences>
  <definedNames>
    <definedName name="_xlnm.Print_Area" localSheetId="9">'T parc auto'!$C$26:$AM$109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5" i="16" l="1"/>
  <c r="R123" i="16" l="1"/>
  <c r="Q123" i="16"/>
  <c r="P123" i="16"/>
  <c r="O123" i="16"/>
  <c r="R122" i="16"/>
  <c r="P122" i="16"/>
  <c r="O122" i="16"/>
  <c r="R121" i="16"/>
  <c r="Q121" i="16"/>
  <c r="P121" i="16"/>
  <c r="O121" i="16"/>
  <c r="R119" i="16"/>
  <c r="Q119" i="16"/>
  <c r="P119" i="16"/>
  <c r="O119" i="16"/>
  <c r="R118" i="16"/>
  <c r="Q118" i="16"/>
  <c r="P118" i="16"/>
  <c r="O118" i="16"/>
  <c r="R115" i="16"/>
  <c r="Q115" i="16"/>
  <c r="P115" i="16"/>
  <c r="O115" i="16"/>
  <c r="R110" i="16"/>
  <c r="Q110" i="16"/>
  <c r="P110" i="16"/>
  <c r="O110" i="16"/>
  <c r="R109" i="16"/>
  <c r="P109" i="16"/>
  <c r="O109" i="16"/>
  <c r="R108" i="16"/>
  <c r="Q108" i="16"/>
  <c r="P108" i="16"/>
  <c r="O108" i="16"/>
  <c r="R106" i="16"/>
  <c r="Q106" i="16"/>
  <c r="P106" i="16"/>
  <c r="O106" i="16"/>
  <c r="R105" i="16"/>
  <c r="Q105" i="16"/>
  <c r="P105" i="16"/>
  <c r="O105" i="16"/>
  <c r="R102" i="16"/>
  <c r="Q102" i="16"/>
  <c r="P102" i="16"/>
  <c r="O102" i="16"/>
  <c r="R97" i="16"/>
  <c r="Q97" i="16"/>
  <c r="P97" i="16"/>
  <c r="O97" i="16"/>
  <c r="R96" i="16"/>
  <c r="P96" i="16"/>
  <c r="O96" i="16"/>
  <c r="R95" i="16"/>
  <c r="Q95" i="16"/>
  <c r="P95" i="16"/>
  <c r="O95" i="16"/>
  <c r="R93" i="16"/>
  <c r="Q93" i="16"/>
  <c r="P93" i="16"/>
  <c r="O93" i="16"/>
  <c r="R92" i="16"/>
  <c r="Q92" i="16"/>
  <c r="P92" i="16"/>
  <c r="O92" i="16"/>
  <c r="R89" i="16"/>
  <c r="Q89" i="16"/>
  <c r="P89" i="16"/>
  <c r="O89" i="16"/>
  <c r="R84" i="16"/>
  <c r="Q84" i="16"/>
  <c r="P84" i="16"/>
  <c r="O84" i="16"/>
  <c r="R83" i="16"/>
  <c r="P83" i="16"/>
  <c r="O83" i="16"/>
  <c r="R82" i="16"/>
  <c r="Q82" i="16"/>
  <c r="P82" i="16"/>
  <c r="O82" i="16"/>
  <c r="R80" i="16"/>
  <c r="Q80" i="16"/>
  <c r="P80" i="16"/>
  <c r="O80" i="16"/>
  <c r="R79" i="16"/>
  <c r="Q79" i="16"/>
  <c r="P79" i="16"/>
  <c r="O79" i="16"/>
  <c r="R76" i="16"/>
  <c r="Q76" i="16"/>
  <c r="P76" i="16"/>
  <c r="O76" i="16"/>
  <c r="R71" i="16"/>
  <c r="Q71" i="16"/>
  <c r="P71" i="16"/>
  <c r="O71" i="16"/>
  <c r="R70" i="16"/>
  <c r="P70" i="16"/>
  <c r="O70" i="16"/>
  <c r="R69" i="16"/>
  <c r="Q69" i="16"/>
  <c r="P69" i="16"/>
  <c r="O69" i="16"/>
  <c r="R67" i="16"/>
  <c r="Q67" i="16"/>
  <c r="P67" i="16"/>
  <c r="O67" i="16"/>
  <c r="R66" i="16"/>
  <c r="Q66" i="16"/>
  <c r="P66" i="16"/>
  <c r="O66" i="16"/>
  <c r="R63" i="16"/>
  <c r="Q63" i="16"/>
  <c r="P63" i="16"/>
  <c r="O63" i="16"/>
  <c r="R58" i="16"/>
  <c r="Q58" i="16"/>
  <c r="P58" i="16"/>
  <c r="O58" i="16"/>
  <c r="R57" i="16"/>
  <c r="P57" i="16"/>
  <c r="O57" i="16"/>
  <c r="R56" i="16"/>
  <c r="Q56" i="16"/>
  <c r="P56" i="16"/>
  <c r="O56" i="16"/>
  <c r="R54" i="16"/>
  <c r="Q54" i="16"/>
  <c r="P54" i="16"/>
  <c r="O54" i="16"/>
  <c r="R53" i="16"/>
  <c r="Q53" i="16"/>
  <c r="P53" i="16"/>
  <c r="O53" i="16"/>
  <c r="R50" i="16"/>
  <c r="Q50" i="16"/>
  <c r="P50" i="16"/>
  <c r="O50" i="16"/>
  <c r="R45" i="16"/>
  <c r="Q45" i="16"/>
  <c r="P45" i="16"/>
  <c r="O45" i="16"/>
  <c r="R44" i="16"/>
  <c r="P44" i="16"/>
  <c r="O44" i="16"/>
  <c r="R43" i="16"/>
  <c r="Q43" i="16"/>
  <c r="P43" i="16"/>
  <c r="O43" i="16"/>
  <c r="R41" i="16"/>
  <c r="Q41" i="16"/>
  <c r="P41" i="16"/>
  <c r="O41" i="16"/>
  <c r="R40" i="16"/>
  <c r="Q40" i="16"/>
  <c r="P40" i="16"/>
  <c r="O40" i="16"/>
  <c r="R37" i="16"/>
  <c r="Q37" i="16"/>
  <c r="P37" i="16"/>
  <c r="O37" i="16"/>
  <c r="R32" i="16"/>
  <c r="Q32" i="16"/>
  <c r="P32" i="16"/>
  <c r="O32" i="16"/>
  <c r="R31" i="16"/>
  <c r="P31" i="16"/>
  <c r="O31" i="16"/>
  <c r="R30" i="16"/>
  <c r="Q30" i="16"/>
  <c r="P30" i="16"/>
  <c r="O30" i="16"/>
  <c r="R28" i="16"/>
  <c r="Q28" i="16"/>
  <c r="P28" i="16"/>
  <c r="O28" i="16"/>
  <c r="R27" i="16"/>
  <c r="Q27" i="16"/>
  <c r="P27" i="16"/>
  <c r="O27" i="16"/>
  <c r="R24" i="16"/>
  <c r="Q24" i="16"/>
  <c r="P24" i="16"/>
  <c r="O24" i="16"/>
  <c r="R19" i="16"/>
  <c r="Q19" i="16"/>
  <c r="P19" i="16"/>
  <c r="O19" i="16"/>
  <c r="R18" i="16"/>
  <c r="P18" i="16"/>
  <c r="O18" i="16"/>
  <c r="R17" i="16"/>
  <c r="Q17" i="16"/>
  <c r="P17" i="16"/>
  <c r="O17" i="16"/>
  <c r="R15" i="16"/>
  <c r="Q15" i="16"/>
  <c r="P15" i="16"/>
  <c r="O15" i="16"/>
  <c r="R14" i="16"/>
  <c r="Q14" i="16"/>
  <c r="P14" i="16"/>
  <c r="O14" i="16"/>
  <c r="R11" i="16"/>
  <c r="Q11" i="16"/>
  <c r="P11" i="16"/>
  <c r="O11" i="16"/>
  <c r="K118" i="16" l="1"/>
  <c r="K105" i="16"/>
  <c r="K92" i="16"/>
  <c r="K79" i="16"/>
  <c r="K66" i="16"/>
  <c r="K53" i="16"/>
  <c r="K40" i="16"/>
  <c r="K27" i="16"/>
  <c r="K14" i="16"/>
  <c r="K58" i="16" l="1"/>
  <c r="J58" i="16"/>
  <c r="I58" i="16"/>
  <c r="H58" i="16"/>
  <c r="K57" i="16"/>
  <c r="J57" i="16"/>
  <c r="I57" i="16"/>
  <c r="H57" i="16"/>
  <c r="K56" i="16"/>
  <c r="J56" i="16"/>
  <c r="I56" i="16"/>
  <c r="H56" i="16"/>
  <c r="K54" i="16"/>
  <c r="J54" i="16"/>
  <c r="I54" i="16"/>
  <c r="H54" i="16"/>
  <c r="J53" i="16"/>
  <c r="I53" i="16"/>
  <c r="H53" i="16"/>
  <c r="K52" i="16"/>
  <c r="J52" i="16"/>
  <c r="I52" i="16"/>
  <c r="H52" i="16"/>
  <c r="K51" i="16"/>
  <c r="J51" i="16"/>
  <c r="I51" i="16"/>
  <c r="H51" i="16"/>
  <c r="K45" i="16"/>
  <c r="J45" i="16"/>
  <c r="I45" i="16"/>
  <c r="H45" i="16"/>
  <c r="K44" i="16"/>
  <c r="J44" i="16"/>
  <c r="I44" i="16"/>
  <c r="H44" i="16"/>
  <c r="K43" i="16"/>
  <c r="J43" i="16"/>
  <c r="I43" i="16"/>
  <c r="H43" i="16"/>
  <c r="K41" i="16"/>
  <c r="J41" i="16"/>
  <c r="I41" i="16"/>
  <c r="H41" i="16"/>
  <c r="J40" i="16"/>
  <c r="I40" i="16"/>
  <c r="H40" i="16"/>
  <c r="K39" i="16"/>
  <c r="J39" i="16"/>
  <c r="I39" i="16"/>
  <c r="H39" i="16"/>
  <c r="K38" i="16"/>
  <c r="J38" i="16"/>
  <c r="I38" i="16"/>
  <c r="H38" i="16"/>
  <c r="Q55" i="16"/>
  <c r="Q42" i="16"/>
  <c r="K110" i="16"/>
  <c r="J110" i="16"/>
  <c r="I110" i="16"/>
  <c r="H110" i="16"/>
  <c r="K109" i="16"/>
  <c r="J109" i="16"/>
  <c r="I109" i="16"/>
  <c r="H109" i="16"/>
  <c r="K108" i="16"/>
  <c r="J108" i="16"/>
  <c r="I108" i="16"/>
  <c r="H108" i="16"/>
  <c r="K106" i="16"/>
  <c r="J106" i="16"/>
  <c r="I106" i="16"/>
  <c r="H106" i="16"/>
  <c r="J105" i="16"/>
  <c r="I105" i="16"/>
  <c r="H105" i="16"/>
  <c r="K104" i="16"/>
  <c r="J104" i="16"/>
  <c r="I104" i="16"/>
  <c r="H104" i="16"/>
  <c r="K103" i="16"/>
  <c r="J103" i="16"/>
  <c r="I103" i="16"/>
  <c r="H103" i="16"/>
  <c r="I37" i="16" l="1"/>
  <c r="P55" i="16"/>
  <c r="P59" i="16" s="1"/>
  <c r="I50" i="16"/>
  <c r="I55" i="16"/>
  <c r="H37" i="16"/>
  <c r="L41" i="16"/>
  <c r="L45" i="16"/>
  <c r="L53" i="16"/>
  <c r="L57" i="16"/>
  <c r="L51" i="16"/>
  <c r="L54" i="16"/>
  <c r="L58" i="16"/>
  <c r="R42" i="16"/>
  <c r="R46" i="16" s="1"/>
  <c r="Q46" i="16"/>
  <c r="S45" i="16"/>
  <c r="T45" i="16" s="1"/>
  <c r="S54" i="16"/>
  <c r="T54" i="16" s="1"/>
  <c r="O55" i="16"/>
  <c r="O59" i="16" s="1"/>
  <c r="S40" i="16"/>
  <c r="T40" i="16" s="1"/>
  <c r="S44" i="16"/>
  <c r="K50" i="16"/>
  <c r="L56" i="16"/>
  <c r="L52" i="16"/>
  <c r="J55" i="16"/>
  <c r="K55" i="16"/>
  <c r="H42" i="16"/>
  <c r="J37" i="16"/>
  <c r="L38" i="16"/>
  <c r="K37" i="16"/>
  <c r="L40" i="16"/>
  <c r="I42" i="16"/>
  <c r="L39" i="16"/>
  <c r="J42" i="16"/>
  <c r="K42" i="16"/>
  <c r="L44" i="16"/>
  <c r="J50" i="16"/>
  <c r="J59" i="16" s="1"/>
  <c r="P42" i="16"/>
  <c r="P46" i="16" s="1"/>
  <c r="S43" i="16"/>
  <c r="Q59" i="16"/>
  <c r="L43" i="16"/>
  <c r="R55" i="16"/>
  <c r="S58" i="16"/>
  <c r="T58" i="16" s="1"/>
  <c r="S53" i="16"/>
  <c r="T53" i="16" s="1"/>
  <c r="S37" i="16"/>
  <c r="T37" i="16" s="1"/>
  <c r="O42" i="16"/>
  <c r="S57" i="16"/>
  <c r="S41" i="16"/>
  <c r="T41" i="16" s="1"/>
  <c r="S50" i="16"/>
  <c r="T50" i="16" s="1"/>
  <c r="H50" i="16"/>
  <c r="S56" i="16"/>
  <c r="H55" i="16"/>
  <c r="Q16" i="16"/>
  <c r="Q120" i="16"/>
  <c r="Q107" i="16"/>
  <c r="Q94" i="16"/>
  <c r="Q81" i="16"/>
  <c r="Q68" i="16"/>
  <c r="Q29" i="16"/>
  <c r="I46" i="16" l="1"/>
  <c r="K59" i="16"/>
  <c r="I59" i="16"/>
  <c r="H46" i="16"/>
  <c r="K46" i="16"/>
  <c r="L42" i="16"/>
  <c r="S55" i="16"/>
  <c r="T55" i="16" s="1"/>
  <c r="T59" i="16" s="1"/>
  <c r="S42" i="16"/>
  <c r="T42" i="16" s="1"/>
  <c r="T46" i="16" s="1"/>
  <c r="L37" i="16"/>
  <c r="L55" i="16"/>
  <c r="J46" i="16"/>
  <c r="R59" i="16"/>
  <c r="S59" i="16" s="1"/>
  <c r="O46" i="16"/>
  <c r="S46" i="16" s="1"/>
  <c r="L50" i="16"/>
  <c r="H59" i="16"/>
  <c r="O68" i="16"/>
  <c r="O72" i="16" s="1"/>
  <c r="P81" i="16"/>
  <c r="P85" i="16" s="1"/>
  <c r="P16" i="16"/>
  <c r="P20" i="16" s="1"/>
  <c r="P68" i="16"/>
  <c r="P72" i="16" s="1"/>
  <c r="O107" i="16"/>
  <c r="O111" i="16" s="1"/>
  <c r="P120" i="16"/>
  <c r="P124" i="16" s="1"/>
  <c r="O94" i="16"/>
  <c r="O98" i="16" s="1"/>
  <c r="P107" i="16"/>
  <c r="P111" i="16" s="1"/>
  <c r="O81" i="16"/>
  <c r="O85" i="16" s="1"/>
  <c r="P94" i="16"/>
  <c r="P98" i="16" s="1"/>
  <c r="O120" i="16"/>
  <c r="O124" i="16" s="1"/>
  <c r="S84" i="16"/>
  <c r="T84" i="16" s="1"/>
  <c r="S15" i="16"/>
  <c r="T15" i="16" s="1"/>
  <c r="R16" i="16"/>
  <c r="R20" i="16" s="1"/>
  <c r="P29" i="16"/>
  <c r="P33" i="16" s="1"/>
  <c r="Q98" i="16"/>
  <c r="Q85" i="16"/>
  <c r="R29" i="16"/>
  <c r="R33" i="16" s="1"/>
  <c r="Q111" i="16"/>
  <c r="S119" i="16"/>
  <c r="T119" i="16" s="1"/>
  <c r="S123" i="16"/>
  <c r="T123" i="16" s="1"/>
  <c r="S93" i="16"/>
  <c r="T93" i="16" s="1"/>
  <c r="S97" i="16"/>
  <c r="T97" i="16" s="1"/>
  <c r="Q124" i="16"/>
  <c r="S106" i="16"/>
  <c r="T106" i="16" s="1"/>
  <c r="R107" i="16"/>
  <c r="S110" i="16"/>
  <c r="T110" i="16" s="1"/>
  <c r="S121" i="16"/>
  <c r="S109" i="16"/>
  <c r="S122" i="16"/>
  <c r="S19" i="16"/>
  <c r="T19" i="16" s="1"/>
  <c r="S18" i="16"/>
  <c r="O16" i="16"/>
  <c r="O20" i="16" s="1"/>
  <c r="Q20" i="16"/>
  <c r="S17" i="16"/>
  <c r="S14" i="16"/>
  <c r="T14" i="16" s="1"/>
  <c r="S11" i="16"/>
  <c r="T11" i="16" s="1"/>
  <c r="S105" i="16"/>
  <c r="T105" i="16" s="1"/>
  <c r="S118" i="16"/>
  <c r="T118" i="16" s="1"/>
  <c r="S82" i="16"/>
  <c r="R94" i="16"/>
  <c r="R98" i="16" s="1"/>
  <c r="S66" i="16"/>
  <c r="T66" i="16" s="1"/>
  <c r="S67" i="16"/>
  <c r="T67" i="16" s="1"/>
  <c r="S70" i="16"/>
  <c r="S71" i="16"/>
  <c r="T71" i="16" s="1"/>
  <c r="S83" i="16"/>
  <c r="S96" i="16"/>
  <c r="S108" i="16"/>
  <c r="R68" i="16"/>
  <c r="S80" i="16"/>
  <c r="T80" i="16" s="1"/>
  <c r="R120" i="16"/>
  <c r="R124" i="16" s="1"/>
  <c r="S115" i="16"/>
  <c r="T115" i="16" s="1"/>
  <c r="S102" i="16"/>
  <c r="T102" i="16" s="1"/>
  <c r="S79" i="16"/>
  <c r="T79" i="16" s="1"/>
  <c r="S92" i="16"/>
  <c r="T92" i="16" s="1"/>
  <c r="S27" i="16"/>
  <c r="T27" i="16" s="1"/>
  <c r="Q72" i="16"/>
  <c r="S95" i="16"/>
  <c r="S89" i="16"/>
  <c r="T89" i="16" s="1"/>
  <c r="R81" i="16"/>
  <c r="S76" i="16"/>
  <c r="T76" i="16" s="1"/>
  <c r="S69" i="16"/>
  <c r="S63" i="16"/>
  <c r="T63" i="16" s="1"/>
  <c r="S32" i="16"/>
  <c r="T32" i="16" s="1"/>
  <c r="S31" i="16"/>
  <c r="O29" i="16"/>
  <c r="O33" i="16" s="1"/>
  <c r="S30" i="16"/>
  <c r="S28" i="16"/>
  <c r="T28" i="16" s="1"/>
  <c r="Q33" i="16"/>
  <c r="S24" i="16"/>
  <c r="T24" i="16" s="1"/>
  <c r="L59" i="16" l="1"/>
  <c r="L46" i="16"/>
  <c r="S68" i="16"/>
  <c r="T68" i="16" s="1"/>
  <c r="T72" i="16" s="1"/>
  <c r="S107" i="16"/>
  <c r="T107" i="16" s="1"/>
  <c r="T111" i="16" s="1"/>
  <c r="S81" i="16"/>
  <c r="T81" i="16" s="1"/>
  <c r="T85" i="16" s="1"/>
  <c r="S94" i="16"/>
  <c r="T94" i="16" s="1"/>
  <c r="T98" i="16" s="1"/>
  <c r="R111" i="16"/>
  <c r="S111" i="16" s="1"/>
  <c r="S120" i="16"/>
  <c r="T120" i="16" s="1"/>
  <c r="T124" i="16" s="1"/>
  <c r="S124" i="16"/>
  <c r="S20" i="16"/>
  <c r="S29" i="16"/>
  <c r="T29" i="16" s="1"/>
  <c r="T33" i="16" s="1"/>
  <c r="S16" i="16"/>
  <c r="S98" i="16"/>
  <c r="R72" i="16"/>
  <c r="S72" i="16" s="1"/>
  <c r="R85" i="16"/>
  <c r="S85" i="16" s="1"/>
  <c r="S33" i="16"/>
  <c r="S21" i="16" l="1"/>
  <c r="T16" i="16"/>
  <c r="T20" i="16" s="1"/>
  <c r="F128" i="16"/>
  <c r="D1" i="2" l="1"/>
  <c r="E1" i="2" s="1"/>
  <c r="F1" i="2" s="1"/>
  <c r="G1" i="2" s="1"/>
  <c r="H1" i="2" s="1"/>
  <c r="I1" i="2" s="1"/>
  <c r="J1" i="2" s="1"/>
  <c r="K1" i="2" s="1"/>
  <c r="L1" i="2" s="1"/>
  <c r="M1" i="2" s="1"/>
  <c r="N1" i="2" s="1"/>
  <c r="O1" i="2" s="1"/>
  <c r="P1" i="2" s="1"/>
  <c r="Q1" i="2" s="1"/>
  <c r="R1" i="2" s="1"/>
  <c r="S1" i="2" s="1"/>
  <c r="T1" i="2" s="1"/>
  <c r="U1" i="2" s="1"/>
  <c r="V1" i="2" s="1"/>
  <c r="W1" i="2" s="1"/>
  <c r="X1" i="2" s="1"/>
  <c r="Y1" i="2" s="1"/>
  <c r="Z1" i="2" s="1"/>
  <c r="AA1" i="2" s="1"/>
  <c r="AB1" i="2" s="1"/>
  <c r="AC1" i="2" s="1"/>
  <c r="AD1" i="2" s="1"/>
  <c r="AE1" i="2" s="1"/>
  <c r="AF1" i="2" s="1"/>
  <c r="AG1" i="2" s="1"/>
  <c r="AH1" i="2" s="1"/>
  <c r="AI1" i="2" s="1"/>
  <c r="AJ1" i="2" s="1"/>
  <c r="AK1" i="2" s="1"/>
  <c r="AL1" i="2" s="1"/>
  <c r="AM1" i="2" s="1"/>
  <c r="AN1" i="2" s="1"/>
  <c r="AO1" i="2" s="1"/>
  <c r="AP1" i="2" s="1"/>
  <c r="AQ1" i="2" s="1"/>
  <c r="AR1" i="2" s="1"/>
  <c r="AS1" i="2" s="1"/>
  <c r="AT1" i="2" s="1"/>
  <c r="AU1" i="2" s="1"/>
  <c r="AV1" i="2" s="1"/>
  <c r="AW1" i="2" s="1"/>
  <c r="E15" i="10" l="1"/>
  <c r="G16" i="10"/>
  <c r="F15" i="10"/>
  <c r="D15" i="10"/>
  <c r="C15" i="10"/>
  <c r="B15" i="10"/>
  <c r="E13" i="10"/>
  <c r="C13" i="10"/>
  <c r="F12" i="10"/>
  <c r="E12" i="10"/>
  <c r="C12" i="10"/>
  <c r="B12" i="10"/>
  <c r="E10" i="10"/>
  <c r="C10" i="10"/>
  <c r="B10" i="10"/>
  <c r="B9" i="10"/>
  <c r="E8" i="10"/>
  <c r="C8" i="10"/>
  <c r="E28" i="10"/>
  <c r="G29" i="10"/>
  <c r="F28" i="10"/>
  <c r="D28" i="10"/>
  <c r="C28" i="10"/>
  <c r="B28" i="10"/>
  <c r="E26" i="10"/>
  <c r="C26" i="10"/>
  <c r="F25" i="10"/>
  <c r="E25" i="10"/>
  <c r="C25" i="10"/>
  <c r="B25" i="10"/>
  <c r="E23" i="10"/>
  <c r="C23" i="10"/>
  <c r="B23" i="10"/>
  <c r="B22" i="10"/>
  <c r="E21" i="10"/>
  <c r="C21" i="10"/>
  <c r="G42" i="10"/>
  <c r="F41" i="10"/>
  <c r="E41" i="10"/>
  <c r="D41" i="10"/>
  <c r="C41" i="10"/>
  <c r="B41" i="10"/>
  <c r="E39" i="10"/>
  <c r="C39" i="10"/>
  <c r="F38" i="10"/>
  <c r="E38" i="10"/>
  <c r="C38" i="10"/>
  <c r="B38" i="10"/>
  <c r="E36" i="10"/>
  <c r="C36" i="10"/>
  <c r="B36" i="10"/>
  <c r="B35" i="10"/>
  <c r="E34" i="10"/>
  <c r="C34" i="10"/>
  <c r="G55" i="10"/>
  <c r="F54" i="10"/>
  <c r="E54" i="10"/>
  <c r="D54" i="10"/>
  <c r="C54" i="10"/>
  <c r="B54" i="10"/>
  <c r="E52" i="10"/>
  <c r="C52" i="10"/>
  <c r="F51" i="10"/>
  <c r="E51" i="10"/>
  <c r="C51" i="10"/>
  <c r="B51" i="10"/>
  <c r="E49" i="10"/>
  <c r="C49" i="10"/>
  <c r="B49" i="10"/>
  <c r="B48" i="10"/>
  <c r="E47" i="10"/>
  <c r="C47" i="10"/>
  <c r="G68" i="10"/>
  <c r="F67" i="10"/>
  <c r="E67" i="10"/>
  <c r="D67" i="10"/>
  <c r="C67" i="10"/>
  <c r="B67" i="10"/>
  <c r="E65" i="10"/>
  <c r="C65" i="10"/>
  <c r="F64" i="10"/>
  <c r="E64" i="10"/>
  <c r="C64" i="10"/>
  <c r="B64" i="10"/>
  <c r="E62" i="10"/>
  <c r="C62" i="10"/>
  <c r="B62" i="10"/>
  <c r="B61" i="10"/>
  <c r="E60" i="10"/>
  <c r="C60" i="10"/>
  <c r="E80" i="10"/>
  <c r="G81" i="10"/>
  <c r="F80" i="10"/>
  <c r="D80" i="10"/>
  <c r="C80" i="10"/>
  <c r="B80" i="10"/>
  <c r="E78" i="10"/>
  <c r="C78" i="10"/>
  <c r="F77" i="10"/>
  <c r="E77" i="10"/>
  <c r="C77" i="10"/>
  <c r="B77" i="10"/>
  <c r="E75" i="10"/>
  <c r="C75" i="10"/>
  <c r="B75" i="10"/>
  <c r="B74" i="10"/>
  <c r="E73" i="10"/>
  <c r="C73" i="10"/>
  <c r="G54" i="10" l="1"/>
  <c r="B10" i="28" l="1"/>
  <c r="B9" i="28"/>
  <c r="B8" i="28"/>
  <c r="B7" i="28"/>
  <c r="B6" i="28"/>
  <c r="B5" i="28"/>
  <c r="B4" i="28"/>
  <c r="A4" i="14" l="1"/>
  <c r="A4" i="25"/>
  <c r="A26" i="25"/>
  <c r="A3" i="10"/>
  <c r="A4" i="16"/>
  <c r="A31" i="13"/>
  <c r="A4" i="13"/>
  <c r="B19" i="10" l="1"/>
  <c r="F19" i="10"/>
  <c r="B24" i="10"/>
  <c r="F24" i="10"/>
  <c r="F27" i="10" l="1"/>
  <c r="B27" i="10"/>
  <c r="E24" i="10"/>
  <c r="C24" i="10"/>
  <c r="E2" i="25" l="1"/>
  <c r="E45" i="25" l="1"/>
  <c r="E47" i="25"/>
  <c r="E49" i="25"/>
  <c r="E51" i="25"/>
  <c r="E53" i="25"/>
  <c r="E55" i="25"/>
  <c r="E57" i="25"/>
  <c r="E59" i="25"/>
  <c r="E61" i="25"/>
  <c r="E63" i="25"/>
  <c r="E65" i="25"/>
  <c r="E44" i="25"/>
  <c r="E48" i="25"/>
  <c r="E52" i="25"/>
  <c r="E56" i="25"/>
  <c r="E60" i="25"/>
  <c r="E62" i="25"/>
  <c r="E46" i="25"/>
  <c r="E50" i="25"/>
  <c r="E54" i="25"/>
  <c r="E58" i="25"/>
  <c r="E64" i="25"/>
  <c r="E26" i="25"/>
  <c r="E69" i="25" s="1"/>
  <c r="E27" i="25"/>
  <c r="E33" i="25"/>
  <c r="E36" i="25"/>
  <c r="E41" i="25"/>
  <c r="E30" i="25"/>
  <c r="E31" i="25"/>
  <c r="E38" i="25"/>
  <c r="E40" i="25"/>
  <c r="E42" i="25"/>
  <c r="E32" i="25"/>
  <c r="E34" i="25"/>
  <c r="E35" i="25"/>
  <c r="E28" i="25"/>
  <c r="E29" i="25"/>
  <c r="E39" i="25"/>
  <c r="E37" i="25"/>
  <c r="F2" i="25"/>
  <c r="E99" i="25" l="1"/>
  <c r="E103" i="25"/>
  <c r="E97" i="25"/>
  <c r="E108" i="25"/>
  <c r="E93" i="25"/>
  <c r="E100" i="25"/>
  <c r="E78" i="25"/>
  <c r="E83" i="25"/>
  <c r="E80" i="25"/>
  <c r="E102" i="25"/>
  <c r="E82" i="25"/>
  <c r="E106" i="25"/>
  <c r="E98" i="25"/>
  <c r="E84" i="25"/>
  <c r="E77" i="25"/>
  <c r="E81" i="25"/>
  <c r="E107" i="25"/>
  <c r="E95" i="25"/>
  <c r="E72" i="25"/>
  <c r="E75" i="25"/>
  <c r="E74" i="25"/>
  <c r="E76" i="25"/>
  <c r="E101" i="25"/>
  <c r="E105" i="25"/>
  <c r="E104" i="25"/>
  <c r="E96" i="25"/>
  <c r="E89" i="25"/>
  <c r="E91" i="25"/>
  <c r="E71" i="25"/>
  <c r="E85" i="25"/>
  <c r="E73" i="25"/>
  <c r="E70" i="25"/>
  <c r="E4" i="25"/>
  <c r="E92" i="25"/>
  <c r="E87" i="25"/>
  <c r="E94" i="25"/>
  <c r="E79" i="25"/>
  <c r="E90" i="25"/>
  <c r="F44" i="25"/>
  <c r="F46" i="25"/>
  <c r="F48" i="25"/>
  <c r="F50" i="25"/>
  <c r="F52" i="25"/>
  <c r="F54" i="25"/>
  <c r="F56" i="25"/>
  <c r="F58" i="25"/>
  <c r="F60" i="25"/>
  <c r="F62" i="25"/>
  <c r="F64" i="25"/>
  <c r="F45" i="25"/>
  <c r="F47" i="25"/>
  <c r="F49" i="25"/>
  <c r="F51" i="25"/>
  <c r="F53" i="25"/>
  <c r="F55" i="25"/>
  <c r="F57" i="25"/>
  <c r="F59" i="25"/>
  <c r="F61" i="25"/>
  <c r="F63" i="25"/>
  <c r="F65" i="25"/>
  <c r="F40" i="25"/>
  <c r="F28" i="25"/>
  <c r="F36" i="25"/>
  <c r="F27" i="25"/>
  <c r="F39" i="25"/>
  <c r="F30" i="25"/>
  <c r="F38" i="25"/>
  <c r="F29" i="25"/>
  <c r="G2" i="25"/>
  <c r="F26" i="25"/>
  <c r="F69" i="25" s="1"/>
  <c r="F34" i="25"/>
  <c r="F35" i="25"/>
  <c r="F37" i="25"/>
  <c r="F33" i="25"/>
  <c r="F41" i="25"/>
  <c r="F32" i="25"/>
  <c r="F42" i="25"/>
  <c r="F31" i="25"/>
  <c r="E88" i="25"/>
  <c r="E2" i="14"/>
  <c r="F2" i="14" s="1"/>
  <c r="G2" i="14" s="1"/>
  <c r="B63" i="10"/>
  <c r="B72" i="10"/>
  <c r="F63" i="10"/>
  <c r="C63" i="10"/>
  <c r="B6" i="10"/>
  <c r="F6" i="10"/>
  <c r="B32" i="10"/>
  <c r="F32" i="10"/>
  <c r="B45" i="10"/>
  <c r="F45" i="10"/>
  <c r="B58" i="10"/>
  <c r="F58" i="10"/>
  <c r="F71" i="10"/>
  <c r="F90" i="25" l="1"/>
  <c r="F89" i="25"/>
  <c r="F88" i="25"/>
  <c r="F100" i="25"/>
  <c r="F108" i="25"/>
  <c r="F104" i="25"/>
  <c r="F96" i="25"/>
  <c r="F102" i="25"/>
  <c r="F91" i="25"/>
  <c r="F106" i="25"/>
  <c r="F98" i="25"/>
  <c r="F103" i="25"/>
  <c r="F95" i="25"/>
  <c r="F74" i="25"/>
  <c r="F76" i="25"/>
  <c r="F73" i="25"/>
  <c r="F75" i="25"/>
  <c r="F78" i="25"/>
  <c r="F72" i="25"/>
  <c r="F70" i="25"/>
  <c r="F105" i="25"/>
  <c r="F97" i="25"/>
  <c r="F84" i="25"/>
  <c r="F77" i="25"/>
  <c r="F81" i="25"/>
  <c r="F79" i="25"/>
  <c r="F4" i="25"/>
  <c r="F87" i="25"/>
  <c r="F92" i="25"/>
  <c r="F101" i="25"/>
  <c r="F93" i="25"/>
  <c r="F71" i="25"/>
  <c r="F85" i="25"/>
  <c r="F80" i="25"/>
  <c r="G52" i="25"/>
  <c r="G48" i="25"/>
  <c r="G65" i="25"/>
  <c r="G51" i="25"/>
  <c r="G34" i="25"/>
  <c r="G40" i="25"/>
  <c r="G63" i="25"/>
  <c r="G39" i="25"/>
  <c r="G32" i="25"/>
  <c r="G56" i="25"/>
  <c r="G53" i="25"/>
  <c r="G59" i="25"/>
  <c r="G38" i="25"/>
  <c r="G29" i="25"/>
  <c r="G26" i="25"/>
  <c r="G69" i="25" s="1"/>
  <c r="G60" i="25"/>
  <c r="G58" i="25"/>
  <c r="G33" i="25"/>
  <c r="G31" i="25"/>
  <c r="G37" i="25"/>
  <c r="G64" i="25"/>
  <c r="G61" i="25"/>
  <c r="G30" i="25"/>
  <c r="G36" i="25"/>
  <c r="G35" i="25"/>
  <c r="G28" i="25"/>
  <c r="G41" i="25"/>
  <c r="G49" i="25"/>
  <c r="G50" i="25"/>
  <c r="G27" i="25"/>
  <c r="G55" i="25"/>
  <c r="G44" i="25"/>
  <c r="G57" i="25"/>
  <c r="G62" i="25"/>
  <c r="G42" i="25"/>
  <c r="G54" i="25"/>
  <c r="G47" i="25"/>
  <c r="G45" i="25"/>
  <c r="G46" i="25"/>
  <c r="H2" i="25"/>
  <c r="F82" i="25"/>
  <c r="F83" i="25"/>
  <c r="F94" i="25"/>
  <c r="F107" i="25"/>
  <c r="F99" i="25"/>
  <c r="H2" i="14"/>
  <c r="G11" i="14"/>
  <c r="G7" i="14"/>
  <c r="G10" i="14"/>
  <c r="G6" i="14"/>
  <c r="G9" i="14"/>
  <c r="G5" i="14"/>
  <c r="G4" i="14"/>
  <c r="G15" i="14" s="1"/>
  <c r="G8" i="14"/>
  <c r="E50" i="13"/>
  <c r="E46" i="13"/>
  <c r="E41" i="13"/>
  <c r="E37" i="13"/>
  <c r="E35" i="13"/>
  <c r="E49" i="13"/>
  <c r="E51" i="13"/>
  <c r="E47" i="13"/>
  <c r="E42" i="13"/>
  <c r="E38" i="13"/>
  <c r="E40" i="13"/>
  <c r="E52" i="13"/>
  <c r="E48" i="13"/>
  <c r="E43" i="13"/>
  <c r="E39" i="13"/>
  <c r="E44" i="13"/>
  <c r="E34" i="13"/>
  <c r="F37" i="10"/>
  <c r="C37" i="10"/>
  <c r="F11" i="10"/>
  <c r="B37" i="10"/>
  <c r="B66" i="10"/>
  <c r="B50" i="10"/>
  <c r="F66" i="10"/>
  <c r="G80" i="10"/>
  <c r="E11" i="13"/>
  <c r="B76" i="10"/>
  <c r="B71" i="10"/>
  <c r="G41" i="10"/>
  <c r="F50" i="10"/>
  <c r="E63" i="10"/>
  <c r="E15" i="13"/>
  <c r="E37" i="10"/>
  <c r="E76" i="10"/>
  <c r="E20" i="13"/>
  <c r="E24" i="13"/>
  <c r="E12" i="13"/>
  <c r="E16" i="13"/>
  <c r="E21" i="13"/>
  <c r="E25" i="13"/>
  <c r="E8" i="13"/>
  <c r="E13" i="13"/>
  <c r="E17" i="13"/>
  <c r="E22" i="13"/>
  <c r="E26" i="13"/>
  <c r="G28" i="10"/>
  <c r="F76" i="10"/>
  <c r="E11" i="10"/>
  <c r="E50" i="10"/>
  <c r="B11" i="10"/>
  <c r="E9" i="13"/>
  <c r="E14" i="13"/>
  <c r="E18" i="13"/>
  <c r="E23" i="13"/>
  <c r="G67" i="10"/>
  <c r="C76" i="10"/>
  <c r="C50" i="10"/>
  <c r="C11" i="10"/>
  <c r="F5" i="13"/>
  <c r="E5" i="14"/>
  <c r="E4" i="14"/>
  <c r="G15" i="10"/>
  <c r="G89" i="25" l="1"/>
  <c r="G88" i="25"/>
  <c r="G90" i="25"/>
  <c r="G84" i="25"/>
  <c r="G74" i="25"/>
  <c r="G85" i="25"/>
  <c r="G93" i="25"/>
  <c r="G6" i="25" s="1"/>
  <c r="G97" i="25"/>
  <c r="G73" i="25"/>
  <c r="G105" i="25"/>
  <c r="G100" i="25"/>
  <c r="G98" i="25"/>
  <c r="G70" i="25"/>
  <c r="G71" i="25"/>
  <c r="G78" i="25"/>
  <c r="G79" i="25"/>
  <c r="G104" i="25"/>
  <c r="G76" i="25"/>
  <c r="G96" i="25"/>
  <c r="G106" i="25"/>
  <c r="G108" i="25"/>
  <c r="G72" i="25"/>
  <c r="G99" i="25"/>
  <c r="G83" i="25"/>
  <c r="G91" i="25"/>
  <c r="G107" i="25"/>
  <c r="G101" i="25"/>
  <c r="G7" i="25" s="1"/>
  <c r="G81" i="25"/>
  <c r="G75" i="25"/>
  <c r="G77" i="25"/>
  <c r="G95" i="25"/>
  <c r="H47" i="25"/>
  <c r="H52" i="25"/>
  <c r="H26" i="25"/>
  <c r="H69" i="25" s="1"/>
  <c r="H42" i="25"/>
  <c r="H55" i="25"/>
  <c r="H59" i="25"/>
  <c r="H63" i="25"/>
  <c r="H31" i="25"/>
  <c r="H36" i="25"/>
  <c r="I2" i="25"/>
  <c r="H49" i="25"/>
  <c r="H54" i="25"/>
  <c r="H40" i="25"/>
  <c r="H61" i="25"/>
  <c r="H39" i="25"/>
  <c r="H51" i="25"/>
  <c r="H50" i="25"/>
  <c r="H33" i="25"/>
  <c r="H62" i="25"/>
  <c r="H27" i="25"/>
  <c r="H41" i="25"/>
  <c r="H44" i="25"/>
  <c r="H48" i="25"/>
  <c r="H53" i="25"/>
  <c r="H30" i="25"/>
  <c r="H32" i="25"/>
  <c r="H56" i="25"/>
  <c r="H60" i="25"/>
  <c r="H64" i="25"/>
  <c r="H35" i="25"/>
  <c r="H29" i="25"/>
  <c r="H45" i="25"/>
  <c r="H34" i="25"/>
  <c r="H57" i="25"/>
  <c r="H65" i="25"/>
  <c r="H37" i="25"/>
  <c r="H46" i="25"/>
  <c r="H38" i="25"/>
  <c r="H58" i="25"/>
  <c r="H28" i="25"/>
  <c r="G4" i="25"/>
  <c r="G5" i="25" s="1"/>
  <c r="G92" i="25"/>
  <c r="G87" i="25"/>
  <c r="G80" i="25"/>
  <c r="G103" i="25"/>
  <c r="G102" i="25"/>
  <c r="G82" i="25"/>
  <c r="G94" i="25"/>
  <c r="G5" i="13"/>
  <c r="G40" i="13" s="1"/>
  <c r="E9" i="10"/>
  <c r="E33" i="13"/>
  <c r="G21" i="14"/>
  <c r="G16" i="14"/>
  <c r="G18" i="14"/>
  <c r="G20" i="14"/>
  <c r="G22" i="14"/>
  <c r="G19" i="14"/>
  <c r="G17" i="14"/>
  <c r="I2" i="14"/>
  <c r="H4" i="14"/>
  <c r="H15" i="14" s="1"/>
  <c r="H8" i="14"/>
  <c r="H5" i="14"/>
  <c r="H7" i="14"/>
  <c r="H11" i="14"/>
  <c r="H6" i="14"/>
  <c r="H10" i="14"/>
  <c r="H9" i="14"/>
  <c r="F51" i="13"/>
  <c r="F47" i="13"/>
  <c r="F42" i="13"/>
  <c r="F38" i="13"/>
  <c r="F41" i="13"/>
  <c r="F37" i="13"/>
  <c r="F35" i="13"/>
  <c r="F52" i="13"/>
  <c r="F48" i="13"/>
  <c r="F43" i="13"/>
  <c r="F39" i="13"/>
  <c r="F40" i="13"/>
  <c r="F34" i="13"/>
  <c r="F49" i="13"/>
  <c r="F44" i="13"/>
  <c r="F50" i="13"/>
  <c r="F46" i="13"/>
  <c r="E36" i="13"/>
  <c r="E45" i="13"/>
  <c r="F14" i="10"/>
  <c r="F40" i="10"/>
  <c r="E6" i="14"/>
  <c r="E17" i="14" s="1"/>
  <c r="E11" i="14"/>
  <c r="E22" i="14" s="1"/>
  <c r="E7" i="14"/>
  <c r="E18" i="14" s="1"/>
  <c r="E8" i="14"/>
  <c r="E19" i="14" s="1"/>
  <c r="F10" i="14"/>
  <c r="E9" i="14"/>
  <c r="E20" i="14" s="1"/>
  <c r="E10" i="14"/>
  <c r="E21" i="14" s="1"/>
  <c r="B40" i="10"/>
  <c r="J14" i="16"/>
  <c r="B53" i="10"/>
  <c r="F53" i="10"/>
  <c r="F79" i="10"/>
  <c r="H17" i="16"/>
  <c r="H14" i="16"/>
  <c r="I14" i="16"/>
  <c r="C9" i="10" s="1"/>
  <c r="K13" i="16"/>
  <c r="I17" i="16"/>
  <c r="J13" i="16"/>
  <c r="J15" i="16"/>
  <c r="K19" i="16"/>
  <c r="H19" i="16"/>
  <c r="B79" i="10"/>
  <c r="E7" i="13"/>
  <c r="E19" i="13"/>
  <c r="E10" i="13"/>
  <c r="E16" i="14"/>
  <c r="B14" i="10"/>
  <c r="E15" i="14"/>
  <c r="H13" i="16"/>
  <c r="J19" i="16"/>
  <c r="H15" i="16"/>
  <c r="I19" i="16"/>
  <c r="J17" i="16"/>
  <c r="K18" i="16"/>
  <c r="I13" i="16"/>
  <c r="I12" i="16"/>
  <c r="C7" i="10" s="1"/>
  <c r="J12" i="16"/>
  <c r="K17" i="16"/>
  <c r="I18" i="16"/>
  <c r="F20" i="13"/>
  <c r="F11" i="13"/>
  <c r="H12" i="16"/>
  <c r="J18" i="16"/>
  <c r="F26" i="13"/>
  <c r="F25" i="13"/>
  <c r="F23" i="13"/>
  <c r="K12" i="16"/>
  <c r="E7" i="10" s="1"/>
  <c r="F13" i="13"/>
  <c r="F9" i="13"/>
  <c r="F12" i="13"/>
  <c r="I15" i="16"/>
  <c r="F22" i="13"/>
  <c r="F15" i="13"/>
  <c r="F8" i="13"/>
  <c r="F14" i="13"/>
  <c r="F16" i="13"/>
  <c r="H18" i="16"/>
  <c r="F24" i="13"/>
  <c r="F17" i="13"/>
  <c r="F18" i="13"/>
  <c r="F21" i="13"/>
  <c r="L14" i="16" l="1"/>
  <c r="H108" i="25"/>
  <c r="G21" i="13"/>
  <c r="G8" i="25"/>
  <c r="H72" i="25"/>
  <c r="H91" i="25"/>
  <c r="H82" i="25"/>
  <c r="H5" i="13"/>
  <c r="H51" i="13" s="1"/>
  <c r="H88" i="25"/>
  <c r="H105" i="25"/>
  <c r="H101" i="25"/>
  <c r="H7" i="25" s="1"/>
  <c r="H99" i="25"/>
  <c r="H89" i="25"/>
  <c r="G16" i="13"/>
  <c r="G12" i="13"/>
  <c r="G25" i="13"/>
  <c r="G48" i="13"/>
  <c r="G46" i="13"/>
  <c r="G24" i="13"/>
  <c r="G20" i="13"/>
  <c r="G15" i="13"/>
  <c r="G11" i="13"/>
  <c r="G38" i="13"/>
  <c r="G39" i="13"/>
  <c r="G23" i="13"/>
  <c r="G18" i="13"/>
  <c r="G14" i="13"/>
  <c r="G9" i="13"/>
  <c r="G47" i="13"/>
  <c r="G35" i="13"/>
  <c r="G26" i="13"/>
  <c r="G22" i="13"/>
  <c r="G17" i="13"/>
  <c r="G13" i="13"/>
  <c r="G8" i="13"/>
  <c r="G37" i="13"/>
  <c r="G44" i="13"/>
  <c r="H106" i="25"/>
  <c r="G34" i="13"/>
  <c r="G42" i="13"/>
  <c r="G41" i="13"/>
  <c r="G43" i="13"/>
  <c r="G49" i="13"/>
  <c r="H81" i="25"/>
  <c r="H100" i="25"/>
  <c r="H78" i="25"/>
  <c r="H75" i="25"/>
  <c r="H4" i="25"/>
  <c r="H5" i="25" s="1"/>
  <c r="H92" i="25"/>
  <c r="H87" i="25"/>
  <c r="H76" i="25"/>
  <c r="H104" i="25"/>
  <c r="I53" i="25"/>
  <c r="I57" i="25"/>
  <c r="I61" i="25"/>
  <c r="I65" i="25"/>
  <c r="I48" i="25"/>
  <c r="I36" i="25"/>
  <c r="I35" i="25"/>
  <c r="I28" i="25"/>
  <c r="I38" i="25"/>
  <c r="I58" i="25"/>
  <c r="I45" i="25"/>
  <c r="I50" i="25"/>
  <c r="I41" i="25"/>
  <c r="J2" i="25"/>
  <c r="I51" i="25"/>
  <c r="I59" i="25"/>
  <c r="I46" i="25"/>
  <c r="I34" i="25"/>
  <c r="I37" i="25"/>
  <c r="I56" i="25"/>
  <c r="I47" i="25"/>
  <c r="I30" i="25"/>
  <c r="I44" i="25"/>
  <c r="I54" i="25"/>
  <c r="I62" i="25"/>
  <c r="I49" i="25"/>
  <c r="I39" i="25"/>
  <c r="I33" i="25"/>
  <c r="I55" i="25"/>
  <c r="I63" i="25"/>
  <c r="I27" i="25"/>
  <c r="I42" i="25"/>
  <c r="I52" i="25"/>
  <c r="I64" i="25"/>
  <c r="I31" i="25"/>
  <c r="I40" i="25"/>
  <c r="I26" i="25"/>
  <c r="I69" i="25" s="1"/>
  <c r="I60" i="25"/>
  <c r="I32" i="25"/>
  <c r="I29" i="25"/>
  <c r="H102" i="25"/>
  <c r="H95" i="25"/>
  <c r="H77" i="25"/>
  <c r="H107" i="25"/>
  <c r="H73" i="25"/>
  <c r="H84" i="25"/>
  <c r="H93" i="25"/>
  <c r="H6" i="25" s="1"/>
  <c r="H83" i="25"/>
  <c r="H79" i="25"/>
  <c r="H98" i="25"/>
  <c r="H90" i="25"/>
  <c r="G52" i="13"/>
  <c r="G51" i="13"/>
  <c r="G50" i="13"/>
  <c r="H71" i="25"/>
  <c r="H80" i="25"/>
  <c r="H103" i="25"/>
  <c r="H96" i="25"/>
  <c r="H70" i="25"/>
  <c r="H94" i="25"/>
  <c r="H97" i="25"/>
  <c r="H74" i="25"/>
  <c r="H85" i="25"/>
  <c r="H22" i="14"/>
  <c r="H20" i="14"/>
  <c r="H18" i="14"/>
  <c r="J2" i="14"/>
  <c r="I5" i="14"/>
  <c r="I9" i="14"/>
  <c r="I4" i="14"/>
  <c r="I15" i="14" s="1"/>
  <c r="I8" i="14"/>
  <c r="I7" i="14"/>
  <c r="I11" i="14"/>
  <c r="I10" i="14"/>
  <c r="I6" i="14"/>
  <c r="H21" i="14"/>
  <c r="H16" i="14"/>
  <c r="I5" i="13"/>
  <c r="E22" i="10" s="1"/>
  <c r="H50" i="13"/>
  <c r="H46" i="13"/>
  <c r="H44" i="13"/>
  <c r="H40" i="13"/>
  <c r="H52" i="13"/>
  <c r="H11" i="13"/>
  <c r="H15" i="13"/>
  <c r="H20" i="13"/>
  <c r="H24" i="13"/>
  <c r="H8" i="13"/>
  <c r="H17" i="13"/>
  <c r="H22" i="13"/>
  <c r="H26" i="13"/>
  <c r="H16" i="13"/>
  <c r="H17" i="14"/>
  <c r="H19" i="14"/>
  <c r="E53" i="13"/>
  <c r="F36" i="13"/>
  <c r="F45" i="13"/>
  <c r="F33" i="13"/>
  <c r="F6" i="14"/>
  <c r="F4" i="14"/>
  <c r="F15" i="14" s="1"/>
  <c r="F8" i="14"/>
  <c r="F11" i="14"/>
  <c r="F9" i="14"/>
  <c r="F7" i="14"/>
  <c r="F5" i="14"/>
  <c r="J11" i="16"/>
  <c r="K11" i="16"/>
  <c r="H16" i="16"/>
  <c r="E27" i="13"/>
  <c r="F7" i="13"/>
  <c r="I16" i="16"/>
  <c r="I11" i="16"/>
  <c r="L17" i="16"/>
  <c r="L19" i="16"/>
  <c r="L13" i="16"/>
  <c r="K16" i="16"/>
  <c r="H11" i="16"/>
  <c r="L12" i="16"/>
  <c r="F19" i="13"/>
  <c r="L15" i="16"/>
  <c r="J16" i="16"/>
  <c r="L18" i="16"/>
  <c r="F10" i="13"/>
  <c r="L16" i="16" l="1"/>
  <c r="H37" i="13"/>
  <c r="H34" i="13"/>
  <c r="H43" i="13"/>
  <c r="H21" i="13"/>
  <c r="H48" i="13"/>
  <c r="H13" i="13"/>
  <c r="H39" i="13"/>
  <c r="H41" i="13"/>
  <c r="H23" i="13"/>
  <c r="H49" i="13"/>
  <c r="H12" i="13"/>
  <c r="H18" i="13"/>
  <c r="H38" i="13"/>
  <c r="H25" i="13"/>
  <c r="H14" i="13"/>
  <c r="H42" i="13"/>
  <c r="H9" i="13"/>
  <c r="H7" i="13" s="1"/>
  <c r="H47" i="13"/>
  <c r="G7" i="13"/>
  <c r="H35" i="13"/>
  <c r="H8" i="25"/>
  <c r="I103" i="25"/>
  <c r="G19" i="13"/>
  <c r="G10" i="13"/>
  <c r="G45" i="13"/>
  <c r="G33" i="13"/>
  <c r="I90" i="25"/>
  <c r="I89" i="25"/>
  <c r="G36" i="13"/>
  <c r="I107" i="25"/>
  <c r="I106" i="25"/>
  <c r="I95" i="25"/>
  <c r="I98" i="25"/>
  <c r="I105" i="25"/>
  <c r="I84" i="25"/>
  <c r="I81" i="25"/>
  <c r="I91" i="25"/>
  <c r="I96" i="25"/>
  <c r="I72" i="25"/>
  <c r="I83" i="25"/>
  <c r="I85" i="25"/>
  <c r="I76" i="25"/>
  <c r="I97" i="25"/>
  <c r="I99" i="25"/>
  <c r="I102" i="25"/>
  <c r="I93" i="25"/>
  <c r="I71" i="25"/>
  <c r="I108" i="25"/>
  <c r="I75" i="25"/>
  <c r="I74" i="25"/>
  <c r="I70" i="25"/>
  <c r="I82" i="25"/>
  <c r="I4" i="25"/>
  <c r="I5" i="25" s="1"/>
  <c r="I92" i="25"/>
  <c r="I87" i="25"/>
  <c r="I80" i="25"/>
  <c r="I94" i="25"/>
  <c r="I88" i="25"/>
  <c r="I78" i="25"/>
  <c r="I104" i="25"/>
  <c r="I73" i="25"/>
  <c r="I77" i="25"/>
  <c r="J46" i="25"/>
  <c r="J50" i="25"/>
  <c r="J52" i="25"/>
  <c r="J56" i="25"/>
  <c r="J60" i="25"/>
  <c r="J64" i="25"/>
  <c r="J33" i="25"/>
  <c r="J36" i="25"/>
  <c r="J34" i="25"/>
  <c r="J47" i="25"/>
  <c r="J44" i="25"/>
  <c r="J53" i="25"/>
  <c r="J57" i="25"/>
  <c r="J61" i="25"/>
  <c r="J65" i="25"/>
  <c r="J37" i="25"/>
  <c r="J35" i="25"/>
  <c r="J31" i="25"/>
  <c r="J41" i="25"/>
  <c r="J28" i="25"/>
  <c r="J27" i="25"/>
  <c r="J40" i="25"/>
  <c r="J45" i="25"/>
  <c r="J88" i="25" s="1"/>
  <c r="J51" i="25"/>
  <c r="J59" i="25"/>
  <c r="J29" i="25"/>
  <c r="J32" i="25"/>
  <c r="J42" i="25"/>
  <c r="K2" i="25"/>
  <c r="J48" i="25"/>
  <c r="J26" i="25"/>
  <c r="J69" i="25" s="1"/>
  <c r="J54" i="25"/>
  <c r="J58" i="25"/>
  <c r="J62" i="25"/>
  <c r="J39" i="25"/>
  <c r="J49" i="25"/>
  <c r="J55" i="25"/>
  <c r="J63" i="25"/>
  <c r="J30" i="25"/>
  <c r="J38" i="25"/>
  <c r="I101" i="25"/>
  <c r="I79" i="25"/>
  <c r="I100" i="25"/>
  <c r="H26" i="16"/>
  <c r="J28" i="16"/>
  <c r="K31" i="16"/>
  <c r="H28" i="16"/>
  <c r="H25" i="16"/>
  <c r="J30" i="16"/>
  <c r="H30" i="16"/>
  <c r="I25" i="16"/>
  <c r="I30" i="16"/>
  <c r="K26" i="16"/>
  <c r="K25" i="16"/>
  <c r="H27" i="16"/>
  <c r="K30" i="16"/>
  <c r="I28" i="16"/>
  <c r="K32" i="16"/>
  <c r="K28" i="16"/>
  <c r="I32" i="16"/>
  <c r="J32" i="16"/>
  <c r="J26" i="16"/>
  <c r="J27" i="16"/>
  <c r="I26" i="16"/>
  <c r="J25" i="16"/>
  <c r="I21" i="14"/>
  <c r="I27" i="16"/>
  <c r="C22" i="10" s="1"/>
  <c r="H31" i="16"/>
  <c r="H32" i="16"/>
  <c r="I31" i="16"/>
  <c r="J31" i="16"/>
  <c r="I22" i="14"/>
  <c r="I17" i="14"/>
  <c r="I18" i="14"/>
  <c r="I19" i="14"/>
  <c r="K2" i="14"/>
  <c r="J6" i="14"/>
  <c r="J10" i="14"/>
  <c r="J5" i="14"/>
  <c r="J9" i="14"/>
  <c r="J4" i="14"/>
  <c r="J15" i="14" s="1"/>
  <c r="J8" i="14"/>
  <c r="J11" i="14"/>
  <c r="J7" i="14"/>
  <c r="J5" i="13"/>
  <c r="I51" i="13"/>
  <c r="I47" i="13"/>
  <c r="I42" i="13"/>
  <c r="I38" i="13"/>
  <c r="I34" i="13"/>
  <c r="I50" i="13"/>
  <c r="I46" i="13"/>
  <c r="I52" i="13"/>
  <c r="I48" i="13"/>
  <c r="I43" i="13"/>
  <c r="I39" i="13"/>
  <c r="I49" i="13"/>
  <c r="I44" i="13"/>
  <c r="I40" i="13"/>
  <c r="I35" i="13"/>
  <c r="I41" i="13"/>
  <c r="I37" i="13"/>
  <c r="I8" i="13"/>
  <c r="I9" i="13"/>
  <c r="I11" i="13"/>
  <c r="I12" i="13"/>
  <c r="I13" i="13"/>
  <c r="I14" i="13"/>
  <c r="I15" i="13"/>
  <c r="I16" i="13"/>
  <c r="I17" i="13"/>
  <c r="I18" i="13"/>
  <c r="I20" i="13"/>
  <c r="I21" i="13"/>
  <c r="I22" i="13"/>
  <c r="I23" i="13"/>
  <c r="I24" i="13"/>
  <c r="I25" i="13"/>
  <c r="I26" i="13"/>
  <c r="I20" i="14"/>
  <c r="I16" i="14"/>
  <c r="F53" i="13"/>
  <c r="F17" i="14"/>
  <c r="F22" i="14"/>
  <c r="F21" i="14"/>
  <c r="F16" i="14"/>
  <c r="F19" i="14"/>
  <c r="F18" i="14"/>
  <c r="F20" i="14"/>
  <c r="E6" i="10"/>
  <c r="E14" i="10" s="1"/>
  <c r="J20" i="16"/>
  <c r="K20" i="16"/>
  <c r="H20" i="16"/>
  <c r="L11" i="16"/>
  <c r="I20" i="16"/>
  <c r="F27" i="13"/>
  <c r="C6" i="10"/>
  <c r="H33" i="13" l="1"/>
  <c r="H45" i="13"/>
  <c r="I16" i="25"/>
  <c r="H10" i="13"/>
  <c r="H36" i="13"/>
  <c r="G53" i="13"/>
  <c r="G27" i="13"/>
  <c r="H19" i="13"/>
  <c r="J106" i="25"/>
  <c r="J91" i="25"/>
  <c r="J105" i="25"/>
  <c r="J73" i="25"/>
  <c r="J82" i="25"/>
  <c r="I17" i="25"/>
  <c r="I18" i="25"/>
  <c r="D9" i="10"/>
  <c r="D7" i="10"/>
  <c r="D13" i="10"/>
  <c r="D12" i="10"/>
  <c r="D10" i="10"/>
  <c r="D8" i="10"/>
  <c r="J104" i="25"/>
  <c r="C20" i="10"/>
  <c r="C19" i="10" s="1"/>
  <c r="C27" i="10" s="1"/>
  <c r="E20" i="10"/>
  <c r="E19" i="10" s="1"/>
  <c r="E27" i="10" s="1"/>
  <c r="J98" i="25"/>
  <c r="J101" i="25"/>
  <c r="J7" i="25" s="1"/>
  <c r="J102" i="25"/>
  <c r="J108" i="25"/>
  <c r="J95" i="25"/>
  <c r="J75" i="25"/>
  <c r="J84" i="25"/>
  <c r="J4" i="25"/>
  <c r="J5" i="25" s="1"/>
  <c r="J87" i="25"/>
  <c r="J92" i="25"/>
  <c r="J76" i="25"/>
  <c r="I13" i="25"/>
  <c r="I14" i="25"/>
  <c r="I6" i="25"/>
  <c r="J72" i="25"/>
  <c r="J83" i="25"/>
  <c r="J74" i="25"/>
  <c r="J90" i="25"/>
  <c r="J107" i="25"/>
  <c r="J93" i="25"/>
  <c r="J6" i="25" s="1"/>
  <c r="I7" i="25"/>
  <c r="I15" i="25"/>
  <c r="K45" i="25"/>
  <c r="K49" i="25"/>
  <c r="K26" i="25"/>
  <c r="K69" i="25" s="1"/>
  <c r="K54" i="25"/>
  <c r="K58" i="25"/>
  <c r="K62" i="25"/>
  <c r="K30" i="25"/>
  <c r="K29" i="25"/>
  <c r="K41" i="25"/>
  <c r="K32" i="25"/>
  <c r="L2" i="25"/>
  <c r="K31" i="25"/>
  <c r="K44" i="25"/>
  <c r="K61" i="25"/>
  <c r="K36" i="25"/>
  <c r="K46" i="25"/>
  <c r="K50" i="25"/>
  <c r="K51" i="25"/>
  <c r="K55" i="25"/>
  <c r="K59" i="25"/>
  <c r="K63" i="25"/>
  <c r="K34" i="25"/>
  <c r="K33" i="25"/>
  <c r="K39" i="25"/>
  <c r="K48" i="25"/>
  <c r="K65" i="25"/>
  <c r="K47" i="25"/>
  <c r="K27" i="25"/>
  <c r="K52" i="25"/>
  <c r="K56" i="25"/>
  <c r="K60" i="25"/>
  <c r="K64" i="25"/>
  <c r="K38" i="25"/>
  <c r="K37" i="25"/>
  <c r="K35" i="25"/>
  <c r="K42" i="25"/>
  <c r="K53" i="25"/>
  <c r="K57" i="25"/>
  <c r="K28" i="25"/>
  <c r="K40" i="25"/>
  <c r="J70" i="25"/>
  <c r="J78" i="25"/>
  <c r="J100" i="25"/>
  <c r="J77" i="25"/>
  <c r="J103" i="25"/>
  <c r="J89" i="25"/>
  <c r="J81" i="25"/>
  <c r="J97" i="25"/>
  <c r="J85" i="25"/>
  <c r="J94" i="25"/>
  <c r="J71" i="25"/>
  <c r="J80" i="25"/>
  <c r="J96" i="25"/>
  <c r="J79" i="25"/>
  <c r="J99" i="25"/>
  <c r="H24" i="16"/>
  <c r="I24" i="16"/>
  <c r="L31" i="16"/>
  <c r="J24" i="16"/>
  <c r="L28" i="16"/>
  <c r="H29" i="16"/>
  <c r="L30" i="16"/>
  <c r="L26" i="16"/>
  <c r="K29" i="16"/>
  <c r="L25" i="16"/>
  <c r="J29" i="16"/>
  <c r="I29" i="16"/>
  <c r="L32" i="16"/>
  <c r="K24" i="16"/>
  <c r="Z19" i="14"/>
  <c r="L27" i="16"/>
  <c r="Z17" i="14"/>
  <c r="J22" i="14"/>
  <c r="Z18" i="14"/>
  <c r="J19" i="14"/>
  <c r="J18" i="14"/>
  <c r="J20" i="14"/>
  <c r="J16" i="14"/>
  <c r="I7" i="13"/>
  <c r="AK34" i="13"/>
  <c r="I33" i="13"/>
  <c r="AF33" i="13" s="1"/>
  <c r="I36" i="13"/>
  <c r="AA35" i="13" s="1"/>
  <c r="I19" i="13"/>
  <c r="I10" i="13"/>
  <c r="K5" i="13"/>
  <c r="J52" i="13"/>
  <c r="J48" i="13"/>
  <c r="J43" i="13"/>
  <c r="J39" i="13"/>
  <c r="J34" i="13"/>
  <c r="J49" i="13"/>
  <c r="J44" i="13"/>
  <c r="J40" i="13"/>
  <c r="J35" i="13"/>
  <c r="J50" i="13"/>
  <c r="J46" i="13"/>
  <c r="J41" i="13"/>
  <c r="J37" i="13"/>
  <c r="J51" i="13"/>
  <c r="J47" i="13"/>
  <c r="J42" i="13"/>
  <c r="J38" i="13"/>
  <c r="J8" i="13"/>
  <c r="J9" i="13"/>
  <c r="J11" i="13"/>
  <c r="J12" i="13"/>
  <c r="J13" i="13"/>
  <c r="J14" i="13"/>
  <c r="J15" i="13"/>
  <c r="J16" i="13"/>
  <c r="J17" i="13"/>
  <c r="J18" i="13"/>
  <c r="J20" i="13"/>
  <c r="J21" i="13"/>
  <c r="J22" i="13"/>
  <c r="J23" i="13"/>
  <c r="J24" i="13"/>
  <c r="J25" i="13"/>
  <c r="J26" i="13"/>
  <c r="J21" i="14"/>
  <c r="L2" i="14"/>
  <c r="K7" i="14"/>
  <c r="K11" i="14"/>
  <c r="K6" i="14"/>
  <c r="K10" i="14"/>
  <c r="K5" i="14"/>
  <c r="K9" i="14"/>
  <c r="K4" i="14"/>
  <c r="K15" i="14" s="1"/>
  <c r="K8" i="14"/>
  <c r="AK33" i="13"/>
  <c r="I45" i="13"/>
  <c r="J17" i="14"/>
  <c r="L20" i="16"/>
  <c r="C14" i="10"/>
  <c r="K91" i="25" l="1"/>
  <c r="K108" i="25"/>
  <c r="H53" i="13"/>
  <c r="K83" i="25"/>
  <c r="K70" i="25"/>
  <c r="K100" i="25"/>
  <c r="H27" i="13"/>
  <c r="K79" i="25"/>
  <c r="K71" i="25"/>
  <c r="K96" i="25"/>
  <c r="K107" i="25"/>
  <c r="K106" i="25"/>
  <c r="K103" i="25"/>
  <c r="K98" i="25"/>
  <c r="K73" i="25"/>
  <c r="K99" i="25"/>
  <c r="K94" i="25"/>
  <c r="K105" i="25"/>
  <c r="K104" i="25"/>
  <c r="K95" i="25"/>
  <c r="K93" i="25"/>
  <c r="K6" i="25" s="1"/>
  <c r="K101" i="25"/>
  <c r="K7" i="25" s="1"/>
  <c r="I19" i="25"/>
  <c r="K81" i="25"/>
  <c r="K84" i="25"/>
  <c r="K102" i="25"/>
  <c r="J8" i="25"/>
  <c r="K85" i="25"/>
  <c r="K78" i="25"/>
  <c r="K76" i="25"/>
  <c r="K80" i="25"/>
  <c r="K90" i="25"/>
  <c r="K82" i="25"/>
  <c r="K77" i="25"/>
  <c r="K75" i="25"/>
  <c r="H33" i="16"/>
  <c r="K74" i="25"/>
  <c r="K4" i="25"/>
  <c r="K5" i="25" s="1"/>
  <c r="K87" i="25"/>
  <c r="K92" i="25"/>
  <c r="K88" i="25"/>
  <c r="K89" i="25"/>
  <c r="K72" i="25"/>
  <c r="K97" i="25"/>
  <c r="L44" i="25"/>
  <c r="L48" i="25"/>
  <c r="L31" i="25"/>
  <c r="L52" i="25"/>
  <c r="L56" i="25"/>
  <c r="L60" i="25"/>
  <c r="L64" i="25"/>
  <c r="L38" i="25"/>
  <c r="L32" i="25"/>
  <c r="L27" i="25"/>
  <c r="L40" i="25"/>
  <c r="L55" i="25"/>
  <c r="L63" i="25"/>
  <c r="L45" i="25"/>
  <c r="L49" i="25"/>
  <c r="L35" i="25"/>
  <c r="L53" i="25"/>
  <c r="L57" i="25"/>
  <c r="L61" i="25"/>
  <c r="L65" i="25"/>
  <c r="L29" i="25"/>
  <c r="L36" i="25"/>
  <c r="L33" i="25"/>
  <c r="L28" i="25"/>
  <c r="L51" i="25"/>
  <c r="L59" i="25"/>
  <c r="L42" i="25"/>
  <c r="L46" i="25"/>
  <c r="L50" i="25"/>
  <c r="L39" i="25"/>
  <c r="L54" i="25"/>
  <c r="L58" i="25"/>
  <c r="L62" i="25"/>
  <c r="L30" i="25"/>
  <c r="L37" i="25"/>
  <c r="L41" i="25"/>
  <c r="M2" i="25"/>
  <c r="L47" i="25"/>
  <c r="L34" i="25"/>
  <c r="L26" i="25"/>
  <c r="L69" i="25" s="1"/>
  <c r="I8" i="25"/>
  <c r="J33" i="16"/>
  <c r="I33" i="16"/>
  <c r="L24" i="16"/>
  <c r="K33" i="16"/>
  <c r="L29" i="16"/>
  <c r="AF34" i="13"/>
  <c r="AF35" i="13" s="1"/>
  <c r="AA36" i="13"/>
  <c r="Z20" i="14"/>
  <c r="I53" i="13"/>
  <c r="AA38" i="13"/>
  <c r="K20" i="14"/>
  <c r="K19" i="14"/>
  <c r="AK35" i="13"/>
  <c r="K16" i="14"/>
  <c r="K18" i="14"/>
  <c r="AA37" i="13"/>
  <c r="K21" i="14"/>
  <c r="I27" i="13"/>
  <c r="AA8" i="13" s="1"/>
  <c r="AA33" i="13"/>
  <c r="AA34" i="13"/>
  <c r="K22" i="14"/>
  <c r="J45" i="13"/>
  <c r="J7" i="13"/>
  <c r="M2" i="14"/>
  <c r="L4" i="14"/>
  <c r="L15" i="14" s="1"/>
  <c r="L8" i="14"/>
  <c r="L7" i="14"/>
  <c r="L11" i="14"/>
  <c r="L6" i="14"/>
  <c r="L10" i="14"/>
  <c r="L5" i="14"/>
  <c r="L9" i="14"/>
  <c r="J36" i="13"/>
  <c r="J33" i="13"/>
  <c r="K17" i="14"/>
  <c r="J19" i="13"/>
  <c r="J10" i="13"/>
  <c r="L5" i="13"/>
  <c r="K49" i="13"/>
  <c r="K44" i="13"/>
  <c r="K40" i="13"/>
  <c r="K35" i="13"/>
  <c r="K50" i="13"/>
  <c r="K46" i="13"/>
  <c r="K41" i="13"/>
  <c r="K37" i="13"/>
  <c r="K52" i="13"/>
  <c r="K48" i="13"/>
  <c r="K43" i="13"/>
  <c r="K39" i="13"/>
  <c r="K51" i="13"/>
  <c r="K47" i="13"/>
  <c r="K42" i="13"/>
  <c r="K38" i="13"/>
  <c r="K34" i="13"/>
  <c r="K8" i="13"/>
  <c r="K9" i="13"/>
  <c r="K11" i="13"/>
  <c r="K12" i="13"/>
  <c r="K13" i="13"/>
  <c r="K14" i="13"/>
  <c r="K15" i="13"/>
  <c r="K16" i="13"/>
  <c r="K17" i="13"/>
  <c r="K18" i="13"/>
  <c r="K20" i="13"/>
  <c r="K21" i="13"/>
  <c r="K22" i="13"/>
  <c r="K23" i="13"/>
  <c r="K24" i="13"/>
  <c r="K25" i="13"/>
  <c r="K26" i="13"/>
  <c r="G10" i="10"/>
  <c r="G9" i="10"/>
  <c r="G13" i="10"/>
  <c r="G12" i="10"/>
  <c r="D11" i="10"/>
  <c r="G7" i="10"/>
  <c r="D6" i="10"/>
  <c r="G8" i="10"/>
  <c r="L93" i="25" l="1"/>
  <c r="L6" i="25" s="1"/>
  <c r="K8" i="25"/>
  <c r="L105" i="25"/>
  <c r="L101" i="25"/>
  <c r="L7" i="25" s="1"/>
  <c r="L97" i="25"/>
  <c r="L104" i="25"/>
  <c r="L89" i="25"/>
  <c r="L90" i="25"/>
  <c r="L88" i="25"/>
  <c r="L102" i="25"/>
  <c r="L91" i="25"/>
  <c r="L100" i="25"/>
  <c r="L94" i="25"/>
  <c r="L108" i="25"/>
  <c r="L96" i="25"/>
  <c r="D21" i="10"/>
  <c r="G21" i="10" s="1"/>
  <c r="D26" i="10"/>
  <c r="G26" i="10" s="1"/>
  <c r="D22" i="10"/>
  <c r="G22" i="10" s="1"/>
  <c r="L9" i="10" s="1"/>
  <c r="D25" i="10"/>
  <c r="D23" i="10"/>
  <c r="G23" i="10" s="1"/>
  <c r="L10" i="10" s="1"/>
  <c r="D20" i="10"/>
  <c r="G20" i="10" s="1"/>
  <c r="M44" i="25"/>
  <c r="M54" i="25"/>
  <c r="M58" i="25"/>
  <c r="M62" i="25"/>
  <c r="M50" i="25"/>
  <c r="M36" i="25"/>
  <c r="M30" i="25"/>
  <c r="M27" i="25"/>
  <c r="M37" i="25"/>
  <c r="M28" i="25"/>
  <c r="N2" i="25"/>
  <c r="M48" i="25"/>
  <c r="M45" i="25"/>
  <c r="M57" i="25"/>
  <c r="M65" i="25"/>
  <c r="M26" i="25"/>
  <c r="M69" i="25" s="1"/>
  <c r="M51" i="25"/>
  <c r="M55" i="25"/>
  <c r="M59" i="25"/>
  <c r="M63" i="25"/>
  <c r="M46" i="25"/>
  <c r="M31" i="25"/>
  <c r="M38" i="25"/>
  <c r="M33" i="25"/>
  <c r="M42" i="25"/>
  <c r="M34" i="25"/>
  <c r="M52" i="25"/>
  <c r="M56" i="25"/>
  <c r="M60" i="25"/>
  <c r="M64" i="25"/>
  <c r="M35" i="25"/>
  <c r="M39" i="25"/>
  <c r="M40" i="25"/>
  <c r="M41" i="25"/>
  <c r="M53" i="25"/>
  <c r="M61" i="25"/>
  <c r="M32" i="25"/>
  <c r="M47" i="25"/>
  <c r="M29" i="25"/>
  <c r="M49" i="25"/>
  <c r="L72" i="25"/>
  <c r="L106" i="25"/>
  <c r="L75" i="25"/>
  <c r="L99" i="25"/>
  <c r="L4" i="25"/>
  <c r="L5" i="25" s="1"/>
  <c r="L92" i="25"/>
  <c r="L87" i="25"/>
  <c r="L84" i="25"/>
  <c r="L71" i="25"/>
  <c r="L78" i="25"/>
  <c r="L98" i="25"/>
  <c r="L81" i="25"/>
  <c r="L95" i="25"/>
  <c r="L77" i="25"/>
  <c r="L80" i="25"/>
  <c r="L85" i="25"/>
  <c r="L76" i="25"/>
  <c r="L83" i="25"/>
  <c r="L107" i="25"/>
  <c r="L74" i="25"/>
  <c r="L73" i="25"/>
  <c r="L82" i="25"/>
  <c r="L79" i="25"/>
  <c r="L70" i="25"/>
  <c r="L103" i="25"/>
  <c r="L33" i="16"/>
  <c r="L17" i="14"/>
  <c r="L21" i="14"/>
  <c r="L20" i="14"/>
  <c r="L16" i="14"/>
  <c r="L18" i="14"/>
  <c r="J53" i="13"/>
  <c r="L19" i="14"/>
  <c r="L22" i="14"/>
  <c r="AA39" i="13"/>
  <c r="K7" i="13"/>
  <c r="J27" i="13"/>
  <c r="K33" i="13"/>
  <c r="K19" i="13"/>
  <c r="K10" i="13"/>
  <c r="K36" i="13"/>
  <c r="M5" i="13"/>
  <c r="L50" i="13"/>
  <c r="L46" i="13"/>
  <c r="L41" i="13"/>
  <c r="L37" i="13"/>
  <c r="L49" i="13"/>
  <c r="L51" i="13"/>
  <c r="L47" i="13"/>
  <c r="L42" i="13"/>
  <c r="L38" i="13"/>
  <c r="L52" i="13"/>
  <c r="L48" i="13"/>
  <c r="L43" i="13"/>
  <c r="L39" i="13"/>
  <c r="L34" i="13"/>
  <c r="L44" i="13"/>
  <c r="L40" i="13"/>
  <c r="L35" i="13"/>
  <c r="L11" i="13"/>
  <c r="L15" i="13"/>
  <c r="L20" i="13"/>
  <c r="L24" i="13"/>
  <c r="L9" i="13"/>
  <c r="L14" i="13"/>
  <c r="L18" i="13"/>
  <c r="L23" i="13"/>
  <c r="L12" i="13"/>
  <c r="L16" i="13"/>
  <c r="L21" i="13"/>
  <c r="L25" i="13"/>
  <c r="L8" i="13"/>
  <c r="L13" i="13"/>
  <c r="L17" i="13"/>
  <c r="L22" i="13"/>
  <c r="L26" i="13"/>
  <c r="K45" i="13"/>
  <c r="N2" i="14"/>
  <c r="M5" i="14"/>
  <c r="M9" i="14"/>
  <c r="M4" i="14"/>
  <c r="M15" i="14" s="1"/>
  <c r="M8" i="14"/>
  <c r="M7" i="14"/>
  <c r="M11" i="14"/>
  <c r="M6" i="14"/>
  <c r="M10" i="14"/>
  <c r="D14" i="10"/>
  <c r="G6" i="10"/>
  <c r="G11" i="10"/>
  <c r="L8" i="25" l="1"/>
  <c r="M88" i="25"/>
  <c r="M90" i="25"/>
  <c r="M95" i="25"/>
  <c r="M89" i="25"/>
  <c r="M82" i="25"/>
  <c r="M76" i="25"/>
  <c r="D19" i="10"/>
  <c r="G19" i="10" s="1"/>
  <c r="L8" i="10" s="1"/>
  <c r="D24" i="10"/>
  <c r="G24" i="10" s="1"/>
  <c r="L11" i="10" s="1"/>
  <c r="M91" i="25"/>
  <c r="G25" i="10"/>
  <c r="M104" i="25"/>
  <c r="M99" i="25"/>
  <c r="M106" i="25"/>
  <c r="M70" i="25"/>
  <c r="M105" i="25"/>
  <c r="M72" i="25"/>
  <c r="M96" i="25"/>
  <c r="M78" i="25"/>
  <c r="M81" i="25"/>
  <c r="M102" i="25"/>
  <c r="M108" i="25"/>
  <c r="N53" i="25"/>
  <c r="N56" i="25"/>
  <c r="N60" i="25"/>
  <c r="N64" i="25"/>
  <c r="N33" i="25"/>
  <c r="N32" i="25"/>
  <c r="N42" i="25"/>
  <c r="N47" i="25"/>
  <c r="N50" i="25"/>
  <c r="N62" i="25"/>
  <c r="N27" i="25"/>
  <c r="N31" i="25"/>
  <c r="N34" i="25"/>
  <c r="N52" i="25"/>
  <c r="N59" i="25"/>
  <c r="N29" i="25"/>
  <c r="N40" i="25"/>
  <c r="N41" i="25"/>
  <c r="N28" i="25"/>
  <c r="N44" i="25"/>
  <c r="N26" i="25"/>
  <c r="N69" i="25" s="1"/>
  <c r="N57" i="25"/>
  <c r="N61" i="25"/>
  <c r="N65" i="25"/>
  <c r="N37" i="25"/>
  <c r="N36" i="25"/>
  <c r="N49" i="25"/>
  <c r="N30" i="25"/>
  <c r="N35" i="25"/>
  <c r="N51" i="25"/>
  <c r="N54" i="25"/>
  <c r="N58" i="25"/>
  <c r="N46" i="25"/>
  <c r="N38" i="25"/>
  <c r="N45" i="25"/>
  <c r="N55" i="25"/>
  <c r="N63" i="25"/>
  <c r="N48" i="25"/>
  <c r="N39" i="25"/>
  <c r="O2" i="25"/>
  <c r="M73" i="25"/>
  <c r="M101" i="25"/>
  <c r="M7" i="25" s="1"/>
  <c r="M84" i="25"/>
  <c r="M107" i="25"/>
  <c r="M77" i="25"/>
  <c r="M74" i="25"/>
  <c r="M98" i="25"/>
  <c r="M100" i="25"/>
  <c r="M71" i="25"/>
  <c r="M79" i="25"/>
  <c r="M97" i="25"/>
  <c r="M75" i="25"/>
  <c r="M83" i="25"/>
  <c r="M103" i="25"/>
  <c r="M85" i="25"/>
  <c r="M94" i="25"/>
  <c r="M80" i="25"/>
  <c r="M93" i="25"/>
  <c r="M6" i="25" s="1"/>
  <c r="M4" i="25"/>
  <c r="M5" i="25" s="1"/>
  <c r="M92" i="25"/>
  <c r="M87" i="25"/>
  <c r="L7" i="13"/>
  <c r="M21" i="14"/>
  <c r="M17" i="14"/>
  <c r="M22" i="14"/>
  <c r="M18" i="14"/>
  <c r="K53" i="13"/>
  <c r="K27" i="13"/>
  <c r="M19" i="14"/>
  <c r="L33" i="13"/>
  <c r="M20" i="14"/>
  <c r="L19" i="13"/>
  <c r="L36" i="13"/>
  <c r="N5" i="13"/>
  <c r="E35" i="10" s="1"/>
  <c r="M51" i="13"/>
  <c r="M47" i="13"/>
  <c r="M42" i="13"/>
  <c r="M38" i="13"/>
  <c r="M41" i="13"/>
  <c r="M52" i="13"/>
  <c r="M48" i="13"/>
  <c r="M43" i="13"/>
  <c r="M39" i="13"/>
  <c r="M34" i="13"/>
  <c r="M37" i="13"/>
  <c r="M49" i="13"/>
  <c r="M44" i="13"/>
  <c r="M40" i="13"/>
  <c r="M35" i="13"/>
  <c r="M50" i="13"/>
  <c r="M46" i="13"/>
  <c r="M8" i="13"/>
  <c r="M9" i="13"/>
  <c r="M11" i="13"/>
  <c r="M12" i="13"/>
  <c r="M13" i="13"/>
  <c r="M14" i="13"/>
  <c r="M15" i="13"/>
  <c r="M16" i="13"/>
  <c r="M17" i="13"/>
  <c r="M18" i="13"/>
  <c r="M20" i="13"/>
  <c r="M21" i="13"/>
  <c r="M22" i="13"/>
  <c r="M23" i="13"/>
  <c r="M24" i="13"/>
  <c r="M25" i="13"/>
  <c r="M26" i="13"/>
  <c r="M16" i="14"/>
  <c r="O2" i="14"/>
  <c r="N6" i="14"/>
  <c r="N10" i="14"/>
  <c r="N5" i="14"/>
  <c r="N9" i="14"/>
  <c r="N4" i="14"/>
  <c r="N15" i="14" s="1"/>
  <c r="N8" i="14"/>
  <c r="N11" i="14"/>
  <c r="N7" i="14"/>
  <c r="L10" i="13"/>
  <c r="L45" i="13"/>
  <c r="G14" i="10"/>
  <c r="L12" i="10" l="1"/>
  <c r="D27" i="10"/>
  <c r="G27" i="10" s="1"/>
  <c r="N97" i="25"/>
  <c r="M8" i="25"/>
  <c r="N101" i="25"/>
  <c r="N7" i="25" s="1"/>
  <c r="N78" i="25"/>
  <c r="N106" i="25"/>
  <c r="N98" i="25"/>
  <c r="N89" i="25"/>
  <c r="N108" i="25"/>
  <c r="N93" i="25"/>
  <c r="N6" i="25" s="1"/>
  <c r="N96" i="25"/>
  <c r="N107" i="25"/>
  <c r="N77" i="25"/>
  <c r="O45" i="25"/>
  <c r="O49" i="25"/>
  <c r="O52" i="25"/>
  <c r="O28" i="25"/>
  <c r="O29" i="25"/>
  <c r="O41" i="25"/>
  <c r="O40" i="25"/>
  <c r="O57" i="25"/>
  <c r="O61" i="25"/>
  <c r="O65" i="25"/>
  <c r="P2" i="25"/>
  <c r="O26" i="25"/>
  <c r="O69" i="25" s="1"/>
  <c r="O55" i="25"/>
  <c r="O63" i="25"/>
  <c r="O51" i="25"/>
  <c r="O44" i="25"/>
  <c r="O32" i="25"/>
  <c r="O56" i="25"/>
  <c r="O64" i="25"/>
  <c r="O46" i="25"/>
  <c r="O50" i="25"/>
  <c r="O53" i="25"/>
  <c r="O30" i="25"/>
  <c r="O33" i="25"/>
  <c r="O35" i="25"/>
  <c r="O54" i="25"/>
  <c r="O58" i="25"/>
  <c r="O62" i="25"/>
  <c r="O36" i="25"/>
  <c r="O47" i="25"/>
  <c r="O27" i="25"/>
  <c r="O34" i="25"/>
  <c r="O37" i="25"/>
  <c r="O42" i="25"/>
  <c r="O59" i="25"/>
  <c r="O39" i="25"/>
  <c r="O48" i="25"/>
  <c r="O38" i="25"/>
  <c r="O31" i="25"/>
  <c r="O60" i="25"/>
  <c r="N73" i="25"/>
  <c r="N4" i="25"/>
  <c r="N5" i="25" s="1"/>
  <c r="N92" i="25"/>
  <c r="N87" i="25"/>
  <c r="N74" i="25"/>
  <c r="N82" i="25"/>
  <c r="N88" i="25"/>
  <c r="N104" i="25"/>
  <c r="N71" i="25"/>
  <c r="N102" i="25"/>
  <c r="N70" i="25"/>
  <c r="N85" i="25"/>
  <c r="N103" i="25"/>
  <c r="N80" i="25"/>
  <c r="N83" i="25"/>
  <c r="N76" i="25"/>
  <c r="N72" i="25"/>
  <c r="N90" i="25"/>
  <c r="N91" i="25"/>
  <c r="N81" i="25"/>
  <c r="N94" i="25"/>
  <c r="N79" i="25"/>
  <c r="N100" i="25"/>
  <c r="N84" i="25"/>
  <c r="N95" i="25"/>
  <c r="N105" i="25"/>
  <c r="N75" i="25"/>
  <c r="N99" i="25"/>
  <c r="L27" i="13"/>
  <c r="M45" i="13"/>
  <c r="M7" i="13"/>
  <c r="N18" i="14"/>
  <c r="N20" i="14"/>
  <c r="P2" i="14"/>
  <c r="O7" i="14"/>
  <c r="O11" i="14"/>
  <c r="O6" i="14"/>
  <c r="O10" i="14"/>
  <c r="O5" i="14"/>
  <c r="O9" i="14"/>
  <c r="O4" i="14"/>
  <c r="O15" i="14" s="1"/>
  <c r="O8" i="14"/>
  <c r="M19" i="13"/>
  <c r="M10" i="13"/>
  <c r="O5" i="13"/>
  <c r="N52" i="13"/>
  <c r="N48" i="13"/>
  <c r="N43" i="13"/>
  <c r="N39" i="13"/>
  <c r="N34" i="13"/>
  <c r="N49" i="13"/>
  <c r="N44" i="13"/>
  <c r="N40" i="13"/>
  <c r="N35" i="13"/>
  <c r="N51" i="13"/>
  <c r="N47" i="13"/>
  <c r="N42" i="13"/>
  <c r="N38" i="13"/>
  <c r="N50" i="13"/>
  <c r="N46" i="13"/>
  <c r="N41" i="13"/>
  <c r="N37" i="13"/>
  <c r="N8" i="13"/>
  <c r="N9" i="13"/>
  <c r="N11" i="13"/>
  <c r="N12" i="13"/>
  <c r="N13" i="13"/>
  <c r="N14" i="13"/>
  <c r="N15" i="13"/>
  <c r="N16" i="13"/>
  <c r="N17" i="13"/>
  <c r="N18" i="13"/>
  <c r="N20" i="13"/>
  <c r="N21" i="13"/>
  <c r="N22" i="13"/>
  <c r="N23" i="13"/>
  <c r="N24" i="13"/>
  <c r="N25" i="13"/>
  <c r="N26" i="13"/>
  <c r="H71" i="16"/>
  <c r="H70" i="16"/>
  <c r="I70" i="16"/>
  <c r="I69" i="16"/>
  <c r="H66" i="16"/>
  <c r="K70" i="16"/>
  <c r="K69" i="16"/>
  <c r="K65" i="16"/>
  <c r="K67" i="16"/>
  <c r="J67" i="16"/>
  <c r="J65" i="16"/>
  <c r="J66" i="16"/>
  <c r="K64" i="16"/>
  <c r="E33" i="10" s="1"/>
  <c r="J69" i="16"/>
  <c r="I71" i="16"/>
  <c r="I65" i="16"/>
  <c r="J64" i="16"/>
  <c r="H69" i="16"/>
  <c r="H67" i="16"/>
  <c r="J71" i="16"/>
  <c r="K71" i="16"/>
  <c r="I66" i="16"/>
  <c r="C35" i="10" s="1"/>
  <c r="I67" i="16"/>
  <c r="H65" i="16"/>
  <c r="H64" i="16"/>
  <c r="I64" i="16"/>
  <c r="C33" i="10" s="1"/>
  <c r="J70" i="16"/>
  <c r="N17" i="14"/>
  <c r="N22" i="14"/>
  <c r="N16" i="14"/>
  <c r="M36" i="13"/>
  <c r="L53" i="13"/>
  <c r="N19" i="14"/>
  <c r="N21" i="14"/>
  <c r="M33" i="13"/>
  <c r="O106" i="25" l="1"/>
  <c r="O97" i="25"/>
  <c r="O89" i="25"/>
  <c r="N8" i="25"/>
  <c r="O76" i="25"/>
  <c r="O82" i="25"/>
  <c r="O85" i="25"/>
  <c r="O77" i="25"/>
  <c r="O80" i="25"/>
  <c r="O91" i="25"/>
  <c r="O74" i="25"/>
  <c r="O81" i="25"/>
  <c r="O73" i="25"/>
  <c r="O96" i="25"/>
  <c r="O108" i="25"/>
  <c r="O70" i="25"/>
  <c r="O99" i="25"/>
  <c r="O90" i="25"/>
  <c r="O79" i="25"/>
  <c r="O78" i="25"/>
  <c r="O75" i="25"/>
  <c r="O93" i="25"/>
  <c r="O6" i="25" s="1"/>
  <c r="O98" i="25"/>
  <c r="O104" i="25"/>
  <c r="O103" i="25"/>
  <c r="O105" i="25"/>
  <c r="O100" i="25"/>
  <c r="O102" i="25"/>
  <c r="O101" i="25"/>
  <c r="O7" i="25" s="1"/>
  <c r="O107" i="25"/>
  <c r="O94" i="25"/>
  <c r="O83" i="25"/>
  <c r="O95" i="25"/>
  <c r="O84" i="25"/>
  <c r="O72" i="25"/>
  <c r="O88" i="25"/>
  <c r="P45" i="25"/>
  <c r="P49" i="25"/>
  <c r="P31" i="25"/>
  <c r="P27" i="25"/>
  <c r="P51" i="25"/>
  <c r="P36" i="25"/>
  <c r="P29" i="25"/>
  <c r="P55" i="25"/>
  <c r="P59" i="25"/>
  <c r="P63" i="25"/>
  <c r="P60" i="25"/>
  <c r="Q2" i="25"/>
  <c r="P65" i="25"/>
  <c r="P44" i="25"/>
  <c r="P38" i="25"/>
  <c r="P54" i="25"/>
  <c r="P46" i="25"/>
  <c r="P50" i="25"/>
  <c r="P35" i="25"/>
  <c r="P30" i="25"/>
  <c r="P53" i="25"/>
  <c r="P32" i="25"/>
  <c r="P37" i="25"/>
  <c r="P56" i="25"/>
  <c r="P64" i="25"/>
  <c r="P26" i="25"/>
  <c r="P69" i="25" s="1"/>
  <c r="P52" i="25"/>
  <c r="P58" i="25"/>
  <c r="P47" i="25"/>
  <c r="P28" i="25"/>
  <c r="P39" i="25"/>
  <c r="P34" i="25"/>
  <c r="P33" i="25"/>
  <c r="P41" i="25"/>
  <c r="P40" i="25"/>
  <c r="P57" i="25"/>
  <c r="P61" i="25"/>
  <c r="P48" i="25"/>
  <c r="P42" i="25"/>
  <c r="P62" i="25"/>
  <c r="O4" i="25"/>
  <c r="O5" i="25" s="1"/>
  <c r="O87" i="25"/>
  <c r="O92" i="25"/>
  <c r="O71" i="25"/>
  <c r="M27" i="13"/>
  <c r="M53" i="13"/>
  <c r="N7" i="13"/>
  <c r="N36" i="13"/>
  <c r="O19" i="14"/>
  <c r="O20" i="14"/>
  <c r="I68" i="16"/>
  <c r="O16" i="14"/>
  <c r="O18" i="14"/>
  <c r="I63" i="16"/>
  <c r="L67" i="16"/>
  <c r="K68" i="16"/>
  <c r="N33" i="13"/>
  <c r="O21" i="14"/>
  <c r="Q2" i="14"/>
  <c r="P4" i="14"/>
  <c r="P15" i="14" s="1"/>
  <c r="P8" i="14"/>
  <c r="P7" i="14"/>
  <c r="P11" i="14"/>
  <c r="P6" i="14"/>
  <c r="P10" i="14"/>
  <c r="P9" i="14"/>
  <c r="P5" i="14"/>
  <c r="L70" i="16"/>
  <c r="N19" i="13"/>
  <c r="N10" i="13"/>
  <c r="P5" i="13"/>
  <c r="O49" i="13"/>
  <c r="O44" i="13"/>
  <c r="O40" i="13"/>
  <c r="O35" i="13"/>
  <c r="O52" i="13"/>
  <c r="O48" i="13"/>
  <c r="O50" i="13"/>
  <c r="O46" i="13"/>
  <c r="O41" i="13"/>
  <c r="O37" i="13"/>
  <c r="O51" i="13"/>
  <c r="O47" i="13"/>
  <c r="O42" i="13"/>
  <c r="O38" i="13"/>
  <c r="O43" i="13"/>
  <c r="O39" i="13"/>
  <c r="O34" i="13"/>
  <c r="O8" i="13"/>
  <c r="O9" i="13"/>
  <c r="O11" i="13"/>
  <c r="O12" i="13"/>
  <c r="O13" i="13"/>
  <c r="O14" i="13"/>
  <c r="O15" i="13"/>
  <c r="O16" i="13"/>
  <c r="O17" i="13"/>
  <c r="O18" i="13"/>
  <c r="O20" i="13"/>
  <c r="O21" i="13"/>
  <c r="O22" i="13"/>
  <c r="O23" i="13"/>
  <c r="O24" i="13"/>
  <c r="O25" i="13"/>
  <c r="O26" i="13"/>
  <c r="O17" i="14"/>
  <c r="L64" i="16"/>
  <c r="H63" i="16"/>
  <c r="H68" i="16"/>
  <c r="L69" i="16"/>
  <c r="J68" i="16"/>
  <c r="L65" i="16"/>
  <c r="J63" i="16"/>
  <c r="E32" i="10"/>
  <c r="E40" i="10" s="1"/>
  <c r="K63" i="16"/>
  <c r="L66" i="16"/>
  <c r="L71" i="16"/>
  <c r="N45" i="13"/>
  <c r="O22" i="14"/>
  <c r="P91" i="25" l="1"/>
  <c r="P105" i="25"/>
  <c r="P95" i="25"/>
  <c r="P104" i="25"/>
  <c r="P100" i="25"/>
  <c r="P107" i="25"/>
  <c r="P71" i="25"/>
  <c r="P93" i="25"/>
  <c r="P6" i="25" s="1"/>
  <c r="P90" i="25"/>
  <c r="P101" i="25"/>
  <c r="P7" i="25" s="1"/>
  <c r="P97" i="25"/>
  <c r="P99" i="25"/>
  <c r="P84" i="25"/>
  <c r="P106" i="25"/>
  <c r="P96" i="25"/>
  <c r="P76" i="25"/>
  <c r="P89" i="25"/>
  <c r="P108" i="25"/>
  <c r="P102" i="25"/>
  <c r="P94" i="25"/>
  <c r="O8" i="25"/>
  <c r="P103" i="25"/>
  <c r="P98" i="25"/>
  <c r="I72" i="16"/>
  <c r="P77" i="25"/>
  <c r="P73" i="25"/>
  <c r="P70" i="25"/>
  <c r="P85" i="25"/>
  <c r="P83" i="25"/>
  <c r="P82" i="25"/>
  <c r="P80" i="25"/>
  <c r="P78" i="25"/>
  <c r="P81" i="25"/>
  <c r="Q51" i="25"/>
  <c r="Q46" i="25"/>
  <c r="Q54" i="25"/>
  <c r="Q58" i="25"/>
  <c r="Q62" i="25"/>
  <c r="Q32" i="25"/>
  <c r="Q31" i="25"/>
  <c r="Q37" i="25"/>
  <c r="Q30" i="25"/>
  <c r="Q29" i="25"/>
  <c r="R2" i="25"/>
  <c r="Q49" i="25"/>
  <c r="Q61" i="25"/>
  <c r="Q34" i="25"/>
  <c r="Q52" i="25"/>
  <c r="Q47" i="25"/>
  <c r="Q55" i="25"/>
  <c r="Q59" i="25"/>
  <c r="Q63" i="25"/>
  <c r="Q36" i="25"/>
  <c r="Q35" i="25"/>
  <c r="Q39" i="25"/>
  <c r="Q38" i="25"/>
  <c r="Q40" i="25"/>
  <c r="Q45" i="25"/>
  <c r="Q65" i="25"/>
  <c r="Q50" i="25"/>
  <c r="Q53" i="25"/>
  <c r="Q48" i="25"/>
  <c r="Q56" i="25"/>
  <c r="Q60" i="25"/>
  <c r="Q64" i="25"/>
  <c r="Q26" i="25"/>
  <c r="Q69" i="25" s="1"/>
  <c r="Q27" i="25"/>
  <c r="Q33" i="25"/>
  <c r="Q41" i="25"/>
  <c r="Q44" i="25"/>
  <c r="Q57" i="25"/>
  <c r="Q28" i="25"/>
  <c r="Q42" i="25"/>
  <c r="P72" i="25"/>
  <c r="P74" i="25"/>
  <c r="P75" i="25"/>
  <c r="P4" i="25"/>
  <c r="P5" i="25" s="1"/>
  <c r="P87" i="25"/>
  <c r="P92" i="25"/>
  <c r="P79" i="25"/>
  <c r="P88" i="25"/>
  <c r="N53" i="13"/>
  <c r="P17" i="14"/>
  <c r="K72" i="16"/>
  <c r="N27" i="13"/>
  <c r="J72" i="16"/>
  <c r="O10" i="13"/>
  <c r="L68" i="16"/>
  <c r="O7" i="13"/>
  <c r="L63" i="16"/>
  <c r="H72" i="16"/>
  <c r="P16" i="14"/>
  <c r="P22" i="14"/>
  <c r="R2" i="14"/>
  <c r="Q5" i="14"/>
  <c r="Q9" i="14"/>
  <c r="Q4" i="14"/>
  <c r="Q15" i="14" s="1"/>
  <c r="Q8" i="14"/>
  <c r="Q7" i="14"/>
  <c r="Q11" i="14"/>
  <c r="Q6" i="14"/>
  <c r="Q10" i="14"/>
  <c r="O19" i="13"/>
  <c r="O36" i="13"/>
  <c r="P20" i="14"/>
  <c r="P18" i="14"/>
  <c r="C32" i="10"/>
  <c r="O45" i="13"/>
  <c r="Q5" i="13"/>
  <c r="P50" i="13"/>
  <c r="P46" i="13"/>
  <c r="P41" i="13"/>
  <c r="P37" i="13"/>
  <c r="P44" i="13"/>
  <c r="P40" i="13"/>
  <c r="P51" i="13"/>
  <c r="P47" i="13"/>
  <c r="P42" i="13"/>
  <c r="P38" i="13"/>
  <c r="P35" i="13"/>
  <c r="P52" i="13"/>
  <c r="P48" i="13"/>
  <c r="P43" i="13"/>
  <c r="P39" i="13"/>
  <c r="P34" i="13"/>
  <c r="P49" i="13"/>
  <c r="P12" i="13"/>
  <c r="P16" i="13"/>
  <c r="P21" i="13"/>
  <c r="P25" i="13"/>
  <c r="P11" i="13"/>
  <c r="P15" i="13"/>
  <c r="P20" i="13"/>
  <c r="P24" i="13"/>
  <c r="P8" i="13"/>
  <c r="P9" i="13"/>
  <c r="P14" i="13"/>
  <c r="P18" i="13"/>
  <c r="P23" i="13"/>
  <c r="P13" i="13"/>
  <c r="P17" i="13"/>
  <c r="P22" i="13"/>
  <c r="P26" i="13"/>
  <c r="O33" i="13"/>
  <c r="P21" i="14"/>
  <c r="P19" i="14"/>
  <c r="P8" i="25" l="1"/>
  <c r="Q96" i="25"/>
  <c r="Q107" i="25"/>
  <c r="Q85" i="25"/>
  <c r="D35" i="10"/>
  <c r="G35" i="10" s="1"/>
  <c r="D36" i="10"/>
  <c r="G36" i="10" s="1"/>
  <c r="D34" i="10"/>
  <c r="G34" i="10" s="1"/>
  <c r="D33" i="10"/>
  <c r="G33" i="10" s="1"/>
  <c r="D39" i="10"/>
  <c r="G39" i="10" s="1"/>
  <c r="D38" i="10"/>
  <c r="G38" i="10" s="1"/>
  <c r="Q71" i="25"/>
  <c r="Q76" i="25"/>
  <c r="Q84" i="25"/>
  <c r="Q83" i="25"/>
  <c r="Q79" i="25"/>
  <c r="Q90" i="25"/>
  <c r="Q80" i="25"/>
  <c r="Q101" i="25"/>
  <c r="Q7" i="25" s="1"/>
  <c r="Q103" i="25"/>
  <c r="Q93" i="25"/>
  <c r="Q6" i="25" s="1"/>
  <c r="Q81" i="25"/>
  <c r="Q106" i="25"/>
  <c r="Q95" i="25"/>
  <c r="R44" i="25"/>
  <c r="R48" i="25"/>
  <c r="R54" i="25"/>
  <c r="R58" i="25"/>
  <c r="R62" i="25"/>
  <c r="R29" i="25"/>
  <c r="R36" i="25"/>
  <c r="R40" i="25"/>
  <c r="R53" i="25"/>
  <c r="R42" i="25"/>
  <c r="S2" i="25"/>
  <c r="R45" i="25"/>
  <c r="R49" i="25"/>
  <c r="R55" i="25"/>
  <c r="R59" i="25"/>
  <c r="R63" i="25"/>
  <c r="R33" i="25"/>
  <c r="R28" i="25"/>
  <c r="R52" i="25"/>
  <c r="R27" i="25"/>
  <c r="R30" i="25"/>
  <c r="R34" i="25"/>
  <c r="R41" i="25"/>
  <c r="R26" i="25"/>
  <c r="R69" i="25" s="1"/>
  <c r="R61" i="25"/>
  <c r="R32" i="25"/>
  <c r="R51" i="25"/>
  <c r="R31" i="25"/>
  <c r="R46" i="25"/>
  <c r="R50" i="25"/>
  <c r="R56" i="25"/>
  <c r="R60" i="25"/>
  <c r="R64" i="25"/>
  <c r="R37" i="25"/>
  <c r="R35" i="25"/>
  <c r="R38" i="25"/>
  <c r="R47" i="25"/>
  <c r="R57" i="25"/>
  <c r="R65" i="25"/>
  <c r="R39" i="25"/>
  <c r="Q74" i="25"/>
  <c r="Q97" i="25"/>
  <c r="Q100" i="25"/>
  <c r="Q70" i="25"/>
  <c r="Q99" i="25"/>
  <c r="Q108" i="25"/>
  <c r="Q82" i="25"/>
  <c r="Q102" i="25"/>
  <c r="Q77" i="25"/>
  <c r="Q72" i="25"/>
  <c r="Q75" i="25"/>
  <c r="Q89" i="25"/>
  <c r="Q4" i="25"/>
  <c r="Q5" i="25" s="1"/>
  <c r="Q92" i="25"/>
  <c r="Q87" i="25"/>
  <c r="Q91" i="25"/>
  <c r="Q88" i="25"/>
  <c r="Q78" i="25"/>
  <c r="Q98" i="25"/>
  <c r="Q104" i="25"/>
  <c r="Q73" i="25"/>
  <c r="Q105" i="25"/>
  <c r="Q94" i="25"/>
  <c r="Q17" i="14"/>
  <c r="L72" i="16"/>
  <c r="P7" i="13"/>
  <c r="P33" i="13"/>
  <c r="O27" i="13"/>
  <c r="O53" i="13"/>
  <c r="C40" i="10"/>
  <c r="P19" i="13"/>
  <c r="P36" i="13"/>
  <c r="R5" i="13"/>
  <c r="Q51" i="13"/>
  <c r="Q47" i="13"/>
  <c r="Q42" i="13"/>
  <c r="Q38" i="13"/>
  <c r="Q37" i="13"/>
  <c r="Q52" i="13"/>
  <c r="Q48" i="13"/>
  <c r="Q43" i="13"/>
  <c r="Q39" i="13"/>
  <c r="Q34" i="13"/>
  <c r="Q50" i="13"/>
  <c r="Q46" i="13"/>
  <c r="Q41" i="13"/>
  <c r="Q49" i="13"/>
  <c r="Q44" i="13"/>
  <c r="Q40" i="13"/>
  <c r="Q35" i="13"/>
  <c r="Q8" i="13"/>
  <c r="Q9" i="13"/>
  <c r="Q11" i="13"/>
  <c r="Q12" i="13"/>
  <c r="Q13" i="13"/>
  <c r="Q14" i="13"/>
  <c r="Q15" i="13"/>
  <c r="Q16" i="13"/>
  <c r="Q17" i="13"/>
  <c r="Q18" i="13"/>
  <c r="Q20" i="13"/>
  <c r="Q21" i="13"/>
  <c r="Q22" i="13"/>
  <c r="Q23" i="13"/>
  <c r="Q24" i="13"/>
  <c r="Q25" i="13"/>
  <c r="Q26" i="13"/>
  <c r="Q22" i="14"/>
  <c r="Q20" i="14"/>
  <c r="Q18" i="14"/>
  <c r="Q16" i="14"/>
  <c r="P10" i="13"/>
  <c r="P45" i="13"/>
  <c r="Q21" i="14"/>
  <c r="Q19" i="14"/>
  <c r="S2" i="14"/>
  <c r="R6" i="14"/>
  <c r="R10" i="14"/>
  <c r="R5" i="14"/>
  <c r="R9" i="14"/>
  <c r="R4" i="14"/>
  <c r="R15" i="14" s="1"/>
  <c r="R8" i="14"/>
  <c r="R11" i="14"/>
  <c r="R7" i="14"/>
  <c r="R90" i="25" l="1"/>
  <c r="R104" i="25"/>
  <c r="R100" i="25"/>
  <c r="R91" i="25"/>
  <c r="R82" i="25"/>
  <c r="R107" i="25"/>
  <c r="R103" i="25"/>
  <c r="R93" i="25"/>
  <c r="R6" i="25" s="1"/>
  <c r="R89" i="25"/>
  <c r="R106" i="25"/>
  <c r="R88" i="25"/>
  <c r="R108" i="25"/>
  <c r="R99" i="25"/>
  <c r="R98" i="25"/>
  <c r="R81" i="25"/>
  <c r="R74" i="25"/>
  <c r="D32" i="10"/>
  <c r="G32" i="10" s="1"/>
  <c r="R80" i="25"/>
  <c r="Q8" i="25"/>
  <c r="R75" i="25"/>
  <c r="R77" i="25"/>
  <c r="R71" i="25"/>
  <c r="R85" i="25"/>
  <c r="R72" i="25"/>
  <c r="R73" i="25"/>
  <c r="R76" i="25"/>
  <c r="R96" i="25"/>
  <c r="R105" i="25"/>
  <c r="R4" i="25"/>
  <c r="R5" i="25" s="1"/>
  <c r="R92" i="25"/>
  <c r="R87" i="25"/>
  <c r="R70" i="25"/>
  <c r="R83" i="25"/>
  <c r="R101" i="25"/>
  <c r="R7" i="25" s="1"/>
  <c r="R78" i="25"/>
  <c r="R94" i="25"/>
  <c r="R84" i="25"/>
  <c r="R95" i="25"/>
  <c r="R102" i="25"/>
  <c r="S48" i="25"/>
  <c r="S51" i="25"/>
  <c r="S26" i="25"/>
  <c r="S69" i="25" s="1"/>
  <c r="S57" i="25"/>
  <c r="S61" i="25"/>
  <c r="S65" i="25"/>
  <c r="S29" i="25"/>
  <c r="S41" i="25"/>
  <c r="S40" i="25"/>
  <c r="S44" i="25"/>
  <c r="S60" i="25"/>
  <c r="S36" i="25"/>
  <c r="T2" i="25"/>
  <c r="S45" i="25"/>
  <c r="S49" i="25"/>
  <c r="S52" i="25"/>
  <c r="S54" i="25"/>
  <c r="S58" i="25"/>
  <c r="S62" i="25"/>
  <c r="S30" i="25"/>
  <c r="S33" i="25"/>
  <c r="S28" i="25"/>
  <c r="S32" i="25"/>
  <c r="S63" i="25"/>
  <c r="S37" i="25"/>
  <c r="S31" i="25"/>
  <c r="X2" i="25"/>
  <c r="S47" i="25"/>
  <c r="S64" i="25"/>
  <c r="S39" i="25"/>
  <c r="S46" i="25"/>
  <c r="S50" i="25"/>
  <c r="S53" i="25"/>
  <c r="S55" i="25"/>
  <c r="S59" i="25"/>
  <c r="S34" i="25"/>
  <c r="S35" i="25"/>
  <c r="S27" i="25"/>
  <c r="S56" i="25"/>
  <c r="S38" i="25"/>
  <c r="S42" i="25"/>
  <c r="R79" i="25"/>
  <c r="R97" i="25"/>
  <c r="Q7" i="13"/>
  <c r="P53" i="13"/>
  <c r="P27" i="13"/>
  <c r="R22" i="14"/>
  <c r="R16" i="14"/>
  <c r="Q45" i="13"/>
  <c r="D37" i="10"/>
  <c r="G37" i="10" s="1"/>
  <c r="Q10" i="13"/>
  <c r="S5" i="13"/>
  <c r="E48" i="10" s="1"/>
  <c r="R52" i="13"/>
  <c r="R48" i="13"/>
  <c r="R43" i="13"/>
  <c r="R39" i="13"/>
  <c r="R34" i="13"/>
  <c r="R51" i="13"/>
  <c r="R47" i="13"/>
  <c r="R49" i="13"/>
  <c r="R44" i="13"/>
  <c r="R40" i="13"/>
  <c r="R35" i="13"/>
  <c r="R50" i="13"/>
  <c r="R46" i="13"/>
  <c r="R41" i="13"/>
  <c r="R37" i="13"/>
  <c r="R42" i="13"/>
  <c r="R38" i="13"/>
  <c r="R8" i="13"/>
  <c r="R9" i="13"/>
  <c r="R11" i="13"/>
  <c r="R12" i="13"/>
  <c r="R13" i="13"/>
  <c r="R14" i="13"/>
  <c r="R15" i="13"/>
  <c r="R16" i="13"/>
  <c r="R17" i="13"/>
  <c r="R18" i="13"/>
  <c r="R20" i="13"/>
  <c r="R21" i="13"/>
  <c r="R22" i="13"/>
  <c r="R23" i="13"/>
  <c r="R24" i="13"/>
  <c r="R25" i="13"/>
  <c r="R26" i="13"/>
  <c r="R19" i="14"/>
  <c r="R21" i="14"/>
  <c r="R17" i="14"/>
  <c r="Q33" i="13"/>
  <c r="Q19" i="13"/>
  <c r="R18" i="14"/>
  <c r="R20" i="14"/>
  <c r="T2" i="14"/>
  <c r="S7" i="14"/>
  <c r="S11" i="14"/>
  <c r="S5" i="14"/>
  <c r="S9" i="14"/>
  <c r="S10" i="14"/>
  <c r="S4" i="14"/>
  <c r="S15" i="14" s="1"/>
  <c r="S8" i="14"/>
  <c r="S6" i="14"/>
  <c r="Q36" i="13"/>
  <c r="S99" i="25" l="1"/>
  <c r="R8" i="25"/>
  <c r="S89" i="25"/>
  <c r="S90" i="25"/>
  <c r="S102" i="25"/>
  <c r="S75" i="25"/>
  <c r="S88" i="25"/>
  <c r="S105" i="25"/>
  <c r="S72" i="25"/>
  <c r="S81" i="25"/>
  <c r="S77" i="25"/>
  <c r="S93" i="25"/>
  <c r="S6" i="25" s="1"/>
  <c r="S73" i="25"/>
  <c r="S70" i="25"/>
  <c r="S82" i="25"/>
  <c r="S85" i="25"/>
  <c r="S78" i="25"/>
  <c r="S96" i="25"/>
  <c r="S107" i="25"/>
  <c r="S80" i="25"/>
  <c r="S76" i="25"/>
  <c r="S106" i="25"/>
  <c r="S79" i="25"/>
  <c r="S84" i="25"/>
  <c r="S95" i="25"/>
  <c r="S100" i="25"/>
  <c r="S97" i="25"/>
  <c r="X50" i="25"/>
  <c r="X45" i="25"/>
  <c r="X31" i="25"/>
  <c r="X34" i="25"/>
  <c r="X42" i="25"/>
  <c r="X56" i="25"/>
  <c r="X60" i="25"/>
  <c r="X64" i="25"/>
  <c r="X46" i="25"/>
  <c r="X27" i="25"/>
  <c r="AC2" i="25"/>
  <c r="X49" i="25"/>
  <c r="X54" i="25"/>
  <c r="X58" i="25"/>
  <c r="X37" i="25"/>
  <c r="X30" i="25"/>
  <c r="X55" i="25"/>
  <c r="X63" i="25"/>
  <c r="Y2" i="25"/>
  <c r="X51" i="25"/>
  <c r="X47" i="25"/>
  <c r="X35" i="25"/>
  <c r="X38" i="25"/>
  <c r="X28" i="25"/>
  <c r="X57" i="25"/>
  <c r="X61" i="25"/>
  <c r="X65" i="25"/>
  <c r="X29" i="25"/>
  <c r="X36" i="25"/>
  <c r="X52" i="25"/>
  <c r="X39" i="25"/>
  <c r="X48" i="25"/>
  <c r="X62" i="25"/>
  <c r="X32" i="25"/>
  <c r="X33" i="25"/>
  <c r="X59" i="25"/>
  <c r="X102" i="25" s="1"/>
  <c r="X41" i="25"/>
  <c r="X40" i="25"/>
  <c r="X44" i="25"/>
  <c r="X53" i="25"/>
  <c r="X26" i="25"/>
  <c r="X69" i="25" s="1"/>
  <c r="S103" i="25"/>
  <c r="S98" i="25"/>
  <c r="S74" i="25"/>
  <c r="S71" i="25"/>
  <c r="S101" i="25"/>
  <c r="S4" i="25"/>
  <c r="S5" i="25" s="1"/>
  <c r="S87" i="25"/>
  <c r="S92" i="25"/>
  <c r="S108" i="25"/>
  <c r="S94" i="25"/>
  <c r="T44" i="25"/>
  <c r="T47" i="25"/>
  <c r="T51" i="25"/>
  <c r="T31" i="25"/>
  <c r="T55" i="25"/>
  <c r="T59" i="25"/>
  <c r="T63" i="25"/>
  <c r="T34" i="25"/>
  <c r="T37" i="25"/>
  <c r="T33" i="25"/>
  <c r="T26" i="25"/>
  <c r="T69" i="25" s="1"/>
  <c r="U2" i="25"/>
  <c r="T28" i="25"/>
  <c r="T48" i="25"/>
  <c r="T52" i="25"/>
  <c r="T35" i="25"/>
  <c r="T56" i="25"/>
  <c r="T60" i="25"/>
  <c r="T64" i="25"/>
  <c r="T38" i="25"/>
  <c r="T42" i="25"/>
  <c r="T40" i="25"/>
  <c r="T57" i="25"/>
  <c r="T61" i="25"/>
  <c r="T65" i="25"/>
  <c r="T36" i="25"/>
  <c r="T32" i="25"/>
  <c r="T45" i="25"/>
  <c r="T49" i="25"/>
  <c r="T53" i="25"/>
  <c r="T39" i="25"/>
  <c r="T46" i="25"/>
  <c r="T50" i="25"/>
  <c r="T27" i="25"/>
  <c r="T54" i="25"/>
  <c r="T58" i="25"/>
  <c r="T62" i="25"/>
  <c r="T30" i="25"/>
  <c r="T29" i="25"/>
  <c r="T41" i="25"/>
  <c r="S83" i="25"/>
  <c r="S104" i="25"/>
  <c r="S91" i="25"/>
  <c r="D40" i="10"/>
  <c r="G40" i="10" s="1"/>
  <c r="R7" i="13"/>
  <c r="Q53" i="13"/>
  <c r="Q27" i="13"/>
  <c r="S19" i="14"/>
  <c r="S16" i="14"/>
  <c r="S22" i="14"/>
  <c r="R45" i="13"/>
  <c r="R33" i="13"/>
  <c r="S21" i="14"/>
  <c r="S18" i="14"/>
  <c r="R19" i="13"/>
  <c r="R10" i="13"/>
  <c r="T5" i="13"/>
  <c r="E61" i="10" s="1"/>
  <c r="S49" i="13"/>
  <c r="S44" i="13"/>
  <c r="S40" i="13"/>
  <c r="S35" i="13"/>
  <c r="S43" i="13"/>
  <c r="S39" i="13"/>
  <c r="S50" i="13"/>
  <c r="S46" i="13"/>
  <c r="S41" i="13"/>
  <c r="S37" i="13"/>
  <c r="S51" i="13"/>
  <c r="S47" i="13"/>
  <c r="S42" i="13"/>
  <c r="S38" i="13"/>
  <c r="S52" i="13"/>
  <c r="S48" i="13"/>
  <c r="S34" i="13"/>
  <c r="J78" i="16"/>
  <c r="H80" i="16"/>
  <c r="I77" i="16"/>
  <c r="C46" i="10" s="1"/>
  <c r="J77" i="16"/>
  <c r="H77" i="16"/>
  <c r="S22" i="13"/>
  <c r="J82" i="16"/>
  <c r="S11" i="13"/>
  <c r="J79" i="16"/>
  <c r="S26" i="13"/>
  <c r="S8" i="13"/>
  <c r="J83" i="16"/>
  <c r="H82" i="16"/>
  <c r="S16" i="13"/>
  <c r="S17" i="13"/>
  <c r="I84" i="16"/>
  <c r="J80" i="16"/>
  <c r="I78" i="16"/>
  <c r="I79" i="16"/>
  <c r="C48" i="10" s="1"/>
  <c r="K84" i="16"/>
  <c r="S25" i="13"/>
  <c r="K82" i="16"/>
  <c r="S9" i="13"/>
  <c r="K80" i="16"/>
  <c r="S12" i="13"/>
  <c r="S14" i="13"/>
  <c r="I80" i="16"/>
  <c r="S18" i="13"/>
  <c r="S24" i="13"/>
  <c r="H78" i="16"/>
  <c r="H83" i="16"/>
  <c r="H84" i="16"/>
  <c r="S20" i="13"/>
  <c r="K83" i="16"/>
  <c r="K78" i="16"/>
  <c r="S13" i="13"/>
  <c r="K77" i="16"/>
  <c r="E46" i="10" s="1"/>
  <c r="S15" i="13"/>
  <c r="S21" i="13"/>
  <c r="H79" i="16"/>
  <c r="J84" i="16"/>
  <c r="I82" i="16"/>
  <c r="I83" i="16"/>
  <c r="S23" i="13"/>
  <c r="S17" i="14"/>
  <c r="S20" i="14"/>
  <c r="U2" i="14"/>
  <c r="T7" i="14"/>
  <c r="T11" i="14"/>
  <c r="T4" i="14"/>
  <c r="T15" i="14" s="1"/>
  <c r="T8" i="14"/>
  <c r="T5" i="14"/>
  <c r="T10" i="14"/>
  <c r="T9" i="14"/>
  <c r="T6" i="14"/>
  <c r="R36" i="13"/>
  <c r="T89" i="25" l="1"/>
  <c r="J17" i="25"/>
  <c r="J16" i="25"/>
  <c r="X105" i="25"/>
  <c r="J13" i="25"/>
  <c r="AL34" i="13"/>
  <c r="T105" i="25"/>
  <c r="X96" i="25"/>
  <c r="T93" i="25"/>
  <c r="T6" i="25" s="1"/>
  <c r="T82" i="25"/>
  <c r="X94" i="25"/>
  <c r="J18" i="25"/>
  <c r="T72" i="25"/>
  <c r="T75" i="25"/>
  <c r="T91" i="25"/>
  <c r="T88" i="25"/>
  <c r="T96" i="25"/>
  <c r="T103" i="25"/>
  <c r="T90" i="25"/>
  <c r="X100" i="25"/>
  <c r="X98" i="25"/>
  <c r="X97" i="25"/>
  <c r="T97" i="25"/>
  <c r="T101" i="25"/>
  <c r="T7" i="25" s="1"/>
  <c r="T100" i="25"/>
  <c r="T107" i="25"/>
  <c r="J14" i="25"/>
  <c r="X108" i="25"/>
  <c r="T84" i="25"/>
  <c r="X95" i="25"/>
  <c r="X104" i="25"/>
  <c r="X106" i="25"/>
  <c r="X101" i="25"/>
  <c r="X7" i="25" s="1"/>
  <c r="T104" i="25"/>
  <c r="T81" i="25"/>
  <c r="T78" i="25"/>
  <c r="T77" i="25"/>
  <c r="T74" i="25"/>
  <c r="X76" i="25"/>
  <c r="X82" i="25"/>
  <c r="X81" i="25"/>
  <c r="X80" i="25"/>
  <c r="X103" i="25"/>
  <c r="X74" i="25"/>
  <c r="T95" i="25"/>
  <c r="T106" i="25"/>
  <c r="T94" i="25"/>
  <c r="X83" i="25"/>
  <c r="X75" i="25"/>
  <c r="X99" i="25"/>
  <c r="X4" i="25"/>
  <c r="X5" i="25" s="1"/>
  <c r="X87" i="25"/>
  <c r="X92" i="25"/>
  <c r="X78" i="25"/>
  <c r="X70" i="25"/>
  <c r="X88" i="25"/>
  <c r="U44" i="25"/>
  <c r="U45" i="25"/>
  <c r="U49" i="25"/>
  <c r="U53" i="25"/>
  <c r="U57" i="25"/>
  <c r="U61" i="25"/>
  <c r="U65" i="25"/>
  <c r="U27" i="25"/>
  <c r="U38" i="25"/>
  <c r="U29" i="25"/>
  <c r="U46" i="25"/>
  <c r="U50" i="25"/>
  <c r="U54" i="25"/>
  <c r="U58" i="25"/>
  <c r="U62" i="25"/>
  <c r="U28" i="25"/>
  <c r="U31" i="25"/>
  <c r="U41" i="25"/>
  <c r="U37" i="25"/>
  <c r="U33" i="25"/>
  <c r="V2" i="25"/>
  <c r="U56" i="25"/>
  <c r="U64" i="25"/>
  <c r="U26" i="25"/>
  <c r="U69" i="25" s="1"/>
  <c r="Z2" i="25"/>
  <c r="U47" i="25"/>
  <c r="U51" i="25"/>
  <c r="U55" i="25"/>
  <c r="U59" i="25"/>
  <c r="U63" i="25"/>
  <c r="U32" i="25"/>
  <c r="U35" i="25"/>
  <c r="U40" i="25"/>
  <c r="U42" i="25"/>
  <c r="U48" i="25"/>
  <c r="U52" i="25"/>
  <c r="U60" i="25"/>
  <c r="U36" i="25"/>
  <c r="U30" i="25"/>
  <c r="U34" i="25"/>
  <c r="U39" i="25"/>
  <c r="Y44" i="25"/>
  <c r="Y53" i="25"/>
  <c r="Y57" i="25"/>
  <c r="Y61" i="25"/>
  <c r="Y65" i="25"/>
  <c r="Y36" i="25"/>
  <c r="Y26" i="25"/>
  <c r="Y69" i="25" s="1"/>
  <c r="Y46" i="25"/>
  <c r="Y39" i="25"/>
  <c r="Y50" i="25"/>
  <c r="Y54" i="25"/>
  <c r="Y58" i="25"/>
  <c r="Y62" i="25"/>
  <c r="Y27" i="25"/>
  <c r="Y45" i="25"/>
  <c r="Y31" i="25"/>
  <c r="Y29" i="25"/>
  <c r="Y42" i="25"/>
  <c r="Y37" i="25"/>
  <c r="Y51" i="25"/>
  <c r="Y55" i="25"/>
  <c r="Y59" i="25"/>
  <c r="Y63" i="25"/>
  <c r="Y28" i="25"/>
  <c r="Y47" i="25"/>
  <c r="Y90" i="25" s="1"/>
  <c r="Y35" i="25"/>
  <c r="Y48" i="25"/>
  <c r="Y30" i="25"/>
  <c r="Y40" i="25"/>
  <c r="AD2" i="25"/>
  <c r="Y52" i="25"/>
  <c r="Y56" i="25"/>
  <c r="Y60" i="25"/>
  <c r="Y64" i="25"/>
  <c r="Y32" i="25"/>
  <c r="Y49" i="25"/>
  <c r="Y34" i="25"/>
  <c r="Y33" i="25"/>
  <c r="Y38" i="25"/>
  <c r="Y41" i="25"/>
  <c r="AC52" i="25"/>
  <c r="AC47" i="25"/>
  <c r="AC55" i="25"/>
  <c r="AC59" i="25"/>
  <c r="AC63" i="25"/>
  <c r="AC32" i="25"/>
  <c r="AC30" i="25"/>
  <c r="AC33" i="25"/>
  <c r="AC37" i="25"/>
  <c r="AC44" i="25"/>
  <c r="AC53" i="25"/>
  <c r="AC48" i="25"/>
  <c r="AC56" i="25"/>
  <c r="AC60" i="25"/>
  <c r="AC64" i="25"/>
  <c r="AC36" i="25"/>
  <c r="AC38" i="25"/>
  <c r="AC40" i="25"/>
  <c r="AC42" i="25"/>
  <c r="AC50" i="25"/>
  <c r="AC45" i="25"/>
  <c r="AC49" i="25"/>
  <c r="AC57" i="25"/>
  <c r="AC61" i="25"/>
  <c r="AC65" i="25"/>
  <c r="AC31" i="25"/>
  <c r="AC39" i="25"/>
  <c r="AC27" i="25"/>
  <c r="AC34" i="25"/>
  <c r="AH2" i="25"/>
  <c r="AC51" i="25"/>
  <c r="AC46" i="25"/>
  <c r="AC54" i="25"/>
  <c r="AC58" i="25"/>
  <c r="AC101" i="25" s="1"/>
  <c r="AC7" i="25" s="1"/>
  <c r="AC62" i="25"/>
  <c r="AC28" i="25"/>
  <c r="AC35" i="25"/>
  <c r="AC41" i="25"/>
  <c r="AC29" i="25"/>
  <c r="AC26" i="25"/>
  <c r="AC69" i="25" s="1"/>
  <c r="T73" i="25"/>
  <c r="T70" i="25"/>
  <c r="T79" i="25"/>
  <c r="T83" i="25"/>
  <c r="T76" i="25"/>
  <c r="T102" i="25"/>
  <c r="J15" i="25"/>
  <c r="S7" i="25"/>
  <c r="S8" i="25" s="1"/>
  <c r="X84" i="25"/>
  <c r="X79" i="25"/>
  <c r="X90" i="25"/>
  <c r="X89" i="25"/>
  <c r="X85" i="25"/>
  <c r="X93" i="25"/>
  <c r="X6" i="25" s="1"/>
  <c r="T108" i="25"/>
  <c r="T85" i="25"/>
  <c r="T99" i="25"/>
  <c r="T71" i="25"/>
  <c r="T80" i="25"/>
  <c r="T98" i="25"/>
  <c r="T4" i="25"/>
  <c r="T5" i="25" s="1"/>
  <c r="T87" i="25"/>
  <c r="T92" i="25"/>
  <c r="X91" i="25"/>
  <c r="X72" i="25"/>
  <c r="X71" i="25"/>
  <c r="X73" i="25"/>
  <c r="X107" i="25"/>
  <c r="X77" i="25"/>
  <c r="T20" i="14"/>
  <c r="AA17" i="14"/>
  <c r="I81" i="16"/>
  <c r="L79" i="16"/>
  <c r="S33" i="13"/>
  <c r="AG33" i="13" s="1"/>
  <c r="T21" i="14"/>
  <c r="T22" i="14"/>
  <c r="T16" i="14"/>
  <c r="T18" i="14"/>
  <c r="L84" i="16"/>
  <c r="R27" i="13"/>
  <c r="T17" i="14"/>
  <c r="AA19" i="14"/>
  <c r="H76" i="16"/>
  <c r="L77" i="16"/>
  <c r="S36" i="13"/>
  <c r="AB33" i="13" s="1"/>
  <c r="R53" i="13"/>
  <c r="T19" i="14"/>
  <c r="V2" i="14"/>
  <c r="U7" i="14"/>
  <c r="U11" i="14"/>
  <c r="U6" i="14"/>
  <c r="U4" i="14"/>
  <c r="U15" i="14" s="1"/>
  <c r="U8" i="14"/>
  <c r="U5" i="14"/>
  <c r="U9" i="14"/>
  <c r="U10" i="14"/>
  <c r="S10" i="13"/>
  <c r="J76" i="16"/>
  <c r="AA18" i="14"/>
  <c r="H81" i="16"/>
  <c r="L82" i="16"/>
  <c r="L83" i="16"/>
  <c r="S7" i="13"/>
  <c r="J81" i="16"/>
  <c r="I76" i="16"/>
  <c r="AL33" i="13"/>
  <c r="S45" i="13"/>
  <c r="U5" i="13"/>
  <c r="T44" i="13"/>
  <c r="T46" i="13"/>
  <c r="T42" i="13"/>
  <c r="T43" i="13"/>
  <c r="J97" i="16"/>
  <c r="I90" i="16"/>
  <c r="C59" i="10" s="1"/>
  <c r="J91" i="16"/>
  <c r="K93" i="16"/>
  <c r="I96" i="16"/>
  <c r="T17" i="13"/>
  <c r="H91" i="16"/>
  <c r="H90" i="16"/>
  <c r="T12" i="13"/>
  <c r="H96" i="16"/>
  <c r="T18" i="13"/>
  <c r="T15" i="13"/>
  <c r="T35" i="13"/>
  <c r="T47" i="13"/>
  <c r="I97" i="16"/>
  <c r="K91" i="16"/>
  <c r="H95" i="16"/>
  <c r="H93" i="16"/>
  <c r="H92" i="16"/>
  <c r="T13" i="13"/>
  <c r="T40" i="13"/>
  <c r="T41" i="13"/>
  <c r="T38" i="13"/>
  <c r="T52" i="13"/>
  <c r="J92" i="16"/>
  <c r="K97" i="16"/>
  <c r="K90" i="16"/>
  <c r="E59" i="10" s="1"/>
  <c r="J95" i="16"/>
  <c r="J90" i="16"/>
  <c r="T21" i="13"/>
  <c r="J96" i="16"/>
  <c r="T23" i="13"/>
  <c r="T11" i="13"/>
  <c r="T22" i="13"/>
  <c r="T25" i="13"/>
  <c r="T39" i="13"/>
  <c r="T14" i="13"/>
  <c r="T16" i="13"/>
  <c r="T34" i="13"/>
  <c r="T37" i="13"/>
  <c r="T51" i="13"/>
  <c r="T48" i="13"/>
  <c r="K95" i="16"/>
  <c r="I91" i="16"/>
  <c r="I95" i="16"/>
  <c r="I93" i="16"/>
  <c r="I92" i="16"/>
  <c r="C61" i="10" s="1"/>
  <c r="T20" i="13"/>
  <c r="H97" i="16"/>
  <c r="T26" i="13"/>
  <c r="J93" i="16"/>
  <c r="T24" i="13"/>
  <c r="T9" i="13"/>
  <c r="T49" i="13"/>
  <c r="T50" i="13"/>
  <c r="K96" i="16"/>
  <c r="T8" i="13"/>
  <c r="E45" i="10"/>
  <c r="E53" i="10" s="1"/>
  <c r="K76" i="16"/>
  <c r="S19" i="13"/>
  <c r="L78" i="16"/>
  <c r="K81" i="16"/>
  <c r="L80" i="16"/>
  <c r="AL35" i="13" l="1"/>
  <c r="Y80" i="25"/>
  <c r="T8" i="25"/>
  <c r="J102" i="16"/>
  <c r="U98" i="25"/>
  <c r="J19" i="25"/>
  <c r="X8" i="25"/>
  <c r="U105" i="25"/>
  <c r="U106" i="25"/>
  <c r="U95" i="25"/>
  <c r="U94" i="25"/>
  <c r="Y85" i="25"/>
  <c r="U107" i="25"/>
  <c r="Y83" i="25"/>
  <c r="U108" i="25"/>
  <c r="Y81" i="25"/>
  <c r="U78" i="25"/>
  <c r="Y76" i="25"/>
  <c r="Y78" i="25"/>
  <c r="Y70" i="25"/>
  <c r="U75" i="25"/>
  <c r="Y77" i="25"/>
  <c r="Y75" i="25"/>
  <c r="U77" i="25"/>
  <c r="U73" i="25"/>
  <c r="Y91" i="25"/>
  <c r="U93" i="25"/>
  <c r="U6" i="25" s="1"/>
  <c r="Y72" i="25"/>
  <c r="U79" i="25"/>
  <c r="U85" i="25"/>
  <c r="U99" i="25"/>
  <c r="U101" i="25"/>
  <c r="U7" i="25" s="1"/>
  <c r="AC89" i="25"/>
  <c r="Y84" i="25"/>
  <c r="Y73" i="25"/>
  <c r="Y71" i="25"/>
  <c r="U82" i="25"/>
  <c r="U103" i="25"/>
  <c r="U102" i="25"/>
  <c r="U97" i="25"/>
  <c r="U100" i="25"/>
  <c r="AC104" i="25"/>
  <c r="AC93" i="25"/>
  <c r="AC6" i="25" s="1"/>
  <c r="AC8" i="25" s="1"/>
  <c r="AC91" i="25"/>
  <c r="Y74" i="25"/>
  <c r="U83" i="25"/>
  <c r="U74" i="25"/>
  <c r="U81" i="25"/>
  <c r="Y88" i="25"/>
  <c r="Y79" i="25"/>
  <c r="AC71" i="25"/>
  <c r="AC102" i="25"/>
  <c r="Y89" i="25"/>
  <c r="AC70" i="25"/>
  <c r="AC79" i="25"/>
  <c r="AC76" i="25"/>
  <c r="Y94" i="25"/>
  <c r="Y101" i="25"/>
  <c r="Y7" i="25" s="1"/>
  <c r="Y104" i="25"/>
  <c r="Z45" i="25"/>
  <c r="Z49" i="25"/>
  <c r="Z52" i="25"/>
  <c r="Z56" i="25"/>
  <c r="Z60" i="25"/>
  <c r="Z64" i="25"/>
  <c r="Z37" i="25"/>
  <c r="Z36" i="25"/>
  <c r="Z30" i="25"/>
  <c r="Z42" i="25"/>
  <c r="AA2" i="25"/>
  <c r="Z34" i="25"/>
  <c r="AE2" i="25"/>
  <c r="Z50" i="25"/>
  <c r="Z93" i="25" s="1"/>
  <c r="Z6" i="25" s="1"/>
  <c r="Z46" i="25"/>
  <c r="Z26" i="25"/>
  <c r="Z69" i="25" s="1"/>
  <c r="Z53" i="25"/>
  <c r="Z57" i="25"/>
  <c r="Z61" i="25"/>
  <c r="Z65" i="25"/>
  <c r="Z27" i="25"/>
  <c r="Z44" i="25"/>
  <c r="Z38" i="25"/>
  <c r="Z47" i="25"/>
  <c r="Z48" i="25"/>
  <c r="Z51" i="25"/>
  <c r="Z55" i="25"/>
  <c r="Z59" i="25"/>
  <c r="Z63" i="25"/>
  <c r="Z33" i="25"/>
  <c r="Z32" i="25"/>
  <c r="Z40" i="25"/>
  <c r="Z39" i="25"/>
  <c r="Z54" i="25"/>
  <c r="Z28" i="25"/>
  <c r="Z35" i="25"/>
  <c r="Z58" i="25"/>
  <c r="Z62" i="25"/>
  <c r="Z105" i="25" s="1"/>
  <c r="Z31" i="25"/>
  <c r="Z29" i="25"/>
  <c r="Z41" i="25"/>
  <c r="V48" i="25"/>
  <c r="V54" i="25"/>
  <c r="V58" i="25"/>
  <c r="V62" i="25"/>
  <c r="V50" i="25"/>
  <c r="V29" i="25"/>
  <c r="V32" i="25"/>
  <c r="V42" i="25"/>
  <c r="V27" i="25"/>
  <c r="V45" i="25"/>
  <c r="V49" i="25"/>
  <c r="V55" i="25"/>
  <c r="V59" i="25"/>
  <c r="V63" i="25"/>
  <c r="V51" i="25"/>
  <c r="V33" i="25"/>
  <c r="V36" i="25"/>
  <c r="V41" i="25"/>
  <c r="V35" i="25"/>
  <c r="V46" i="25"/>
  <c r="V26" i="25"/>
  <c r="V69" i="25" s="1"/>
  <c r="V56" i="25"/>
  <c r="V60" i="25"/>
  <c r="V64" i="25"/>
  <c r="V52" i="25"/>
  <c r="V37" i="25"/>
  <c r="V31" i="25"/>
  <c r="V30" i="25"/>
  <c r="V34" i="25"/>
  <c r="V47" i="25"/>
  <c r="V44" i="25"/>
  <c r="V57" i="25"/>
  <c r="V61" i="25"/>
  <c r="V65" i="25"/>
  <c r="V53" i="25"/>
  <c r="V28" i="25"/>
  <c r="V40" i="25"/>
  <c r="V38" i="25"/>
  <c r="V39" i="25"/>
  <c r="W2" i="25"/>
  <c r="AC72" i="25"/>
  <c r="AC105" i="25"/>
  <c r="AC94" i="25"/>
  <c r="AC82" i="25"/>
  <c r="AC100" i="25"/>
  <c r="AC85" i="25"/>
  <c r="AC107" i="25"/>
  <c r="AC96" i="25"/>
  <c r="AC73" i="25"/>
  <c r="AC98" i="25"/>
  <c r="Y95" i="25"/>
  <c r="Y106" i="25"/>
  <c r="Y97" i="25"/>
  <c r="Y100" i="25"/>
  <c r="U76" i="25"/>
  <c r="U71" i="25"/>
  <c r="U70" i="25"/>
  <c r="U96" i="25"/>
  <c r="AC84" i="25"/>
  <c r="AH55" i="25"/>
  <c r="AH59" i="25"/>
  <c r="AH63" i="25"/>
  <c r="AH48" i="25"/>
  <c r="AH50" i="25"/>
  <c r="AH28" i="25"/>
  <c r="AH35" i="25"/>
  <c r="AH49" i="25"/>
  <c r="AH31" i="25"/>
  <c r="AH30" i="25"/>
  <c r="AH44" i="25"/>
  <c r="AH56" i="25"/>
  <c r="AH60" i="25"/>
  <c r="AH64" i="25"/>
  <c r="AH29" i="25"/>
  <c r="AH51" i="25"/>
  <c r="AH32" i="25"/>
  <c r="AH40" i="25"/>
  <c r="AH34" i="25"/>
  <c r="AH42" i="25"/>
  <c r="AH26" i="25"/>
  <c r="AH69" i="25" s="1"/>
  <c r="AH57" i="25"/>
  <c r="AH61" i="25"/>
  <c r="AH65" i="25"/>
  <c r="AH33" i="25"/>
  <c r="AH52" i="25"/>
  <c r="AH36" i="25"/>
  <c r="AH27" i="25"/>
  <c r="AH54" i="25"/>
  <c r="AH58" i="25"/>
  <c r="AH62" i="25"/>
  <c r="AH46" i="25"/>
  <c r="AH37" i="25"/>
  <c r="AH53" i="25"/>
  <c r="AH45" i="25"/>
  <c r="AH88" i="25" s="1"/>
  <c r="AH38" i="25"/>
  <c r="AH47" i="25"/>
  <c r="AH41" i="25"/>
  <c r="AH39" i="25"/>
  <c r="AM2" i="25"/>
  <c r="AC74" i="25"/>
  <c r="AC83" i="25"/>
  <c r="AC103" i="25"/>
  <c r="AC4" i="25"/>
  <c r="AC5" i="25" s="1"/>
  <c r="AC87" i="25"/>
  <c r="AC92" i="25"/>
  <c r="AC75" i="25"/>
  <c r="AC90" i="25"/>
  <c r="Y107" i="25"/>
  <c r="AD44" i="25"/>
  <c r="AD53" i="25"/>
  <c r="AD47" i="25"/>
  <c r="AD55" i="25"/>
  <c r="AD59" i="25"/>
  <c r="AD63" i="25"/>
  <c r="AD29" i="25"/>
  <c r="AD32" i="25"/>
  <c r="AD42" i="25"/>
  <c r="AD38" i="25"/>
  <c r="AI2" i="25"/>
  <c r="AD50" i="25"/>
  <c r="AD26" i="25"/>
  <c r="AD69" i="25" s="1"/>
  <c r="AD48" i="25"/>
  <c r="AD56" i="25"/>
  <c r="AD60" i="25"/>
  <c r="AD64" i="25"/>
  <c r="AD33" i="25"/>
  <c r="AD36" i="25"/>
  <c r="AD34" i="25"/>
  <c r="AD39" i="25"/>
  <c r="AD51" i="25"/>
  <c r="AD45" i="25"/>
  <c r="AD49" i="25"/>
  <c r="AD57" i="25"/>
  <c r="AD61" i="25"/>
  <c r="AD65" i="25"/>
  <c r="AD37" i="25"/>
  <c r="AD31" i="25"/>
  <c r="AD41" i="25"/>
  <c r="AD35" i="25"/>
  <c r="AD52" i="25"/>
  <c r="AD46" i="25"/>
  <c r="AD54" i="25"/>
  <c r="AD58" i="25"/>
  <c r="AD62" i="25"/>
  <c r="AD27" i="25"/>
  <c r="AD28" i="25"/>
  <c r="AD40" i="25"/>
  <c r="AD30" i="25"/>
  <c r="Y102" i="25"/>
  <c r="Y93" i="25"/>
  <c r="Y6" i="25" s="1"/>
  <c r="Y8" i="25" s="1"/>
  <c r="Y96" i="25"/>
  <c r="U91" i="25"/>
  <c r="U80" i="25"/>
  <c r="U89" i="25"/>
  <c r="Y99" i="25"/>
  <c r="U4" i="25"/>
  <c r="U5" i="25" s="1"/>
  <c r="U92" i="25"/>
  <c r="U87" i="25"/>
  <c r="AC78" i="25"/>
  <c r="AC97" i="25"/>
  <c r="AC77" i="25"/>
  <c r="AC108" i="25"/>
  <c r="AC88" i="25"/>
  <c r="AC81" i="25"/>
  <c r="AC99" i="25"/>
  <c r="AC80" i="25"/>
  <c r="AC106" i="25"/>
  <c r="AC95" i="25"/>
  <c r="Y103" i="25"/>
  <c r="Y98" i="25"/>
  <c r="Y105" i="25"/>
  <c r="Y82" i="25"/>
  <c r="Y108" i="25"/>
  <c r="Y4" i="25"/>
  <c r="Y5" i="25" s="1"/>
  <c r="Y92" i="25"/>
  <c r="Y87" i="25"/>
  <c r="U90" i="25"/>
  <c r="U84" i="25"/>
  <c r="U72" i="25"/>
  <c r="U104" i="25"/>
  <c r="U88" i="25"/>
  <c r="I85" i="16"/>
  <c r="AA20" i="14"/>
  <c r="AG34" i="13"/>
  <c r="AG35" i="13" s="1"/>
  <c r="U21" i="14"/>
  <c r="AB35" i="13"/>
  <c r="S27" i="13"/>
  <c r="AB8" i="13" s="1"/>
  <c r="AB37" i="13"/>
  <c r="S53" i="13"/>
  <c r="AB36" i="13"/>
  <c r="U16" i="14"/>
  <c r="U19" i="14"/>
  <c r="U20" i="14"/>
  <c r="T7" i="13"/>
  <c r="U22" i="14"/>
  <c r="U18" i="14"/>
  <c r="AB38" i="13"/>
  <c r="U17" i="14"/>
  <c r="K85" i="16"/>
  <c r="T33" i="13"/>
  <c r="AB34" i="13"/>
  <c r="L97" i="16"/>
  <c r="I94" i="16"/>
  <c r="L93" i="16"/>
  <c r="L96" i="16"/>
  <c r="L81" i="16"/>
  <c r="T19" i="13"/>
  <c r="T36" i="13"/>
  <c r="T10" i="13"/>
  <c r="J89" i="16"/>
  <c r="H94" i="16"/>
  <c r="L95" i="16"/>
  <c r="H85" i="16"/>
  <c r="L76" i="16"/>
  <c r="K94" i="16"/>
  <c r="J94" i="16"/>
  <c r="L90" i="16"/>
  <c r="H89" i="16"/>
  <c r="V5" i="13"/>
  <c r="U50" i="13"/>
  <c r="U46" i="13"/>
  <c r="U41" i="13"/>
  <c r="U37" i="13"/>
  <c r="U35" i="13"/>
  <c r="U51" i="13"/>
  <c r="U47" i="13"/>
  <c r="U42" i="13"/>
  <c r="U38" i="13"/>
  <c r="U49" i="13"/>
  <c r="U44" i="13"/>
  <c r="U40" i="13"/>
  <c r="U52" i="13"/>
  <c r="U48" i="13"/>
  <c r="U43" i="13"/>
  <c r="U39" i="13"/>
  <c r="U34" i="13"/>
  <c r="U8" i="13"/>
  <c r="U11" i="13"/>
  <c r="U13" i="13"/>
  <c r="U15" i="13"/>
  <c r="U17" i="13"/>
  <c r="U20" i="13"/>
  <c r="U22" i="13"/>
  <c r="U24" i="13"/>
  <c r="U26" i="13"/>
  <c r="U9" i="13"/>
  <c r="U12" i="13"/>
  <c r="U14" i="13"/>
  <c r="U16" i="13"/>
  <c r="U18" i="13"/>
  <c r="U21" i="13"/>
  <c r="U23" i="13"/>
  <c r="U25" i="13"/>
  <c r="W2" i="14"/>
  <c r="V4" i="14"/>
  <c r="V15" i="14" s="1"/>
  <c r="V8" i="14"/>
  <c r="V7" i="14"/>
  <c r="V5" i="14"/>
  <c r="V9" i="14"/>
  <c r="V11" i="14"/>
  <c r="V6" i="14"/>
  <c r="V10" i="14"/>
  <c r="C58" i="10"/>
  <c r="C66" i="10" s="1"/>
  <c r="I89" i="16"/>
  <c r="T45" i="13"/>
  <c r="E58" i="10"/>
  <c r="E66" i="10" s="1"/>
  <c r="K89" i="16"/>
  <c r="L92" i="16"/>
  <c r="L91" i="16"/>
  <c r="C45" i="10"/>
  <c r="J85" i="16"/>
  <c r="AH96" i="25" l="1"/>
  <c r="AH100" i="25"/>
  <c r="K107" i="16"/>
  <c r="L105" i="16"/>
  <c r="L109" i="16"/>
  <c r="L106" i="16"/>
  <c r="L108" i="16"/>
  <c r="H107" i="16"/>
  <c r="L110" i="16"/>
  <c r="L103" i="16"/>
  <c r="H102" i="16"/>
  <c r="J107" i="16"/>
  <c r="J111" i="16" s="1"/>
  <c r="I102" i="16"/>
  <c r="K102" i="16"/>
  <c r="L104" i="16"/>
  <c r="I107" i="16"/>
  <c r="AH80" i="25"/>
  <c r="K98" i="16"/>
  <c r="U33" i="13"/>
  <c r="Z98" i="25"/>
  <c r="AH101" i="25"/>
  <c r="AH7" i="25" s="1"/>
  <c r="AH108" i="25"/>
  <c r="AH99" i="25"/>
  <c r="AD105" i="25"/>
  <c r="AH76" i="25"/>
  <c r="AD70" i="25"/>
  <c r="V96" i="25"/>
  <c r="AD89" i="25"/>
  <c r="AD82" i="25"/>
  <c r="AD74" i="25"/>
  <c r="Z72" i="25"/>
  <c r="AD95" i="25"/>
  <c r="V100" i="25"/>
  <c r="Z78" i="25"/>
  <c r="V108" i="25"/>
  <c r="Z74" i="25"/>
  <c r="AH105" i="25"/>
  <c r="Z71" i="25"/>
  <c r="Z81" i="25"/>
  <c r="Z94" i="25"/>
  <c r="V77" i="25"/>
  <c r="Z97" i="25"/>
  <c r="Z82" i="25"/>
  <c r="V103" i="25"/>
  <c r="V104" i="25"/>
  <c r="AH94" i="25"/>
  <c r="V94" i="25"/>
  <c r="Z83" i="25"/>
  <c r="Z75" i="25"/>
  <c r="Z104" i="25"/>
  <c r="AH95" i="25"/>
  <c r="V83" i="25"/>
  <c r="V95" i="25"/>
  <c r="V102" i="25"/>
  <c r="Z76" i="25"/>
  <c r="Z100" i="25"/>
  <c r="Z107" i="25"/>
  <c r="Z84" i="25"/>
  <c r="U8" i="25"/>
  <c r="AD100" i="25"/>
  <c r="AH84" i="25"/>
  <c r="AD71" i="25"/>
  <c r="AH82" i="25"/>
  <c r="AD101" i="25"/>
  <c r="AD7" i="25" s="1"/>
  <c r="AH81" i="25"/>
  <c r="AH90" i="25"/>
  <c r="AH97" i="25"/>
  <c r="V107" i="25"/>
  <c r="Z101" i="25"/>
  <c r="Z7" i="25" s="1"/>
  <c r="Z8" i="25" s="1"/>
  <c r="AH89" i="25"/>
  <c r="Z102" i="25"/>
  <c r="AD73" i="25"/>
  <c r="AD80" i="25"/>
  <c r="V71" i="25"/>
  <c r="Z106" i="25"/>
  <c r="Z96" i="25"/>
  <c r="Z103" i="25"/>
  <c r="AD83" i="25"/>
  <c r="AD78" i="25"/>
  <c r="AD88" i="25"/>
  <c r="AD90" i="25"/>
  <c r="AH91" i="25"/>
  <c r="V82" i="25"/>
  <c r="Z108" i="25"/>
  <c r="D52" i="10"/>
  <c r="G52" i="10" s="1"/>
  <c r="D46" i="10"/>
  <c r="D49" i="10"/>
  <c r="G49" i="10" s="1"/>
  <c r="M10" i="10" s="1"/>
  <c r="D51" i="10"/>
  <c r="D48" i="10"/>
  <c r="D47" i="10"/>
  <c r="G47" i="10" s="1"/>
  <c r="V74" i="25"/>
  <c r="Z90" i="25"/>
  <c r="Z99" i="25"/>
  <c r="AD97" i="25"/>
  <c r="AD84" i="25"/>
  <c r="AD104" i="25"/>
  <c r="AD94" i="25"/>
  <c r="AD76" i="25"/>
  <c r="AD91" i="25"/>
  <c r="AD81" i="25"/>
  <c r="AD106" i="25"/>
  <c r="AD96" i="25"/>
  <c r="AH104" i="25"/>
  <c r="V81" i="25"/>
  <c r="V99" i="25"/>
  <c r="Z95" i="25"/>
  <c r="AD77" i="25"/>
  <c r="AH103" i="25"/>
  <c r="AH93" i="25"/>
  <c r="AH6" i="25" s="1"/>
  <c r="V73" i="25"/>
  <c r="V98" i="25"/>
  <c r="Z91" i="25"/>
  <c r="Z70" i="25"/>
  <c r="AD107" i="25"/>
  <c r="AD85" i="25"/>
  <c r="AD102" i="25"/>
  <c r="AD4" i="25"/>
  <c r="AD5" i="25" s="1"/>
  <c r="AD92" i="25"/>
  <c r="AD87" i="25"/>
  <c r="AH83" i="25"/>
  <c r="AH107" i="25"/>
  <c r="AH73" i="25"/>
  <c r="AH71" i="25"/>
  <c r="AH102" i="25"/>
  <c r="V79" i="25"/>
  <c r="V70" i="25"/>
  <c r="V93" i="25"/>
  <c r="V6" i="25" s="1"/>
  <c r="V91" i="25"/>
  <c r="Z4" i="25"/>
  <c r="Z5" i="25" s="1"/>
  <c r="Z87" i="25"/>
  <c r="Z92" i="25"/>
  <c r="Z85" i="25"/>
  <c r="AD103" i="25"/>
  <c r="AD93" i="25"/>
  <c r="AD6" i="25" s="1"/>
  <c r="AD75" i="25"/>
  <c r="AD98" i="25"/>
  <c r="AH75" i="25"/>
  <c r="AH74" i="25"/>
  <c r="AH98" i="25"/>
  <c r="W46" i="25"/>
  <c r="W44" i="25"/>
  <c r="W34" i="25"/>
  <c r="W52" i="25"/>
  <c r="W37" i="25"/>
  <c r="W57" i="25"/>
  <c r="W61" i="25"/>
  <c r="W65" i="25"/>
  <c r="W42" i="25"/>
  <c r="W36" i="25"/>
  <c r="W47" i="25"/>
  <c r="W27" i="25"/>
  <c r="W38" i="25"/>
  <c r="W53" i="25"/>
  <c r="W54" i="25"/>
  <c r="W58" i="25"/>
  <c r="W62" i="25"/>
  <c r="W32" i="25"/>
  <c r="W31" i="25"/>
  <c r="W35" i="25"/>
  <c r="AB2" i="25"/>
  <c r="W45" i="25"/>
  <c r="W30" i="25"/>
  <c r="W33" i="25"/>
  <c r="W60" i="25"/>
  <c r="W41" i="25"/>
  <c r="W63" i="25"/>
  <c r="W48" i="25"/>
  <c r="W50" i="25"/>
  <c r="W55" i="25"/>
  <c r="W49" i="25"/>
  <c r="W51" i="25"/>
  <c r="W56" i="25"/>
  <c r="W64" i="25"/>
  <c r="W28" i="25"/>
  <c r="W26" i="25"/>
  <c r="W69" i="25" s="1"/>
  <c r="W29" i="25"/>
  <c r="W59" i="25"/>
  <c r="W39" i="25"/>
  <c r="W40" i="25"/>
  <c r="V89" i="25"/>
  <c r="V76" i="25"/>
  <c r="V85" i="25"/>
  <c r="V105" i="25"/>
  <c r="AE46" i="25"/>
  <c r="AE44" i="25"/>
  <c r="AE52" i="25"/>
  <c r="AE34" i="25"/>
  <c r="AE37" i="25"/>
  <c r="AE42" i="25"/>
  <c r="AE55" i="25"/>
  <c r="AE59" i="25"/>
  <c r="AE63" i="25"/>
  <c r="AE36" i="25"/>
  <c r="AE47" i="25"/>
  <c r="AE27" i="25"/>
  <c r="AE53" i="25"/>
  <c r="AE38" i="25"/>
  <c r="AE32" i="25"/>
  <c r="AE31" i="25"/>
  <c r="AE56" i="25"/>
  <c r="AE60" i="25"/>
  <c r="AE64" i="25"/>
  <c r="AE39" i="25"/>
  <c r="AE48" i="25"/>
  <c r="AE50" i="25"/>
  <c r="AE26" i="25"/>
  <c r="AE69" i="25" s="1"/>
  <c r="AE29" i="25"/>
  <c r="AE41" i="25"/>
  <c r="AE40" i="25"/>
  <c r="AE57" i="25"/>
  <c r="AE61" i="25"/>
  <c r="AE65" i="25"/>
  <c r="AE45" i="25"/>
  <c r="AE49" i="25"/>
  <c r="AE51" i="25"/>
  <c r="AE30" i="25"/>
  <c r="AE33" i="25"/>
  <c r="AE35" i="25"/>
  <c r="AE54" i="25"/>
  <c r="AE58" i="25"/>
  <c r="AE62" i="25"/>
  <c r="AE28" i="25"/>
  <c r="AJ2" i="25"/>
  <c r="Z73" i="25"/>
  <c r="Z88" i="25"/>
  <c r="AD108" i="25"/>
  <c r="AD79" i="25"/>
  <c r="AD99" i="25"/>
  <c r="AI48" i="25"/>
  <c r="AI51" i="25"/>
  <c r="AI26" i="25"/>
  <c r="AI69" i="25" s="1"/>
  <c r="AI57" i="25"/>
  <c r="AI61" i="25"/>
  <c r="AI65" i="25"/>
  <c r="AI29" i="25"/>
  <c r="AI36" i="25"/>
  <c r="AI32" i="25"/>
  <c r="AI45" i="25"/>
  <c r="AI49" i="25"/>
  <c r="AI52" i="25"/>
  <c r="AI54" i="25"/>
  <c r="AI58" i="25"/>
  <c r="AI62" i="25"/>
  <c r="AI30" i="25"/>
  <c r="AI33" i="25"/>
  <c r="AI41" i="25"/>
  <c r="AI39" i="25"/>
  <c r="AI46" i="25"/>
  <c r="AI44" i="25"/>
  <c r="AI53" i="25"/>
  <c r="AI55" i="25"/>
  <c r="AI59" i="25"/>
  <c r="AI63" i="25"/>
  <c r="AI34" i="25"/>
  <c r="AI37" i="25"/>
  <c r="AI35" i="25"/>
  <c r="AI31" i="25"/>
  <c r="AI47" i="25"/>
  <c r="AI50" i="25"/>
  <c r="AI27" i="25"/>
  <c r="AI56" i="25"/>
  <c r="AI60" i="25"/>
  <c r="AI64" i="25"/>
  <c r="AI38" i="25"/>
  <c r="AI28" i="25"/>
  <c r="AI40" i="25"/>
  <c r="AI42" i="25"/>
  <c r="AD72" i="25"/>
  <c r="AM47" i="25"/>
  <c r="AM27" i="25"/>
  <c r="AM38" i="25"/>
  <c r="AM54" i="25"/>
  <c r="AM58" i="25"/>
  <c r="AM62" i="25"/>
  <c r="AM32" i="25"/>
  <c r="AM51" i="25"/>
  <c r="AM28" i="25"/>
  <c r="AM35" i="25"/>
  <c r="AM48" i="25"/>
  <c r="AM26" i="25"/>
  <c r="AM69" i="25" s="1"/>
  <c r="AM29" i="25"/>
  <c r="AM55" i="25"/>
  <c r="AM59" i="25"/>
  <c r="AM63" i="25"/>
  <c r="AM41" i="25"/>
  <c r="AM53" i="25"/>
  <c r="AM36" i="25"/>
  <c r="AM45" i="25"/>
  <c r="AM49" i="25"/>
  <c r="AM30" i="25"/>
  <c r="AM33" i="25"/>
  <c r="AM56" i="25"/>
  <c r="AM60" i="25"/>
  <c r="AM64" i="25"/>
  <c r="AM50" i="25"/>
  <c r="AM31" i="25"/>
  <c r="AM39" i="25"/>
  <c r="AM46" i="25"/>
  <c r="AM44" i="25"/>
  <c r="AM34" i="25"/>
  <c r="AM37" i="25"/>
  <c r="AM57" i="25"/>
  <c r="AM61" i="25"/>
  <c r="AM65" i="25"/>
  <c r="AM42" i="25"/>
  <c r="AM40" i="25"/>
  <c r="AM52" i="25"/>
  <c r="AH70" i="25"/>
  <c r="AH85" i="25"/>
  <c r="V4" i="25"/>
  <c r="V5" i="25" s="1"/>
  <c r="V87" i="25"/>
  <c r="V92" i="25"/>
  <c r="V78" i="25"/>
  <c r="V75" i="25"/>
  <c r="V101" i="25"/>
  <c r="V7" i="25" s="1"/>
  <c r="Z77" i="25"/>
  <c r="Z79" i="25"/>
  <c r="AH79" i="25"/>
  <c r="AH77" i="25"/>
  <c r="AH72" i="25"/>
  <c r="AH4" i="25"/>
  <c r="AH5" i="25" s="1"/>
  <c r="AH92" i="25"/>
  <c r="AH87" i="25"/>
  <c r="AH78" i="25"/>
  <c r="AH106" i="25"/>
  <c r="V90" i="25"/>
  <c r="V80" i="25"/>
  <c r="V84" i="25"/>
  <c r="V106" i="25"/>
  <c r="V88" i="25"/>
  <c r="V72" i="25"/>
  <c r="V97" i="25"/>
  <c r="Z89" i="25"/>
  <c r="AA45" i="25"/>
  <c r="AA49" i="25"/>
  <c r="AA55" i="25"/>
  <c r="AA59" i="25"/>
  <c r="AA63" i="25"/>
  <c r="AA34" i="25"/>
  <c r="AA37" i="25"/>
  <c r="AA36" i="25"/>
  <c r="AA44" i="25"/>
  <c r="AA53" i="25"/>
  <c r="AA46" i="25"/>
  <c r="AA27" i="25"/>
  <c r="AA56" i="25"/>
  <c r="AA60" i="25"/>
  <c r="AA64" i="25"/>
  <c r="AA38" i="25"/>
  <c r="AA50" i="25"/>
  <c r="AA41" i="25"/>
  <c r="AA35" i="25"/>
  <c r="AA32" i="25"/>
  <c r="AF2" i="25"/>
  <c r="AA47" i="25"/>
  <c r="AA48" i="25"/>
  <c r="AA54" i="25"/>
  <c r="AA58" i="25"/>
  <c r="AA62" i="25"/>
  <c r="AA30" i="25"/>
  <c r="AA33" i="25"/>
  <c r="AA28" i="25"/>
  <c r="AA39" i="25"/>
  <c r="AA51" i="25"/>
  <c r="AA26" i="25"/>
  <c r="AA69" i="25" s="1"/>
  <c r="AA29" i="25"/>
  <c r="AA42" i="25"/>
  <c r="AA57" i="25"/>
  <c r="AA52" i="25"/>
  <c r="AA61" i="25"/>
  <c r="AA31" i="25"/>
  <c r="AA65" i="25"/>
  <c r="AA40" i="25"/>
  <c r="Z80" i="25"/>
  <c r="T53" i="13"/>
  <c r="I98" i="16"/>
  <c r="AB39" i="13"/>
  <c r="T27" i="13"/>
  <c r="J98" i="16"/>
  <c r="U36" i="13"/>
  <c r="W5" i="13"/>
  <c r="V51" i="13"/>
  <c r="V47" i="13"/>
  <c r="V42" i="13"/>
  <c r="V38" i="13"/>
  <c r="V50" i="13"/>
  <c r="V46" i="13"/>
  <c r="V41" i="13"/>
  <c r="V37" i="13"/>
  <c r="V52" i="13"/>
  <c r="V48" i="13"/>
  <c r="V43" i="13"/>
  <c r="V39" i="13"/>
  <c r="V34" i="13"/>
  <c r="V49" i="13"/>
  <c r="V44" i="13"/>
  <c r="V40" i="13"/>
  <c r="V35" i="13"/>
  <c r="V8" i="13"/>
  <c r="V11" i="13"/>
  <c r="V13" i="13"/>
  <c r="V15" i="13"/>
  <c r="V17" i="13"/>
  <c r="V20" i="13"/>
  <c r="V22" i="13"/>
  <c r="V24" i="13"/>
  <c r="V26" i="13"/>
  <c r="V16" i="13"/>
  <c r="V25" i="13"/>
  <c r="V14" i="13"/>
  <c r="V9" i="13"/>
  <c r="V18" i="13"/>
  <c r="V12" i="13"/>
  <c r="V21" i="13"/>
  <c r="V23" i="13"/>
  <c r="V21" i="14"/>
  <c r="V16" i="14"/>
  <c r="W4" i="14"/>
  <c r="W15" i="14" s="1"/>
  <c r="W8" i="14"/>
  <c r="W7" i="14"/>
  <c r="W5" i="14"/>
  <c r="W9" i="14"/>
  <c r="W11" i="14"/>
  <c r="W6" i="14"/>
  <c r="W10" i="14"/>
  <c r="U19" i="13"/>
  <c r="U10" i="13"/>
  <c r="L89" i="16"/>
  <c r="H98" i="16"/>
  <c r="L94" i="16"/>
  <c r="V20" i="14"/>
  <c r="V17" i="14"/>
  <c r="V18" i="14"/>
  <c r="U7" i="13"/>
  <c r="U45" i="13"/>
  <c r="L85" i="16"/>
  <c r="C53" i="10"/>
  <c r="V22" i="14"/>
  <c r="V19" i="14"/>
  <c r="AH8" i="25" l="1"/>
  <c r="K111" i="16"/>
  <c r="I111" i="16"/>
  <c r="H111" i="16"/>
  <c r="AI78" i="25"/>
  <c r="AI73" i="25"/>
  <c r="L107" i="16"/>
  <c r="L102" i="16"/>
  <c r="AE71" i="25"/>
  <c r="AI85" i="25"/>
  <c r="AE78" i="25"/>
  <c r="AI80" i="25"/>
  <c r="AI81" i="25"/>
  <c r="AI70" i="25"/>
  <c r="AI82" i="25"/>
  <c r="AD8" i="25"/>
  <c r="AA105" i="25"/>
  <c r="W91" i="25"/>
  <c r="AA72" i="25"/>
  <c r="AI90" i="25"/>
  <c r="W90" i="25"/>
  <c r="AM103" i="25"/>
  <c r="W88" i="25"/>
  <c r="AI107" i="25"/>
  <c r="AA94" i="25"/>
  <c r="AM100" i="25"/>
  <c r="AI105" i="25"/>
  <c r="AA71" i="25"/>
  <c r="AE90" i="25"/>
  <c r="AA83" i="25"/>
  <c r="AA108" i="25"/>
  <c r="AA107" i="25"/>
  <c r="AM77" i="25"/>
  <c r="AI102" i="25"/>
  <c r="AE91" i="25"/>
  <c r="L98" i="16"/>
  <c r="AI98" i="25"/>
  <c r="AE88" i="25"/>
  <c r="AA103" i="25"/>
  <c r="AA100" i="25"/>
  <c r="AM74" i="25"/>
  <c r="AI79" i="25"/>
  <c r="AA96" i="25"/>
  <c r="AI93" i="25"/>
  <c r="AI6" i="25" s="1"/>
  <c r="AE105" i="25"/>
  <c r="AE76" i="25"/>
  <c r="W102" i="25"/>
  <c r="W107" i="25"/>
  <c r="AM79" i="25"/>
  <c r="W83" i="25"/>
  <c r="U53" i="13"/>
  <c r="AA104" i="25"/>
  <c r="AA101" i="25"/>
  <c r="AA7" i="25" s="1"/>
  <c r="AA93" i="25"/>
  <c r="AA6" i="25" s="1"/>
  <c r="AM83" i="25"/>
  <c r="AI83" i="25"/>
  <c r="AI103" i="25"/>
  <c r="AI77" i="25"/>
  <c r="AI96" i="25"/>
  <c r="AI84" i="25"/>
  <c r="AM76" i="25"/>
  <c r="AI72" i="25"/>
  <c r="AA95" i="25"/>
  <c r="AM85" i="25"/>
  <c r="AM80" i="25"/>
  <c r="AM82" i="25"/>
  <c r="AI71" i="25"/>
  <c r="AI99" i="25"/>
  <c r="AI74" i="25"/>
  <c r="AI106" i="25"/>
  <c r="AI76" i="25"/>
  <c r="AI95" i="25"/>
  <c r="AA99" i="25"/>
  <c r="AA106" i="25"/>
  <c r="AM89" i="25"/>
  <c r="AM73" i="25"/>
  <c r="AM78" i="25"/>
  <c r="AM70" i="25"/>
  <c r="AI101" i="25"/>
  <c r="AI7" i="25" s="1"/>
  <c r="AI108" i="25"/>
  <c r="AI94" i="25"/>
  <c r="AA97" i="25"/>
  <c r="AA102" i="25"/>
  <c r="AM84" i="25"/>
  <c r="AM72" i="25"/>
  <c r="AM71" i="25"/>
  <c r="AI97" i="25"/>
  <c r="AI75" i="25"/>
  <c r="AI104" i="25"/>
  <c r="D64" i="10"/>
  <c r="G64" i="10" s="1"/>
  <c r="D65" i="10"/>
  <c r="G65" i="10" s="1"/>
  <c r="D62" i="10"/>
  <c r="G62" i="10" s="1"/>
  <c r="D60" i="10"/>
  <c r="G60" i="10" s="1"/>
  <c r="D59" i="10"/>
  <c r="G59" i="10" s="1"/>
  <c r="D61" i="10"/>
  <c r="G61" i="10" s="1"/>
  <c r="AE101" i="25"/>
  <c r="AE7" i="25" s="1"/>
  <c r="AE73" i="25"/>
  <c r="AE83" i="25"/>
  <c r="AA74" i="25"/>
  <c r="AA85" i="25"/>
  <c r="AA82" i="25"/>
  <c r="AA90" i="25"/>
  <c r="AA84" i="25"/>
  <c r="AA77" i="25"/>
  <c r="AM95" i="25"/>
  <c r="AM104" i="25"/>
  <c r="AM4" i="25"/>
  <c r="AM5" i="25" s="1"/>
  <c r="AM87" i="25"/>
  <c r="AM92" i="25"/>
  <c r="AM93" i="25"/>
  <c r="AM102" i="25"/>
  <c r="AM91" i="25"/>
  <c r="AM75" i="25"/>
  <c r="AM81" i="25"/>
  <c r="AJ51" i="25"/>
  <c r="AJ27" i="25"/>
  <c r="AJ48" i="25"/>
  <c r="AJ57" i="25"/>
  <c r="AJ61" i="25"/>
  <c r="AJ65" i="25"/>
  <c r="AJ26" i="25"/>
  <c r="AJ69" i="25" s="1"/>
  <c r="AJ39" i="25"/>
  <c r="AJ41" i="25"/>
  <c r="AJ32" i="25"/>
  <c r="AJ52" i="25"/>
  <c r="AJ31" i="25"/>
  <c r="AJ54" i="25"/>
  <c r="AJ58" i="25"/>
  <c r="AJ62" i="25"/>
  <c r="AJ30" i="25"/>
  <c r="AJ29" i="25"/>
  <c r="AJ45" i="25"/>
  <c r="AJ33" i="25"/>
  <c r="AJ49" i="25"/>
  <c r="AJ53" i="25"/>
  <c r="AJ35" i="25"/>
  <c r="AJ55" i="25"/>
  <c r="AJ59" i="25"/>
  <c r="AJ63" i="25"/>
  <c r="AJ34" i="25"/>
  <c r="AJ37" i="25"/>
  <c r="AJ28" i="25"/>
  <c r="AJ40" i="25"/>
  <c r="AJ46" i="25"/>
  <c r="AJ38" i="25"/>
  <c r="AJ42" i="25"/>
  <c r="AJ47" i="25"/>
  <c r="AJ50" i="25"/>
  <c r="AJ44" i="25"/>
  <c r="AJ56" i="25"/>
  <c r="AJ60" i="25"/>
  <c r="AJ64" i="25"/>
  <c r="AJ36" i="25"/>
  <c r="AE97" i="25"/>
  <c r="AE94" i="25"/>
  <c r="AE104" i="25"/>
  <c r="AE72" i="25"/>
  <c r="AE82" i="25"/>
  <c r="AE74" i="25"/>
  <c r="AE70" i="25"/>
  <c r="AE102" i="25"/>
  <c r="AE77" i="25"/>
  <c r="W94" i="25"/>
  <c r="W76" i="25"/>
  <c r="W78" i="25"/>
  <c r="W101" i="25"/>
  <c r="W7" i="25" s="1"/>
  <c r="W70" i="25"/>
  <c r="W108" i="25"/>
  <c r="W95" i="25"/>
  <c r="AF46" i="25"/>
  <c r="AF44" i="25"/>
  <c r="AF53" i="25"/>
  <c r="AF27" i="25"/>
  <c r="AF33" i="25"/>
  <c r="AF56" i="25"/>
  <c r="AF60" i="25"/>
  <c r="AF64" i="25"/>
  <c r="AF41" i="25"/>
  <c r="AF28" i="25"/>
  <c r="AF47" i="25"/>
  <c r="AF50" i="25"/>
  <c r="AF26" i="25"/>
  <c r="AF69" i="25" s="1"/>
  <c r="AF30" i="25"/>
  <c r="AF42" i="25"/>
  <c r="AF57" i="25"/>
  <c r="AF61" i="25"/>
  <c r="AF65" i="25"/>
  <c r="AF29" i="25"/>
  <c r="AF39" i="25"/>
  <c r="AK2" i="25"/>
  <c r="AF48" i="25"/>
  <c r="AF51" i="25"/>
  <c r="AF31" i="25"/>
  <c r="AF34" i="25"/>
  <c r="AF54" i="25"/>
  <c r="AF58" i="25"/>
  <c r="AF62" i="25"/>
  <c r="AF36" i="25"/>
  <c r="AF37" i="25"/>
  <c r="AF45" i="25"/>
  <c r="AF49" i="25"/>
  <c r="AF52" i="25"/>
  <c r="AF35" i="25"/>
  <c r="AF38" i="25"/>
  <c r="AF55" i="25"/>
  <c r="AF59" i="25"/>
  <c r="AF63" i="25"/>
  <c r="AF32" i="25"/>
  <c r="AF40" i="25"/>
  <c r="AA4" i="25"/>
  <c r="AA5" i="25" s="1"/>
  <c r="AA87" i="25"/>
  <c r="AA92" i="25"/>
  <c r="AA88" i="25"/>
  <c r="AM107" i="25"/>
  <c r="AM96" i="25"/>
  <c r="AM98" i="25"/>
  <c r="AM105" i="25"/>
  <c r="AI88" i="25"/>
  <c r="AE100" i="25"/>
  <c r="AE107" i="25"/>
  <c r="AE75" i="25"/>
  <c r="AE98" i="25"/>
  <c r="AE95" i="25"/>
  <c r="W82" i="25"/>
  <c r="W71" i="25"/>
  <c r="W106" i="25"/>
  <c r="W73" i="25"/>
  <c r="W74" i="25"/>
  <c r="W97" i="25"/>
  <c r="W104" i="25"/>
  <c r="W77" i="25"/>
  <c r="AA76" i="25"/>
  <c r="AA75" i="25"/>
  <c r="AA81" i="25"/>
  <c r="AA70" i="25"/>
  <c r="AA79" i="25"/>
  <c r="AM101" i="25"/>
  <c r="AM90" i="25"/>
  <c r="AI4" i="25"/>
  <c r="AI5" i="25" s="1"/>
  <c r="AI87" i="25"/>
  <c r="AI92" i="25"/>
  <c r="AI91" i="25"/>
  <c r="AE93" i="25"/>
  <c r="AE6" i="25" s="1"/>
  <c r="AE103" i="25"/>
  <c r="AE81" i="25"/>
  <c r="AE79" i="25"/>
  <c r="AE85" i="25"/>
  <c r="AE4" i="25"/>
  <c r="AE5" i="25" s="1"/>
  <c r="AE87" i="25"/>
  <c r="AE92" i="25"/>
  <c r="W98" i="25"/>
  <c r="W84" i="25"/>
  <c r="W75" i="25"/>
  <c r="W96" i="25"/>
  <c r="W79" i="25"/>
  <c r="W100" i="25"/>
  <c r="W4" i="25"/>
  <c r="W5" i="25" s="1"/>
  <c r="W92" i="25"/>
  <c r="W87" i="25"/>
  <c r="V8" i="25"/>
  <c r="AA73" i="25"/>
  <c r="AA91" i="25"/>
  <c r="AA78" i="25"/>
  <c r="AA89" i="25"/>
  <c r="AA80" i="25"/>
  <c r="AA98" i="25"/>
  <c r="AM108" i="25"/>
  <c r="AM99" i="25"/>
  <c r="AM88" i="25"/>
  <c r="AM106" i="25"/>
  <c r="AM94" i="25"/>
  <c r="AM97" i="25"/>
  <c r="AI89" i="25"/>
  <c r="AI100" i="25"/>
  <c r="AE108" i="25"/>
  <c r="AE84" i="25"/>
  <c r="AE99" i="25"/>
  <c r="AE96" i="25"/>
  <c r="AE106" i="25"/>
  <c r="AE80" i="25"/>
  <c r="AE89" i="25"/>
  <c r="W72" i="25"/>
  <c r="W99" i="25"/>
  <c r="W93" i="25"/>
  <c r="W6" i="25" s="1"/>
  <c r="W103" i="25"/>
  <c r="AB46" i="25"/>
  <c r="AB31" i="25"/>
  <c r="AB55" i="25"/>
  <c r="AB59" i="25"/>
  <c r="AB63" i="25"/>
  <c r="AB34" i="25"/>
  <c r="AB37" i="25"/>
  <c r="AB50" i="25"/>
  <c r="AB41" i="25"/>
  <c r="AB51" i="25"/>
  <c r="AB60" i="25"/>
  <c r="AB38" i="25"/>
  <c r="AB42" i="25"/>
  <c r="AB26" i="25"/>
  <c r="AB69" i="25" s="1"/>
  <c r="AB47" i="25"/>
  <c r="AB35" i="25"/>
  <c r="AB56" i="25"/>
  <c r="AB64" i="25"/>
  <c r="AB52" i="25"/>
  <c r="AB62" i="25"/>
  <c r="AB44" i="25"/>
  <c r="AB48" i="25"/>
  <c r="AB39" i="25"/>
  <c r="AB57" i="25"/>
  <c r="AB61" i="25"/>
  <c r="AB65" i="25"/>
  <c r="AB27" i="25"/>
  <c r="AB53" i="25"/>
  <c r="AB28" i="25"/>
  <c r="AB33" i="25"/>
  <c r="AG2" i="25"/>
  <c r="AB49" i="25"/>
  <c r="AB45" i="25"/>
  <c r="AB54" i="25"/>
  <c r="AB58" i="25"/>
  <c r="AB30" i="25"/>
  <c r="AB40" i="25"/>
  <c r="AB29" i="25"/>
  <c r="AB32" i="25"/>
  <c r="AB36" i="25"/>
  <c r="W105" i="25"/>
  <c r="W81" i="25"/>
  <c r="W85" i="25"/>
  <c r="W80" i="25"/>
  <c r="W89" i="25"/>
  <c r="W20" i="14"/>
  <c r="W21" i="14"/>
  <c r="W22" i="14"/>
  <c r="W19" i="14"/>
  <c r="U27" i="13"/>
  <c r="W16" i="14"/>
  <c r="W17" i="14"/>
  <c r="V36" i="13"/>
  <c r="W39" i="13"/>
  <c r="W34" i="13"/>
  <c r="W46" i="13"/>
  <c r="W51" i="13"/>
  <c r="I123" i="16"/>
  <c r="K123" i="16"/>
  <c r="K117" i="16"/>
  <c r="K122" i="16"/>
  <c r="W26" i="13"/>
  <c r="W21" i="13"/>
  <c r="W11" i="13"/>
  <c r="I119" i="16"/>
  <c r="W16" i="13"/>
  <c r="W9" i="13"/>
  <c r="W20" i="13"/>
  <c r="W23" i="13"/>
  <c r="W18" i="13"/>
  <c r="W52" i="13"/>
  <c r="W49" i="13"/>
  <c r="W41" i="13"/>
  <c r="W37" i="13"/>
  <c r="W38" i="13"/>
  <c r="H117" i="16"/>
  <c r="J123" i="16"/>
  <c r="J121" i="16"/>
  <c r="H116" i="16"/>
  <c r="W25" i="13"/>
  <c r="H123" i="16"/>
  <c r="W8" i="13"/>
  <c r="I116" i="16"/>
  <c r="W15" i="13"/>
  <c r="J118" i="16"/>
  <c r="I117" i="16"/>
  <c r="H121" i="16"/>
  <c r="I118" i="16"/>
  <c r="W14" i="13"/>
  <c r="W43" i="13"/>
  <c r="W40" i="13"/>
  <c r="W50" i="13"/>
  <c r="W42" i="13"/>
  <c r="H119" i="16"/>
  <c r="K121" i="16"/>
  <c r="W22" i="13"/>
  <c r="W17" i="13"/>
  <c r="W48" i="13"/>
  <c r="W44" i="13"/>
  <c r="W47" i="13"/>
  <c r="W35" i="13"/>
  <c r="H118" i="16"/>
  <c r="J117" i="16"/>
  <c r="K119" i="16"/>
  <c r="J116" i="16"/>
  <c r="W24" i="13"/>
  <c r="I121" i="16"/>
  <c r="J122" i="16"/>
  <c r="W13" i="13"/>
  <c r="J119" i="16"/>
  <c r="K116" i="16"/>
  <c r="I122" i="16"/>
  <c r="H122" i="16"/>
  <c r="W12" i="13"/>
  <c r="W18" i="14"/>
  <c r="G48" i="10"/>
  <c r="M9" i="10" s="1"/>
  <c r="V19" i="13"/>
  <c r="V10" i="13"/>
  <c r="D45" i="10"/>
  <c r="G45" i="10" s="1"/>
  <c r="M8" i="10" s="1"/>
  <c r="G46" i="10"/>
  <c r="D50" i="10"/>
  <c r="G50" i="10" s="1"/>
  <c r="M11" i="10" s="1"/>
  <c r="G51" i="10"/>
  <c r="V7" i="13"/>
  <c r="V45" i="13"/>
  <c r="V33" i="13"/>
  <c r="AB88" i="25" l="1"/>
  <c r="L111" i="16"/>
  <c r="Q137" i="16"/>
  <c r="J137" i="16"/>
  <c r="K136" i="16"/>
  <c r="R136" i="16"/>
  <c r="I138" i="16"/>
  <c r="P138" i="16"/>
  <c r="J132" i="16"/>
  <c r="Q132" i="16"/>
  <c r="H131" i="16"/>
  <c r="O131" i="16"/>
  <c r="E74" i="10"/>
  <c r="K133" i="16"/>
  <c r="R133" i="16"/>
  <c r="H133" i="16"/>
  <c r="O133" i="16"/>
  <c r="J136" i="16"/>
  <c r="Q136" i="16"/>
  <c r="J138" i="16"/>
  <c r="Q138" i="16"/>
  <c r="I134" i="16"/>
  <c r="P134" i="16"/>
  <c r="K138" i="16"/>
  <c r="R138" i="16"/>
  <c r="H134" i="16"/>
  <c r="O134" i="16"/>
  <c r="Q131" i="16"/>
  <c r="J131" i="16"/>
  <c r="I137" i="16"/>
  <c r="P137" i="16"/>
  <c r="C74" i="10"/>
  <c r="I133" i="16"/>
  <c r="P133" i="16"/>
  <c r="H132" i="16"/>
  <c r="O132" i="16"/>
  <c r="C72" i="10"/>
  <c r="I131" i="16"/>
  <c r="P131" i="16"/>
  <c r="H138" i="16"/>
  <c r="O138" i="16"/>
  <c r="H137" i="16"/>
  <c r="O137" i="16"/>
  <c r="E72" i="10"/>
  <c r="E71" i="10" s="1"/>
  <c r="R131" i="16"/>
  <c r="K131" i="16"/>
  <c r="H136" i="16"/>
  <c r="O136" i="16"/>
  <c r="I136" i="16"/>
  <c r="P136" i="16"/>
  <c r="K134" i="16"/>
  <c r="R134" i="16"/>
  <c r="J134" i="16"/>
  <c r="Q134" i="16"/>
  <c r="I132" i="16"/>
  <c r="P132" i="16"/>
  <c r="K132" i="16"/>
  <c r="R132" i="16"/>
  <c r="J133" i="16"/>
  <c r="Q133" i="16"/>
  <c r="K137" i="16"/>
  <c r="R137" i="16"/>
  <c r="AI8" i="25"/>
  <c r="K16" i="25"/>
  <c r="AF98" i="25"/>
  <c r="AB104" i="25"/>
  <c r="AB97" i="25"/>
  <c r="AA8" i="25"/>
  <c r="AB72" i="25"/>
  <c r="AF83" i="25"/>
  <c r="AF75" i="25"/>
  <c r="AJ93" i="25"/>
  <c r="AJ6" i="25" s="1"/>
  <c r="AF77" i="25"/>
  <c r="AF81" i="25"/>
  <c r="AF78" i="25"/>
  <c r="AF91" i="25"/>
  <c r="AJ76" i="25"/>
  <c r="W8" i="25"/>
  <c r="AJ81" i="25"/>
  <c r="AJ107" i="25"/>
  <c r="AF80" i="25"/>
  <c r="AJ103" i="25"/>
  <c r="AJ106" i="25"/>
  <c r="AF79" i="25"/>
  <c r="AJ99" i="25"/>
  <c r="AJ102" i="25"/>
  <c r="AJ79" i="25"/>
  <c r="AJ77" i="25"/>
  <c r="AJ80" i="25"/>
  <c r="AB76" i="25"/>
  <c r="AF101" i="25"/>
  <c r="AF7" i="25" s="1"/>
  <c r="AJ78" i="25"/>
  <c r="AB83" i="25"/>
  <c r="AB71" i="25"/>
  <c r="AF106" i="25"/>
  <c r="AJ83" i="25"/>
  <c r="AJ85" i="25"/>
  <c r="AJ71" i="25"/>
  <c r="AJ72" i="25"/>
  <c r="AJ89" i="25"/>
  <c r="AE8" i="25"/>
  <c r="AF88" i="25"/>
  <c r="AB101" i="25"/>
  <c r="AB7" i="25" s="1"/>
  <c r="AF74" i="25"/>
  <c r="AF82" i="25"/>
  <c r="AJ98" i="25"/>
  <c r="AJ105" i="25"/>
  <c r="AB108" i="25"/>
  <c r="AB91" i="25"/>
  <c r="AF72" i="25"/>
  <c r="AF85" i="25"/>
  <c r="AF90" i="25"/>
  <c r="AJ96" i="25"/>
  <c r="AB79" i="25"/>
  <c r="AB73" i="25"/>
  <c r="AF102" i="25"/>
  <c r="AB75" i="25"/>
  <c r="AG51" i="25"/>
  <c r="AG46" i="25"/>
  <c r="AG55" i="25"/>
  <c r="AG59" i="25"/>
  <c r="AG63" i="25"/>
  <c r="AG32" i="25"/>
  <c r="AG35" i="25"/>
  <c r="AG37" i="25"/>
  <c r="AG30" i="25"/>
  <c r="AG40" i="25"/>
  <c r="AG60" i="25"/>
  <c r="AG36" i="25"/>
  <c r="AG33" i="25"/>
  <c r="AG38" i="25"/>
  <c r="AG45" i="25"/>
  <c r="AG31" i="25"/>
  <c r="AG52" i="25"/>
  <c r="AG47" i="25"/>
  <c r="AG56" i="25"/>
  <c r="AG64" i="25"/>
  <c r="AG49" i="25"/>
  <c r="AG58" i="25"/>
  <c r="AG29" i="25"/>
  <c r="AG44" i="25"/>
  <c r="AG53" i="25"/>
  <c r="AG48" i="25"/>
  <c r="AG57" i="25"/>
  <c r="AG61" i="25"/>
  <c r="AG65" i="25"/>
  <c r="AG26" i="25"/>
  <c r="AG69" i="25" s="1"/>
  <c r="AG34" i="25"/>
  <c r="AG42" i="25"/>
  <c r="AG41" i="25"/>
  <c r="AG54" i="25"/>
  <c r="AG62" i="25"/>
  <c r="AG27" i="25"/>
  <c r="AG50" i="25"/>
  <c r="AG28" i="25"/>
  <c r="AG39" i="25"/>
  <c r="AL2" i="25"/>
  <c r="AB70" i="25"/>
  <c r="AB82" i="25"/>
  <c r="AB95" i="25"/>
  <c r="AB90" i="25"/>
  <c r="AB103" i="25"/>
  <c r="AB80" i="25"/>
  <c r="AB98" i="25"/>
  <c r="AF105" i="25"/>
  <c r="AF100" i="25"/>
  <c r="AF93" i="25"/>
  <c r="AF6" i="25" s="1"/>
  <c r="AF107" i="25"/>
  <c r="AF70" i="25"/>
  <c r="AJ4" i="25"/>
  <c r="AJ5" i="25" s="1"/>
  <c r="AJ92" i="25"/>
  <c r="AJ87" i="25"/>
  <c r="AJ95" i="25"/>
  <c r="AJ91" i="25"/>
  <c r="AM6" i="25"/>
  <c r="K14" i="25"/>
  <c r="K13" i="25"/>
  <c r="K17" i="25"/>
  <c r="AB107" i="25"/>
  <c r="AB94" i="25"/>
  <c r="AB77" i="25"/>
  <c r="AB74" i="25"/>
  <c r="AF94" i="25"/>
  <c r="AF103" i="25"/>
  <c r="AF96" i="25"/>
  <c r="AJ88" i="25"/>
  <c r="AJ101" i="25"/>
  <c r="AJ7" i="25" s="1"/>
  <c r="AJ75" i="25"/>
  <c r="AJ108" i="25"/>
  <c r="AJ70" i="25"/>
  <c r="AB4" i="25"/>
  <c r="AB5" i="25" s="1"/>
  <c r="AB87" i="25"/>
  <c r="AB92" i="25"/>
  <c r="AB99" i="25"/>
  <c r="AB85" i="25"/>
  <c r="AB84" i="25"/>
  <c r="AB106" i="25"/>
  <c r="AB89" i="25"/>
  <c r="K18" i="25"/>
  <c r="AF97" i="25"/>
  <c r="AF108" i="25"/>
  <c r="AF73" i="25"/>
  <c r="AF71" i="25"/>
  <c r="AF99" i="25"/>
  <c r="AF4" i="25"/>
  <c r="AF5" i="25" s="1"/>
  <c r="AF92" i="25"/>
  <c r="AF87" i="25"/>
  <c r="AJ90" i="25"/>
  <c r="AJ97" i="25"/>
  <c r="AJ84" i="25"/>
  <c r="AJ104" i="25"/>
  <c r="AJ94" i="25"/>
  <c r="AB96" i="25"/>
  <c r="AB100" i="25"/>
  <c r="AB105" i="25"/>
  <c r="AB78" i="25"/>
  <c r="AB81" i="25"/>
  <c r="AB93" i="25"/>
  <c r="AB6" i="25" s="1"/>
  <c r="AB102" i="25"/>
  <c r="AM7" i="25"/>
  <c r="K15" i="25"/>
  <c r="AF95" i="25"/>
  <c r="AK47" i="25"/>
  <c r="AK51" i="25"/>
  <c r="AK55" i="25"/>
  <c r="AK59" i="25"/>
  <c r="AK63" i="25"/>
  <c r="AK32" i="25"/>
  <c r="AK35" i="25"/>
  <c r="AK41" i="25"/>
  <c r="AK37" i="25"/>
  <c r="AK29" i="25"/>
  <c r="AK44" i="25"/>
  <c r="AK48" i="25"/>
  <c r="AK52" i="25"/>
  <c r="AK56" i="25"/>
  <c r="AK60" i="25"/>
  <c r="AK64" i="25"/>
  <c r="AK36" i="25"/>
  <c r="AK30" i="25"/>
  <c r="AK40" i="25"/>
  <c r="AK42" i="25"/>
  <c r="AK39" i="25"/>
  <c r="AK45" i="25"/>
  <c r="AK49" i="25"/>
  <c r="AK53" i="25"/>
  <c r="AK57" i="25"/>
  <c r="AK61" i="25"/>
  <c r="AK65" i="25"/>
  <c r="AK27" i="25"/>
  <c r="AK38" i="25"/>
  <c r="AK26" i="25"/>
  <c r="AK69" i="25" s="1"/>
  <c r="AK34" i="25"/>
  <c r="AK33" i="25"/>
  <c r="AK46" i="25"/>
  <c r="AK50" i="25"/>
  <c r="AK54" i="25"/>
  <c r="AK58" i="25"/>
  <c r="AK62" i="25"/>
  <c r="AK28" i="25"/>
  <c r="AK31" i="25"/>
  <c r="AF104" i="25"/>
  <c r="AF84" i="25"/>
  <c r="AF76" i="25"/>
  <c r="AF89" i="25"/>
  <c r="AJ73" i="25"/>
  <c r="AJ74" i="25"/>
  <c r="AJ82" i="25"/>
  <c r="AJ100" i="25"/>
  <c r="AM34" i="13"/>
  <c r="K120" i="16"/>
  <c r="I120" i="16"/>
  <c r="J120" i="16"/>
  <c r="D63" i="10"/>
  <c r="G63" i="10" s="1"/>
  <c r="AB19" i="14"/>
  <c r="AB18" i="14"/>
  <c r="D58" i="10"/>
  <c r="V27" i="13"/>
  <c r="V53" i="13"/>
  <c r="M12" i="10"/>
  <c r="L118" i="16"/>
  <c r="W7" i="13"/>
  <c r="L123" i="16"/>
  <c r="AB17" i="14"/>
  <c r="K115" i="16"/>
  <c r="L121" i="16"/>
  <c r="H120" i="16"/>
  <c r="I115" i="16"/>
  <c r="H115" i="16"/>
  <c r="L116" i="16"/>
  <c r="W33" i="13"/>
  <c r="AH33" i="13" s="1"/>
  <c r="W36" i="13"/>
  <c r="AC34" i="13" s="1"/>
  <c r="L119" i="16"/>
  <c r="D53" i="10"/>
  <c r="G53" i="10" s="1"/>
  <c r="L122" i="16"/>
  <c r="J115" i="16"/>
  <c r="L117" i="16"/>
  <c r="W19" i="13"/>
  <c r="W10" i="13"/>
  <c r="AM33" i="13"/>
  <c r="W45" i="13"/>
  <c r="AK101" i="25" l="1"/>
  <c r="AK7" i="25" s="1"/>
  <c r="AK105" i="25"/>
  <c r="AK100" i="25"/>
  <c r="H130" i="16"/>
  <c r="O130" i="16"/>
  <c r="S132" i="16"/>
  <c r="L132" i="16"/>
  <c r="E79" i="10"/>
  <c r="J135" i="16"/>
  <c r="Q135" i="16"/>
  <c r="K130" i="16"/>
  <c r="R130" i="16"/>
  <c r="J130" i="16"/>
  <c r="Q130" i="16"/>
  <c r="L137" i="16"/>
  <c r="S137" i="16"/>
  <c r="I135" i="16"/>
  <c r="P135" i="16"/>
  <c r="H135" i="16"/>
  <c r="O135" i="16"/>
  <c r="L134" i="16"/>
  <c r="S134" i="16"/>
  <c r="I130" i="16"/>
  <c r="P130" i="16"/>
  <c r="L138" i="16"/>
  <c r="S138" i="16"/>
  <c r="K135" i="16"/>
  <c r="R135" i="16"/>
  <c r="L133" i="16"/>
  <c r="S133" i="16"/>
  <c r="L136" i="16"/>
  <c r="S136" i="16"/>
  <c r="S131" i="16"/>
  <c r="L131" i="16"/>
  <c r="AJ8" i="25"/>
  <c r="AK95" i="25"/>
  <c r="AK90" i="25"/>
  <c r="K19" i="25"/>
  <c r="AG97" i="25"/>
  <c r="AK97" i="25"/>
  <c r="AK89" i="25"/>
  <c r="AK108" i="25"/>
  <c r="AG105" i="25"/>
  <c r="AG108" i="25"/>
  <c r="AG104" i="25"/>
  <c r="AB8" i="25"/>
  <c r="AG100" i="25"/>
  <c r="AF8" i="25"/>
  <c r="AG71" i="25"/>
  <c r="AG93" i="25"/>
  <c r="AG6" i="25" s="1"/>
  <c r="AG96" i="25"/>
  <c r="AK88" i="25"/>
  <c r="AK71" i="25"/>
  <c r="AM35" i="13"/>
  <c r="AG99" i="25"/>
  <c r="AG70" i="25"/>
  <c r="AG85" i="25"/>
  <c r="AG107" i="25"/>
  <c r="AG74" i="25"/>
  <c r="AG79" i="25"/>
  <c r="AG80" i="25"/>
  <c r="AG102" i="25"/>
  <c r="AK93" i="25"/>
  <c r="AK6" i="25" s="1"/>
  <c r="AK104" i="25"/>
  <c r="AK99" i="25"/>
  <c r="AK94" i="25"/>
  <c r="AG82" i="25"/>
  <c r="AG77" i="25"/>
  <c r="AG72" i="25"/>
  <c r="AG103" i="25"/>
  <c r="AG78" i="25"/>
  <c r="AG84" i="25"/>
  <c r="AK81" i="25"/>
  <c r="AK82" i="25"/>
  <c r="AK79" i="25"/>
  <c r="AK80" i="25"/>
  <c r="AK106" i="25"/>
  <c r="AG88" i="25"/>
  <c r="AG98" i="25"/>
  <c r="AK72" i="25"/>
  <c r="AK76" i="25"/>
  <c r="AK70" i="25"/>
  <c r="AK96" i="25"/>
  <c r="AK85" i="25"/>
  <c r="AK107" i="25"/>
  <c r="AK91" i="25"/>
  <c r="AK84" i="25"/>
  <c r="AK102" i="25"/>
  <c r="AM8" i="25"/>
  <c r="AG91" i="25"/>
  <c r="AG101" i="25"/>
  <c r="AG7" i="25" s="1"/>
  <c r="AG90" i="25"/>
  <c r="AG81" i="25"/>
  <c r="AG83" i="25"/>
  <c r="AG75" i="25"/>
  <c r="AG89" i="25"/>
  <c r="AK73" i="25"/>
  <c r="AK75" i="25"/>
  <c r="AL48" i="25"/>
  <c r="AL55" i="25"/>
  <c r="AL59" i="25"/>
  <c r="AL63" i="25"/>
  <c r="AL33" i="25"/>
  <c r="AL32" i="25"/>
  <c r="AL27" i="25"/>
  <c r="AL41" i="25"/>
  <c r="AL50" i="25"/>
  <c r="AL45" i="25"/>
  <c r="AL26" i="25"/>
  <c r="AL69" i="25" s="1"/>
  <c r="AL56" i="25"/>
  <c r="AL60" i="25"/>
  <c r="AL64" i="25"/>
  <c r="AL37" i="25"/>
  <c r="AL36" i="25"/>
  <c r="AL31" i="25"/>
  <c r="AL30" i="25"/>
  <c r="AL52" i="25"/>
  <c r="AL35" i="25"/>
  <c r="AL46" i="25"/>
  <c r="AL49" i="25"/>
  <c r="AL57" i="25"/>
  <c r="AL61" i="25"/>
  <c r="AL65" i="25"/>
  <c r="AL44" i="25"/>
  <c r="AL51" i="25"/>
  <c r="AL40" i="25"/>
  <c r="AL38" i="25"/>
  <c r="AL47" i="25"/>
  <c r="AL54" i="25"/>
  <c r="AL58" i="25"/>
  <c r="AL62" i="25"/>
  <c r="AL29" i="25"/>
  <c r="AL28" i="25"/>
  <c r="AL53" i="25"/>
  <c r="AL42" i="25"/>
  <c r="AL39" i="25"/>
  <c r="AL34" i="25"/>
  <c r="AG4" i="25"/>
  <c r="AG5" i="25" s="1"/>
  <c r="AG87" i="25"/>
  <c r="AG92" i="25"/>
  <c r="AK74" i="25"/>
  <c r="AK77" i="25"/>
  <c r="AK83" i="25"/>
  <c r="AK103" i="25"/>
  <c r="AK4" i="25"/>
  <c r="AK5" i="25" s="1"/>
  <c r="AK92" i="25"/>
  <c r="AK87" i="25"/>
  <c r="AK78" i="25"/>
  <c r="AK98" i="25"/>
  <c r="AG95" i="25"/>
  <c r="AG76" i="25"/>
  <c r="AG73" i="25"/>
  <c r="AG106" i="25"/>
  <c r="AG94" i="25"/>
  <c r="L115" i="16"/>
  <c r="I124" i="16"/>
  <c r="L120" i="16"/>
  <c r="AB20" i="14"/>
  <c r="K124" i="16"/>
  <c r="G58" i="10"/>
  <c r="D66" i="10"/>
  <c r="G66" i="10" s="1"/>
  <c r="W27" i="13"/>
  <c r="AC8" i="13" s="1"/>
  <c r="AC36" i="13"/>
  <c r="AC35" i="13"/>
  <c r="W53" i="13"/>
  <c r="J124" i="16"/>
  <c r="AC38" i="13"/>
  <c r="AC33" i="13"/>
  <c r="C71" i="10"/>
  <c r="AC37" i="13"/>
  <c r="AH34" i="13"/>
  <c r="AH35" i="13" s="1"/>
  <c r="H124" i="16"/>
  <c r="AK8" i="25" l="1"/>
  <c r="AL85" i="25"/>
  <c r="L135" i="16"/>
  <c r="S135" i="16"/>
  <c r="I139" i="16"/>
  <c r="P139" i="16"/>
  <c r="L130" i="16"/>
  <c r="S130" i="16"/>
  <c r="J139" i="16"/>
  <c r="Q139" i="16"/>
  <c r="K139" i="16"/>
  <c r="R139" i="16"/>
  <c r="H139" i="16"/>
  <c r="O139" i="16"/>
  <c r="AG8" i="25"/>
  <c r="AL90" i="25"/>
  <c r="AL73" i="25"/>
  <c r="AL81" i="25"/>
  <c r="AL74" i="25"/>
  <c r="AL83" i="25"/>
  <c r="AL71" i="25"/>
  <c r="AL72" i="25"/>
  <c r="AL77" i="25"/>
  <c r="AL80" i="25"/>
  <c r="AL82" i="25"/>
  <c r="AL78" i="25"/>
  <c r="AL105" i="25"/>
  <c r="AL89" i="25"/>
  <c r="AL108" i="25"/>
  <c r="AL96" i="25"/>
  <c r="AL101" i="25"/>
  <c r="AL7" i="25" s="1"/>
  <c r="AL97" i="25"/>
  <c r="AL94" i="25"/>
  <c r="D72" i="10"/>
  <c r="G72" i="10" s="1"/>
  <c r="D75" i="10"/>
  <c r="G75" i="10" s="1"/>
  <c r="N10" i="10" s="1"/>
  <c r="D74" i="10"/>
  <c r="G74" i="10" s="1"/>
  <c r="N9" i="10" s="1"/>
  <c r="D77" i="10"/>
  <c r="D78" i="10"/>
  <c r="G78" i="10" s="1"/>
  <c r="D73" i="10"/>
  <c r="G73" i="10" s="1"/>
  <c r="AL4" i="25"/>
  <c r="AL5" i="25" s="1"/>
  <c r="AL87" i="25"/>
  <c r="AL92" i="25"/>
  <c r="AL107" i="25"/>
  <c r="AL88" i="25"/>
  <c r="AL75" i="25"/>
  <c r="AL98" i="25"/>
  <c r="AL103" i="25"/>
  <c r="AL93" i="25"/>
  <c r="AL6" i="25" s="1"/>
  <c r="AL76" i="25"/>
  <c r="AL91" i="25"/>
  <c r="AL104" i="25"/>
  <c r="AL79" i="25"/>
  <c r="AL99" i="25"/>
  <c r="AL84" i="25"/>
  <c r="AL106" i="25"/>
  <c r="AL100" i="25"/>
  <c r="AL95" i="25"/>
  <c r="AL70" i="25"/>
  <c r="AL102" i="25"/>
  <c r="AC39" i="13"/>
  <c r="L124" i="16"/>
  <c r="C79" i="10"/>
  <c r="L139" i="16" l="1"/>
  <c r="S139" i="16"/>
  <c r="AL8" i="25"/>
  <c r="D76" i="10"/>
  <c r="G76" i="10" s="1"/>
  <c r="N11" i="10" s="1"/>
  <c r="D71" i="10"/>
  <c r="G71" i="10" s="1"/>
  <c r="N8" i="10" s="1"/>
  <c r="G77" i="10"/>
  <c r="N12" i="10" l="1"/>
  <c r="D79" i="10"/>
  <c r="G79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CALLONNEC Gaël</author>
  </authors>
  <commentList>
    <comment ref="S7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CALLONNEC Gaël:</t>
        </r>
        <r>
          <rPr>
            <sz val="9"/>
            <color indexed="81"/>
            <rFont val="Tahoma"/>
            <family val="2"/>
          </rPr>
          <t xml:space="preserve">
Cela est dû à un problème de report modal fioul gaz dans le résidentiel voir onglet suivant.</t>
        </r>
      </text>
    </comment>
    <comment ref="S33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CALLONNEC Gaël:</t>
        </r>
        <r>
          <rPr>
            <sz val="9"/>
            <color indexed="81"/>
            <rFont val="Tahoma"/>
            <family val="2"/>
          </rPr>
          <t xml:space="preserve">
Cela est dû à un problème de report modal fioul gaz dans le résidentiel voir onglet suivant.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CALLONNEC Gaël</author>
  </authors>
  <commentList>
    <comment ref="G16" authorId="0" shapeId="0" xr:uid="{00000000-0006-0000-0700-000001000000}">
      <text>
        <r>
          <rPr>
            <b/>
            <sz val="9"/>
            <color indexed="81"/>
            <rFont val="Tahoma"/>
            <family val="2"/>
          </rPr>
          <t>CALLONNEC Gaël:</t>
        </r>
        <r>
          <rPr>
            <sz val="9"/>
            <color indexed="81"/>
            <rFont val="Tahoma"/>
            <family val="2"/>
          </rPr>
          <t xml:space="preserve">
la différence correspond au consommation de gaz du secteur 2201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CALLONNEC Gaël</author>
  </authors>
  <commentList>
    <comment ref="S27" authorId="0" shapeId="0" xr:uid="{00000000-0006-0000-0900-000001000000}">
      <text>
        <r>
          <rPr>
            <b/>
            <sz val="9"/>
            <color indexed="81"/>
            <rFont val="Tahoma"/>
            <family val="2"/>
          </rPr>
          <t>CALLONNEC Gaël:</t>
        </r>
        <r>
          <rPr>
            <sz val="9"/>
            <color indexed="81"/>
            <rFont val="Tahoma"/>
            <family val="2"/>
          </rPr>
          <t xml:space="preserve">
Cela est dû à un problème de report modal fioul gaz dans le résidentiel voir onglet suivant.</t>
        </r>
      </text>
    </comment>
    <comment ref="S35" authorId="0" shapeId="0" xr:uid="{00000000-0006-0000-0900-000002000000}">
      <text>
        <r>
          <rPr>
            <b/>
            <sz val="9"/>
            <color indexed="81"/>
            <rFont val="Tahoma"/>
            <family val="2"/>
          </rPr>
          <t>CALLONNEC Gaël:</t>
        </r>
        <r>
          <rPr>
            <sz val="9"/>
            <color indexed="81"/>
            <rFont val="Tahoma"/>
            <family val="2"/>
          </rPr>
          <t xml:space="preserve">
Cela est dû à un problème de report modal fioul gaz dans le résidentiel voir onglet suivant.</t>
        </r>
      </text>
    </comment>
    <comment ref="S70" authorId="0" shapeId="0" xr:uid="{00000000-0006-0000-0900-000003000000}">
      <text>
        <r>
          <rPr>
            <b/>
            <sz val="9"/>
            <color indexed="81"/>
            <rFont val="Tahoma"/>
            <family val="2"/>
          </rPr>
          <t>CALLONNEC Gaël:</t>
        </r>
        <r>
          <rPr>
            <sz val="9"/>
            <color indexed="81"/>
            <rFont val="Tahoma"/>
            <family val="2"/>
          </rPr>
          <t xml:space="preserve">
Cela est dû à un problème de report modal fioul gaz dans le résidentiel voir onglet suivant.</t>
        </r>
      </text>
    </comment>
    <comment ref="S78" authorId="0" shapeId="0" xr:uid="{00000000-0006-0000-0900-000004000000}">
      <text>
        <r>
          <rPr>
            <b/>
            <sz val="9"/>
            <color indexed="81"/>
            <rFont val="Tahoma"/>
            <family val="2"/>
          </rPr>
          <t>CALLONNEC Gaël:</t>
        </r>
        <r>
          <rPr>
            <sz val="9"/>
            <color indexed="81"/>
            <rFont val="Tahoma"/>
            <family val="2"/>
          </rPr>
          <t xml:space="preserve">
Cela est dû à un problème de report modal fioul gaz dans le résidentiel voir onglet suivant.</t>
        </r>
      </text>
    </comment>
  </commentList>
</comments>
</file>

<file path=xl/sharedStrings.xml><?xml version="1.0" encoding="utf-8"?>
<sst xmlns="http://schemas.openxmlformats.org/spreadsheetml/2006/main" count="1758" uniqueCount="581">
  <si>
    <t>Refined petroleum products</t>
  </si>
  <si>
    <t>Total</t>
  </si>
  <si>
    <t>Oil</t>
  </si>
  <si>
    <t>Biofuels</t>
  </si>
  <si>
    <t>Electric power generation, transmission and distribution</t>
  </si>
  <si>
    <t>Nuclear</t>
  </si>
  <si>
    <t>Fuel</t>
  </si>
  <si>
    <t>Combined gas</t>
  </si>
  <si>
    <t>Coal</t>
  </si>
  <si>
    <t>Wind</t>
  </si>
  <si>
    <t>Solar</t>
  </si>
  <si>
    <t>Hydraulic</t>
  </si>
  <si>
    <t>Cogeneration (CHP)</t>
  </si>
  <si>
    <t>Natural gas</t>
  </si>
  <si>
    <t>Wood</t>
  </si>
  <si>
    <t>Biogas</t>
  </si>
  <si>
    <t>Waste incineration</t>
  </si>
  <si>
    <t>Geothermal</t>
  </si>
  <si>
    <t>Transport</t>
  </si>
  <si>
    <t>Personal vehicles</t>
  </si>
  <si>
    <t xml:space="preserve">Public and freight transport </t>
  </si>
  <si>
    <t>Residential</t>
  </si>
  <si>
    <t>Service</t>
  </si>
  <si>
    <t>Industry and agriculture</t>
  </si>
  <si>
    <t xml:space="preserve">Industry </t>
  </si>
  <si>
    <t>Agriculture</t>
  </si>
  <si>
    <t>Total Final Mtep</t>
  </si>
  <si>
    <t>Class A</t>
  </si>
  <si>
    <t>Class B</t>
  </si>
  <si>
    <t>Class C</t>
  </si>
  <si>
    <t>Class D</t>
  </si>
  <si>
    <t>Class E</t>
  </si>
  <si>
    <t>Class F</t>
  </si>
  <si>
    <t>Class G</t>
  </si>
  <si>
    <t>Electricity</t>
  </si>
  <si>
    <t>Gas</t>
  </si>
  <si>
    <t>coal</t>
  </si>
  <si>
    <t>oil</t>
  </si>
  <si>
    <t>elec</t>
  </si>
  <si>
    <t>gas</t>
  </si>
  <si>
    <t>decarb</t>
  </si>
  <si>
    <t>Total Final MTEC</t>
  </si>
  <si>
    <t>charbon</t>
  </si>
  <si>
    <t>Verif</t>
  </si>
  <si>
    <t>stock of housing and %</t>
  </si>
  <si>
    <t>ER_AUTO_0</t>
  </si>
  <si>
    <t>ER_AUTO_TH_A_0</t>
  </si>
  <si>
    <t>ER_AUTO_TH_B_0</t>
  </si>
  <si>
    <t>ER_AUTO_TH_C_0</t>
  </si>
  <si>
    <t>ER_AUTO_TH_D_0</t>
  </si>
  <si>
    <t>ER_AUTO_TH_E_0</t>
  </si>
  <si>
    <t>ER_AUTO_TH_F_0</t>
  </si>
  <si>
    <t>ER_AUTO_TH_G_0</t>
  </si>
  <si>
    <t>ER_AUTO_ELEC_A_0</t>
  </si>
  <si>
    <t>ER_AUTO_ELEC_B_0</t>
  </si>
  <si>
    <t>ER_AUTO_ELEC_C_0</t>
  </si>
  <si>
    <t>ER_AUTO_ELEC_D_0</t>
  </si>
  <si>
    <t>ER_AUTO_ELEC_E_0</t>
  </si>
  <si>
    <t>ER_AUTO_ELEC_F_0</t>
  </si>
  <si>
    <t>ER_AUTO_ELEC_G_0</t>
  </si>
  <si>
    <t>ER_AUTO_COAL_0</t>
  </si>
  <si>
    <t>ER_AUTO_TH_0</t>
  </si>
  <si>
    <t>ER_AUTO_ELEC_0</t>
  </si>
  <si>
    <t>ER_AUTO_GAS_0</t>
  </si>
  <si>
    <t>ER_NEWAUTO_0</t>
  </si>
  <si>
    <t>ER_NEWAUTO_TH_0</t>
  </si>
  <si>
    <t>ER_NEWAUTO_TH_A_0</t>
  </si>
  <si>
    <t>ER_NEWAUTO_TH_B_0</t>
  </si>
  <si>
    <t>ER_NEWAUTO_TH_C_0</t>
  </si>
  <si>
    <t>ER_NEWAUTO_TH_D_0</t>
  </si>
  <si>
    <t>ER_NEWAUTO_TH_E_0</t>
  </si>
  <si>
    <t>ER_NEWAUTO_TH_F_0</t>
  </si>
  <si>
    <t>ER_NEWAUTO_TH_G_0</t>
  </si>
  <si>
    <t>ER_NEWAUTO_ELEC_0</t>
  </si>
  <si>
    <t>ER_NEWAUTO_ELEC_A_0</t>
  </si>
  <si>
    <t>ER_NEWAUTO_ELEC_B_0</t>
  </si>
  <si>
    <t>ER_NEWAUTO_ELEC_C_0</t>
  </si>
  <si>
    <t>ER_NEWAUTO_ELEC_D_0</t>
  </si>
  <si>
    <t>ER_NEWAUTO_ELEC_E_0</t>
  </si>
  <si>
    <t>ER_NEWAUTO_ELEC_F_0</t>
  </si>
  <si>
    <t>ER_NEWAUTO_ELEC_G_0</t>
  </si>
  <si>
    <t>ER_BUIL_0</t>
  </si>
  <si>
    <t>ER_BUIL_A_0</t>
  </si>
  <si>
    <t>ER_BUIL_B_0</t>
  </si>
  <si>
    <t>ER_BUIL_C_0</t>
  </si>
  <si>
    <t>ER_BUIL_D_0</t>
  </si>
  <si>
    <t>ER_BUIL_E_0</t>
  </si>
  <si>
    <t>ER_BUIL_F_0</t>
  </si>
  <si>
    <t>ER_BUIL_G_0</t>
  </si>
  <si>
    <t>ER_Oil_0</t>
  </si>
  <si>
    <t>ER_elec_0</t>
  </si>
  <si>
    <t>ER_Gas_0</t>
  </si>
  <si>
    <t>ER_coal_0</t>
  </si>
  <si>
    <t>ER_Total_0</t>
  </si>
  <si>
    <t>electric</t>
  </si>
  <si>
    <t>Combustion</t>
  </si>
  <si>
    <t>ER_Elec_2301_0</t>
  </si>
  <si>
    <t>ER_elec_2302_0</t>
  </si>
  <si>
    <t>ER_Elec_2303_0</t>
  </si>
  <si>
    <t>ER_elec_2304_0</t>
  </si>
  <si>
    <t>ER_Elec_2305_0</t>
  </si>
  <si>
    <t>ER_elec_2306_0</t>
  </si>
  <si>
    <t>ER_Elec_2307_0</t>
  </si>
  <si>
    <t>ER_elec_2308_0</t>
  </si>
  <si>
    <t>ER_oil_2201_0</t>
  </si>
  <si>
    <t>ER_oil_2202_0</t>
  </si>
  <si>
    <t>ER_Gas_2401_0</t>
  </si>
  <si>
    <t>ER_Gas_2402_0</t>
  </si>
  <si>
    <t>ER_Gas_2403_0</t>
  </si>
  <si>
    <t>ER_Gas_2404_0</t>
  </si>
  <si>
    <t>ER_Gas_2405_0</t>
  </si>
  <si>
    <t>ER_Gas_2406_0</t>
  </si>
  <si>
    <t>Q_Mtep_ep_2201_0</t>
  </si>
  <si>
    <t>Q_Mtep_ep_2202_0</t>
  </si>
  <si>
    <t>Q_Mtep_ep_2301_0</t>
  </si>
  <si>
    <t>Q_Mtep_ep_2302_0</t>
  </si>
  <si>
    <t>Q_Mtep_ep_2303_0</t>
  </si>
  <si>
    <t>Q_Mtep_ep_2304_0</t>
  </si>
  <si>
    <t>Q_Mtep_ep_2305_0</t>
  </si>
  <si>
    <t>Q_Mtep_ep_2306_0</t>
  </si>
  <si>
    <t>Q_Mtep_ep_2307_0</t>
  </si>
  <si>
    <t>Q_Mtep_ep_2308_0</t>
  </si>
  <si>
    <t>Q_Mtep_ep_2401_0</t>
  </si>
  <si>
    <t>Q_Mtep_ep_2402_0</t>
  </si>
  <si>
    <t>Q_Mtep_ep_2403_0</t>
  </si>
  <si>
    <t>Q_Mtep_ep_2404_0</t>
  </si>
  <si>
    <t>Q_Mtep_ep_2405_0</t>
  </si>
  <si>
    <t>Q_Mtep_ep_2406_0</t>
  </si>
  <si>
    <t>Q_Mtep_ep_21_0</t>
  </si>
  <si>
    <t>Industry non energetic uses</t>
  </si>
  <si>
    <t>gas biogas biomass</t>
  </si>
  <si>
    <t>fuel and biofuel</t>
  </si>
  <si>
    <t>Hors bois domestique non marchand, avec consommation à double usage</t>
  </si>
  <si>
    <t>New vehicle sales</t>
  </si>
  <si>
    <t>stock of vehicles</t>
  </si>
  <si>
    <t>Gas and heat</t>
  </si>
  <si>
    <t>Basse consommation</t>
  </si>
  <si>
    <t xml:space="preserve">Consommation modérée </t>
  </si>
  <si>
    <t>Faiblement émettrices</t>
  </si>
  <si>
    <t>Modérément émettrices</t>
  </si>
  <si>
    <t>Fortement émettrices</t>
  </si>
  <si>
    <t>Electriques</t>
  </si>
  <si>
    <t>Passoires énergétiques</t>
  </si>
  <si>
    <t>nucléaire</t>
  </si>
  <si>
    <t>solaire</t>
  </si>
  <si>
    <t xml:space="preserve">éolien </t>
  </si>
  <si>
    <t>autres renouvelables</t>
  </si>
  <si>
    <t>biocarburants</t>
  </si>
  <si>
    <t>gaz naturel</t>
  </si>
  <si>
    <t>biogaz</t>
  </si>
  <si>
    <t>Energie primaire</t>
  </si>
  <si>
    <t>Automobile - synthèse</t>
  </si>
  <si>
    <t>verif</t>
  </si>
  <si>
    <t>parc automobile (milliers)</t>
  </si>
  <si>
    <t>parc automobile (M)</t>
  </si>
  <si>
    <t>parc véhicules élec (%)</t>
  </si>
  <si>
    <t>parc véhicules thermiques (%)</t>
  </si>
  <si>
    <t>TEND</t>
  </si>
  <si>
    <t>ER_AUTO_0/1000</t>
  </si>
  <si>
    <t>ER_AUTO_ELEC_0/ER_AUTO_0</t>
  </si>
  <si>
    <t>part véhicules thermiques</t>
  </si>
  <si>
    <t>Automobile - detail</t>
  </si>
  <si>
    <t>Ventes (milliers)</t>
  </si>
  <si>
    <t>Parc (milliers)</t>
  </si>
  <si>
    <t>Ventes (%)</t>
  </si>
  <si>
    <t>Parc (%)</t>
  </si>
  <si>
    <t>ER_NEWAUTO_ELEC_0/ER_NEWAUTO_0</t>
  </si>
  <si>
    <t>ER_NEWAUTO_ELEC_A_0/ER_NEWAUTO_0</t>
  </si>
  <si>
    <t>ER_NEWAUTO_ELEC_B_0/ER_NEWAUTO_0</t>
  </si>
  <si>
    <t>ER_NEWAUTO_ELEC_C_0/ER_NEWAUTO_0</t>
  </si>
  <si>
    <t>ER_NEWAUTO_ELEC_D_0/ER_NEWAUTO_0</t>
  </si>
  <si>
    <t>ER_NEWAUTO_ELEC_E_0/ER_NEWAUTO_0</t>
  </si>
  <si>
    <t>ER_NEWAUTO_ELEC_F_0/ER_NEWAUTO_0</t>
  </si>
  <si>
    <t>ER_NEWAUTO_ELEC_G_0/ER_NEWAUTO_0</t>
  </si>
  <si>
    <t>ER_NEWAUTO_TH_0/ER_NEWAUTO_0</t>
  </si>
  <si>
    <t>ER_NEWAUTO_TH_A_0/ER_NEWAUTO_0</t>
  </si>
  <si>
    <t>ER_NEWAUTO_TH_B_0/ER_NEWAUTO_0</t>
  </si>
  <si>
    <t>ER_NEWAUTO_TH_C_0/ER_NEWAUTO_0</t>
  </si>
  <si>
    <t>ER_NEWAUTO_TH_D_0/ER_NEWAUTO_0</t>
  </si>
  <si>
    <t>ER_NEWAUTO_TH_E_0/ER_NEWAUTO_0</t>
  </si>
  <si>
    <t>ER_NEWAUTO_TH_F_0/ER_NEWAUTO_0</t>
  </si>
  <si>
    <t>ER_NEWAUTO_TH_G_0/ER_NEWAUTO_0</t>
  </si>
  <si>
    <t>ER_AUTO_COAL_0/ER_AUTO_0</t>
  </si>
  <si>
    <t>ER_AUTO_TH_0/ER_AUTO_0</t>
  </si>
  <si>
    <t>ER_AUTO_GAS_0/ER_AUTO_0</t>
  </si>
  <si>
    <t>ER_AUTO_ELEC_A_0/ER_AUTO_0</t>
  </si>
  <si>
    <t>ER_AUTO_ELEC_B_0/ER_AUTO_0</t>
  </si>
  <si>
    <t>ER_AUTO_ELEC_C_0/ER_AUTO_0</t>
  </si>
  <si>
    <t>ER_AUTO_ELEC_D_0/ER_AUTO_0</t>
  </si>
  <si>
    <t>ER_AUTO_ELEC_E_0/ER_AUTO_0</t>
  </si>
  <si>
    <t>ER_AUTO_ELEC_F_0/ER_AUTO_0</t>
  </si>
  <si>
    <t>ER_AUTO_ELEC_G_0/ER_AUTO_0</t>
  </si>
  <si>
    <t>ER_AUTO_TH_A_0/ER_AUTO_0</t>
  </si>
  <si>
    <t>ER_AUTO_TH_B_0/ER_AUTO_0</t>
  </si>
  <si>
    <t>ER_AUTO_TH_C_0/ER_AUTO_0</t>
  </si>
  <si>
    <t>ER_AUTO_TH_D_0/ER_AUTO_0</t>
  </si>
  <si>
    <t>ER_AUTO_TH_E_0/ER_AUTO_0</t>
  </si>
  <si>
    <t>ER_AUTO_TH_F_0/ER_AUTO_0</t>
  </si>
  <si>
    <t>ER_AUTO_TH_G_0/ER_AUTO_0</t>
  </si>
  <si>
    <t>Energie primaire (Mtep)</t>
  </si>
  <si>
    <t>Energie finale (Mtep)</t>
  </si>
  <si>
    <t>Consos résultats de ThreeME</t>
  </si>
  <si>
    <t>Consos cibles d'Enerdata</t>
  </si>
  <si>
    <t>Hors bois domestique auto produit (8MTEP entre 2015 et 2030 4 Mtep en 2050)</t>
  </si>
  <si>
    <t>Emissions CO2 (MtCO2)</t>
  </si>
  <si>
    <t>Residentiel</t>
  </si>
  <si>
    <t>Industrie et agriculture</t>
  </si>
  <si>
    <t>Cf. onglet "G emissions"</t>
  </si>
  <si>
    <t>Cf. onglet "G énergie"</t>
  </si>
  <si>
    <t>Cf. onglet "G mix elec"</t>
  </si>
  <si>
    <t xml:space="preserve">Total </t>
  </si>
  <si>
    <t>hydraulique</t>
  </si>
  <si>
    <t>Cf. onglet "G mix carb"</t>
  </si>
  <si>
    <t>Cf. onglet "G mix gaz"</t>
  </si>
  <si>
    <t>carburants fossiles</t>
  </si>
  <si>
    <t>Energie par vecteur énergétique</t>
  </si>
  <si>
    <t>Energie par usage</t>
  </si>
  <si>
    <t>Logement</t>
  </si>
  <si>
    <t>Parc logement (m²)</t>
  </si>
  <si>
    <t>Parc logement (%)</t>
  </si>
  <si>
    <t>Cf. onglet "G parc logt"</t>
  </si>
  <si>
    <t>1) Copier-coller sorties Eviews en B2
2) veillez à ce que les données commencent en 2004
3) modifier le scénario si besoin en B1</t>
  </si>
  <si>
    <t>Différences en 2050 résultant des modifs de chocs</t>
  </si>
  <si>
    <t>Ecarts par rapport à la cible</t>
  </si>
  <si>
    <t>ER_TRANS_PRIVATE_coal_2</t>
  </si>
  <si>
    <t>ER_TRANS_PRIVATE_oil_2</t>
  </si>
  <si>
    <t>ER_TRANS_PRIVATE_elec_2</t>
  </si>
  <si>
    <t>ER_TRANS_PRIVATE_gas_2</t>
  </si>
  <si>
    <t>ER_TRANS_PUBLIC_coal_2</t>
  </si>
  <si>
    <t>ER_TRANS_PUBLIC_oil_2</t>
  </si>
  <si>
    <t>ER_TRANS_PUBLIC_elec_2</t>
  </si>
  <si>
    <t>ER_TRANS_PUBLIC_gas_2</t>
  </si>
  <si>
    <t>ER_RESIDENTIAL_coal_2</t>
  </si>
  <si>
    <t>ER_RESIDENTIAL_oil_2</t>
  </si>
  <si>
    <t>ER_RESIDENTIAL_elec_2</t>
  </si>
  <si>
    <t>ER_RESIDENTIAL_gas_2</t>
  </si>
  <si>
    <t>ER_TERTIARY_coal_2</t>
  </si>
  <si>
    <t>ER_TERTIARY_oil_2</t>
  </si>
  <si>
    <t>ER_TERTIARY_elec_2</t>
  </si>
  <si>
    <t>ER_TERTIARY_gas_2</t>
  </si>
  <si>
    <t>ER_INDUS_coal_2</t>
  </si>
  <si>
    <t>ER_INDUS_oil_2</t>
  </si>
  <si>
    <t>ER_INDUS_elec_2</t>
  </si>
  <si>
    <t>ER_INDUS_gas_2</t>
  </si>
  <si>
    <t>Q_Mtep_indus_21_2</t>
  </si>
  <si>
    <t>Q_Mtep_indus_22_2</t>
  </si>
  <si>
    <t>Q_Mtep_indus_23_2</t>
  </si>
  <si>
    <t>Q_Mtep_indus_24_2</t>
  </si>
  <si>
    <t>ER_AGRICULTURE_coal_2</t>
  </si>
  <si>
    <t>ER_AGRICULTURE_oil_2</t>
  </si>
  <si>
    <t>ER_AGRICULTURE_elec_2</t>
  </si>
  <si>
    <t>ER_AGRICULTURE_gas_2</t>
  </si>
  <si>
    <t>Industry</t>
  </si>
  <si>
    <t>Industry energetic uses</t>
  </si>
  <si>
    <t>Q_MTEP_EP_2402_2</t>
  </si>
  <si>
    <t>Q_MTEP_EP_2403_2</t>
  </si>
  <si>
    <t>Q_MTEP_EP_2404_2</t>
  </si>
  <si>
    <t>Q_MTEP_EP_2405_2</t>
  </si>
  <si>
    <t>Q_MTEP_EP_2406_2</t>
  </si>
  <si>
    <t>Q_MTEP_EP_24_2401_2</t>
  </si>
  <si>
    <t>Q_MTEP_EP_24_2402_2</t>
  </si>
  <si>
    <t>Q_MTEP_EP_24_2403_2</t>
  </si>
  <si>
    <t>Q_MTEP_EP_24_2404_2</t>
  </si>
  <si>
    <t>Q_MTEP_EP_24_2405_2</t>
  </si>
  <si>
    <t>Q_MTEP_EP_24_2406_2</t>
  </si>
  <si>
    <t>Q_MTEP_INDUS_21_2</t>
  </si>
  <si>
    <t>Q_MTEP_INDUS_22_2</t>
  </si>
  <si>
    <t>Q_MTEP_INDUS_23_2</t>
  </si>
  <si>
    <t>Q_MTEP_INDUS_24_2</t>
  </si>
  <si>
    <t>PHIY_EF_TOT_22_2201_2</t>
  </si>
  <si>
    <t>PHIY_EF_TOT_22_2202_2</t>
  </si>
  <si>
    <t>PHIY_EF_TOT_23_2301_2</t>
  </si>
  <si>
    <t>PHIY_EF_TOT_23_2302_2</t>
  </si>
  <si>
    <t>PHIY_EF_TOT_23_2303_2</t>
  </si>
  <si>
    <t>PHIY_EF_TOT_23_2304_2</t>
  </si>
  <si>
    <t>PHIY_EF_TOT_23_2305_2</t>
  </si>
  <si>
    <t>PHIY_EF_TOT_23_2306_2</t>
  </si>
  <si>
    <t>PHIY_EF_TOT_23_2307_2</t>
  </si>
  <si>
    <t>PHIY_EF_TOT_23_2308_2</t>
  </si>
  <si>
    <t>PHIY_EF_TOT_24_2401_2</t>
  </si>
  <si>
    <t>PHIY_EF_TOT_24_2402_2</t>
  </si>
  <si>
    <t>PHIY_EF_TOT_24_2403_2</t>
  </si>
  <si>
    <t>PHIY_EF_TOT_24_2404_2</t>
  </si>
  <si>
    <t>PHIY_EF_TOT_24_2405_2</t>
  </si>
  <si>
    <t>PHIY_EF_TOT_24_2406_2</t>
  </si>
  <si>
    <t>IC_HH_22_H01_2</t>
  </si>
  <si>
    <t>IC_HH_24_H01_2</t>
  </si>
  <si>
    <t>KM_AUTO_H01_2</t>
  </si>
  <si>
    <t>KM_TRAVELER_18_H01_2</t>
  </si>
  <si>
    <t>KM_TRAV_AUTO_LD_H01_2</t>
  </si>
  <si>
    <t>KM_TRAV_AUTO_CD_H01_2</t>
  </si>
  <si>
    <t>KM_TRAVELER_14_H01_2</t>
  </si>
  <si>
    <t>KM_TRAVELER_15_H01_2</t>
  </si>
  <si>
    <t>KM_TRAVELER_CD_H01_2</t>
  </si>
  <si>
    <t>KM_TRAVELER_LD_H01_2</t>
  </si>
  <si>
    <t>KM_AUTO_H01_0</t>
  </si>
  <si>
    <t>KM_TRAVELER_18_H01_0</t>
  </si>
  <si>
    <t>KM_TRAV_AUTO_LD_H01_0</t>
  </si>
  <si>
    <t>KM_TRAV_AUTO_CD_H01_0</t>
  </si>
  <si>
    <t>KM_TRAVELER_14_H01_0</t>
  </si>
  <si>
    <t>KM_TRAVELER_15_H01_0</t>
  </si>
  <si>
    <t>KM_TRAVELER_CD_H01_0</t>
  </si>
  <si>
    <t>KM_TRAVELER_LD_H01_0</t>
  </si>
  <si>
    <t>IC_HH_24_H01_0</t>
  </si>
  <si>
    <t>ER_OIL_1</t>
  </si>
  <si>
    <t>ER_OIL_2201_1</t>
  </si>
  <si>
    <t>ER_OIL_2202_1</t>
  </si>
  <si>
    <t>ER_ELEC_2301_1</t>
  </si>
  <si>
    <t>ER_ELEC_2302_1</t>
  </si>
  <si>
    <t>ER_ELEC_2303_1</t>
  </si>
  <si>
    <t>ER_ELEC_2304_1</t>
  </si>
  <si>
    <t>ER_ELEC_2305_1</t>
  </si>
  <si>
    <t>ER_ELEC_2306_1</t>
  </si>
  <si>
    <t>ER_ELEC_2307_1</t>
  </si>
  <si>
    <t>ER_ELEC_2308_1</t>
  </si>
  <si>
    <t>ER_ELEC_1</t>
  </si>
  <si>
    <t>ER_GAS_1</t>
  </si>
  <si>
    <t>ER_GAS_2401_1</t>
  </si>
  <si>
    <t>ER_GAS_2402_1</t>
  </si>
  <si>
    <t>ER_GAS_2403_1</t>
  </si>
  <si>
    <t>ER_GAS_2404_1</t>
  </si>
  <si>
    <t>ER_GAS_2405_1</t>
  </si>
  <si>
    <t>ER_GAS_2406_1</t>
  </si>
  <si>
    <t>ER_COAL_1</t>
  </si>
  <si>
    <t>ER_TOTAL_1</t>
  </si>
  <si>
    <t>ER_AGRICULTURE_1</t>
  </si>
  <si>
    <t>ER_INDUS_1</t>
  </si>
  <si>
    <t>ER_RESIDENTIAL_1</t>
  </si>
  <si>
    <t>ER_TERTIARY_1</t>
  </si>
  <si>
    <t>ER_TRANS_PRIVATE_1</t>
  </si>
  <si>
    <t>ER_TRANS_PUBLIC_1</t>
  </si>
  <si>
    <t>ER_AUTO_1</t>
  </si>
  <si>
    <t>ER_AUTO_TH_A_1</t>
  </si>
  <si>
    <t>ER_AUTO_TH_B_1</t>
  </si>
  <si>
    <t>ER_AUTO_TH_C_1</t>
  </si>
  <si>
    <t>ER_AUTO_TH_D_1</t>
  </si>
  <si>
    <t>ER_AUTO_TH_E_1</t>
  </si>
  <si>
    <t>ER_AUTO_TH_F_1</t>
  </si>
  <si>
    <t>ER_AUTO_TH_G_1</t>
  </si>
  <si>
    <t>ER_AUTO_ELEC_A_1</t>
  </si>
  <si>
    <t>ER_AUTO_ELEC_B_1</t>
  </si>
  <si>
    <t>ER_AUTO_ELEC_C_1</t>
  </si>
  <si>
    <t>ER_AUTO_ELEC_D_1</t>
  </si>
  <si>
    <t>ER_AUTO_ELEC_E_1</t>
  </si>
  <si>
    <t>ER_AUTO_ELEC_F_1</t>
  </si>
  <si>
    <t>ER_AUTO_ELEC_G_1</t>
  </si>
  <si>
    <t>ER_AUTO_COAL_1</t>
  </si>
  <si>
    <t>ER_AUTO_TH_1</t>
  </si>
  <si>
    <t>ER_AUTO_ELEC_1</t>
  </si>
  <si>
    <t>ER_AUTO_GAS_1</t>
  </si>
  <si>
    <t>ER_NEWAUTO_1</t>
  </si>
  <si>
    <t>ER_NEWAUTO_TH_1</t>
  </si>
  <si>
    <t>ER_NEWAUTO_TH_A_1</t>
  </si>
  <si>
    <t>ER_NEWAUTO_TH_B_1</t>
  </si>
  <si>
    <t>ER_NEWAUTO_TH_C_1</t>
  </si>
  <si>
    <t>ER_NEWAUTO_TH_D_1</t>
  </si>
  <si>
    <t>ER_NEWAUTO_TH_E_1</t>
  </si>
  <si>
    <t>ER_NEWAUTO_TH_F_1</t>
  </si>
  <si>
    <t>ER_NEWAUTO_TH_G_1</t>
  </si>
  <si>
    <t>ER_NEWAUTO_ELEC_1</t>
  </si>
  <si>
    <t>ER_NEWAUTO_ELEC_A_1</t>
  </si>
  <si>
    <t>ER_NEWAUTO_ELEC_B_1</t>
  </si>
  <si>
    <t>ER_NEWAUTO_ELEC_C_1</t>
  </si>
  <si>
    <t>ER_NEWAUTO_ELEC_D_1</t>
  </si>
  <si>
    <t>ER_NEWAUTO_ELEC_E_1</t>
  </si>
  <si>
    <t>ER_NEWAUTO_ELEC_F_1</t>
  </si>
  <si>
    <t>ER_NEWAUTO_ELEC_G_1</t>
  </si>
  <si>
    <t>ER_AGRICULTURE_COAL_1</t>
  </si>
  <si>
    <t>ER_INDUS_COAL_1</t>
  </si>
  <si>
    <t>ER_RESIDENTIAL_COAL_1</t>
  </si>
  <si>
    <t>ER_TERTIARY_COAL_1</t>
  </si>
  <si>
    <t>ER_TRANS_PRIVATE_COAL_1</t>
  </si>
  <si>
    <t>ER_TRANS_PUBLIC_COAL_1</t>
  </si>
  <si>
    <t>ER_AGRICULTURE_OIL_1</t>
  </si>
  <si>
    <t>ER_INDUS_OIL_1</t>
  </si>
  <si>
    <t>ER_RESIDENTIAL_OIL_1</t>
  </si>
  <si>
    <t>ER_TERTIARY_OIL_1</t>
  </si>
  <si>
    <t>ER_TRANS_PRIVATE_OIL_1</t>
  </si>
  <si>
    <t>ER_TRANS_PUBLIC_OIL_1</t>
  </si>
  <si>
    <t>ER_AGRICULTURE_ELEC_1</t>
  </si>
  <si>
    <t>ER_INDUS_ELEC_1</t>
  </si>
  <si>
    <t>ER_RESIDENTIAL_ELEC_1</t>
  </si>
  <si>
    <t>ER_TERTIARY_ELEC_1</t>
  </si>
  <si>
    <t>ER_TRANS_PRIVATE_ELEC_1</t>
  </si>
  <si>
    <t>ER_TRANS_PUBLIC_ELEC_1</t>
  </si>
  <si>
    <t>ER_AGRICULTURE_GAS_1</t>
  </si>
  <si>
    <t>ER_INDUS_GAS_1</t>
  </si>
  <si>
    <t>ER_RESIDENTIAL_GAS_1</t>
  </si>
  <si>
    <t>ER_TERTIARY_GAS_1</t>
  </si>
  <si>
    <t>ER_TRANS_PRIVATE_GAS_1</t>
  </si>
  <si>
    <t>ER_TRANS_PUBLIC_GAS_1</t>
  </si>
  <si>
    <t>ER_BUIL_1</t>
  </si>
  <si>
    <t>ER_BUIL_A_1</t>
  </si>
  <si>
    <t>ER_BUIL_B_1</t>
  </si>
  <si>
    <t>ER_BUIL_C_1</t>
  </si>
  <si>
    <t>ER_BUIL_D_1</t>
  </si>
  <si>
    <t>ER_BUIL_E_1</t>
  </si>
  <si>
    <t>ER_BUIL_F_1</t>
  </si>
  <si>
    <t>ER_BUIL_G_1</t>
  </si>
  <si>
    <t>EMS_DC_04_1</t>
  </si>
  <si>
    <t>EMS_DC_05_1</t>
  </si>
  <si>
    <t>EMS_DC_1</t>
  </si>
  <si>
    <t>EMS_HH_1</t>
  </si>
  <si>
    <t>EMS_HH_21_1</t>
  </si>
  <si>
    <t>EMS_HH_21_H01_1</t>
  </si>
  <si>
    <t>EMS_HH_22_1</t>
  </si>
  <si>
    <t>EMS_HH_22_H01_1</t>
  </si>
  <si>
    <t>EMS_HH_24_1</t>
  </si>
  <si>
    <t>EMS_HH_24_H01_1</t>
  </si>
  <si>
    <t>EMS_SEC_TOT_01_1</t>
  </si>
  <si>
    <t>EMS_SEC_TOT_02_1</t>
  </si>
  <si>
    <t>EMS_SEC_TOT_03_1</t>
  </si>
  <si>
    <t>EMS_SEC_TOT_04_1</t>
  </si>
  <si>
    <t>EMS_SEC_TOT_05_1</t>
  </si>
  <si>
    <t>EMS_SEC_TOT_06_1</t>
  </si>
  <si>
    <t>EMS_SEC_TOT_07_1</t>
  </si>
  <si>
    <t>EMS_SEC_TOT_08_1</t>
  </si>
  <si>
    <t>EMS_SEC_TOT_09_1</t>
  </si>
  <si>
    <t>EMS_SEC_TOT_10_1</t>
  </si>
  <si>
    <t>EMS_SEC_TOT_11_1</t>
  </si>
  <si>
    <t>EMS_SEC_TOT_12_1</t>
  </si>
  <si>
    <t>EMS_SEC_TOT_13_1</t>
  </si>
  <si>
    <t>EMS_SEC_TOT_14_1</t>
  </si>
  <si>
    <t>EMS_SEC_TOT_15_1</t>
  </si>
  <si>
    <t>EMS_SEC_TOT_16_1</t>
  </si>
  <si>
    <t>EMS_SEC_TOT_17_1</t>
  </si>
  <si>
    <t>EMS_SEC_TOT_18_1</t>
  </si>
  <si>
    <t>EMS_SEC_TOT_19_1</t>
  </si>
  <si>
    <t>EMS_SEC_TOT_1</t>
  </si>
  <si>
    <t>EMS_SEC_TOT_20_1</t>
  </si>
  <si>
    <t>EMS_SEC_TOT_21_05_1</t>
  </si>
  <si>
    <t>EMS_SEC_TOT_21_06_1</t>
  </si>
  <si>
    <t>EMS_SEC_TOT_21_07_1</t>
  </si>
  <si>
    <t>EMS_SEC_TOT_21_08_1</t>
  </si>
  <si>
    <t>EMS_SEC_TOT_21_10_1</t>
  </si>
  <si>
    <t>EMS_SEC_TOT_21_12_1</t>
  </si>
  <si>
    <t>EMS_SEC_TOT_21_19_1</t>
  </si>
  <si>
    <t>EMS_SEC_TOT_21_20_1</t>
  </si>
  <si>
    <t>EMS_SEC_TOT_21_2304_1</t>
  </si>
  <si>
    <t>EMS_SEC_TOT_2201_1</t>
  </si>
  <si>
    <t>EMS_SEC_TOT_22_01_1</t>
  </si>
  <si>
    <t>EMS_SEC_TOT_22_02_1</t>
  </si>
  <si>
    <t>EMS_SEC_TOT_22_03_1</t>
  </si>
  <si>
    <t>EMS_SEC_TOT_22_04_1</t>
  </si>
  <si>
    <t>EMS_SEC_TOT_22_05_1</t>
  </si>
  <si>
    <t>EMS_SEC_TOT_22_06_1</t>
  </si>
  <si>
    <t>EMS_SEC_TOT_22_07_1</t>
  </si>
  <si>
    <t>EMS_SEC_TOT_22_08_1</t>
  </si>
  <si>
    <t>EMS_SEC_TOT_22_09_1</t>
  </si>
  <si>
    <t>EMS_SEC_TOT_22_12_1</t>
  </si>
  <si>
    <t>EMS_SEC_TOT_22_13_1</t>
  </si>
  <si>
    <t>EMS_SEC_TOT_22_14_1</t>
  </si>
  <si>
    <t>EMS_SEC_TOT_22_15_1</t>
  </si>
  <si>
    <t>EMS_SEC_TOT_22_16_1</t>
  </si>
  <si>
    <t>EMS_SEC_TOT_22_17_1</t>
  </si>
  <si>
    <t>EMS_SEC_TOT_22_18_1</t>
  </si>
  <si>
    <t>EMS_SEC_TOT_22_19_1</t>
  </si>
  <si>
    <t>EMS_SEC_TOT_22_20_1</t>
  </si>
  <si>
    <t>EMS_SEC_TOT_22_2201_1</t>
  </si>
  <si>
    <t>EMS_SEC_TOT_22_2302_1</t>
  </si>
  <si>
    <t>EMS_SEC_TOT_2302_1</t>
  </si>
  <si>
    <t>EMS_SEC_TOT_2303_1</t>
  </si>
  <si>
    <t>EMS_SEC_TOT_2304_1</t>
  </si>
  <si>
    <t>EMS_SEC_TOT_2401_1</t>
  </si>
  <si>
    <t>EMS_SEC_TOT_24_01_1</t>
  </si>
  <si>
    <t>EMS_SEC_TOT_24_02_1</t>
  </si>
  <si>
    <t>EMS_SEC_TOT_24_03_1</t>
  </si>
  <si>
    <t>EMS_SEC_TOT_24_04_1</t>
  </si>
  <si>
    <t>EMS_SEC_TOT_24_05_1</t>
  </si>
  <si>
    <t>EMS_SEC_TOT_24_06_1</t>
  </si>
  <si>
    <t>EMS_SEC_TOT_24_07_1</t>
  </si>
  <si>
    <t>EMS_SEC_TOT_24_08_1</t>
  </si>
  <si>
    <t>EMS_SEC_TOT_24_09_1</t>
  </si>
  <si>
    <t>EMS_SEC_TOT_24_10_1</t>
  </si>
  <si>
    <t>EMS_SEC_TOT_24_11_1</t>
  </si>
  <si>
    <t>EMS_SEC_TOT_24_12_1</t>
  </si>
  <si>
    <t>EMS_SEC_TOT_24_13_1</t>
  </si>
  <si>
    <t>EMS_SEC_TOT_24_14_1</t>
  </si>
  <si>
    <t>EMS_SEC_TOT_24_15_1</t>
  </si>
  <si>
    <t>EMS_SEC_TOT_24_16_1</t>
  </si>
  <si>
    <t>EMS_SEC_TOT_24_17_1</t>
  </si>
  <si>
    <t>EMS_SEC_TOT_24_18_1</t>
  </si>
  <si>
    <t>EMS_SEC_TOT_24_19_1</t>
  </si>
  <si>
    <t>EMS_SEC_TOT_24_20_1</t>
  </si>
  <si>
    <t>EMS_SEC_TOT_24_2201_1</t>
  </si>
  <si>
    <t>EMS_SEC_TOT_24_2303_1</t>
  </si>
  <si>
    <t>EMS_SEC_TOT_24_2401_1</t>
  </si>
  <si>
    <t>EMS_SECSOU_1</t>
  </si>
  <si>
    <t>EMS_SECSOU_21_1</t>
  </si>
  <si>
    <t>EMS_SECSOU_22_1</t>
  </si>
  <si>
    <t>EMS_SECSOU_24_1</t>
  </si>
  <si>
    <t>EMS_SOU_1</t>
  </si>
  <si>
    <t>EMS_SOU_21_1</t>
  </si>
  <si>
    <t>EMS_SOU_22_1</t>
  </si>
  <si>
    <t>EMS_SOU_24_1</t>
  </si>
  <si>
    <t>EMS_TOT_1</t>
  </si>
  <si>
    <t>Q_MTEP_EP_1</t>
  </si>
  <si>
    <t>Q_MTEP_EP_21_1</t>
  </si>
  <si>
    <t>Q_MTEP_EP_21_21_1</t>
  </si>
  <si>
    <t>Q_MTEP_EP_2201_1</t>
  </si>
  <si>
    <t>Q_MTEP_EP_2202_1</t>
  </si>
  <si>
    <t>Q_MTEP_EP_22_2201_1</t>
  </si>
  <si>
    <t>Q_MTEP_EP_22_2202_1</t>
  </si>
  <si>
    <t>Q_MTEP_EP_2301_1</t>
  </si>
  <si>
    <t>Q_MTEP_EP_2302_1</t>
  </si>
  <si>
    <t>Q_MTEP_EP_2303_1</t>
  </si>
  <si>
    <t>Q_MTEP_EP_2304_1</t>
  </si>
  <si>
    <t>Q_MTEP_EP_2305_1</t>
  </si>
  <si>
    <t>Q_MTEP_EP_2306_1</t>
  </si>
  <si>
    <t>Q_MTEP_EP_2307_1</t>
  </si>
  <si>
    <t>Q_MTEP_EP_2308_1</t>
  </si>
  <si>
    <t>Q_MTEP_EP_23_2301_1</t>
  </si>
  <si>
    <t>Q_MTEP_EP_23_2302_1</t>
  </si>
  <si>
    <t>Q_MTEP_EP_23_2303_1</t>
  </si>
  <si>
    <t>Q_MTEP_EP_23_2304_1</t>
  </si>
  <si>
    <t>Q_MTEP_EP_23_2305_1</t>
  </si>
  <si>
    <t>Q_MTEP_EP_23_2306_1</t>
  </si>
  <si>
    <t>Q_MTEP_EP_23_2307_1</t>
  </si>
  <si>
    <t>Q_MTEP_EP_23_2308_1</t>
  </si>
  <si>
    <t>Q_MTEP_EP_2401_1</t>
  </si>
  <si>
    <t>Q_MTEP_EP_2402_1</t>
  </si>
  <si>
    <t>Q_MTEP_EP_2403_1</t>
  </si>
  <si>
    <t>Q_MTEP_EP_2404_1</t>
  </si>
  <si>
    <t>Q_MTEP_EP_2405_1</t>
  </si>
  <si>
    <t>Q_MTEP_EP_2406_1</t>
  </si>
  <si>
    <t>Q_MTEP_EP_24_2401_1</t>
  </si>
  <si>
    <t>Q_MTEP_EP_24_2402_1</t>
  </si>
  <si>
    <t>Q_MTEP_EP_24_2403_1</t>
  </si>
  <si>
    <t>Q_MTEP_EP_24_2404_1</t>
  </si>
  <si>
    <t>Q_MTEP_EP_24_2405_1</t>
  </si>
  <si>
    <t>Q_MTEP_EP_24_2406_1</t>
  </si>
  <si>
    <t>Q_MTEP_INDUS_21_1</t>
  </si>
  <si>
    <t>Q_MTEP_INDUS_22_1</t>
  </si>
  <si>
    <t>Q_MTEP_INDUS_23_1</t>
  </si>
  <si>
    <t>Q_MTEP_INDUS_24_1</t>
  </si>
  <si>
    <t>PHIY_EF_TOT_22_2201_1</t>
  </si>
  <si>
    <t>PHIY_EF_TOT_22_2202_1</t>
  </si>
  <si>
    <t>PHIY_EF_TOT_23_2301_1</t>
  </si>
  <si>
    <t>PHIY_EF_TOT_23_2302_1</t>
  </si>
  <si>
    <t>PHIY_EF_TOT_23_2303_1</t>
  </si>
  <si>
    <t>PHIY_EF_TOT_23_2304_1</t>
  </si>
  <si>
    <t>PHIY_EF_TOT_23_2305_1</t>
  </si>
  <si>
    <t>PHIY_EF_TOT_23_2306_1</t>
  </si>
  <si>
    <t>PHIY_EF_TOT_23_2307_1</t>
  </si>
  <si>
    <t>PHIY_EF_TOT_23_2308_1</t>
  </si>
  <si>
    <t>PHIY_EF_TOT_24_2401_1</t>
  </si>
  <si>
    <t>PHIY_EF_TOT_24_2402_1</t>
  </si>
  <si>
    <t>PHIY_EF_TOT_24_2403_1</t>
  </si>
  <si>
    <t>PHIY_EF_TOT_24_2404_1</t>
  </si>
  <si>
    <t>PHIY_EF_TOT_24_2405_1</t>
  </si>
  <si>
    <t>PHIY_EF_TOT_24_2406_1</t>
  </si>
  <si>
    <t>IC_HH_22_H01_1</t>
  </si>
  <si>
    <t>ER_TRANS_PRIVATE_coal_1</t>
  </si>
  <si>
    <t>ER_TRANS_PRIVATE_oil_1</t>
  </si>
  <si>
    <t>ER_TRANS_PRIVATE_elec_1</t>
  </si>
  <si>
    <t>ER_TRANS_PRIVATE_gas_1</t>
  </si>
  <si>
    <t>ER_TRANS_PUBLIC_coal_1</t>
  </si>
  <si>
    <t>ER_TRANS_PUBLIC_oil_1</t>
  </si>
  <si>
    <t>ER_TRANS_PUBLIC_elec_1</t>
  </si>
  <si>
    <t>ER_TRANS_PUBLIC_gas_1</t>
  </si>
  <si>
    <t>ER_RESIDENTIAL_coal_1</t>
  </si>
  <si>
    <t>ER_RESIDENTIAL_oil_1</t>
  </si>
  <si>
    <t>ER_RESIDENTIAL_elec_1</t>
  </si>
  <si>
    <t>ER_RESIDENTIAL_gas_1</t>
  </si>
  <si>
    <t>ER_TERTIARY_coal_1</t>
  </si>
  <si>
    <t>ER_TERTIARY_oil_1</t>
  </si>
  <si>
    <t>ER_TERTIARY_elec_1</t>
  </si>
  <si>
    <t>ER_TERTIARY_gas_1</t>
  </si>
  <si>
    <t>ER_INDUS_coal_1</t>
  </si>
  <si>
    <t>ER_INDUS_oil_1</t>
  </si>
  <si>
    <t>ER_INDUS_elec_1</t>
  </si>
  <si>
    <t>ER_INDUS_gas_1</t>
  </si>
  <si>
    <t>Q_Mtep_indus_21_1</t>
  </si>
  <si>
    <t>Q_Mtep_indus_22_1</t>
  </si>
  <si>
    <t>Q_Mtep_indus_23_1</t>
  </si>
  <si>
    <t>Q_Mtep_indus_24_1</t>
  </si>
  <si>
    <t>ER_AGRICULTURE_coal_1</t>
  </si>
  <si>
    <t>ER_AGRICULTURE_oil_1</t>
  </si>
  <si>
    <t>ER_AGRICULTURE_elec_1</t>
  </si>
  <si>
    <t>ER_AGRICULTURE_gas_1</t>
  </si>
  <si>
    <t>Hors chal env PAC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</si>
</sst>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%"/>
    <numFmt numFmtId="166" formatCode="#,##0.0"/>
    <numFmt numFmtId="167" formatCode="0.000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4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0"/>
      <color rgb="FF000000"/>
      <name val="Calibri"/>
      <family val="2"/>
    </font>
    <font>
      <b/>
      <sz val="11"/>
      <color rgb="FF000000"/>
      <name val="Calibri"/>
      <family val="2"/>
    </font>
    <font>
      <b/>
      <sz val="18"/>
      <color theme="1"/>
      <name val="Calibri"/>
      <family val="2"/>
    </font>
    <font>
      <sz val="11"/>
      <color rgb="FF000000"/>
      <name val="Calibri"/>
      <family val="2"/>
    </font>
    <font>
      <b/>
      <sz val="11"/>
      <name val="Calibri"/>
      <family val="2"/>
      <scheme val="minor"/>
    </font>
    <font>
      <b/>
      <sz val="16"/>
      <color theme="1"/>
      <name val="Calibri"/>
      <family val="2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u/>
      <sz val="11"/>
      <color theme="10"/>
      <name val="Calibri"/>
      <family val="2"/>
      <scheme val="minor"/>
    </font>
    <font>
      <b/>
      <i/>
      <sz val="11"/>
      <color theme="0" tint="-0.34998626667073579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rgb="FFC00000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0"/>
      <name val="Arial"/>
      <family val="2"/>
    </font>
    <font>
      <i/>
      <sz val="11"/>
      <color theme="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</fills>
  <borders count="42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auto="1"/>
      </top>
      <bottom style="dotted">
        <color auto="1"/>
      </bottom>
      <diagonal/>
    </border>
    <border>
      <left/>
      <right/>
      <top style="dotted">
        <color auto="1"/>
      </top>
      <bottom style="dotted">
        <color auto="1"/>
      </bottom>
      <diagonal/>
    </border>
    <border>
      <left/>
      <right/>
      <top/>
      <bottom style="dotted">
        <color auto="1"/>
      </bottom>
      <diagonal/>
    </border>
    <border>
      <left/>
      <right/>
      <top style="dotted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auto="1"/>
      </top>
      <bottom style="dotted">
        <color auto="1"/>
      </bottom>
      <diagonal/>
    </border>
    <border>
      <left/>
      <right style="thin">
        <color indexed="64"/>
      </right>
      <top style="thin">
        <color auto="1"/>
      </top>
      <bottom style="dotted">
        <color auto="1"/>
      </bottom>
      <diagonal/>
    </border>
    <border>
      <left style="thin">
        <color indexed="64"/>
      </left>
      <right/>
      <top/>
      <bottom style="dotted">
        <color auto="1"/>
      </bottom>
      <diagonal/>
    </border>
    <border>
      <left/>
      <right style="thin">
        <color indexed="64"/>
      </right>
      <top/>
      <bottom style="dotted">
        <color auto="1"/>
      </bottom>
      <diagonal/>
    </border>
    <border>
      <left style="thin">
        <color indexed="64"/>
      </left>
      <right/>
      <top style="dotted">
        <color auto="1"/>
      </top>
      <bottom style="dotted">
        <color auto="1"/>
      </bottom>
      <diagonal/>
    </border>
    <border>
      <left/>
      <right style="thin">
        <color indexed="64"/>
      </right>
      <top style="dotted">
        <color auto="1"/>
      </top>
      <bottom style="dotted">
        <color auto="1"/>
      </bottom>
      <diagonal/>
    </border>
    <border>
      <left style="thin">
        <color indexed="64"/>
      </left>
      <right style="thin">
        <color indexed="64"/>
      </right>
      <top style="thin">
        <color auto="1"/>
      </top>
      <bottom style="dotted">
        <color auto="1"/>
      </bottom>
      <diagonal/>
    </border>
    <border>
      <left style="thin">
        <color indexed="64"/>
      </left>
      <right style="thin">
        <color indexed="64"/>
      </right>
      <top/>
      <bottom style="dotted">
        <color auto="1"/>
      </bottom>
      <diagonal/>
    </border>
    <border>
      <left style="thin">
        <color indexed="64"/>
      </left>
      <right style="thin">
        <color indexed="64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 style="dotted">
        <color auto="1"/>
      </top>
      <bottom style="dotted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auto="1"/>
      </top>
      <bottom/>
      <diagonal/>
    </border>
    <border>
      <left style="thin">
        <color indexed="64"/>
      </left>
      <right/>
      <top style="dotted">
        <color auto="1"/>
      </top>
      <bottom/>
      <diagonal/>
    </border>
    <border>
      <left style="thin">
        <color indexed="64"/>
      </left>
      <right/>
      <top style="dotted">
        <color auto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tted">
        <color auto="1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6">
    <xf numFmtId="0" fontId="0" fillId="0" borderId="0"/>
    <xf numFmtId="9" fontId="1" fillId="0" borderId="0" applyFont="0" applyFill="0" applyBorder="0" applyAlignment="0" applyProtection="0"/>
    <xf numFmtId="0" fontId="15" fillId="0" borderId="0"/>
    <xf numFmtId="0" fontId="19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15" fillId="0" borderId="0"/>
  </cellStyleXfs>
  <cellXfs count="276">
    <xf numFmtId="0" fontId="0" fillId="0" borderId="0" xfId="0"/>
    <xf numFmtId="0" fontId="3" fillId="0" borderId="0" xfId="0" applyFont="1"/>
    <xf numFmtId="0" fontId="0" fillId="2" borderId="1" xfId="0" applyFill="1" applyBorder="1"/>
    <xf numFmtId="0" fontId="0" fillId="2" borderId="0" xfId="0" applyFill="1"/>
    <xf numFmtId="0" fontId="2" fillId="2" borderId="1" xfId="0" applyFont="1" applyFill="1" applyBorder="1" applyAlignment="1">
      <alignment horizontal="right"/>
    </xf>
    <xf numFmtId="0" fontId="2" fillId="2" borderId="1" xfId="0" applyFont="1" applyFill="1" applyBorder="1"/>
    <xf numFmtId="1" fontId="2" fillId="3" borderId="3" xfId="0" applyNumberFormat="1" applyFont="1" applyFill="1" applyBorder="1" applyAlignment="1">
      <alignment horizontal="right"/>
    </xf>
    <xf numFmtId="0" fontId="0" fillId="2" borderId="3" xfId="0" applyFill="1" applyBorder="1"/>
    <xf numFmtId="1" fontId="2" fillId="3" borderId="1" xfId="0" applyNumberFormat="1" applyFont="1" applyFill="1" applyBorder="1" applyAlignment="1">
      <alignment horizontal="right"/>
    </xf>
    <xf numFmtId="1" fontId="2" fillId="4" borderId="1" xfId="0" applyNumberFormat="1" applyFont="1" applyFill="1" applyBorder="1"/>
    <xf numFmtId="0" fontId="0" fillId="0" borderId="3" xfId="0" applyBorder="1"/>
    <xf numFmtId="0" fontId="4" fillId="0" borderId="0" xfId="0" applyFont="1"/>
    <xf numFmtId="0" fontId="5" fillId="0" borderId="0" xfId="0" applyFont="1"/>
    <xf numFmtId="0" fontId="2" fillId="0" borderId="1" xfId="0" applyFont="1" applyBorder="1"/>
    <xf numFmtId="0" fontId="7" fillId="0" borderId="0" xfId="0" applyFont="1" applyAlignment="1">
      <alignment horizontal="left" indent="2"/>
    </xf>
    <xf numFmtId="0" fontId="9" fillId="0" borderId="0" xfId="0" applyFont="1"/>
    <xf numFmtId="0" fontId="10" fillId="0" borderId="0" xfId="0" applyFont="1"/>
    <xf numFmtId="1" fontId="2" fillId="2" borderId="1" xfId="0" applyNumberFormat="1" applyFont="1" applyFill="1" applyBorder="1" applyAlignment="1">
      <alignment horizontal="left"/>
    </xf>
    <xf numFmtId="0" fontId="0" fillId="2" borderId="2" xfId="0" applyFill="1" applyBorder="1"/>
    <xf numFmtId="1" fontId="0" fillId="2" borderId="0" xfId="0" applyNumberFormat="1" applyFill="1" applyAlignment="1">
      <alignment horizontal="right"/>
    </xf>
    <xf numFmtId="1" fontId="0" fillId="2" borderId="3" xfId="0" applyNumberFormat="1" applyFill="1" applyBorder="1" applyAlignment="1">
      <alignment horizontal="right"/>
    </xf>
    <xf numFmtId="3" fontId="0" fillId="0" borderId="0" xfId="0" applyNumberFormat="1"/>
    <xf numFmtId="3" fontId="2" fillId="3" borderId="3" xfId="0" applyNumberFormat="1" applyFont="1" applyFill="1" applyBorder="1" applyAlignment="1">
      <alignment horizontal="right"/>
    </xf>
    <xf numFmtId="0" fontId="2" fillId="0" borderId="0" xfId="0" applyFont="1"/>
    <xf numFmtId="1" fontId="0" fillId="0" borderId="0" xfId="0" applyNumberFormat="1"/>
    <xf numFmtId="0" fontId="2" fillId="2" borderId="0" xfId="0" applyFont="1" applyFill="1" applyAlignment="1">
      <alignment horizontal="right"/>
    </xf>
    <xf numFmtId="0" fontId="2" fillId="2" borderId="4" xfId="0" applyFont="1" applyFill="1" applyBorder="1" applyAlignment="1">
      <alignment horizontal="right"/>
    </xf>
    <xf numFmtId="1" fontId="2" fillId="3" borderId="4" xfId="0" applyNumberFormat="1" applyFont="1" applyFill="1" applyBorder="1" applyAlignment="1">
      <alignment horizontal="right"/>
    </xf>
    <xf numFmtId="1" fontId="0" fillId="2" borderId="5" xfId="0" applyNumberFormat="1" applyFill="1" applyBorder="1" applyAlignment="1">
      <alignment horizontal="right"/>
    </xf>
    <xf numFmtId="1" fontId="2" fillId="4" borderId="4" xfId="0" applyNumberFormat="1" applyFont="1" applyFill="1" applyBorder="1"/>
    <xf numFmtId="0" fontId="6" fillId="0" borderId="1" xfId="0" applyFont="1" applyBorder="1"/>
    <xf numFmtId="3" fontId="0" fillId="2" borderId="0" xfId="0" applyNumberFormat="1" applyFill="1" applyAlignment="1">
      <alignment horizontal="right"/>
    </xf>
    <xf numFmtId="0" fontId="10" fillId="0" borderId="3" xfId="0" applyFont="1" applyBorder="1"/>
    <xf numFmtId="1" fontId="2" fillId="2" borderId="1" xfId="0" applyNumberFormat="1" applyFont="1" applyFill="1" applyBorder="1" applyAlignment="1">
      <alignment horizontal="right"/>
    </xf>
    <xf numFmtId="1" fontId="2" fillId="0" borderId="0" xfId="0" applyNumberFormat="1" applyFont="1" applyAlignment="1">
      <alignment horizontal="right"/>
    </xf>
    <xf numFmtId="1" fontId="11" fillId="5" borderId="1" xfId="0" applyNumberFormat="1" applyFont="1" applyFill="1" applyBorder="1" applyAlignment="1">
      <alignment horizontal="right"/>
    </xf>
    <xf numFmtId="1" fontId="11" fillId="5" borderId="4" xfId="0" applyNumberFormat="1" applyFont="1" applyFill="1" applyBorder="1" applyAlignment="1">
      <alignment horizontal="right"/>
    </xf>
    <xf numFmtId="1" fontId="16" fillId="2" borderId="0" xfId="0" applyNumberFormat="1" applyFont="1" applyFill="1" applyAlignment="1">
      <alignment horizontal="right"/>
    </xf>
    <xf numFmtId="1" fontId="11" fillId="6" borderId="1" xfId="0" applyNumberFormat="1" applyFont="1" applyFill="1" applyBorder="1"/>
    <xf numFmtId="164" fontId="0" fillId="0" borderId="0" xfId="0" applyNumberFormat="1"/>
    <xf numFmtId="1" fontId="11" fillId="6" borderId="4" xfId="0" applyNumberFormat="1" applyFont="1" applyFill="1" applyBorder="1"/>
    <xf numFmtId="1" fontId="16" fillId="0" borderId="0" xfId="0" applyNumberFormat="1" applyFont="1" applyAlignment="1">
      <alignment horizontal="right"/>
    </xf>
    <xf numFmtId="1" fontId="0" fillId="0" borderId="0" xfId="0" applyNumberFormat="1" applyAlignment="1">
      <alignment horizontal="right"/>
    </xf>
    <xf numFmtId="0" fontId="6" fillId="0" borderId="0" xfId="0" applyFont="1"/>
    <xf numFmtId="0" fontId="2" fillId="0" borderId="0" xfId="0" applyFont="1" applyAlignment="1">
      <alignment horizontal="right"/>
    </xf>
    <xf numFmtId="1" fontId="11" fillId="0" borderId="0" xfId="0" applyNumberFormat="1" applyFont="1" applyAlignment="1">
      <alignment horizontal="right"/>
    </xf>
    <xf numFmtId="2" fontId="2" fillId="0" borderId="0" xfId="0" applyNumberFormat="1" applyFont="1" applyAlignment="1">
      <alignment horizontal="right"/>
    </xf>
    <xf numFmtId="1" fontId="11" fillId="0" borderId="0" xfId="0" applyNumberFormat="1" applyFont="1"/>
    <xf numFmtId="1" fontId="2" fillId="0" borderId="0" xfId="0" applyNumberFormat="1" applyFont="1"/>
    <xf numFmtId="164" fontId="14" fillId="0" borderId="0" xfId="0" applyNumberFormat="1" applyFont="1"/>
    <xf numFmtId="1" fontId="13" fillId="0" borderId="0" xfId="0" applyNumberFormat="1" applyFont="1"/>
    <xf numFmtId="2" fontId="2" fillId="0" borderId="0" xfId="0" applyNumberFormat="1" applyFont="1"/>
    <xf numFmtId="165" fontId="2" fillId="0" borderId="0" xfId="1" applyNumberFormat="1" applyFont="1" applyFill="1" applyBorder="1" applyAlignment="1">
      <alignment horizontal="right"/>
    </xf>
    <xf numFmtId="2" fontId="0" fillId="0" borderId="0" xfId="0" applyNumberFormat="1" applyAlignment="1">
      <alignment horizontal="right"/>
    </xf>
    <xf numFmtId="165" fontId="2" fillId="0" borderId="0" xfId="1" applyNumberFormat="1" applyFont="1" applyFill="1" applyBorder="1"/>
    <xf numFmtId="164" fontId="0" fillId="2" borderId="0" xfId="0" applyNumberFormat="1" applyFill="1" applyAlignment="1">
      <alignment horizontal="right"/>
    </xf>
    <xf numFmtId="0" fontId="7" fillId="2" borderId="0" xfId="0" applyFont="1" applyFill="1" applyAlignment="1">
      <alignment horizontal="left" indent="2"/>
    </xf>
    <xf numFmtId="1" fontId="2" fillId="7" borderId="1" xfId="0" applyNumberFormat="1" applyFont="1" applyFill="1" applyBorder="1" applyAlignment="1">
      <alignment horizontal="right"/>
    </xf>
    <xf numFmtId="1" fontId="2" fillId="8" borderId="1" xfId="0" applyNumberFormat="1" applyFont="1" applyFill="1" applyBorder="1"/>
    <xf numFmtId="2" fontId="0" fillId="2" borderId="0" xfId="0" applyNumberFormat="1" applyFill="1" applyAlignment="1">
      <alignment horizontal="right"/>
    </xf>
    <xf numFmtId="164" fontId="2" fillId="8" borderId="1" xfId="0" applyNumberFormat="1" applyFont="1" applyFill="1" applyBorder="1"/>
    <xf numFmtId="164" fontId="2" fillId="7" borderId="1" xfId="0" applyNumberFormat="1" applyFont="1" applyFill="1" applyBorder="1" applyAlignment="1">
      <alignment horizontal="right"/>
    </xf>
    <xf numFmtId="0" fontId="19" fillId="0" borderId="0" xfId="3" applyFill="1"/>
    <xf numFmtId="2" fontId="2" fillId="2" borderId="3" xfId="0" applyNumberFormat="1" applyFont="1" applyFill="1" applyBorder="1" applyAlignment="1">
      <alignment horizontal="right"/>
    </xf>
    <xf numFmtId="2" fontId="2" fillId="2" borderId="0" xfId="0" applyNumberFormat="1" applyFont="1" applyFill="1" applyAlignment="1">
      <alignment horizontal="right"/>
    </xf>
    <xf numFmtId="0" fontId="4" fillId="2" borderId="0" xfId="0" applyFont="1" applyFill="1"/>
    <xf numFmtId="0" fontId="5" fillId="2" borderId="0" xfId="0" applyFont="1" applyFill="1"/>
    <xf numFmtId="0" fontId="6" fillId="2" borderId="3" xfId="0" applyFont="1" applyFill="1" applyBorder="1"/>
    <xf numFmtId="0" fontId="6" fillId="2" borderId="0" xfId="0" applyFont="1" applyFill="1"/>
    <xf numFmtId="1" fontId="0" fillId="2" borderId="0" xfId="0" applyNumberFormat="1" applyFill="1"/>
    <xf numFmtId="0" fontId="3" fillId="2" borderId="0" xfId="0" applyFont="1" applyFill="1"/>
    <xf numFmtId="164" fontId="0" fillId="2" borderId="0" xfId="0" applyNumberFormat="1" applyFill="1"/>
    <xf numFmtId="1" fontId="2" fillId="8" borderId="4" xfId="0" applyNumberFormat="1" applyFont="1" applyFill="1" applyBorder="1"/>
    <xf numFmtId="0" fontId="6" fillId="2" borderId="1" xfId="0" applyFont="1" applyFill="1" applyBorder="1"/>
    <xf numFmtId="0" fontId="8" fillId="2" borderId="2" xfId="0" applyFont="1" applyFill="1" applyBorder="1"/>
    <xf numFmtId="3" fontId="2" fillId="9" borderId="11" xfId="0" applyNumberFormat="1" applyFont="1" applyFill="1" applyBorder="1" applyAlignment="1">
      <alignment horizontal="right"/>
    </xf>
    <xf numFmtId="0" fontId="0" fillId="2" borderId="12" xfId="0" applyFill="1" applyBorder="1"/>
    <xf numFmtId="3" fontId="2" fillId="3" borderId="13" xfId="0" applyNumberFormat="1" applyFont="1" applyFill="1" applyBorder="1" applyAlignment="1">
      <alignment horizontal="right"/>
    </xf>
    <xf numFmtId="0" fontId="10" fillId="2" borderId="0" xfId="0" applyFont="1" applyFill="1"/>
    <xf numFmtId="3" fontId="0" fillId="2" borderId="13" xfId="0" applyNumberFormat="1" applyFill="1" applyBorder="1" applyAlignment="1">
      <alignment horizontal="right"/>
    </xf>
    <xf numFmtId="0" fontId="7" fillId="2" borderId="3" xfId="0" applyFont="1" applyFill="1" applyBorder="1" applyAlignment="1">
      <alignment horizontal="left" indent="2"/>
    </xf>
    <xf numFmtId="3" fontId="0" fillId="2" borderId="3" xfId="0" applyNumberFormat="1" applyFill="1" applyBorder="1" applyAlignment="1">
      <alignment horizontal="right"/>
    </xf>
    <xf numFmtId="0" fontId="2" fillId="2" borderId="11" xfId="0" applyFont="1" applyFill="1" applyBorder="1"/>
    <xf numFmtId="3" fontId="2" fillId="9" borderId="2" xfId="0" applyNumberFormat="1" applyFont="1" applyFill="1" applyBorder="1" applyAlignment="1">
      <alignment horizontal="right"/>
    </xf>
    <xf numFmtId="0" fontId="2" fillId="2" borderId="0" xfId="0" applyFont="1" applyFill="1"/>
    <xf numFmtId="3" fontId="2" fillId="3" borderId="12" xfId="0" applyNumberFormat="1" applyFont="1" applyFill="1" applyBorder="1" applyAlignment="1">
      <alignment horizontal="right"/>
    </xf>
    <xf numFmtId="0" fontId="7" fillId="2" borderId="14" xfId="0" applyFont="1" applyFill="1" applyBorder="1" applyAlignment="1">
      <alignment horizontal="left" indent="2"/>
    </xf>
    <xf numFmtId="0" fontId="10" fillId="2" borderId="14" xfId="0" applyFont="1" applyFill="1" applyBorder="1"/>
    <xf numFmtId="0" fontId="2" fillId="2" borderId="12" xfId="0" applyFont="1" applyFill="1" applyBorder="1"/>
    <xf numFmtId="3" fontId="0" fillId="2" borderId="0" xfId="1" applyNumberFormat="1" applyFont="1" applyFill="1" applyBorder="1" applyAlignment="1">
      <alignment horizontal="right"/>
    </xf>
    <xf numFmtId="0" fontId="10" fillId="2" borderId="3" xfId="0" applyFont="1" applyFill="1" applyBorder="1"/>
    <xf numFmtId="165" fontId="2" fillId="3" borderId="13" xfId="0" applyNumberFormat="1" applyFont="1" applyFill="1" applyBorder="1" applyAlignment="1">
      <alignment horizontal="right"/>
    </xf>
    <xf numFmtId="165" fontId="0" fillId="2" borderId="0" xfId="0" applyNumberFormat="1" applyFill="1" applyAlignment="1">
      <alignment horizontal="right"/>
    </xf>
    <xf numFmtId="165" fontId="0" fillId="2" borderId="13" xfId="0" applyNumberFormat="1" applyFill="1" applyBorder="1" applyAlignment="1">
      <alignment horizontal="right"/>
    </xf>
    <xf numFmtId="165" fontId="0" fillId="2" borderId="3" xfId="0" applyNumberFormat="1" applyFill="1" applyBorder="1" applyAlignment="1">
      <alignment horizontal="right"/>
    </xf>
    <xf numFmtId="165" fontId="2" fillId="3" borderId="12" xfId="0" applyNumberFormat="1" applyFont="1" applyFill="1" applyBorder="1" applyAlignment="1">
      <alignment horizontal="right"/>
    </xf>
    <xf numFmtId="165" fontId="0" fillId="2" borderId="0" xfId="1" applyNumberFormat="1" applyFont="1" applyFill="1" applyBorder="1" applyAlignment="1">
      <alignment horizontal="right"/>
    </xf>
    <xf numFmtId="165" fontId="0" fillId="2" borderId="3" xfId="1" applyNumberFormat="1" applyFont="1" applyFill="1" applyBorder="1" applyAlignment="1">
      <alignment horizontal="right"/>
    </xf>
    <xf numFmtId="165" fontId="0" fillId="2" borderId="2" xfId="0" applyNumberFormat="1" applyFill="1" applyBorder="1" applyAlignment="1">
      <alignment horizontal="right"/>
    </xf>
    <xf numFmtId="1" fontId="2" fillId="2" borderId="0" xfId="0" applyNumberFormat="1" applyFont="1" applyFill="1" applyAlignment="1">
      <alignment horizontal="right"/>
    </xf>
    <xf numFmtId="11" fontId="0" fillId="0" borderId="0" xfId="0" applyNumberFormat="1"/>
    <xf numFmtId="0" fontId="2" fillId="2" borderId="1" xfId="0" applyFont="1" applyFill="1" applyBorder="1" applyAlignment="1">
      <alignment horizontal="right" wrapText="1" shrinkToFit="1"/>
    </xf>
    <xf numFmtId="3" fontId="0" fillId="0" borderId="0" xfId="0" applyNumberFormat="1" applyAlignment="1">
      <alignment horizontal="right"/>
    </xf>
    <xf numFmtId="164" fontId="20" fillId="2" borderId="0" xfId="0" applyNumberFormat="1" applyFont="1" applyFill="1"/>
    <xf numFmtId="1" fontId="20" fillId="2" borderId="0" xfId="0" applyNumberFormat="1" applyFont="1" applyFill="1"/>
    <xf numFmtId="1" fontId="2" fillId="2" borderId="0" xfId="0" applyNumberFormat="1" applyFont="1" applyFill="1"/>
    <xf numFmtId="1" fontId="11" fillId="2" borderId="0" xfId="0" applyNumberFormat="1" applyFont="1" applyFill="1"/>
    <xf numFmtId="0" fontId="16" fillId="2" borderId="0" xfId="0" applyFont="1" applyFill="1"/>
    <xf numFmtId="1" fontId="2" fillId="2" borderId="16" xfId="0" applyNumberFormat="1" applyFont="1" applyFill="1" applyBorder="1" applyAlignment="1">
      <alignment horizontal="right"/>
    </xf>
    <xf numFmtId="1" fontId="2" fillId="3" borderId="9" xfId="0" applyNumberFormat="1" applyFont="1" applyFill="1" applyBorder="1" applyAlignment="1">
      <alignment horizontal="right"/>
    </xf>
    <xf numFmtId="1" fontId="2" fillId="3" borderId="10" xfId="0" applyNumberFormat="1" applyFont="1" applyFill="1" applyBorder="1" applyAlignment="1">
      <alignment horizontal="right"/>
    </xf>
    <xf numFmtId="1" fontId="0" fillId="2" borderId="6" xfId="0" applyNumberFormat="1" applyFill="1" applyBorder="1" applyAlignment="1">
      <alignment horizontal="right"/>
    </xf>
    <xf numFmtId="1" fontId="2" fillId="3" borderId="16" xfId="0" applyNumberFormat="1" applyFont="1" applyFill="1" applyBorder="1" applyAlignment="1">
      <alignment horizontal="right"/>
    </xf>
    <xf numFmtId="1" fontId="0" fillId="2" borderId="9" xfId="0" applyNumberFormat="1" applyFill="1" applyBorder="1" applyAlignment="1">
      <alignment horizontal="right"/>
    </xf>
    <xf numFmtId="1" fontId="0" fillId="2" borderId="10" xfId="0" applyNumberFormat="1" applyFill="1" applyBorder="1" applyAlignment="1">
      <alignment horizontal="right"/>
    </xf>
    <xf numFmtId="1" fontId="2" fillId="4" borderId="16" xfId="0" applyNumberFormat="1" applyFont="1" applyFill="1" applyBorder="1"/>
    <xf numFmtId="1" fontId="2" fillId="2" borderId="4" xfId="0" applyNumberFormat="1" applyFont="1" applyFill="1" applyBorder="1" applyAlignment="1">
      <alignment horizontal="right"/>
    </xf>
    <xf numFmtId="0" fontId="2" fillId="2" borderId="16" xfId="0" applyFont="1" applyFill="1" applyBorder="1" applyAlignment="1">
      <alignment horizontal="right"/>
    </xf>
    <xf numFmtId="0" fontId="2" fillId="2" borderId="15" xfId="0" applyFont="1" applyFill="1" applyBorder="1" applyAlignment="1">
      <alignment horizontal="right"/>
    </xf>
    <xf numFmtId="1" fontId="2" fillId="3" borderId="17" xfId="0" applyNumberFormat="1" applyFont="1" applyFill="1" applyBorder="1" applyAlignment="1">
      <alignment horizontal="right"/>
    </xf>
    <xf numFmtId="1" fontId="0" fillId="2" borderId="18" xfId="0" applyNumberFormat="1" applyFill="1" applyBorder="1" applyAlignment="1">
      <alignment horizontal="right"/>
    </xf>
    <xf numFmtId="1" fontId="2" fillId="3" borderId="15" xfId="0" applyNumberFormat="1" applyFont="1" applyFill="1" applyBorder="1" applyAlignment="1">
      <alignment horizontal="right"/>
    </xf>
    <xf numFmtId="1" fontId="0" fillId="2" borderId="17" xfId="0" applyNumberFormat="1" applyFill="1" applyBorder="1" applyAlignment="1">
      <alignment horizontal="right"/>
    </xf>
    <xf numFmtId="1" fontId="2" fillId="4" borderId="15" xfId="0" applyNumberFormat="1" applyFont="1" applyFill="1" applyBorder="1"/>
    <xf numFmtId="3" fontId="2" fillId="9" borderId="19" xfId="0" applyNumberFormat="1" applyFont="1" applyFill="1" applyBorder="1" applyAlignment="1">
      <alignment horizontal="right"/>
    </xf>
    <xf numFmtId="3" fontId="2" fillId="9" borderId="20" xfId="0" applyNumberFormat="1" applyFont="1" applyFill="1" applyBorder="1" applyAlignment="1">
      <alignment horizontal="right"/>
    </xf>
    <xf numFmtId="3" fontId="0" fillId="2" borderId="5" xfId="0" applyNumberFormat="1" applyFill="1" applyBorder="1" applyAlignment="1">
      <alignment horizontal="right"/>
    </xf>
    <xf numFmtId="3" fontId="0" fillId="2" borderId="6" xfId="0" applyNumberFormat="1" applyFill="1" applyBorder="1" applyAlignment="1">
      <alignment horizontal="right"/>
    </xf>
    <xf numFmtId="3" fontId="2" fillId="9" borderId="7" xfId="0" applyNumberFormat="1" applyFont="1" applyFill="1" applyBorder="1" applyAlignment="1">
      <alignment horizontal="right"/>
    </xf>
    <xf numFmtId="3" fontId="2" fillId="9" borderId="25" xfId="0" applyNumberFormat="1" applyFont="1" applyFill="1" applyBorder="1" applyAlignment="1">
      <alignment horizontal="right"/>
    </xf>
    <xf numFmtId="3" fontId="0" fillId="2" borderId="18" xfId="0" applyNumberFormat="1" applyFill="1" applyBorder="1" applyAlignment="1">
      <alignment horizontal="right"/>
    </xf>
    <xf numFmtId="3" fontId="2" fillId="3" borderId="9" xfId="0" applyNumberFormat="1" applyFont="1" applyFill="1" applyBorder="1" applyAlignment="1">
      <alignment horizontal="right"/>
    </xf>
    <xf numFmtId="3" fontId="2" fillId="3" borderId="10" xfId="0" applyNumberFormat="1" applyFont="1" applyFill="1" applyBorder="1" applyAlignment="1">
      <alignment horizontal="right"/>
    </xf>
    <xf numFmtId="165" fontId="0" fillId="2" borderId="8" xfId="0" applyNumberFormat="1" applyFill="1" applyBorder="1" applyAlignment="1">
      <alignment horizontal="right"/>
    </xf>
    <xf numFmtId="165" fontId="0" fillId="2" borderId="7" xfId="0" applyNumberFormat="1" applyFill="1" applyBorder="1" applyAlignment="1">
      <alignment horizontal="right"/>
    </xf>
    <xf numFmtId="165" fontId="0" fillId="2" borderId="5" xfId="0" applyNumberFormat="1" applyFill="1" applyBorder="1" applyAlignment="1">
      <alignment horizontal="right"/>
    </xf>
    <xf numFmtId="165" fontId="0" fillId="2" borderId="6" xfId="0" applyNumberFormat="1" applyFill="1" applyBorder="1" applyAlignment="1">
      <alignment horizontal="right"/>
    </xf>
    <xf numFmtId="165" fontId="0" fillId="2" borderId="9" xfId="0" applyNumberFormat="1" applyFill="1" applyBorder="1" applyAlignment="1">
      <alignment horizontal="right"/>
    </xf>
    <xf numFmtId="165" fontId="0" fillId="2" borderId="10" xfId="0" applyNumberFormat="1" applyFill="1" applyBorder="1" applyAlignment="1">
      <alignment horizontal="right"/>
    </xf>
    <xf numFmtId="3" fontId="2" fillId="3" borderId="17" xfId="0" applyNumberFormat="1" applyFont="1" applyFill="1" applyBorder="1" applyAlignment="1">
      <alignment horizontal="right"/>
    </xf>
    <xf numFmtId="165" fontId="0" fillId="2" borderId="27" xfId="0" applyNumberFormat="1" applyFill="1" applyBorder="1" applyAlignment="1">
      <alignment horizontal="right"/>
    </xf>
    <xf numFmtId="165" fontId="0" fillId="2" borderId="18" xfId="0" applyNumberFormat="1" applyFill="1" applyBorder="1" applyAlignment="1">
      <alignment horizontal="right"/>
    </xf>
    <xf numFmtId="165" fontId="0" fillId="2" borderId="17" xfId="0" applyNumberFormat="1" applyFill="1" applyBorder="1" applyAlignment="1">
      <alignment horizontal="right"/>
    </xf>
    <xf numFmtId="165" fontId="2" fillId="3" borderId="26" xfId="0" applyNumberFormat="1" applyFont="1" applyFill="1" applyBorder="1" applyAlignment="1">
      <alignment horizontal="right"/>
    </xf>
    <xf numFmtId="165" fontId="0" fillId="2" borderId="26" xfId="0" applyNumberFormat="1" applyFill="1" applyBorder="1" applyAlignment="1">
      <alignment horizontal="right"/>
    </xf>
    <xf numFmtId="165" fontId="2" fillId="3" borderId="28" xfId="0" applyNumberFormat="1" applyFont="1" applyFill="1" applyBorder="1" applyAlignment="1">
      <alignment horizontal="right"/>
    </xf>
    <xf numFmtId="165" fontId="0" fillId="2" borderId="18" xfId="1" applyNumberFormat="1" applyFont="1" applyFill="1" applyBorder="1" applyAlignment="1">
      <alignment horizontal="right"/>
    </xf>
    <xf numFmtId="165" fontId="0" fillId="2" borderId="17" xfId="1" applyNumberFormat="1" applyFont="1" applyFill="1" applyBorder="1" applyAlignment="1">
      <alignment horizontal="right"/>
    </xf>
    <xf numFmtId="165" fontId="2" fillId="3" borderId="21" xfId="0" applyNumberFormat="1" applyFont="1" applyFill="1" applyBorder="1" applyAlignment="1">
      <alignment horizontal="right"/>
    </xf>
    <xf numFmtId="165" fontId="2" fillId="3" borderId="22" xfId="0" applyNumberFormat="1" applyFont="1" applyFill="1" applyBorder="1" applyAlignment="1">
      <alignment horizontal="right"/>
    </xf>
    <xf numFmtId="165" fontId="0" fillId="2" borderId="21" xfId="0" applyNumberFormat="1" applyFill="1" applyBorder="1" applyAlignment="1">
      <alignment horizontal="right"/>
    </xf>
    <xf numFmtId="165" fontId="0" fillId="2" borderId="22" xfId="0" applyNumberFormat="1" applyFill="1" applyBorder="1" applyAlignment="1">
      <alignment horizontal="right"/>
    </xf>
    <xf numFmtId="165" fontId="2" fillId="3" borderId="23" xfId="0" applyNumberFormat="1" applyFont="1" applyFill="1" applyBorder="1" applyAlignment="1">
      <alignment horizontal="right"/>
    </xf>
    <xf numFmtId="165" fontId="2" fillId="3" borderId="24" xfId="0" applyNumberFormat="1" applyFont="1" applyFill="1" applyBorder="1" applyAlignment="1">
      <alignment horizontal="right"/>
    </xf>
    <xf numFmtId="165" fontId="0" fillId="2" borderId="5" xfId="1" applyNumberFormat="1" applyFont="1" applyFill="1" applyBorder="1" applyAlignment="1">
      <alignment horizontal="right"/>
    </xf>
    <xf numFmtId="165" fontId="0" fillId="2" borderId="6" xfId="1" applyNumberFormat="1" applyFont="1" applyFill="1" applyBorder="1" applyAlignment="1">
      <alignment horizontal="right"/>
    </xf>
    <xf numFmtId="165" fontId="0" fillId="2" borderId="9" xfId="1" applyNumberFormat="1" applyFont="1" applyFill="1" applyBorder="1" applyAlignment="1">
      <alignment horizontal="right"/>
    </xf>
    <xf numFmtId="165" fontId="0" fillId="2" borderId="10" xfId="1" applyNumberFormat="1" applyFont="1" applyFill="1" applyBorder="1" applyAlignment="1">
      <alignment horizontal="right"/>
    </xf>
    <xf numFmtId="0" fontId="0" fillId="0" borderId="29" xfId="0" applyBorder="1"/>
    <xf numFmtId="0" fontId="0" fillId="0" borderId="30" xfId="0" applyBorder="1"/>
    <xf numFmtId="0" fontId="0" fillId="0" borderId="31" xfId="0" applyBorder="1"/>
    <xf numFmtId="0" fontId="0" fillId="0" borderId="32" xfId="0" applyBorder="1"/>
    <xf numFmtId="165" fontId="0" fillId="0" borderId="0" xfId="0" applyNumberFormat="1"/>
    <xf numFmtId="165" fontId="0" fillId="0" borderId="33" xfId="0" applyNumberFormat="1" applyBorder="1"/>
    <xf numFmtId="0" fontId="0" fillId="0" borderId="34" xfId="0" applyBorder="1"/>
    <xf numFmtId="165" fontId="0" fillId="0" borderId="35" xfId="0" applyNumberFormat="1" applyBorder="1"/>
    <xf numFmtId="165" fontId="0" fillId="0" borderId="36" xfId="0" applyNumberFormat="1" applyBorder="1"/>
    <xf numFmtId="165" fontId="2" fillId="3" borderId="21" xfId="0" applyNumberFormat="1" applyFont="1" applyFill="1" applyBorder="1" applyAlignment="1">
      <alignment horizontal="center"/>
    </xf>
    <xf numFmtId="165" fontId="2" fillId="3" borderId="26" xfId="0" applyNumberFormat="1" applyFont="1" applyFill="1" applyBorder="1" applyAlignment="1">
      <alignment horizontal="center"/>
    </xf>
    <xf numFmtId="0" fontId="2" fillId="2" borderId="4" xfId="0" applyFont="1" applyFill="1" applyBorder="1" applyAlignment="1">
      <alignment horizontal="right" wrapText="1" shrinkToFit="1"/>
    </xf>
    <xf numFmtId="1" fontId="11" fillId="5" borderId="15" xfId="0" applyNumberFormat="1" applyFont="1" applyFill="1" applyBorder="1" applyAlignment="1">
      <alignment horizontal="right"/>
    </xf>
    <xf numFmtId="1" fontId="16" fillId="2" borderId="5" xfId="0" applyNumberFormat="1" applyFont="1" applyFill="1" applyBorder="1" applyAlignment="1">
      <alignment horizontal="right"/>
    </xf>
    <xf numFmtId="1" fontId="11" fillId="6" borderId="15" xfId="0" applyNumberFormat="1" applyFont="1" applyFill="1" applyBorder="1"/>
    <xf numFmtId="0" fontId="12" fillId="2" borderId="4" xfId="0" applyFont="1" applyFill="1" applyBorder="1"/>
    <xf numFmtId="0" fontId="0" fillId="0" borderId="2" xfId="0" applyBorder="1"/>
    <xf numFmtId="1" fontId="2" fillId="3" borderId="4" xfId="0" applyNumberFormat="1" applyFont="1" applyFill="1" applyBorder="1" applyAlignment="1">
      <alignment horizontal="left"/>
    </xf>
    <xf numFmtId="0" fontId="7" fillId="2" borderId="8" xfId="0" applyFont="1" applyFill="1" applyBorder="1" applyAlignment="1">
      <alignment horizontal="left" indent="2"/>
    </xf>
    <xf numFmtId="0" fontId="7" fillId="2" borderId="5" xfId="0" applyFont="1" applyFill="1" applyBorder="1" applyAlignment="1">
      <alignment horizontal="left" indent="2"/>
    </xf>
    <xf numFmtId="1" fontId="2" fillId="5" borderId="4" xfId="0" applyNumberFormat="1" applyFont="1" applyFill="1" applyBorder="1" applyAlignment="1">
      <alignment horizontal="left"/>
    </xf>
    <xf numFmtId="1" fontId="2" fillId="6" borderId="4" xfId="0" applyNumberFormat="1" applyFont="1" applyFill="1" applyBorder="1"/>
    <xf numFmtId="0" fontId="2" fillId="10" borderId="0" xfId="0" applyFont="1" applyFill="1"/>
    <xf numFmtId="0" fontId="21" fillId="2" borderId="0" xfId="4" applyFill="1" applyBorder="1"/>
    <xf numFmtId="9" fontId="21" fillId="0" borderId="0" xfId="4" applyNumberFormat="1"/>
    <xf numFmtId="166" fontId="2" fillId="9" borderId="2" xfId="0" applyNumberFormat="1" applyFont="1" applyFill="1" applyBorder="1" applyAlignment="1">
      <alignment horizontal="right"/>
    </xf>
    <xf numFmtId="9" fontId="2" fillId="3" borderId="23" xfId="0" applyNumberFormat="1" applyFont="1" applyFill="1" applyBorder="1" applyAlignment="1">
      <alignment horizontal="right"/>
    </xf>
    <xf numFmtId="0" fontId="5" fillId="0" borderId="4" xfId="0" applyFont="1" applyBorder="1"/>
    <xf numFmtId="0" fontId="2" fillId="2" borderId="5" xfId="0" applyFont="1" applyFill="1" applyBorder="1"/>
    <xf numFmtId="0" fontId="7" fillId="2" borderId="38" xfId="0" applyFont="1" applyFill="1" applyBorder="1" applyAlignment="1">
      <alignment vertical="center"/>
    </xf>
    <xf numFmtId="165" fontId="0" fillId="2" borderId="18" xfId="0" applyNumberFormat="1" applyFill="1" applyBorder="1" applyAlignment="1">
      <alignment vertical="center"/>
    </xf>
    <xf numFmtId="165" fontId="0" fillId="2" borderId="37" xfId="0" applyNumberFormat="1" applyFill="1" applyBorder="1" applyAlignment="1">
      <alignment vertical="center"/>
    </xf>
    <xf numFmtId="0" fontId="7" fillId="2" borderId="5" xfId="0" applyFont="1" applyFill="1" applyBorder="1" applyAlignment="1">
      <alignment vertical="center"/>
    </xf>
    <xf numFmtId="0" fontId="21" fillId="0" borderId="9" xfId="4" applyBorder="1"/>
    <xf numFmtId="165" fontId="21" fillId="2" borderId="17" xfId="4" applyNumberFormat="1" applyFill="1" applyBorder="1" applyAlignment="1">
      <alignment vertical="center"/>
    </xf>
    <xf numFmtId="0" fontId="3" fillId="10" borderId="0" xfId="0" applyFont="1" applyFill="1"/>
    <xf numFmtId="1" fontId="2" fillId="7" borderId="4" xfId="0" applyNumberFormat="1" applyFont="1" applyFill="1" applyBorder="1" applyAlignment="1">
      <alignment horizontal="left"/>
    </xf>
    <xf numFmtId="1" fontId="2" fillId="7" borderId="15" xfId="0" applyNumberFormat="1" applyFont="1" applyFill="1" applyBorder="1" applyAlignment="1">
      <alignment horizontal="right"/>
    </xf>
    <xf numFmtId="164" fontId="2" fillId="8" borderId="15" xfId="0" applyNumberFormat="1" applyFont="1" applyFill="1" applyBorder="1"/>
    <xf numFmtId="0" fontId="21" fillId="2" borderId="0" xfId="4" applyFill="1"/>
    <xf numFmtId="2" fontId="21" fillId="2" borderId="0" xfId="4" applyNumberFormat="1" applyFill="1" applyBorder="1" applyAlignment="1">
      <alignment horizontal="right"/>
    </xf>
    <xf numFmtId="164" fontId="21" fillId="2" borderId="0" xfId="4" applyNumberFormat="1" applyFill="1"/>
    <xf numFmtId="1" fontId="21" fillId="2" borderId="0" xfId="4" applyNumberFormat="1" applyFill="1"/>
    <xf numFmtId="164" fontId="21" fillId="2" borderId="0" xfId="4" applyNumberFormat="1" applyFill="1" applyBorder="1"/>
    <xf numFmtId="2" fontId="2" fillId="2" borderId="0" xfId="0" applyNumberFormat="1" applyFont="1" applyFill="1"/>
    <xf numFmtId="1" fontId="2" fillId="8" borderId="15" xfId="0" applyNumberFormat="1" applyFont="1" applyFill="1" applyBorder="1"/>
    <xf numFmtId="0" fontId="0" fillId="2" borderId="4" xfId="0" applyFill="1" applyBorder="1"/>
    <xf numFmtId="0" fontId="2" fillId="2" borderId="4" xfId="0" applyFont="1" applyFill="1" applyBorder="1"/>
    <xf numFmtId="0" fontId="22" fillId="2" borderId="4" xfId="0" applyFont="1" applyFill="1" applyBorder="1" applyAlignment="1">
      <alignment horizontal="left" vertical="center" wrapText="1"/>
    </xf>
    <xf numFmtId="2" fontId="2" fillId="0" borderId="8" xfId="0" applyNumberFormat="1" applyFont="1" applyBorder="1"/>
    <xf numFmtId="1" fontId="2" fillId="0" borderId="2" xfId="0" applyNumberFormat="1" applyFont="1" applyBorder="1"/>
    <xf numFmtId="1" fontId="2" fillId="0" borderId="7" xfId="0" applyNumberFormat="1" applyFont="1" applyBorder="1"/>
    <xf numFmtId="2" fontId="2" fillId="0" borderId="5" xfId="0" applyNumberFormat="1" applyFont="1" applyBorder="1"/>
    <xf numFmtId="0" fontId="2" fillId="0" borderId="5" xfId="0" applyFont="1" applyBorder="1"/>
    <xf numFmtId="2" fontId="2" fillId="0" borderId="9" xfId="0" applyNumberFormat="1" applyFont="1" applyBorder="1"/>
    <xf numFmtId="1" fontId="0" fillId="0" borderId="6" xfId="0" applyNumberFormat="1" applyBorder="1" applyAlignment="1">
      <alignment horizontal="right"/>
    </xf>
    <xf numFmtId="1" fontId="0" fillId="0" borderId="3" xfId="0" applyNumberFormat="1" applyBorder="1"/>
    <xf numFmtId="1" fontId="0" fillId="0" borderId="10" xfId="0" applyNumberFormat="1" applyBorder="1" applyAlignment="1">
      <alignment horizontal="right"/>
    </xf>
    <xf numFmtId="2" fontId="21" fillId="0" borderId="0" xfId="4" applyNumberFormat="1" applyFill="1" applyBorder="1"/>
    <xf numFmtId="1" fontId="21" fillId="0" borderId="0" xfId="4" applyNumberFormat="1" applyFill="1" applyBorder="1"/>
    <xf numFmtId="1" fontId="21" fillId="0" borderId="0" xfId="4" applyNumberFormat="1" applyFill="1" applyBorder="1" applyAlignment="1">
      <alignment horizontal="right"/>
    </xf>
    <xf numFmtId="9" fontId="0" fillId="0" borderId="0" xfId="0" applyNumberFormat="1" applyAlignment="1">
      <alignment horizontal="right"/>
    </xf>
    <xf numFmtId="9" fontId="0" fillId="0" borderId="6" xfId="0" applyNumberFormat="1" applyBorder="1" applyAlignment="1">
      <alignment horizontal="right"/>
    </xf>
    <xf numFmtId="9" fontId="0" fillId="0" borderId="3" xfId="0" applyNumberFormat="1" applyBorder="1" applyAlignment="1">
      <alignment horizontal="right"/>
    </xf>
    <xf numFmtId="9" fontId="0" fillId="0" borderId="10" xfId="0" applyNumberFormat="1" applyBorder="1" applyAlignment="1">
      <alignment horizontal="right"/>
    </xf>
    <xf numFmtId="9" fontId="21" fillId="0" borderId="0" xfId="4" applyNumberFormat="1" applyFill="1" applyBorder="1" applyAlignment="1">
      <alignment horizontal="right"/>
    </xf>
    <xf numFmtId="0" fontId="23" fillId="2" borderId="0" xfId="0" applyFont="1" applyFill="1"/>
    <xf numFmtId="0" fontId="24" fillId="2" borderId="0" xfId="0" applyFont="1" applyFill="1"/>
    <xf numFmtId="0" fontId="21" fillId="0" borderId="0" xfId="4" applyFill="1" applyBorder="1"/>
    <xf numFmtId="9" fontId="21" fillId="0" borderId="0" xfId="4" applyNumberFormat="1" applyFill="1" applyBorder="1"/>
    <xf numFmtId="0" fontId="0" fillId="0" borderId="8" xfId="0" applyBorder="1"/>
    <xf numFmtId="0" fontId="0" fillId="0" borderId="5" xfId="0" applyBorder="1"/>
    <xf numFmtId="0" fontId="2" fillId="2" borderId="19" xfId="0" applyFont="1" applyFill="1" applyBorder="1"/>
    <xf numFmtId="166" fontId="2" fillId="9" borderId="7" xfId="0" applyNumberFormat="1" applyFont="1" applyFill="1" applyBorder="1" applyAlignment="1">
      <alignment horizontal="right"/>
    </xf>
    <xf numFmtId="9" fontId="2" fillId="3" borderId="28" xfId="0" applyNumberFormat="1" applyFont="1" applyFill="1" applyBorder="1" applyAlignment="1">
      <alignment horizontal="right"/>
    </xf>
    <xf numFmtId="0" fontId="2" fillId="2" borderId="9" xfId="0" applyFont="1" applyFill="1" applyBorder="1"/>
    <xf numFmtId="9" fontId="2" fillId="3" borderId="39" xfId="0" applyNumberFormat="1" applyFont="1" applyFill="1" applyBorder="1" applyAlignment="1">
      <alignment horizontal="right"/>
    </xf>
    <xf numFmtId="9" fontId="2" fillId="3" borderId="40" xfId="0" applyNumberFormat="1" applyFont="1" applyFill="1" applyBorder="1" applyAlignment="1">
      <alignment horizontal="right"/>
    </xf>
    <xf numFmtId="1" fontId="25" fillId="10" borderId="0" xfId="5" applyNumberFormat="1" applyFont="1" applyFill="1" applyAlignment="1">
      <alignment horizontal="left" vertical="center" wrapText="1"/>
    </xf>
    <xf numFmtId="0" fontId="26" fillId="11" borderId="0" xfId="0" applyFont="1" applyFill="1"/>
    <xf numFmtId="0" fontId="2" fillId="0" borderId="6" xfId="0" applyFont="1" applyBorder="1"/>
    <xf numFmtId="0" fontId="9" fillId="2" borderId="0" xfId="0" applyFont="1" applyFill="1"/>
    <xf numFmtId="0" fontId="0" fillId="2" borderId="6" xfId="0" applyFill="1" applyBorder="1"/>
    <xf numFmtId="0" fontId="2" fillId="2" borderId="6" xfId="0" applyFont="1" applyFill="1" applyBorder="1"/>
    <xf numFmtId="0" fontId="2" fillId="5" borderId="41" xfId="0" applyFont="1" applyFill="1" applyBorder="1" applyAlignment="1">
      <alignment horizontal="center" vertical="center"/>
    </xf>
    <xf numFmtId="167" fontId="2" fillId="3" borderId="1" xfId="0" applyNumberFormat="1" applyFont="1" applyFill="1" applyBorder="1" applyAlignment="1">
      <alignment horizontal="right"/>
    </xf>
    <xf numFmtId="0" fontId="10" fillId="10" borderId="0" xfId="0" applyFont="1" applyFill="1"/>
    <xf numFmtId="0" fontId="16" fillId="0" borderId="0" xfId="0" applyFont="1"/>
    <xf numFmtId="1" fontId="2" fillId="12" borderId="4" xfId="0" applyNumberFormat="1" applyFont="1" applyFill="1" applyBorder="1" applyAlignment="1">
      <alignment horizontal="left"/>
    </xf>
    <xf numFmtId="0" fontId="0" fillId="12" borderId="0" xfId="0" applyFill="1"/>
    <xf numFmtId="164" fontId="11" fillId="12" borderId="4" xfId="0" quotePrefix="1" applyNumberFormat="1" applyFont="1" applyFill="1" applyBorder="1" applyAlignment="1">
      <alignment horizontal="right"/>
    </xf>
    <xf numFmtId="164" fontId="11" fillId="12" borderId="1" xfId="0" applyNumberFormat="1" applyFont="1" applyFill="1" applyBorder="1" applyAlignment="1">
      <alignment horizontal="right"/>
    </xf>
    <xf numFmtId="164" fontId="11" fillId="12" borderId="15" xfId="0" applyNumberFormat="1" applyFont="1" applyFill="1" applyBorder="1" applyAlignment="1">
      <alignment horizontal="right"/>
    </xf>
    <xf numFmtId="164" fontId="16" fillId="2" borderId="5" xfId="0" applyNumberFormat="1" applyFont="1" applyFill="1" applyBorder="1" applyAlignment="1">
      <alignment horizontal="right"/>
    </xf>
    <xf numFmtId="164" fontId="0" fillId="2" borderId="18" xfId="0" applyNumberFormat="1" applyFill="1" applyBorder="1" applyAlignment="1">
      <alignment horizontal="right"/>
    </xf>
    <xf numFmtId="164" fontId="11" fillId="12" borderId="4" xfId="0" applyNumberFormat="1" applyFont="1" applyFill="1" applyBorder="1" applyAlignment="1">
      <alignment horizontal="right"/>
    </xf>
    <xf numFmtId="164" fontId="16" fillId="2" borderId="0" xfId="0" applyNumberFormat="1" applyFont="1" applyFill="1" applyAlignment="1">
      <alignment horizontal="right"/>
    </xf>
    <xf numFmtId="164" fontId="0" fillId="2" borderId="5" xfId="0" applyNumberFormat="1" applyFill="1" applyBorder="1" applyAlignment="1">
      <alignment horizontal="right"/>
    </xf>
    <xf numFmtId="1" fontId="2" fillId="13" borderId="4" xfId="0" applyNumberFormat="1" applyFont="1" applyFill="1" applyBorder="1"/>
    <xf numFmtId="0" fontId="0" fillId="13" borderId="3" xfId="0" applyFill="1" applyBorder="1"/>
    <xf numFmtId="164" fontId="11" fillId="13" borderId="4" xfId="0" applyNumberFormat="1" applyFont="1" applyFill="1" applyBorder="1"/>
    <xf numFmtId="164" fontId="11" fillId="13" borderId="1" xfId="0" applyNumberFormat="1" applyFont="1" applyFill="1" applyBorder="1"/>
    <xf numFmtId="164" fontId="11" fillId="13" borderId="15" xfId="0" applyNumberFormat="1" applyFont="1" applyFill="1" applyBorder="1"/>
    <xf numFmtId="164" fontId="2" fillId="3" borderId="1" xfId="0" applyNumberFormat="1" applyFont="1" applyFill="1" applyBorder="1" applyAlignment="1">
      <alignment horizontal="right"/>
    </xf>
    <xf numFmtId="164" fontId="2" fillId="3" borderId="15" xfId="0" applyNumberFormat="1" applyFont="1" applyFill="1" applyBorder="1" applyAlignment="1">
      <alignment horizontal="right"/>
    </xf>
    <xf numFmtId="2" fontId="16" fillId="2" borderId="0" xfId="0" applyNumberFormat="1" applyFont="1" applyFill="1" applyAlignment="1">
      <alignment horizontal="right"/>
    </xf>
    <xf numFmtId="1" fontId="16" fillId="2" borderId="18" xfId="0" applyNumberFormat="1" applyFont="1" applyFill="1" applyBorder="1" applyAlignment="1">
      <alignment horizontal="right"/>
    </xf>
    <xf numFmtId="1" fontId="11" fillId="3" borderId="1" xfId="0" applyNumberFormat="1" applyFont="1" applyFill="1" applyBorder="1" applyAlignment="1">
      <alignment horizontal="right"/>
    </xf>
    <xf numFmtId="1" fontId="11" fillId="3" borderId="15" xfId="0" applyNumberFormat="1" applyFont="1" applyFill="1" applyBorder="1" applyAlignment="1">
      <alignment horizontal="right"/>
    </xf>
    <xf numFmtId="1" fontId="11" fillId="4" borderId="1" xfId="0" applyNumberFormat="1" applyFont="1" applyFill="1" applyBorder="1"/>
    <xf numFmtId="1" fontId="11" fillId="4" borderId="15" xfId="0" applyNumberFormat="1" applyFont="1" applyFill="1" applyBorder="1"/>
    <xf numFmtId="2" fontId="2" fillId="3" borderId="1" xfId="0" applyNumberFormat="1" applyFont="1" applyFill="1" applyBorder="1" applyAlignment="1">
      <alignment horizontal="right"/>
    </xf>
    <xf numFmtId="0" fontId="2" fillId="2" borderId="0" xfId="0" applyFont="1" applyFill="1" applyAlignment="1">
      <alignment horizontal="right" wrapText="1"/>
    </xf>
    <xf numFmtId="1" fontId="11" fillId="14" borderId="15" xfId="0" applyNumberFormat="1" applyFont="1" applyFill="1" applyBorder="1"/>
    <xf numFmtId="1" fontId="11" fillId="15" borderId="15" xfId="0" applyNumberFormat="1" applyFont="1" applyFill="1" applyBorder="1" applyAlignment="1">
      <alignment horizontal="right"/>
    </xf>
    <xf numFmtId="0" fontId="22" fillId="2" borderId="8" xfId="0" applyFont="1" applyFill="1" applyBorder="1" applyAlignment="1">
      <alignment horizontal="left" vertical="center" wrapText="1"/>
    </xf>
    <xf numFmtId="0" fontId="22" fillId="2" borderId="5" xfId="0" applyFont="1" applyFill="1" applyBorder="1" applyAlignment="1">
      <alignment horizontal="left" vertical="center" wrapText="1"/>
    </xf>
    <xf numFmtId="0" fontId="22" fillId="2" borderId="9" xfId="0" applyFont="1" applyFill="1" applyBorder="1" applyAlignment="1">
      <alignment horizontal="left" vertical="center" wrapText="1"/>
    </xf>
  </cellXfs>
  <cellStyles count="6">
    <cellStyle name="Lien hypertexte" xfId="3" builtinId="8"/>
    <cellStyle name="Motif 2 2" xfId="2" xr:uid="{00000000-0005-0000-0000-000001000000}"/>
    <cellStyle name="Normal" xfId="0" builtinId="0"/>
    <cellStyle name="Normal 2" xfId="5" xr:uid="{00000000-0005-0000-0000-000003000000}"/>
    <cellStyle name="Pourcentage" xfId="1" builtinId="5"/>
    <cellStyle name="Texte explicatif" xfId="4" builtinId="53"/>
  </cellStyles>
  <dxfs count="0"/>
  <tableStyles count="0" defaultTableStyle="TableStyleMedium2" defaultPivotStyle="PivotStyleLight16"/>
  <colors>
    <mruColors>
      <color rgb="FFFFFF99"/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4.xml"/><Relationship Id="rId13" Type="http://schemas.openxmlformats.org/officeDocument/2006/relationships/chartsheet" Target="chartsheets/sheet7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chartsheet" Target="chartsheets/sheet4.xml"/><Relationship Id="rId12" Type="http://schemas.openxmlformats.org/officeDocument/2006/relationships/worksheet" Target="worksheets/sheet6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hartsheet" Target="chartsheets/sheet3.xml"/><Relationship Id="rId11" Type="http://schemas.openxmlformats.org/officeDocument/2006/relationships/chartsheet" Target="chartsheets/sheet6.xml"/><Relationship Id="rId5" Type="http://schemas.openxmlformats.org/officeDocument/2006/relationships/chartsheet" Target="chartsheets/sheet2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5.xml"/><Relationship Id="rId19" Type="http://schemas.openxmlformats.org/officeDocument/2006/relationships/calcChain" Target="calcChain.xml"/><Relationship Id="rId4" Type="http://schemas.openxmlformats.org/officeDocument/2006/relationships/chartsheet" Target="chartsheets/sheet1.xml"/><Relationship Id="rId9" Type="http://schemas.openxmlformats.org/officeDocument/2006/relationships/chartsheet" Target="chartsheets/sheet5.xml"/><Relationship Id="rId14" Type="http://schemas.openxmlformats.org/officeDocument/2006/relationships/worksheet" Target="worksheets/sheet7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'Table Graphs'!$B$4</c:f>
          <c:strCache>
            <c:ptCount val="1"/>
            <c:pt idx="0">
              <c:v>TEND : Energie finale par usage et énergie primaire (Mtep)</c:v>
            </c:pt>
          </c:strCache>
        </c:strRef>
      </c:tx>
      <c:layout>
        <c:manualLayout>
          <c:xMode val="edge"/>
          <c:yMode val="edge"/>
          <c:x val="4.565027119818825E-2"/>
          <c:y val="1.879084080007240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Arial" panose="020B0604020202020204" pitchFamily="34" charset="0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6.2368481705777662E-2"/>
          <c:y val="9.2178709531540379E-2"/>
          <c:w val="0.72086842510503502"/>
          <c:h val="0.80743011521699826"/>
        </c:manualLayout>
      </c:layout>
      <c:barChart>
        <c:barDir val="col"/>
        <c:grouping val="stacked"/>
        <c:varyColors val="0"/>
        <c:ser>
          <c:idx val="1"/>
          <c:order val="0"/>
          <c:tx>
            <c:strRef>
              <c:f>'T energie usages'!#REF!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'T energie usages'!#REF!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'T energie usages'!#REF!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9E4B-4528-ADD6-F8FC9A686728}"/>
            </c:ext>
          </c:extLst>
        </c:ser>
        <c:ser>
          <c:idx val="0"/>
          <c:order val="1"/>
          <c:tx>
            <c:strRef>
              <c:f>'T energie usages'!#REF!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'T energie usages'!#REF!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'T energie usages'!#REF!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9E4B-4528-ADD6-F8FC9A686728}"/>
            </c:ext>
          </c:extLst>
        </c:ser>
        <c:ser>
          <c:idx val="2"/>
          <c:order val="2"/>
          <c:tx>
            <c:strRef>
              <c:f>'T energie usages'!#REF!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'T energie usages'!#REF!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'T energie usages'!#REF!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2-9E4B-4528-ADD6-F8FC9A686728}"/>
            </c:ext>
          </c:extLst>
        </c:ser>
        <c:ser>
          <c:idx val="3"/>
          <c:order val="3"/>
          <c:tx>
            <c:strRef>
              <c:f>'T energie usages'!#REF!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'T energie usages'!#REF!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'T energie usages'!#REF!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3-9E4B-4528-ADD6-F8FC9A6867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13035744"/>
        <c:axId val="213036528"/>
      </c:barChart>
      <c:lineChart>
        <c:grouping val="standard"/>
        <c:varyColors val="0"/>
        <c:ser>
          <c:idx val="4"/>
          <c:order val="4"/>
          <c:tx>
            <c:strRef>
              <c:f>'T energie vecteurs'!$Z$8</c:f>
              <c:strCache>
                <c:ptCount val="1"/>
                <c:pt idx="0">
                  <c:v>Energie primaire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2.7369058718806952E-3"/>
                  <c:y val="-3.95942841146682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9E4B-4528-ADD6-F8FC9A686728}"/>
                </c:ext>
              </c:extLst>
            </c:dLbl>
            <c:dLbl>
              <c:idx val="1"/>
              <c:layout>
                <c:manualLayout>
                  <c:x val="1.3684529359403977E-3"/>
                  <c:y val="-2.709082597319403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E4B-4528-ADD6-F8FC9A68672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'T energie vecteurs'!$AA$8:$AC$8</c:f>
              <c:numCache>
                <c:formatCode>0</c:formatCode>
                <c:ptCount val="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'T energie usages'!#REF!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6-9E4B-4528-ADD6-F8FC9A686728}"/>
            </c:ext>
          </c:extLst>
        </c:ser>
        <c:ser>
          <c:idx val="5"/>
          <c:order val="5"/>
          <c:tx>
            <c:strRef>
              <c:f>'T energie usages'!#REF!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2.5019613166221479E-17"/>
                  <c:y val="-4.388714733542319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4BD-40DB-A16C-DFF8C658DFE3}"/>
                </c:ext>
              </c:extLst>
            </c:dLbl>
            <c:dLbl>
              <c:idx val="1"/>
              <c:layout>
                <c:manualLayout>
                  <c:x val="-1.3647219379051519E-3"/>
                  <c:y val="-3.761755485893417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4BD-40DB-A16C-DFF8C658DFE3}"/>
                </c:ext>
              </c:extLst>
            </c:dLbl>
            <c:dLbl>
              <c:idx val="2"/>
              <c:layout>
                <c:manualLayout>
                  <c:x val="0"/>
                  <c:y val="-5.0156739811912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4BD-40DB-A16C-DFF8C658DFE3}"/>
                </c:ext>
              </c:extLst>
            </c:dLbl>
            <c:spPr>
              <a:solidFill>
                <a:srgbClr val="FFFF99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'T energie usages'!#REF!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'T energie usages'!#REF!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04BD-40DB-A16C-DFF8C658DF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3035744"/>
        <c:axId val="213036528"/>
      </c:lineChart>
      <c:catAx>
        <c:axId val="213035744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3036528"/>
        <c:crosses val="autoZero"/>
        <c:auto val="1"/>
        <c:lblAlgn val="ctr"/>
        <c:lblOffset val="100"/>
        <c:noMultiLvlLbl val="0"/>
      </c:catAx>
      <c:valAx>
        <c:axId val="213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30357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0688045232372196"/>
          <c:y val="0.13592261164763317"/>
          <c:w val="0.19311954480613158"/>
          <c:h val="0.3480275467134006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fr-FR">
                <a:solidFill>
                  <a:schemeClr val="bg1"/>
                </a:solidFill>
              </a:rPr>
              <a:t>Mix</a:t>
            </a:r>
            <a:r>
              <a:rPr lang="fr-FR" baseline="0">
                <a:solidFill>
                  <a:schemeClr val="bg1"/>
                </a:solidFill>
              </a:rPr>
              <a:t> electrique</a:t>
            </a:r>
            <a:endParaRPr lang="fr-FR">
              <a:solidFill>
                <a:schemeClr val="bg1"/>
              </a:solidFill>
            </a:endParaRPr>
          </a:p>
        </c:rich>
      </c:tx>
      <c:overlay val="0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4.9132812442860448E-2"/>
          <c:y val="0.17079043396847435"/>
          <c:w val="0.69226941862961444"/>
          <c:h val="0.6323643943840473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'T energie vecteurs'!$Z$33</c:f>
              <c:strCache>
                <c:ptCount val="1"/>
                <c:pt idx="0">
                  <c:v>charbon</c:v>
                </c:pt>
              </c:strCache>
            </c:strRef>
          </c:tx>
          <c:spPr>
            <a:solidFill>
              <a:schemeClr val="tx1"/>
            </a:solidFill>
            <a:ln>
              <a:solidFill>
                <a:schemeClr val="tx1"/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7.8001817348599803E-2"/>
                  <c:y val="-1.460757145427508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716E-4ECA-9D5C-5B4727E02E74}"/>
                </c:ext>
              </c:extLst>
            </c:dLbl>
            <c:dLbl>
              <c:idx val="1"/>
              <c:layout>
                <c:manualLayout>
                  <c:x val="7.9370270284540051E-2"/>
                  <c:y val="-1.669436737631421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16E-4ECA-9D5C-5B4727E02E74}"/>
                </c:ext>
              </c:extLst>
            </c:dLbl>
            <c:dLbl>
              <c:idx val="2"/>
              <c:layout>
                <c:manualLayout>
                  <c:x val="8.2107176156420852E-2"/>
                  <c:y val="-2.921514290854986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716E-4ECA-9D5C-5B4727E02E7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vecteurs'!$AA$32:$AC$32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vecteurs'!$AA$33:$AC$33</c:f>
              <c:numCache>
                <c:formatCode>0%</c:formatCode>
                <c:ptCount val="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16E-4ECA-9D5C-5B4727E02E74}"/>
            </c:ext>
          </c:extLst>
        </c:ser>
        <c:ser>
          <c:idx val="1"/>
          <c:order val="1"/>
          <c:tx>
            <c:strRef>
              <c:f>'T energie vecteurs'!$Z$34</c:f>
              <c:strCache>
                <c:ptCount val="1"/>
                <c:pt idx="0">
                  <c:v>nucléaire</c:v>
                </c:pt>
              </c:strCache>
            </c:strRef>
          </c:tx>
          <c:spPr>
            <a:solidFill>
              <a:srgbClr val="FF0000"/>
            </a:solidFill>
            <a:ln>
              <a:solidFill>
                <a:srgbClr val="FF000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vecteurs'!$AA$32:$AC$32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vecteurs'!$AA$34:$AC$34</c:f>
              <c:numCache>
                <c:formatCode>0%</c:formatCode>
                <c:ptCount val="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16E-4ECA-9D5C-5B4727E02E74}"/>
            </c:ext>
          </c:extLst>
        </c:ser>
        <c:ser>
          <c:idx val="2"/>
          <c:order val="2"/>
          <c:tx>
            <c:strRef>
              <c:f>'T energie vecteurs'!$Z$35</c:f>
              <c:strCache>
                <c:ptCount val="1"/>
                <c:pt idx="0">
                  <c:v>hydraulique</c:v>
                </c:pt>
              </c:strCache>
            </c:strRef>
          </c:tx>
          <c:spPr>
            <a:solidFill>
              <a:srgbClr val="00B0F0"/>
            </a:solidFill>
            <a:ln>
              <a:solidFill>
                <a:srgbClr val="00B05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vecteurs'!$AA$32:$AC$32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vecteurs'!$AA$35:$AC$35</c:f>
              <c:numCache>
                <c:formatCode>0%</c:formatCode>
                <c:ptCount val="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16E-4ECA-9D5C-5B4727E02E74}"/>
            </c:ext>
          </c:extLst>
        </c:ser>
        <c:ser>
          <c:idx val="3"/>
          <c:order val="3"/>
          <c:tx>
            <c:strRef>
              <c:f>'T energie vecteurs'!$Z$36</c:f>
              <c:strCache>
                <c:ptCount val="1"/>
                <c:pt idx="0">
                  <c:v>solaire</c:v>
                </c:pt>
              </c:strCache>
            </c:strRef>
          </c:tx>
          <c:spPr>
            <a:solidFill>
              <a:srgbClr val="FFFF00"/>
            </a:solidFill>
            <a:ln>
              <a:solidFill>
                <a:srgbClr val="FFFF00"/>
              </a:solidFill>
            </a:ln>
            <a:effectLst/>
          </c:spPr>
          <c:invertIfNegative val="0"/>
          <c:dLbls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716E-4ECA-9D5C-5B4727E02E74}"/>
                </c:ext>
              </c:extLst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16E-4ECA-9D5C-5B4727E02E7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vecteurs'!$AA$32:$AC$32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vecteurs'!$AA$36:$AC$36</c:f>
              <c:numCache>
                <c:formatCode>0%</c:formatCode>
                <c:ptCount val="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16E-4ECA-9D5C-5B4727E02E74}"/>
            </c:ext>
          </c:extLst>
        </c:ser>
        <c:ser>
          <c:idx val="4"/>
          <c:order val="4"/>
          <c:tx>
            <c:strRef>
              <c:f>'T energie vecteurs'!$Z$37</c:f>
              <c:strCache>
                <c:ptCount val="1"/>
                <c:pt idx="0">
                  <c:v>éolien 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accent5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vecteurs'!$AA$32:$AC$32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vecteurs'!$AA$37:$AC$37</c:f>
              <c:numCache>
                <c:formatCode>0%</c:formatCode>
                <c:ptCount val="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716E-4ECA-9D5C-5B4727E02E74}"/>
            </c:ext>
          </c:extLst>
        </c:ser>
        <c:ser>
          <c:idx val="5"/>
          <c:order val="5"/>
          <c:tx>
            <c:strRef>
              <c:f>'T energie vecteurs'!$Z$38</c:f>
              <c:strCache>
                <c:ptCount val="1"/>
                <c:pt idx="0">
                  <c:v>autres renouvelables</c:v>
                </c:pt>
              </c:strCache>
            </c:strRef>
          </c:tx>
          <c:spPr>
            <a:solidFill>
              <a:srgbClr val="92D050"/>
            </a:solidFill>
            <a:ln>
              <a:solidFill>
                <a:srgbClr val="92D050"/>
              </a:solidFill>
            </a:ln>
            <a:effectLst>
              <a:glow rad="12700">
                <a:schemeClr val="accent1">
                  <a:alpha val="40000"/>
                </a:schemeClr>
              </a:glo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vecteurs'!$AA$32:$AC$32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vecteurs'!$AA$38:$AC$38</c:f>
              <c:numCache>
                <c:formatCode>0%</c:formatCode>
                <c:ptCount val="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716E-4ECA-9D5C-5B4727E02E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231609912"/>
        <c:axId val="231609520"/>
      </c:barChart>
      <c:catAx>
        <c:axId val="231609912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1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fr-FR"/>
          </a:p>
        </c:txPr>
        <c:crossAx val="231609520"/>
        <c:crosses val="autoZero"/>
        <c:auto val="1"/>
        <c:lblAlgn val="ctr"/>
        <c:lblOffset val="100"/>
        <c:noMultiLvlLbl val="0"/>
      </c:catAx>
      <c:valAx>
        <c:axId val="231609520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'Table Graphs'!$B$5</c:f>
              <c:strCache>
                <c:ptCount val="1"/>
                <c:pt idx="0">
                  <c:v>TEND : Ventilation du mix electrique (%)</c:v>
                </c:pt>
              </c:strCache>
            </c:strRef>
          </c:tx>
          <c:layout>
            <c:manualLayout>
              <c:xMode val="edge"/>
              <c:yMode val="edge"/>
              <c:x val="2.3224558547377074E-2"/>
              <c:y val="5.2149515793284461E-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15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fr-FR"/>
            </a:p>
          </c:txPr>
        </c:title>
        <c:numFmt formatCode="0%" sourceLinked="1"/>
        <c:majorTickMark val="none"/>
        <c:minorTickMark val="none"/>
        <c:tickLblPos val="low"/>
        <c:spPr>
          <a:noFill/>
          <a:ln>
            <a:solidFill>
              <a:schemeClr val="accent1">
                <a:alpha val="99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1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fr-FR"/>
          </a:p>
        </c:txPr>
        <c:crossAx val="231609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r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500" b="1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fr-FR"/>
          </a:p>
        </c:txPr>
      </c:legendEntry>
      <c:layout>
        <c:manualLayout>
          <c:xMode val="edge"/>
          <c:yMode val="edge"/>
          <c:x val="0.76142382417816912"/>
          <c:y val="0.18003801760696372"/>
          <c:w val="0.23418248890987423"/>
          <c:h val="0.626265374441941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fr-FR">
                <a:solidFill>
                  <a:schemeClr val="bg1"/>
                </a:solidFill>
              </a:rPr>
              <a:t>Mix</a:t>
            </a:r>
            <a:r>
              <a:rPr lang="fr-FR" baseline="0">
                <a:solidFill>
                  <a:schemeClr val="bg1"/>
                </a:solidFill>
              </a:rPr>
              <a:t> electrique</a:t>
            </a:r>
            <a:endParaRPr lang="fr-FR">
              <a:solidFill>
                <a:schemeClr val="bg1"/>
              </a:solidFill>
            </a:endParaRPr>
          </a:p>
        </c:rich>
      </c:tx>
      <c:overlay val="0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4.9132812442860448E-2"/>
          <c:y val="0.22494198230312157"/>
          <c:w val="0.69226941862961444"/>
          <c:h val="0.5782128245765991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'T energie vecteurs'!$AE$33</c:f>
              <c:strCache>
                <c:ptCount val="1"/>
                <c:pt idx="0">
                  <c:v>carburants fossiles</c:v>
                </c:pt>
              </c:strCache>
            </c:strRef>
          </c:tx>
          <c:spPr>
            <a:solidFill>
              <a:schemeClr val="accent3">
                <a:lumMod val="50000"/>
              </a:schemeClr>
            </a:solidFill>
            <a:ln>
              <a:solidFill>
                <a:schemeClr val="accent3">
                  <a:lumMod val="50000"/>
                </a:schemeClr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1.3684529359403476E-3"/>
                  <c:y val="-1.46075505791135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244-4744-9C62-05D9B6E91931}"/>
                </c:ext>
              </c:extLst>
            </c:dLbl>
            <c:dLbl>
              <c:idx val="1"/>
              <c:layout>
                <c:manualLayout>
                  <c:x val="5.4738117437613401E-3"/>
                  <c:y val="-1.669441384214875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244-4744-9C62-05D9B6E91931}"/>
                </c:ext>
              </c:extLst>
            </c:dLbl>
            <c:dLbl>
              <c:idx val="2"/>
              <c:layout>
                <c:manualLayout>
                  <c:x val="4.1053588078210426E-3"/>
                  <c:y val="2.0435441954582581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2244-4744-9C62-05D9B6E9193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vecteurs'!$AF$32:$AH$32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vecteurs'!$AF$33:$AH$33</c:f>
              <c:numCache>
                <c:formatCode>0%</c:formatCode>
                <c:ptCount val="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244-4744-9C62-05D9B6E91931}"/>
            </c:ext>
          </c:extLst>
        </c:ser>
        <c:ser>
          <c:idx val="1"/>
          <c:order val="1"/>
          <c:tx>
            <c:strRef>
              <c:f>'T energie vecteurs'!$AE$34</c:f>
              <c:strCache>
                <c:ptCount val="1"/>
                <c:pt idx="0">
                  <c:v>biocarburants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solidFill>
                <a:schemeClr val="accent3">
                  <a:lumMod val="60000"/>
                  <a:lumOff val="40000"/>
                </a:schemeClr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vecteurs'!$AF$32:$AH$32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vecteurs'!$AF$34:$AH$34</c:f>
              <c:numCache>
                <c:formatCode>0%</c:formatCode>
                <c:ptCount val="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244-4744-9C62-05D9B6E919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231608736"/>
        <c:axId val="231608344"/>
      </c:barChart>
      <c:catAx>
        <c:axId val="231608736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1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fr-FR"/>
          </a:p>
        </c:txPr>
        <c:crossAx val="231608344"/>
        <c:crosses val="autoZero"/>
        <c:auto val="1"/>
        <c:lblAlgn val="ctr"/>
        <c:lblOffset val="100"/>
        <c:noMultiLvlLbl val="0"/>
      </c:catAx>
      <c:valAx>
        <c:axId val="231608344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'Table Graphs'!$B$6</c:f>
              <c:strCache>
                <c:ptCount val="1"/>
                <c:pt idx="0">
                  <c:v>TEND : Ventilation du mix carburant (%)</c:v>
                </c:pt>
              </c:strCache>
            </c:strRef>
          </c:tx>
          <c:layout>
            <c:manualLayout>
              <c:xMode val="edge"/>
              <c:yMode val="edge"/>
              <c:x val="2.3226525402096191E-2"/>
              <c:y val="6.3581069173659244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15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fr-FR"/>
            </a:p>
          </c:txPr>
        </c:title>
        <c:numFmt formatCode="0%" sourceLinked="1"/>
        <c:majorTickMark val="none"/>
        <c:minorTickMark val="none"/>
        <c:tickLblPos val="low"/>
        <c:spPr>
          <a:noFill/>
          <a:ln>
            <a:solidFill>
              <a:schemeClr val="accent1">
                <a:alpha val="99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1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fr-FR"/>
          </a:p>
        </c:txPr>
        <c:crossAx val="2316087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r"/>
      <c:layout>
        <c:manualLayout>
          <c:xMode val="edge"/>
          <c:yMode val="edge"/>
          <c:x val="0.76142382417816912"/>
          <c:y val="0.29042382785002546"/>
          <c:w val="0.23418248890987423"/>
          <c:h val="0.5158795559270493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fr-FR">
                <a:solidFill>
                  <a:schemeClr val="bg1"/>
                </a:solidFill>
              </a:rPr>
              <a:t>Mix</a:t>
            </a:r>
            <a:r>
              <a:rPr lang="fr-FR" baseline="0">
                <a:solidFill>
                  <a:schemeClr val="bg1"/>
                </a:solidFill>
              </a:rPr>
              <a:t> electrique</a:t>
            </a:r>
            <a:endParaRPr lang="fr-FR">
              <a:solidFill>
                <a:schemeClr val="bg1"/>
              </a:solidFill>
            </a:endParaRPr>
          </a:p>
        </c:rich>
      </c:tx>
      <c:overlay val="0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4.9132812442860448E-2"/>
          <c:y val="0.22494198230312157"/>
          <c:w val="0.69226941862961444"/>
          <c:h val="0.5782128245765991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'T energie vecteurs'!$AJ$33</c:f>
              <c:strCache>
                <c:ptCount val="1"/>
                <c:pt idx="0">
                  <c:v>gaz naturel</c:v>
                </c:pt>
              </c:strCache>
            </c:strRef>
          </c:tx>
          <c:spPr>
            <a:solidFill>
              <a:srgbClr val="0070C0"/>
            </a:solidFill>
            <a:ln>
              <a:solidFill>
                <a:srgbClr val="0070C0"/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1.3684529359403476E-3"/>
                  <c:y val="-1.46075505791135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21A-429A-8A28-44CA5ABCCE07}"/>
                </c:ext>
              </c:extLst>
            </c:dLbl>
            <c:dLbl>
              <c:idx val="1"/>
              <c:layout>
                <c:manualLayout>
                  <c:x val="5.4738117437613401E-3"/>
                  <c:y val="-1.669441384214875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21A-429A-8A28-44CA5ABCCE07}"/>
                </c:ext>
              </c:extLst>
            </c:dLbl>
            <c:dLbl>
              <c:idx val="2"/>
              <c:layout>
                <c:manualLayout>
                  <c:x val="8.484408202830164E-2"/>
                  <c:y val="-2.713119146798161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21A-429A-8A28-44CA5ABCCE0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vecteurs'!$AK$32:$AM$32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vecteurs'!$AK$33:$AM$33</c:f>
              <c:numCache>
                <c:formatCode>0%</c:formatCode>
                <c:ptCount val="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21A-429A-8A28-44CA5ABCCE07}"/>
            </c:ext>
          </c:extLst>
        </c:ser>
        <c:ser>
          <c:idx val="1"/>
          <c:order val="1"/>
          <c:tx>
            <c:strRef>
              <c:f>'T energie vecteurs'!$AJ$34</c:f>
              <c:strCache>
                <c:ptCount val="1"/>
                <c:pt idx="0">
                  <c:v>biogaz</c:v>
                </c:pt>
              </c:strCache>
            </c:strRef>
          </c:tx>
          <c:spPr>
            <a:solidFill>
              <a:schemeClr val="tx2">
                <a:lumMod val="40000"/>
                <a:lumOff val="60000"/>
              </a:schemeClr>
            </a:solidFill>
            <a:ln>
              <a:solidFill>
                <a:schemeClr val="tx2">
                  <a:lumMod val="40000"/>
                  <a:lumOff val="60000"/>
                </a:schemeClr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0.10536902887139103"/>
                  <c:y val="2.708627399080407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21A-429A-8A28-44CA5ABCCE07}"/>
                </c:ext>
              </c:extLst>
            </c:dLbl>
            <c:dLbl>
              <c:idx val="1"/>
              <c:layout>
                <c:manualLayout>
                  <c:x val="9.7156470825762162E-2"/>
                  <c:y val="2.707922215274248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421A-429A-8A28-44CA5ABCCE07}"/>
                </c:ext>
              </c:extLst>
            </c:dLbl>
            <c:dLbl>
              <c:idx val="2"/>
              <c:layout>
                <c:manualLayout>
                  <c:x val="7.9316239316239323E-2"/>
                  <c:y val="2.082752171679129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421A-429A-8A28-44CA5ABCCE0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energie vecteurs'!$AK$32:$AM$32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energie vecteurs'!$AK$34:$AM$34</c:f>
              <c:numCache>
                <c:formatCode>0%</c:formatCode>
                <c:ptCount val="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21A-429A-8A28-44CA5ABCCE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231607560"/>
        <c:axId val="231607168"/>
      </c:barChart>
      <c:catAx>
        <c:axId val="231607560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1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fr-FR"/>
          </a:p>
        </c:txPr>
        <c:crossAx val="231607168"/>
        <c:crosses val="autoZero"/>
        <c:auto val="1"/>
        <c:lblAlgn val="ctr"/>
        <c:lblOffset val="100"/>
        <c:noMultiLvlLbl val="0"/>
      </c:catAx>
      <c:valAx>
        <c:axId val="231607168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'Table Graphs'!$B$7</c:f>
              <c:strCache>
                <c:ptCount val="1"/>
                <c:pt idx="0">
                  <c:v>TEND : Ventilation du mix gaz (%)</c:v>
                </c:pt>
              </c:strCache>
            </c:strRef>
          </c:tx>
          <c:layout>
            <c:manualLayout>
              <c:xMode val="edge"/>
              <c:yMode val="edge"/>
              <c:x val="2.0489526833710782E-2"/>
              <c:y val="4.6784653485712396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15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fr-FR"/>
            </a:p>
          </c:txPr>
        </c:title>
        <c:numFmt formatCode="0%" sourceLinked="1"/>
        <c:majorTickMark val="none"/>
        <c:minorTickMark val="none"/>
        <c:tickLblPos val="low"/>
        <c:spPr>
          <a:noFill/>
          <a:ln>
            <a:solidFill>
              <a:schemeClr val="accent1">
                <a:alpha val="99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1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fr-FR"/>
          </a:p>
        </c:txPr>
        <c:crossAx val="231607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r"/>
      <c:layout>
        <c:manualLayout>
          <c:xMode val="edge"/>
          <c:yMode val="edge"/>
          <c:x val="0.81753037776951432"/>
          <c:y val="0.29042382785002546"/>
          <c:w val="0.13839078339404989"/>
          <c:h val="0.5158795559270493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6.9740912847575234E-2"/>
          <c:y val="0.17593989942704161"/>
          <c:w val="0.73258526136090329"/>
          <c:h val="0.74056220214541801"/>
        </c:manualLayout>
      </c:layout>
      <c:barChart>
        <c:barDir val="col"/>
        <c:grouping val="stacked"/>
        <c:varyColors val="0"/>
        <c:ser>
          <c:idx val="1"/>
          <c:order val="0"/>
          <c:tx>
            <c:strRef>
              <c:f>'T CO2'!$K$9</c:f>
              <c:strCache>
                <c:ptCount val="1"/>
                <c:pt idx="0">
                  <c:v>Residentiel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CO2'!$L$7:$N$7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CO2'!$L$9:$N$9</c:f>
              <c:numCache>
                <c:formatCode>0</c:formatCode>
                <c:ptCount val="3"/>
                <c:pt idx="0">
                  <c:v>48.250315493494938</c:v>
                </c:pt>
                <c:pt idx="1">
                  <c:v>45.630414166614649</c:v>
                </c:pt>
                <c:pt idx="2">
                  <c:v>43.456946438583557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ACF-409C-BDBE-F99B69B3F72E}"/>
            </c:ext>
          </c:extLst>
        </c:ser>
        <c:ser>
          <c:idx val="0"/>
          <c:order val="1"/>
          <c:tx>
            <c:strRef>
              <c:f>'T CO2'!$K$8</c:f>
              <c:strCache>
                <c:ptCount val="1"/>
                <c:pt idx="0">
                  <c:v>Transport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CO2'!$L$7:$N$7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CO2'!$L$8:$N$8</c:f>
              <c:numCache>
                <c:formatCode>0</c:formatCode>
                <c:ptCount val="3"/>
                <c:pt idx="0">
                  <c:v>104.62127593745008</c:v>
                </c:pt>
                <c:pt idx="1">
                  <c:v>97.613667448851416</c:v>
                </c:pt>
                <c:pt idx="2">
                  <c:v>83.496487644183276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ACF-409C-BDBE-F99B69B3F72E}"/>
            </c:ext>
          </c:extLst>
        </c:ser>
        <c:ser>
          <c:idx val="2"/>
          <c:order val="2"/>
          <c:tx>
            <c:strRef>
              <c:f>'T CO2'!$K$10</c:f>
              <c:strCache>
                <c:ptCount val="1"/>
                <c:pt idx="0">
                  <c:v>Service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CO2'!$L$7:$N$7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CO2'!$L$10:$N$10</c:f>
              <c:numCache>
                <c:formatCode>0</c:formatCode>
                <c:ptCount val="3"/>
                <c:pt idx="0">
                  <c:v>23.722840205784117</c:v>
                </c:pt>
                <c:pt idx="1">
                  <c:v>21.59709441964355</c:v>
                </c:pt>
                <c:pt idx="2">
                  <c:v>17.313740464792168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ACF-409C-BDBE-F99B69B3F72E}"/>
            </c:ext>
          </c:extLst>
        </c:ser>
        <c:ser>
          <c:idx val="3"/>
          <c:order val="3"/>
          <c:tx>
            <c:strRef>
              <c:f>'T CO2'!$K$11</c:f>
              <c:strCache>
                <c:ptCount val="1"/>
                <c:pt idx="0">
                  <c:v>Industrie et agriculture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CO2'!$L$7:$N$7</c:f>
              <c:numCache>
                <c:formatCode>0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CO2'!$L$11:$N$11</c:f>
              <c:numCache>
                <c:formatCode>0</c:formatCode>
                <c:ptCount val="3"/>
                <c:pt idx="0">
                  <c:v>88.258462478176583</c:v>
                </c:pt>
                <c:pt idx="1">
                  <c:v>89.068663898124299</c:v>
                </c:pt>
                <c:pt idx="2">
                  <c:v>100.93017821144061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ACF-409C-BDBE-F99B69B3F7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13037312"/>
        <c:axId val="213036136"/>
      </c:barChart>
      <c:catAx>
        <c:axId val="213037312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3036136"/>
        <c:crosses val="autoZero"/>
        <c:auto val="1"/>
        <c:lblAlgn val="ctr"/>
        <c:lblOffset val="100"/>
        <c:noMultiLvlLbl val="0"/>
      </c:catAx>
      <c:valAx>
        <c:axId val="213036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'Table Graphs'!$B$8</c:f>
              <c:strCache>
                <c:ptCount val="1"/>
                <c:pt idx="0">
                  <c:v>TEND : Emissions CO2 (Mt.eqCO2)</c:v>
                </c:pt>
              </c:strCache>
            </c:strRef>
          </c:tx>
          <c:layout>
            <c:manualLayout>
              <c:xMode val="edge"/>
              <c:yMode val="edge"/>
              <c:x val="1.3659715198164822E-2"/>
              <c:y val="2.3904655556813308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1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3037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2691366156517532"/>
          <c:y val="0.28558169209001705"/>
          <c:w val="0.16625648083574224"/>
          <c:h val="0.6801360415763516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'Table Graphs'!$B$9</c:f>
          <c:strCache>
            <c:ptCount val="1"/>
            <c:pt idx="0">
              <c:v>TEND : Ventilation du parc auto (%)</c:v>
            </c:pt>
          </c:strCache>
        </c:strRef>
      </c:tx>
      <c:layout>
        <c:manualLayout>
          <c:xMode val="edge"/>
          <c:yMode val="edge"/>
          <c:x val="2.7810470205815105E-2"/>
          <c:y val="2.089552287919903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3"/>
          <c:order val="0"/>
          <c:tx>
            <c:strRef>
              <c:f>'T parc auto'!$C$18</c:f>
              <c:strCache>
                <c:ptCount val="1"/>
                <c:pt idx="0">
                  <c:v>Fortement émettrices</c:v>
                </c:pt>
              </c:strCache>
            </c:strRef>
          </c:tx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2"/>
              <c:layout>
                <c:manualLayout>
                  <c:x val="-1.0008066809404825E-16"/>
                  <c:y val="-8.3577608637318088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A82-44F6-A16A-C8BCAA280A4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parc auto'!$I$12:$K$12</c:f>
              <c:numCache>
                <c:formatCode>General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parc auto'!$I$18:$K$18</c:f>
              <c:numCache>
                <c:formatCode>0.0%</c:formatCode>
                <c:ptCount val="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A82-44F6-A16A-C8BCAA280A45}"/>
            </c:ext>
          </c:extLst>
        </c:ser>
        <c:ser>
          <c:idx val="2"/>
          <c:order val="1"/>
          <c:tx>
            <c:strRef>
              <c:f>'T parc auto'!$C$17</c:f>
              <c:strCache>
                <c:ptCount val="1"/>
                <c:pt idx="0">
                  <c:v>Modérément émettrices</c:v>
                </c:pt>
              </c:strCache>
            </c:strRef>
          </c:tx>
          <c:spPr>
            <a:solidFill>
              <a:schemeClr val="accent1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parc auto'!$I$12:$K$12</c:f>
              <c:numCache>
                <c:formatCode>General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parc auto'!$I$17:$K$17</c:f>
              <c:numCache>
                <c:formatCode>0.0%</c:formatCode>
                <c:ptCount val="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A82-44F6-A16A-C8BCAA280A45}"/>
            </c:ext>
          </c:extLst>
        </c:ser>
        <c:ser>
          <c:idx val="1"/>
          <c:order val="2"/>
          <c:tx>
            <c:strRef>
              <c:f>'T parc auto'!$C$16</c:f>
              <c:strCache>
                <c:ptCount val="1"/>
                <c:pt idx="0">
                  <c:v>Faiblement émettrices</c:v>
                </c:pt>
              </c:strCache>
            </c:strRef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parc auto'!$I$12:$K$12</c:f>
              <c:numCache>
                <c:formatCode>General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parc auto'!$I$16:$K$16</c:f>
              <c:numCache>
                <c:formatCode>0.0%</c:formatCode>
                <c:ptCount val="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A82-44F6-A16A-C8BCAA280A45}"/>
            </c:ext>
          </c:extLst>
        </c:ser>
        <c:ser>
          <c:idx val="0"/>
          <c:order val="3"/>
          <c:tx>
            <c:strRef>
              <c:f>'T parc auto'!$C$14</c:f>
              <c:strCache>
                <c:ptCount val="1"/>
                <c:pt idx="0">
                  <c:v>Electriques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</c:spPr>
          <c:invertIfNegative val="0"/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parc auto'!$I$12:$K$12</c:f>
              <c:numCache>
                <c:formatCode>General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parc auto'!$I$14:$K$14</c:f>
              <c:numCache>
                <c:formatCode>0.0%</c:formatCode>
                <c:ptCount val="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A82-44F6-A16A-C8BCAA280A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11368712"/>
        <c:axId val="311369104"/>
      </c:barChart>
      <c:catAx>
        <c:axId val="3113687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11369104"/>
        <c:crosses val="autoZero"/>
        <c:auto val="1"/>
        <c:lblAlgn val="ctr"/>
        <c:lblOffset val="100"/>
        <c:noMultiLvlLbl val="0"/>
      </c:catAx>
      <c:valAx>
        <c:axId val="311369104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11368712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1103162901676298"/>
          <c:y val="0.21336550323470299"/>
          <c:w val="0.28077254186433814"/>
          <c:h val="0.6885499108835733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'Table Graphs'!$B$10</c:f>
          <c:strCache>
            <c:ptCount val="1"/>
            <c:pt idx="0">
              <c:v>TEND : Ventilation du parc de logements (%)</c:v>
            </c:pt>
          </c:strCache>
        </c:strRef>
      </c:tx>
      <c:layout>
        <c:manualLayout>
          <c:xMode val="edge"/>
          <c:yMode val="edge"/>
          <c:x val="7.517898543132466E-2"/>
          <c:y val="1.6717103152074645E-2"/>
        </c:manualLayout>
      </c:layout>
      <c:overlay val="0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8.6658523898908643E-2"/>
          <c:y val="8.8051017074071342E-2"/>
          <c:w val="0.68257048305485446"/>
          <c:h val="0.82845108449838833"/>
        </c:manualLayout>
      </c:layout>
      <c:barChart>
        <c:barDir val="col"/>
        <c:grouping val="stacked"/>
        <c:varyColors val="0"/>
        <c:ser>
          <c:idx val="2"/>
          <c:order val="0"/>
          <c:tx>
            <c:strRef>
              <c:f>'T logement'!$Y$19</c:f>
              <c:strCache>
                <c:ptCount val="1"/>
                <c:pt idx="0">
                  <c:v>Passoires énergétiques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logement'!$Z$16:$AB$16</c:f>
              <c:numCache>
                <c:formatCode>General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logement'!$Z$19:$AB$19</c:f>
              <c:numCache>
                <c:formatCode>0.0%</c:formatCode>
                <c:ptCount val="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F7D-4A1E-817A-62C204FE9217}"/>
            </c:ext>
          </c:extLst>
        </c:ser>
        <c:ser>
          <c:idx val="1"/>
          <c:order val="1"/>
          <c:tx>
            <c:strRef>
              <c:f>'T logement'!$Y$18</c:f>
              <c:strCache>
                <c:ptCount val="1"/>
                <c:pt idx="0">
                  <c:v>Consommation modérée 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logement'!$Z$16:$AB$16</c:f>
              <c:numCache>
                <c:formatCode>General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logement'!$Z$18:$AB$18</c:f>
              <c:numCache>
                <c:formatCode>0.0%</c:formatCode>
                <c:ptCount val="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F7D-4A1E-817A-62C204FE9217}"/>
            </c:ext>
          </c:extLst>
        </c:ser>
        <c:ser>
          <c:idx val="0"/>
          <c:order val="2"/>
          <c:tx>
            <c:strRef>
              <c:f>'T logement'!$Y$17</c:f>
              <c:strCache>
                <c:ptCount val="1"/>
                <c:pt idx="0">
                  <c:v>Basse consommation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'T logement'!$Z$16:$AB$16</c:f>
              <c:numCache>
                <c:formatCode>General</c:formatCode>
                <c:ptCount val="3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</c:numCache>
            </c:numRef>
          </c:cat>
          <c:val>
            <c:numRef>
              <c:f>'T logement'!$Z$17:$AB$17</c:f>
              <c:numCache>
                <c:formatCode>0.0%</c:formatCode>
                <c:ptCount val="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F7D-4A1E-817A-62C204FE92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11369888"/>
        <c:axId val="311370280"/>
      </c:barChart>
      <c:catAx>
        <c:axId val="311369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11370280"/>
        <c:crosses val="autoZero"/>
        <c:auto val="1"/>
        <c:lblAlgn val="ctr"/>
        <c:lblOffset val="100"/>
        <c:noMultiLvlLbl val="0"/>
      </c:catAx>
      <c:valAx>
        <c:axId val="311370280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11369888"/>
        <c:crosses val="autoZero"/>
        <c:crossBetween val="between"/>
        <c:minorUnit val="0.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9791440886990928"/>
          <c:y val="0.32089954452336433"/>
          <c:w val="0.1938897620111919"/>
          <c:h val="0.4944075879049475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chart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chart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chart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chart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300-000000000000}">
  <sheetPr>
    <tabColor rgb="FFFF0000"/>
  </sheetPr>
  <sheetViews>
    <sheetView workbookViewId="0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400-000000000000}">
  <sheetPr>
    <tabColor rgb="FFFF0000"/>
  </sheetPr>
  <sheetViews>
    <sheetView workbookViewId="0"/>
  </sheetViews>
  <pageMargins left="0.7" right="0.7" top="0.75" bottom="0.75" header="0.3" footer="0.3"/>
  <drawing r:id="rId1"/>
</chartsheet>
</file>

<file path=xl/chartsheets/sheet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500-000000000000}">
  <sheetPr>
    <tabColor rgb="FFFF0000"/>
  </sheetPr>
  <sheetViews>
    <sheetView workbookViewId="0"/>
  </sheetViews>
  <pageMargins left="0.7" right="0.7" top="0.75" bottom="0.75" header="0.3" footer="0.3"/>
  <drawing r:id="rId1"/>
</chartsheet>
</file>

<file path=xl/chartsheets/sheet4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600-000000000000}">
  <sheetPr>
    <tabColor rgb="FFFF0000"/>
  </sheetPr>
  <sheetViews>
    <sheetView workbookViewId="0"/>
  </sheetViews>
  <pageMargins left="0.7" right="0.7" top="0.75" bottom="0.75" header="0.3" footer="0.3"/>
  <drawing r:id="rId1"/>
</chartsheet>
</file>

<file path=xl/chartsheets/sheet5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800-000000000000}">
  <sheetPr>
    <tabColor rgb="FFFF0000"/>
  </sheetPr>
  <sheetViews>
    <sheetView workbookViewId="0"/>
  </sheetViews>
  <pageMargins left="0.7" right="0.7" top="0.75" bottom="0.75" header="0.3" footer="0.3"/>
  <drawing r:id="rId1"/>
</chartsheet>
</file>

<file path=xl/chartsheets/sheet6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A00-000000000000}">
  <sheetPr>
    <tabColor rgb="FFFF0000"/>
  </sheetPr>
  <sheetViews>
    <sheetView workbookViewId="0"/>
  </sheetViews>
  <pageMargins left="0.7" right="0.7" top="0.75" bottom="0.75" header="0.3" footer="0.3"/>
  <drawing r:id="rId1"/>
</chartsheet>
</file>

<file path=xl/chartsheets/sheet7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C00-000000000000}">
  <sheetPr>
    <tabColor rgb="FFFF0000"/>
  </sheetPr>
  <sheetViews>
    <sheetView workbookViewId="0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296400" cy="607060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296400" cy="607060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9296400" cy="607060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4.xml><?xml version="1.0" encoding="utf-8"?>
<xdr:wsDr xmlns:xdr="http://schemas.openxmlformats.org/drawingml/2006/spreadsheetDrawing" xmlns:a="http://schemas.openxmlformats.org/drawingml/2006/main">
  <xdr:absoluteAnchor>
    <xdr:pos x="0" y="0"/>
    <xdr:ext cx="9305925" cy="607695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5.xml><?xml version="1.0" encoding="utf-8"?>
<xdr:wsDr xmlns:xdr="http://schemas.openxmlformats.org/drawingml/2006/spreadsheetDrawing" xmlns:a="http://schemas.openxmlformats.org/drawingml/2006/main">
  <xdr:absoluteAnchor>
    <xdr:pos x="0" y="0"/>
    <xdr:ext cx="9305925" cy="607695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6.xml><?xml version="1.0" encoding="utf-8"?>
<xdr:wsDr xmlns:xdr="http://schemas.openxmlformats.org/drawingml/2006/spreadsheetDrawing" xmlns:a="http://schemas.openxmlformats.org/drawingml/2006/main">
  <xdr:absoluteAnchor>
    <xdr:pos x="0" y="0"/>
    <xdr:ext cx="9305925" cy="607695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7.xml><?xml version="1.0" encoding="utf-8"?>
<xdr:wsDr xmlns:xdr="http://schemas.openxmlformats.org/drawingml/2006/spreadsheetDrawing" xmlns:a="http://schemas.openxmlformats.org/drawingml/2006/main">
  <xdr:absoluteAnchor>
    <xdr:pos x="0" y="0"/>
    <xdr:ext cx="9305925" cy="607695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Github\ThreeME\data\shocks\Bilan%20&#233;nergie%20-%20AMErun2%20-%20AMSrun3.xlsx" TargetMode="External"/><Relationship Id="rId1" Type="http://schemas.openxmlformats.org/officeDocument/2006/relationships/externalLinkPath" Target="/Github/ThreeME/data/shocks/Bilan%20&#233;nergie%20-%20AMErun2%20-%20AMSrun3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ibles THREEME"/>
      <sheetName val="Cibles ThreeME v2 "/>
      <sheetName val=" fonds chaleur en tep"/>
      <sheetName val=" fonds chaleur en twh"/>
      <sheetName val="Cibles THREEME AMS"/>
      <sheetName val="Cibles ThreeME v2 AMS"/>
      <sheetName val="Cibles ThreeME v2 AMS FC"/>
      <sheetName val="Cibles ThreeME v3"/>
      <sheetName val="Cibles ThreeME v3 AMS"/>
      <sheetName val="brouillon"/>
      <sheetName val="Bilan_enerdata_2015"/>
      <sheetName val="Bilan 2015"/>
      <sheetName val="Bilan 2020"/>
      <sheetName val="Bilan 2020 test"/>
      <sheetName val="Bilan 2022 réel"/>
      <sheetName val="Bilan 2023 réel"/>
      <sheetName val="Bilan 2023"/>
      <sheetName val="Bilan 2025"/>
      <sheetName val="Bilan 2028"/>
      <sheetName val="Bilan 2030"/>
      <sheetName val="Bilan 2033"/>
      <sheetName val="Bilan 2035"/>
      <sheetName val="Bilan 2038"/>
      <sheetName val="Bilan 2040"/>
      <sheetName val="Bilan 2045"/>
      <sheetName val="Bilan 2050"/>
      <sheetName val="Bilan 2023 AMS"/>
      <sheetName val="Bilan 2025 AMS"/>
      <sheetName val="Bilan 2028 AMS"/>
      <sheetName val="Bilan 2030 AMS"/>
      <sheetName val="Bilan 2033 AMS"/>
      <sheetName val="Bilan 2035 AMS"/>
      <sheetName val="Bilan 2038 AMS"/>
      <sheetName val="Bilan 2040 AMS"/>
      <sheetName val="Bilan 2045 AMS"/>
      <sheetName val="Bilan 2050 AMS"/>
      <sheetName val="Bilan_E_KP_réel_2022"/>
      <sheetName val="Bilan_E_KP_réel_2023"/>
      <sheetName val="Bilan_E_AME_Met_2020"/>
      <sheetName val="Bilan_E_KP_AME_2020"/>
      <sheetName val="Bilan_E_KP_AME_2023"/>
      <sheetName val="Bilan_E_KP_AME_2025"/>
      <sheetName val="Bilan_E_KP_AME_2028"/>
      <sheetName val="Bilan_E_KP_AME_2030"/>
      <sheetName val="Bilan_E_KP_AME_2033"/>
      <sheetName val="Bilan_E_KP_AME_2035"/>
      <sheetName val="Bilan_E_KP_AME_2038"/>
      <sheetName val="Bilan_E_KP_AME_2040"/>
      <sheetName val="Bilan_E_KP_AME_2043"/>
      <sheetName val="Bilan_E_KP_AME_2045"/>
      <sheetName val="Bilan_E_KP_AME_2050"/>
      <sheetName val="Bilan_E_KP_AME"/>
      <sheetName val="Bilans_E_AMS_KP"/>
      <sheetName val="Bilans_E_AMS_KP_2023"/>
      <sheetName val="Bilans_E_AMS_KP_2025"/>
      <sheetName val="Bilans_E_AMS_KP_2028"/>
      <sheetName val="Bilans_E_AMS_KP_2030"/>
      <sheetName val="Bilans_E_AMS_KP_2033"/>
      <sheetName val="Bilans_E_AMS_KP_2035"/>
      <sheetName val="Bilans_E_AMS_KP_2038"/>
      <sheetName val="Bilans_E_AMS_KP_2040"/>
      <sheetName val="Bilans_E_AMS_KP_2043"/>
      <sheetName val="Bilans_E_AMS_KP_2045"/>
      <sheetName val="Bilans_E_AMS_KP_2050"/>
      <sheetName val="Bilan_E_KP_AMS"/>
      <sheetName val="Bilans_E_AMS_Kyoto_run3_2023"/>
      <sheetName val="Bilans_E_AMS_Kyoto_run3_2025"/>
      <sheetName val="Bilans_E_AMS_Kyoto_run3_2028"/>
      <sheetName val="Bilans_E_AMS_Kyoto_run3_2030"/>
      <sheetName val="Bilans_E_AMS_Kyoto_run3_2033"/>
      <sheetName val="Bilans_E_AMS_Kyoto_run3_2035"/>
      <sheetName val="Bilans_E_AMS_Kyoto_run3_2038"/>
      <sheetName val="Bilans_E_AMS_Kyoto_run3_2040"/>
      <sheetName val="Bilans_E_AMS_Kyoto_run3_2045"/>
      <sheetName val="Bilans_E_AMS_Kyoto_run3_2050"/>
      <sheetName val="Bilans_E_AMS_Kyoto_run3"/>
      <sheetName val="Bilans_E_AMS_Kyoto_run3_MTE"/>
      <sheetName val="Bilans_E_AMS_Kyoto_run3_MTE_anc"/>
      <sheetName val="P1_G4-G5"/>
      <sheetName val="P1_G6"/>
      <sheetName val="bilan énergie format SDS"/>
      <sheetName val="Demande Format Medpro"/>
      <sheetName val="Format demande MedPro_2015"/>
      <sheetName val="Corrections Bilan enerdata"/>
      <sheetName val="Modèle tertiaire_2015"/>
      <sheetName val="Modèle tertiaire_2020"/>
      <sheetName val="Modèle tertiaire_2025"/>
      <sheetName val="Modèle tertiaire_2030"/>
      <sheetName val="Modèle tertiaire_2050"/>
      <sheetName val="Modèle résidentiel ch_2015"/>
      <sheetName val="Modèle résidentiel ch_2020"/>
      <sheetName val="Modèle résidentiel ch_2025"/>
      <sheetName val="Modèle résidentiel ch_2030"/>
      <sheetName val="Modèle résidentiel ch_2050"/>
      <sheetName val="Modèle résidentiel hch_2015"/>
      <sheetName val="Modèle résidentiel hch_2020"/>
      <sheetName val="Modèle résidentiel hch_2025"/>
      <sheetName val="Modèle résidentiel hch_2030"/>
      <sheetName val="Modèle résidentiel hch_2050"/>
      <sheetName val="Mix énergie_2015"/>
      <sheetName val="Bilans_E_AMS_Kyoto_2050"/>
      <sheetName val="Bilan 2050 AMS_ancien"/>
      <sheetName val="Bilans_E_AMS_Kyoto"/>
      <sheetName val=" fonds chaleur"/>
      <sheetName val="Bilan énergie - AMErun2 - AMSru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>
        <row r="13">
          <cell r="T13">
            <v>0.74651762682717104</v>
          </cell>
          <cell r="U13">
            <v>10.069552160228</v>
          </cell>
          <cell r="V13">
            <v>13.6203670581426</v>
          </cell>
          <cell r="W13">
            <v>12.701365476499801</v>
          </cell>
          <cell r="X13">
            <v>0.94471195184866696</v>
          </cell>
        </row>
        <row r="22">
          <cell r="T22">
            <v>0.20215430661253031</v>
          </cell>
          <cell r="U22">
            <v>10.298005677194096</v>
          </cell>
          <cell r="V22">
            <v>11.912749680464922</v>
          </cell>
          <cell r="W22">
            <v>7.2062454679408585</v>
          </cell>
          <cell r="X22">
            <v>7.267406707154804E-2</v>
          </cell>
        </row>
        <row r="30">
          <cell r="T30">
            <v>6.4536710533781398E-3</v>
          </cell>
          <cell r="U30">
            <v>1.1415347236508699</v>
          </cell>
          <cell r="V30">
            <v>1.21184436300186</v>
          </cell>
          <cell r="W30">
            <v>0.710753475039681</v>
          </cell>
          <cell r="X30">
            <v>0</v>
          </cell>
        </row>
        <row r="36"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</row>
        <row r="37">
          <cell r="T37">
            <v>2.9897922514510483E-2</v>
          </cell>
          <cell r="U37">
            <v>1.1062928918353545</v>
          </cell>
          <cell r="V37">
            <v>6.0818806018488383</v>
          </cell>
          <cell r="W37">
            <v>0.31568062817324566</v>
          </cell>
          <cell r="X37">
            <v>0</v>
          </cell>
        </row>
        <row r="38"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</row>
        <row r="39">
          <cell r="T39">
            <v>5.1467736003962539E-3</v>
          </cell>
          <cell r="U39">
            <v>2.5010085858689085E-5</v>
          </cell>
          <cell r="V39">
            <v>0.10956763115778498</v>
          </cell>
          <cell r="W39">
            <v>7.4926332712814264E-2</v>
          </cell>
          <cell r="X39">
            <v>0</v>
          </cell>
        </row>
        <row r="40">
          <cell r="T40">
            <v>0</v>
          </cell>
          <cell r="U40">
            <v>0</v>
          </cell>
          <cell r="V40">
            <v>2.5168214298503164</v>
          </cell>
          <cell r="W40">
            <v>0.43850634072353678</v>
          </cell>
          <cell r="X40">
            <v>0</v>
          </cell>
        </row>
        <row r="41">
          <cell r="T41">
            <v>0.12266677554967495</v>
          </cell>
          <cell r="U41">
            <v>5.6111288464125664E-2</v>
          </cell>
          <cell r="V41">
            <v>0</v>
          </cell>
          <cell r="W41">
            <v>0</v>
          </cell>
          <cell r="X41">
            <v>2.9416967808253762</v>
          </cell>
        </row>
        <row r="42"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39.807000000000002</v>
          </cell>
        </row>
        <row r="43">
          <cell r="T43">
            <v>3.371</v>
          </cell>
          <cell r="U43">
            <v>2.3566094604778201</v>
          </cell>
          <cell r="V43">
            <v>6.6752954110546101</v>
          </cell>
          <cell r="W43">
            <v>3.01546564464017</v>
          </cell>
          <cell r="X43">
            <v>0</v>
          </cell>
        </row>
        <row r="44">
          <cell r="T44">
            <v>0</v>
          </cell>
          <cell r="U44">
            <v>0.10895527045374473</v>
          </cell>
          <cell r="V44">
            <v>0</v>
          </cell>
          <cell r="W44">
            <v>0</v>
          </cell>
          <cell r="X44">
            <v>0</v>
          </cell>
        </row>
        <row r="45"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</row>
        <row r="46">
          <cell r="T46">
            <v>2.2137192704974398E-3</v>
          </cell>
          <cell r="U46">
            <v>1.0493092649428299</v>
          </cell>
          <cell r="V46">
            <v>3.6764196608413298E-2</v>
          </cell>
          <cell r="W46">
            <v>4.3073392295861899E-2</v>
          </cell>
          <cell r="X46">
            <v>0</v>
          </cell>
        </row>
        <row r="47"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</row>
        <row r="52">
          <cell r="E52">
            <v>3.2143188055943388</v>
          </cell>
        </row>
        <row r="53">
          <cell r="E53">
            <v>1.1015862413247299</v>
          </cell>
        </row>
        <row r="54">
          <cell r="E54">
            <v>12.452999999999999</v>
          </cell>
        </row>
        <row r="55">
          <cell r="E55">
            <v>0</v>
          </cell>
        </row>
        <row r="56">
          <cell r="E56">
            <v>0</v>
          </cell>
        </row>
        <row r="57">
          <cell r="E57">
            <v>0</v>
          </cell>
        </row>
      </sheetData>
      <sheetData sheetId="12">
        <row r="13">
          <cell r="L13">
            <v>45.039193999999995</v>
          </cell>
          <cell r="T13">
            <v>8.0414155849497</v>
          </cell>
          <cell r="U13">
            <v>105.150592236873</v>
          </cell>
          <cell r="V13">
            <v>158.3858485003</v>
          </cell>
          <cell r="W13">
            <v>124.730012203676</v>
          </cell>
          <cell r="X13">
            <v>8.3371990700000005</v>
          </cell>
        </row>
        <row r="22">
          <cell r="T22">
            <v>2.7076685555555562</v>
          </cell>
          <cell r="U22">
            <v>116.5874281388889</v>
          </cell>
          <cell r="V22">
            <v>125.05981224999999</v>
          </cell>
          <cell r="W22">
            <v>66.374696373468396</v>
          </cell>
          <cell r="X22">
            <v>2.2477144999999998</v>
          </cell>
        </row>
        <row r="30">
          <cell r="T30">
            <v>0.189373333333333</v>
          </cell>
          <cell r="U30">
            <v>18.686166128192799</v>
          </cell>
          <cell r="V30">
            <v>14.411899999999999</v>
          </cell>
          <cell r="W30">
            <v>9.5887644444444504</v>
          </cell>
          <cell r="X30">
            <v>0</v>
          </cell>
        </row>
        <row r="36"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</row>
        <row r="37">
          <cell r="T37">
            <v>1.69047944444444</v>
          </cell>
          <cell r="U37">
            <v>15.5648575</v>
          </cell>
          <cell r="V37">
            <v>69.4067088888889</v>
          </cell>
          <cell r="W37">
            <v>2.8232277777777801</v>
          </cell>
          <cell r="X37">
            <v>0</v>
          </cell>
        </row>
        <row r="38"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</row>
        <row r="39">
          <cell r="T39">
            <v>0.29232166666666698</v>
          </cell>
          <cell r="U39">
            <v>1.51127777777778E-2</v>
          </cell>
          <cell r="V39">
            <v>1.04480216638667</v>
          </cell>
          <cell r="W39">
            <v>0.354625058755556</v>
          </cell>
          <cell r="X39">
            <v>0</v>
          </cell>
        </row>
        <row r="40">
          <cell r="T40">
            <v>0</v>
          </cell>
          <cell r="U40">
            <v>0</v>
          </cell>
          <cell r="V40">
            <v>27.426589444444399</v>
          </cell>
          <cell r="W40">
            <v>4.4857555555555599</v>
          </cell>
          <cell r="X40">
            <v>0</v>
          </cell>
        </row>
        <row r="41">
          <cell r="T41">
            <v>1.93666726391606</v>
          </cell>
          <cell r="U41">
            <v>1.0434102222764099</v>
          </cell>
          <cell r="V41">
            <v>0</v>
          </cell>
          <cell r="W41">
            <v>0</v>
          </cell>
          <cell r="X41">
            <v>30.751352031352699</v>
          </cell>
        </row>
        <row r="42"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384.06791201745</v>
          </cell>
        </row>
        <row r="43">
          <cell r="T43">
            <v>37.008579624305803</v>
          </cell>
          <cell r="U43">
            <v>30.361762354379302</v>
          </cell>
          <cell r="V43">
            <v>49.863308104442503</v>
          </cell>
          <cell r="W43">
            <v>31.480497483360899</v>
          </cell>
          <cell r="X43">
            <v>0</v>
          </cell>
        </row>
        <row r="44">
          <cell r="T44">
            <v>0</v>
          </cell>
          <cell r="U44">
            <v>3.5678886111111101</v>
          </cell>
          <cell r="V44">
            <v>0</v>
          </cell>
          <cell r="W44">
            <v>0</v>
          </cell>
          <cell r="X44">
            <v>0</v>
          </cell>
        </row>
        <row r="45"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</row>
        <row r="46">
          <cell r="T46">
            <v>1.5371382629999999E-2</v>
          </cell>
          <cell r="U46">
            <v>8.9862670625500005</v>
          </cell>
          <cell r="V46">
            <v>0.24074954805000001</v>
          </cell>
          <cell r="W46">
            <v>0.35525487623000002</v>
          </cell>
          <cell r="X46">
            <v>0</v>
          </cell>
        </row>
        <row r="47"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</row>
        <row r="52">
          <cell r="E52">
            <v>27.795210764186699</v>
          </cell>
        </row>
        <row r="53">
          <cell r="E53">
            <v>12.027936499999999</v>
          </cell>
        </row>
        <row r="54">
          <cell r="E54">
            <v>130.484119421548</v>
          </cell>
        </row>
        <row r="55">
          <cell r="E55">
            <v>0</v>
          </cell>
        </row>
        <row r="56">
          <cell r="E56">
            <v>0</v>
          </cell>
        </row>
        <row r="57">
          <cell r="E57">
            <v>0</v>
          </cell>
        </row>
      </sheetData>
      <sheetData sheetId="13" refreshError="1"/>
      <sheetData sheetId="14">
        <row r="13">
          <cell r="T13">
            <v>7.8260000000000005</v>
          </cell>
          <cell r="U13">
            <v>107.64707300000001</v>
          </cell>
          <cell r="V13">
            <v>155.36990600000001</v>
          </cell>
          <cell r="W13">
            <v>133.03417000000002</v>
          </cell>
          <cell r="X13">
            <v>10.823198000000001</v>
          </cell>
        </row>
        <row r="22">
          <cell r="T22">
            <v>2.7474958333333332</v>
          </cell>
          <cell r="U22">
            <v>108.57266219444446</v>
          </cell>
          <cell r="V22">
            <v>110.55954550000001</v>
          </cell>
          <cell r="W22">
            <v>67.887248027777787</v>
          </cell>
          <cell r="X22">
            <v>3.7083049999999997</v>
          </cell>
        </row>
        <row r="30">
          <cell r="T30">
            <v>0.23347250000000003</v>
          </cell>
          <cell r="U30">
            <v>21.793321666666667</v>
          </cell>
          <cell r="V30">
            <v>14.53032638888889</v>
          </cell>
          <cell r="W30">
            <v>9.7167455555555549</v>
          </cell>
          <cell r="X30">
            <v>0</v>
          </cell>
        </row>
        <row r="36"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</row>
        <row r="37">
          <cell r="T37">
            <v>1.8437186111111112</v>
          </cell>
          <cell r="U37">
            <v>15.531573611111112</v>
          </cell>
          <cell r="V37">
            <v>69.611392402361105</v>
          </cell>
          <cell r="W37">
            <v>3.2420080555555599</v>
          </cell>
          <cell r="X37">
            <v>0</v>
          </cell>
        </row>
        <row r="38"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</row>
        <row r="39">
          <cell r="T39">
            <v>0.29211333333333334</v>
          </cell>
          <cell r="U39">
            <v>2.4585833333333335E-2</v>
          </cell>
          <cell r="V39">
            <v>2.5257802777777778</v>
          </cell>
          <cell r="W39">
            <v>0.34678083333333298</v>
          </cell>
          <cell r="X39">
            <v>0</v>
          </cell>
        </row>
        <row r="40">
          <cell r="T40">
            <v>0</v>
          </cell>
          <cell r="U40">
            <v>0</v>
          </cell>
          <cell r="V40">
            <v>39.547388055555558</v>
          </cell>
          <cell r="W40">
            <v>4.8885494444444442</v>
          </cell>
          <cell r="X40">
            <v>0</v>
          </cell>
        </row>
        <row r="41">
          <cell r="T41">
            <v>2.0636319502888534</v>
          </cell>
          <cell r="U41">
            <v>0.8896092618446092</v>
          </cell>
          <cell r="V41">
            <v>0</v>
          </cell>
          <cell r="W41">
            <v>0</v>
          </cell>
          <cell r="X41">
            <v>35.98692255406236</v>
          </cell>
        </row>
        <row r="42"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468.70719657595708</v>
          </cell>
        </row>
        <row r="43">
          <cell r="T43">
            <v>39.452873847389007</v>
          </cell>
          <cell r="U43">
            <v>27.924680978677003</v>
          </cell>
          <cell r="V43">
            <v>40.712038874909005</v>
          </cell>
          <cell r="W43">
            <v>24.208682698433005</v>
          </cell>
          <cell r="X43">
            <v>0</v>
          </cell>
        </row>
        <row r="44">
          <cell r="T44">
            <v>0</v>
          </cell>
          <cell r="U44">
            <v>4.4104077777777784</v>
          </cell>
          <cell r="V44">
            <v>0</v>
          </cell>
          <cell r="W44">
            <v>0</v>
          </cell>
          <cell r="X44">
            <v>0</v>
          </cell>
        </row>
        <row r="45"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</row>
        <row r="46">
          <cell r="T46">
            <v>1.9208852320000001E-2</v>
          </cell>
          <cell r="U46">
            <v>7.3736578567600004</v>
          </cell>
          <cell r="V46">
            <v>0.30791956671000004</v>
          </cell>
          <cell r="W46">
            <v>0.38187951663999997</v>
          </cell>
          <cell r="X46">
            <v>0</v>
          </cell>
        </row>
        <row r="47"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</row>
        <row r="52">
          <cell r="E52">
            <v>44.997299641464451</v>
          </cell>
        </row>
        <row r="53">
          <cell r="E53">
            <v>10.145451250000001</v>
          </cell>
        </row>
        <row r="54">
          <cell r="E54">
            <v>107.81117013444999</v>
          </cell>
        </row>
        <row r="55">
          <cell r="E55">
            <v>0</v>
          </cell>
        </row>
        <row r="56">
          <cell r="E56">
            <v>0</v>
          </cell>
        </row>
        <row r="57">
          <cell r="E57">
            <v>0</v>
          </cell>
        </row>
      </sheetData>
      <sheetData sheetId="15">
        <row r="13">
          <cell r="T13">
            <v>7.6348390000000004</v>
          </cell>
          <cell r="U13">
            <v>103.14419500000001</v>
          </cell>
          <cell r="V13">
            <v>151.42570800000004</v>
          </cell>
          <cell r="W13">
            <v>130.260345</v>
          </cell>
          <cell r="X13">
            <v>10.543191</v>
          </cell>
        </row>
        <row r="22">
          <cell r="T22">
            <v>2.7313033333333334</v>
          </cell>
          <cell r="U22">
            <v>100.79992327777778</v>
          </cell>
          <cell r="V22">
            <v>103.59429425</v>
          </cell>
          <cell r="W22">
            <v>63.657246916666658</v>
          </cell>
          <cell r="X22">
            <v>3.7083049999999997</v>
          </cell>
        </row>
        <row r="30">
          <cell r="T30">
            <v>0.26707805555555558</v>
          </cell>
          <cell r="U30">
            <v>21.859968333333335</v>
          </cell>
          <cell r="V30">
            <v>15.629575833333334</v>
          </cell>
          <cell r="W30">
            <v>9.8594538888888898</v>
          </cell>
          <cell r="X30">
            <v>0</v>
          </cell>
        </row>
        <row r="36"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</row>
        <row r="37">
          <cell r="T37">
            <v>1.8475597222222224</v>
          </cell>
          <cell r="U37">
            <v>14.497804722222222</v>
          </cell>
          <cell r="V37">
            <v>70.150979653888882</v>
          </cell>
          <cell r="W37">
            <v>3.2188041666666698</v>
          </cell>
          <cell r="X37">
            <v>0</v>
          </cell>
        </row>
        <row r="38"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</row>
        <row r="39">
          <cell r="T39">
            <v>0.29294666666666669</v>
          </cell>
          <cell r="U39">
            <v>2.5632777777777779E-2</v>
          </cell>
          <cell r="V39">
            <v>2.6333313888888892</v>
          </cell>
          <cell r="W39">
            <v>0.353265833333333</v>
          </cell>
          <cell r="X39">
            <v>0</v>
          </cell>
        </row>
        <row r="40">
          <cell r="T40">
            <v>0</v>
          </cell>
          <cell r="U40">
            <v>2.6356574892997744E-4</v>
          </cell>
          <cell r="V40">
            <v>44.439514166666662</v>
          </cell>
          <cell r="W40">
            <v>5.0584755555555549</v>
          </cell>
          <cell r="X40">
            <v>0</v>
          </cell>
        </row>
        <row r="41">
          <cell r="T41">
            <v>2.0636319502888525</v>
          </cell>
          <cell r="U41">
            <v>0.89176663588059402</v>
          </cell>
          <cell r="V41">
            <v>0</v>
          </cell>
          <cell r="W41">
            <v>4.4999999999999929E-2</v>
          </cell>
          <cell r="X41">
            <v>37.735735445533919</v>
          </cell>
        </row>
        <row r="42"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452.34819647075807</v>
          </cell>
        </row>
        <row r="43">
          <cell r="T43">
            <v>37.704445299680003</v>
          </cell>
          <cell r="U43">
            <v>26.970422859407002</v>
          </cell>
          <cell r="V43">
            <v>35.382495305294</v>
          </cell>
          <cell r="W43">
            <v>23.957943117617006</v>
          </cell>
          <cell r="X43">
            <v>0</v>
          </cell>
        </row>
        <row r="44">
          <cell r="T44">
            <v>0</v>
          </cell>
          <cell r="U44">
            <v>4.1018563888888897</v>
          </cell>
          <cell r="V44">
            <v>0</v>
          </cell>
          <cell r="W44">
            <v>0</v>
          </cell>
          <cell r="X44">
            <v>0</v>
          </cell>
        </row>
        <row r="45"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</row>
        <row r="46">
          <cell r="T46">
            <v>1.4204347020000001E-2</v>
          </cell>
          <cell r="U46">
            <v>6.7561224064300012</v>
          </cell>
          <cell r="V46">
            <v>0.23010017802000002</v>
          </cell>
          <cell r="W46">
            <v>0.34274047288000004</v>
          </cell>
          <cell r="X46">
            <v>0</v>
          </cell>
        </row>
        <row r="47"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</row>
        <row r="52">
          <cell r="E52">
            <v>37.544340114489998</v>
          </cell>
        </row>
        <row r="53">
          <cell r="E53">
            <v>10.01566775</v>
          </cell>
        </row>
        <row r="54">
          <cell r="E54">
            <v>113.10061663207698</v>
          </cell>
        </row>
        <row r="55">
          <cell r="E55">
            <v>0</v>
          </cell>
        </row>
        <row r="56">
          <cell r="E56">
            <v>0</v>
          </cell>
        </row>
        <row r="57">
          <cell r="E57">
            <v>0</v>
          </cell>
        </row>
      </sheetData>
      <sheetData sheetId="16" refreshError="1"/>
      <sheetData sheetId="17">
        <row r="13">
          <cell r="L13">
            <v>64.055272794649682</v>
          </cell>
          <cell r="T13">
            <v>8.2455072704191767</v>
          </cell>
          <cell r="U13">
            <v>110.31623789955354</v>
          </cell>
          <cell r="V13">
            <v>168.17343522041736</v>
          </cell>
          <cell r="W13">
            <v>131.53831129097264</v>
          </cell>
          <cell r="X13">
            <v>17.908429224736064</v>
          </cell>
        </row>
        <row r="22">
          <cell r="T22">
            <v>2.4899238027122088</v>
          </cell>
          <cell r="U22">
            <v>112.28992403957399</v>
          </cell>
          <cell r="V22">
            <v>122.23887735132044</v>
          </cell>
          <cell r="W22">
            <v>68.197827273818135</v>
          </cell>
          <cell r="X22">
            <v>6.7841435265203538</v>
          </cell>
        </row>
        <row r="30">
          <cell r="T30">
            <v>0</v>
          </cell>
          <cell r="U30">
            <v>16.994133911313323</v>
          </cell>
          <cell r="V30">
            <v>15.992572069761611</v>
          </cell>
          <cell r="W30">
            <v>5.3259859771970728</v>
          </cell>
          <cell r="X30">
            <v>0</v>
          </cell>
        </row>
        <row r="36"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</row>
        <row r="37">
          <cell r="T37">
            <v>0.70706396927287185</v>
          </cell>
          <cell r="U37">
            <v>17.593885172405454</v>
          </cell>
          <cell r="V37">
            <v>72.996556103181632</v>
          </cell>
          <cell r="W37">
            <v>3.9976752731894716</v>
          </cell>
          <cell r="X37">
            <v>0</v>
          </cell>
        </row>
        <row r="38"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</row>
        <row r="39">
          <cell r="T39">
            <v>9.0201671928645533E-2</v>
          </cell>
          <cell r="U39">
            <v>3.8289980908217579E-4</v>
          </cell>
          <cell r="V39">
            <v>1.4994987295121316</v>
          </cell>
          <cell r="W39">
            <v>0.94378280475996701</v>
          </cell>
          <cell r="X39">
            <v>0</v>
          </cell>
        </row>
        <row r="40">
          <cell r="T40">
            <v>0</v>
          </cell>
          <cell r="U40">
            <v>0</v>
          </cell>
          <cell r="V40">
            <v>32.811205728954405</v>
          </cell>
          <cell r="W40">
            <v>6.5080361221152287</v>
          </cell>
          <cell r="X40">
            <v>0</v>
          </cell>
        </row>
        <row r="41">
          <cell r="T41">
            <v>2.2606527751608563</v>
          </cell>
          <cell r="U41">
            <v>0.83302892187499988</v>
          </cell>
          <cell r="V41">
            <v>0</v>
          </cell>
          <cell r="W41">
            <v>0</v>
          </cell>
          <cell r="X41">
            <v>39.656272012198485</v>
          </cell>
        </row>
        <row r="42"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408.63289173322238</v>
          </cell>
        </row>
        <row r="43">
          <cell r="T43">
            <v>34.492480565946664</v>
          </cell>
          <cell r="U43">
            <v>27.107499244386606</v>
          </cell>
          <cell r="V43">
            <v>41.084750674599483</v>
          </cell>
          <cell r="W43">
            <v>21.278250753083572</v>
          </cell>
          <cell r="X43">
            <v>0</v>
          </cell>
        </row>
        <row r="44">
          <cell r="T44">
            <v>0</v>
          </cell>
          <cell r="U44">
            <v>1.7237647195692531</v>
          </cell>
          <cell r="V44">
            <v>0</v>
          </cell>
          <cell r="W44">
            <v>0</v>
          </cell>
          <cell r="X44">
            <v>0</v>
          </cell>
        </row>
        <row r="45"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</row>
        <row r="46">
          <cell r="T46">
            <v>0</v>
          </cell>
          <cell r="U46">
            <v>7.0843993210285721</v>
          </cell>
          <cell r="V46">
            <v>0</v>
          </cell>
          <cell r="W46">
            <v>0</v>
          </cell>
          <cell r="X46">
            <v>0</v>
          </cell>
        </row>
        <row r="47"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</row>
        <row r="52">
          <cell r="E52">
            <v>41.900781249999994</v>
          </cell>
        </row>
        <row r="53">
          <cell r="E53">
            <v>12.538633041459809</v>
          </cell>
        </row>
        <row r="54">
          <cell r="E54">
            <v>127.25135409198229</v>
          </cell>
        </row>
        <row r="55">
          <cell r="E55">
            <v>0</v>
          </cell>
        </row>
        <row r="56">
          <cell r="E56">
            <v>0</v>
          </cell>
        </row>
        <row r="57">
          <cell r="E57">
            <v>0</v>
          </cell>
        </row>
      </sheetData>
      <sheetData sheetId="18" refreshError="1"/>
      <sheetData sheetId="19">
        <row r="5">
          <cell r="T5">
            <v>47.147872325239078</v>
          </cell>
        </row>
        <row r="13">
          <cell r="T13">
            <v>7.7746258142900144</v>
          </cell>
          <cell r="U13">
            <v>109.51907717242362</v>
          </cell>
          <cell r="V13">
            <v>175.94122104806229</v>
          </cell>
          <cell r="W13">
            <v>131.24016316985416</v>
          </cell>
          <cell r="X13">
            <v>30.235692409435519</v>
          </cell>
        </row>
        <row r="22">
          <cell r="T22">
            <v>2.2065468915632476</v>
          </cell>
          <cell r="U22">
            <v>107.57006290409642</v>
          </cell>
          <cell r="V22">
            <v>105.84038447625139</v>
          </cell>
          <cell r="W22">
            <v>63.626820842219111</v>
          </cell>
          <cell r="X22">
            <v>15.340301507466149</v>
          </cell>
        </row>
        <row r="30">
          <cell r="T30">
            <v>0</v>
          </cell>
          <cell r="U30">
            <v>16.327213841854732</v>
          </cell>
          <cell r="V30">
            <v>15.783130887728015</v>
          </cell>
          <cell r="W30">
            <v>4.3528828563662758</v>
          </cell>
          <cell r="X30">
            <v>0</v>
          </cell>
        </row>
        <row r="36"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</row>
        <row r="37">
          <cell r="T37">
            <v>1.4487991994826963</v>
          </cell>
          <cell r="U37">
            <v>18.534460646102772</v>
          </cell>
          <cell r="V37">
            <v>78.735270640359559</v>
          </cell>
          <cell r="W37">
            <v>3.5803203712753549</v>
          </cell>
          <cell r="X37">
            <v>0</v>
          </cell>
        </row>
        <row r="38"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</row>
        <row r="39">
          <cell r="T39">
            <v>8.4265288301735436E-2</v>
          </cell>
          <cell r="U39">
            <v>3.8267455312152764E-4</v>
          </cell>
          <cell r="V39">
            <v>1.9317269815068459</v>
          </cell>
          <cell r="W39">
            <v>0.83294326034961275</v>
          </cell>
          <cell r="X39">
            <v>0</v>
          </cell>
        </row>
        <row r="40">
          <cell r="T40">
            <v>0</v>
          </cell>
          <cell r="U40">
            <v>0</v>
          </cell>
          <cell r="V40">
            <v>41.43976216997369</v>
          </cell>
          <cell r="W40">
            <v>8.0745890957481183</v>
          </cell>
          <cell r="X40">
            <v>0</v>
          </cell>
        </row>
        <row r="41">
          <cell r="T41">
            <v>2.4657875210358444</v>
          </cell>
          <cell r="U41">
            <v>0.85092246484375</v>
          </cell>
          <cell r="V41">
            <v>0</v>
          </cell>
          <cell r="W41">
            <v>0</v>
          </cell>
          <cell r="X41">
            <v>33.466916874810835</v>
          </cell>
        </row>
        <row r="42"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344.1701238998171</v>
          </cell>
        </row>
        <row r="43">
          <cell r="T43">
            <v>33.167847610565538</v>
          </cell>
          <cell r="U43">
            <v>25.052429385041094</v>
          </cell>
          <cell r="V43">
            <v>31.509183869953784</v>
          </cell>
          <cell r="W43">
            <v>13.089485167364064</v>
          </cell>
          <cell r="X43">
            <v>0</v>
          </cell>
        </row>
        <row r="44">
          <cell r="T44">
            <v>0</v>
          </cell>
          <cell r="U44">
            <v>1.777675824710524</v>
          </cell>
          <cell r="V44">
            <v>0</v>
          </cell>
          <cell r="W44">
            <v>0</v>
          </cell>
          <cell r="X44">
            <v>0</v>
          </cell>
        </row>
        <row r="45"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</row>
        <row r="46">
          <cell r="T46">
            <v>0</v>
          </cell>
          <cell r="U46">
            <v>6.5032741679727843</v>
          </cell>
          <cell r="V46">
            <v>0</v>
          </cell>
          <cell r="W46">
            <v>0</v>
          </cell>
          <cell r="X46">
            <v>0</v>
          </cell>
        </row>
        <row r="47"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</row>
        <row r="52">
          <cell r="E52">
            <v>39.843501953124999</v>
          </cell>
        </row>
        <row r="53">
          <cell r="E53">
            <v>12.411293173801123</v>
          </cell>
        </row>
        <row r="54">
          <cell r="E54">
            <v>120.50577840542185</v>
          </cell>
        </row>
        <row r="55">
          <cell r="E55">
            <v>0</v>
          </cell>
        </row>
        <row r="56">
          <cell r="E56">
            <v>0</v>
          </cell>
        </row>
        <row r="57">
          <cell r="E57">
            <v>0</v>
          </cell>
        </row>
      </sheetData>
      <sheetData sheetId="20" refreshError="1"/>
      <sheetData sheetId="21">
        <row r="13">
          <cell r="L13">
            <v>50.941346245748719</v>
          </cell>
          <cell r="T13">
            <v>7.1029233048090266</v>
          </cell>
          <cell r="U13">
            <v>109.99437284793218</v>
          </cell>
          <cell r="V13">
            <v>183.08170703950353</v>
          </cell>
          <cell r="W13">
            <v>134.9475862077569</v>
          </cell>
          <cell r="X13">
            <v>46.654707564142761</v>
          </cell>
        </row>
        <row r="22">
          <cell r="T22">
            <v>1.7974129621234143</v>
          </cell>
          <cell r="U22">
            <v>103.53986201693733</v>
          </cell>
          <cell r="V22">
            <v>90.643497547790304</v>
          </cell>
          <cell r="W22">
            <v>64.079034982937259</v>
          </cell>
          <cell r="X22">
            <v>25.624578872483603</v>
          </cell>
        </row>
        <row r="30">
          <cell r="T30">
            <v>0</v>
          </cell>
          <cell r="U30">
            <v>16.103287978552984</v>
          </cell>
          <cell r="V30">
            <v>15.629207143582217</v>
          </cell>
          <cell r="W30">
            <v>3.8620862063760555</v>
          </cell>
          <cell r="X30">
            <v>0</v>
          </cell>
        </row>
        <row r="36"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</row>
        <row r="37">
          <cell r="T37">
            <v>2.5129576329044134</v>
          </cell>
          <cell r="U37">
            <v>19.565687098295676</v>
          </cell>
          <cell r="V37">
            <v>86.298448588028648</v>
          </cell>
          <cell r="W37">
            <v>3.3792389882828151</v>
          </cell>
          <cell r="X37">
            <v>0</v>
          </cell>
        </row>
        <row r="38"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</row>
        <row r="39">
          <cell r="T39">
            <v>7.8328904674825409E-2</v>
          </cell>
          <cell r="U39">
            <v>3.8067188808088001E-4</v>
          </cell>
          <cell r="V39">
            <v>1.9759423218950023</v>
          </cell>
          <cell r="W39">
            <v>0.77988306826531983</v>
          </cell>
          <cell r="X39">
            <v>0</v>
          </cell>
        </row>
        <row r="40">
          <cell r="T40">
            <v>0</v>
          </cell>
          <cell r="U40">
            <v>0</v>
          </cell>
          <cell r="V40">
            <v>49.305914152356948</v>
          </cell>
          <cell r="W40">
            <v>8.5204805498073064</v>
          </cell>
          <cell r="X40">
            <v>0</v>
          </cell>
        </row>
        <row r="41">
          <cell r="T41">
            <v>2.7366524531426237</v>
          </cell>
          <cell r="U41">
            <v>0.87520713476562495</v>
          </cell>
          <cell r="V41">
            <v>0</v>
          </cell>
          <cell r="W41">
            <v>0</v>
          </cell>
          <cell r="X41">
            <v>28.280041762715456</v>
          </cell>
        </row>
        <row r="42"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291.38745921478562</v>
          </cell>
        </row>
        <row r="43">
          <cell r="T43">
            <v>31.378359933180146</v>
          </cell>
          <cell r="U43">
            <v>23.255205938178186</v>
          </cell>
          <cell r="V43">
            <v>24.366054746482678</v>
          </cell>
          <cell r="W43">
            <v>9.1434406229634497</v>
          </cell>
          <cell r="X43">
            <v>0</v>
          </cell>
        </row>
        <row r="44">
          <cell r="T44">
            <v>0</v>
          </cell>
          <cell r="U44">
            <v>1.7744589215827917</v>
          </cell>
          <cell r="V44">
            <v>0</v>
          </cell>
          <cell r="W44">
            <v>0</v>
          </cell>
          <cell r="X44">
            <v>0</v>
          </cell>
        </row>
        <row r="45"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</row>
        <row r="46">
          <cell r="T46">
            <v>0</v>
          </cell>
          <cell r="U46">
            <v>6.2002081056415257</v>
          </cell>
          <cell r="V46">
            <v>0</v>
          </cell>
          <cell r="W46">
            <v>0</v>
          </cell>
          <cell r="X46">
            <v>0</v>
          </cell>
        </row>
        <row r="47"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</row>
        <row r="52">
          <cell r="E52">
            <v>39.800271484375003</v>
          </cell>
        </row>
        <row r="53">
          <cell r="E53">
            <v>12.028714359769619</v>
          </cell>
        </row>
        <row r="54">
          <cell r="E54">
            <v>114.78425758185857</v>
          </cell>
        </row>
        <row r="55">
          <cell r="E55">
            <v>0</v>
          </cell>
        </row>
        <row r="56">
          <cell r="E56">
            <v>0</v>
          </cell>
        </row>
        <row r="57">
          <cell r="E57">
            <v>0.87448992412119186</v>
          </cell>
        </row>
      </sheetData>
      <sheetData sheetId="22" refreshError="1"/>
      <sheetData sheetId="23">
        <row r="13">
          <cell r="L13">
            <v>31.055970799843635</v>
          </cell>
          <cell r="T13">
            <v>6.3643203530837074</v>
          </cell>
          <cell r="U13">
            <v>111.80433548215856</v>
          </cell>
          <cell r="V13">
            <v>187.24843332836184</v>
          </cell>
          <cell r="W13">
            <v>138.68432478978596</v>
          </cell>
          <cell r="X13">
            <v>62.086065361885787</v>
          </cell>
        </row>
        <row r="22">
          <cell r="T22">
            <v>1.3434836260904512</v>
          </cell>
          <cell r="U22">
            <v>100.27567229981769</v>
          </cell>
          <cell r="V22">
            <v>84.522095564657249</v>
          </cell>
          <cell r="W22">
            <v>64.55833796318565</v>
          </cell>
          <cell r="X22">
            <v>32.444304612937295</v>
          </cell>
        </row>
        <row r="30">
          <cell r="T30">
            <v>0</v>
          </cell>
          <cell r="U30">
            <v>16.083775404791947</v>
          </cell>
          <cell r="V30">
            <v>15.504434202631401</v>
          </cell>
          <cell r="W30">
            <v>3.5758270456804375</v>
          </cell>
          <cell r="X30">
            <v>0</v>
          </cell>
        </row>
        <row r="36"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</row>
        <row r="37">
          <cell r="T37">
            <v>3.6844952632387193</v>
          </cell>
          <cell r="U37">
            <v>20.699069714826329</v>
          </cell>
          <cell r="V37">
            <v>87.012401530952616</v>
          </cell>
          <cell r="W37">
            <v>3.243340348024236</v>
          </cell>
          <cell r="X37">
            <v>0</v>
          </cell>
        </row>
        <row r="38"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</row>
        <row r="39">
          <cell r="T39">
            <v>7.2392521047915395E-2</v>
          </cell>
          <cell r="U39">
            <v>3.7866244598879411E-4</v>
          </cell>
          <cell r="V39">
            <v>2.0231633432731213</v>
          </cell>
          <cell r="W39">
            <v>0.74318365128395913</v>
          </cell>
          <cell r="X39">
            <v>0</v>
          </cell>
        </row>
        <row r="40">
          <cell r="T40">
            <v>0</v>
          </cell>
          <cell r="U40">
            <v>0</v>
          </cell>
          <cell r="V40">
            <v>54.219025663639314</v>
          </cell>
          <cell r="W40">
            <v>8.6788063603893928</v>
          </cell>
          <cell r="X40">
            <v>0</v>
          </cell>
        </row>
        <row r="41">
          <cell r="T41">
            <v>3.0029030850571363</v>
          </cell>
          <cell r="U41">
            <v>0.9136629082031249</v>
          </cell>
          <cell r="V41">
            <v>0</v>
          </cell>
          <cell r="W41">
            <v>0</v>
          </cell>
          <cell r="X41">
            <v>24.125777410294155</v>
          </cell>
        </row>
        <row r="42"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249.23385066161848</v>
          </cell>
        </row>
        <row r="43">
          <cell r="T43">
            <v>29.471786733039881</v>
          </cell>
          <cell r="U43">
            <v>21.83935294215906</v>
          </cell>
          <cell r="V43">
            <v>17.698191750553285</v>
          </cell>
          <cell r="W43">
            <v>5.759525486283259</v>
          </cell>
          <cell r="X43">
            <v>0</v>
          </cell>
        </row>
        <row r="44">
          <cell r="T44">
            <v>0</v>
          </cell>
          <cell r="U44">
            <v>1.7608774311708451</v>
          </cell>
          <cell r="V44">
            <v>0</v>
          </cell>
          <cell r="W44">
            <v>0</v>
          </cell>
          <cell r="X44">
            <v>0</v>
          </cell>
        </row>
        <row r="45"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</row>
        <row r="46">
          <cell r="T46">
            <v>0</v>
          </cell>
          <cell r="U46">
            <v>5.4657298257742912</v>
          </cell>
          <cell r="V46">
            <v>0</v>
          </cell>
          <cell r="W46">
            <v>0</v>
          </cell>
          <cell r="X46">
            <v>0</v>
          </cell>
        </row>
        <row r="47"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</row>
        <row r="52">
          <cell r="E52">
            <v>39.745125000000002</v>
          </cell>
        </row>
        <row r="53">
          <cell r="E53">
            <v>11.766175832538266</v>
          </cell>
        </row>
        <row r="54">
          <cell r="E54">
            <v>109.69308299672531</v>
          </cell>
        </row>
        <row r="55">
          <cell r="E55">
            <v>0</v>
          </cell>
        </row>
        <row r="56">
          <cell r="E56">
            <v>0</v>
          </cell>
        </row>
        <row r="57">
          <cell r="E57">
            <v>1.8135973700674786</v>
          </cell>
        </row>
      </sheetData>
      <sheetData sheetId="24" refreshError="1"/>
      <sheetData sheetId="25">
        <row r="13">
          <cell r="L13">
            <v>12.7985093299136</v>
          </cell>
          <cell r="T13">
            <v>5.5235547180923223</v>
          </cell>
          <cell r="U13">
            <v>114.99790196708234</v>
          </cell>
          <cell r="V13">
            <v>194.47767196350526</v>
          </cell>
          <cell r="W13">
            <v>146.08879967332064</v>
          </cell>
          <cell r="X13">
            <v>80.819270278256823</v>
          </cell>
        </row>
        <row r="22">
          <cell r="T22">
            <v>0.82724150114229067</v>
          </cell>
          <cell r="U22">
            <v>93.244653189496177</v>
          </cell>
          <cell r="V22">
            <v>69.950393796181032</v>
          </cell>
          <cell r="W22">
            <v>63.855416891592903</v>
          </cell>
          <cell r="X22">
            <v>36.333214039569555</v>
          </cell>
        </row>
        <row r="30">
          <cell r="T30">
            <v>0</v>
          </cell>
          <cell r="U30">
            <v>16.21056036467343</v>
          </cell>
          <cell r="V30">
            <v>15.182773802844931</v>
          </cell>
          <cell r="W30">
            <v>3.3506823845440552</v>
          </cell>
          <cell r="X30">
            <v>0</v>
          </cell>
        </row>
        <row r="36"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</row>
        <row r="37">
          <cell r="T37">
            <v>5.0054618408177598</v>
          </cell>
          <cell r="U37">
            <v>22.791437377983073</v>
          </cell>
          <cell r="V37">
            <v>86.155325304334795</v>
          </cell>
          <cell r="W37">
            <v>3.0090868580403627</v>
          </cell>
          <cell r="X37">
            <v>0</v>
          </cell>
        </row>
        <row r="38"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</row>
        <row r="39">
          <cell r="T39">
            <v>6.051975379409523E-2</v>
          </cell>
          <cell r="U39">
            <v>3.7093504340600874E-4</v>
          </cell>
          <cell r="V39">
            <v>2.1206229173139883</v>
          </cell>
          <cell r="W39">
            <v>0.68093940948821108</v>
          </cell>
          <cell r="X39">
            <v>0</v>
          </cell>
        </row>
        <row r="40">
          <cell r="T40">
            <v>0</v>
          </cell>
          <cell r="U40">
            <v>0</v>
          </cell>
          <cell r="V40">
            <v>66.478227859390046</v>
          </cell>
          <cell r="W40">
            <v>8.6055350400994808</v>
          </cell>
          <cell r="X40">
            <v>0</v>
          </cell>
        </row>
        <row r="41">
          <cell r="T41">
            <v>3.2629555410385191</v>
          </cell>
          <cell r="U41">
            <v>1.007010953125</v>
          </cell>
          <cell r="V41">
            <v>0</v>
          </cell>
          <cell r="W41">
            <v>0</v>
          </cell>
          <cell r="X41">
            <v>20.896591906701669</v>
          </cell>
        </row>
        <row r="42"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216.8751541495462</v>
          </cell>
        </row>
        <row r="43">
          <cell r="T43">
            <v>27.219719362233906</v>
          </cell>
          <cell r="U43">
            <v>19.397200033553816</v>
          </cell>
          <cell r="V43">
            <v>5.2094674308398901</v>
          </cell>
          <cell r="W43">
            <v>2.3181271880740835</v>
          </cell>
          <cell r="X43">
            <v>0</v>
          </cell>
        </row>
        <row r="44">
          <cell r="T44">
            <v>0</v>
          </cell>
          <cell r="U44">
            <v>1.7013098714668424</v>
          </cell>
          <cell r="V44">
            <v>0</v>
          </cell>
          <cell r="W44">
            <v>0</v>
          </cell>
          <cell r="X44">
            <v>0</v>
          </cell>
        </row>
        <row r="45"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</row>
        <row r="46">
          <cell r="T46">
            <v>0</v>
          </cell>
          <cell r="U46">
            <v>3.6733927919712848</v>
          </cell>
          <cell r="V46">
            <v>0</v>
          </cell>
          <cell r="W46">
            <v>0</v>
          </cell>
          <cell r="X46">
            <v>0</v>
          </cell>
        </row>
        <row r="47"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</row>
        <row r="52">
          <cell r="E52">
            <v>39.599712890625</v>
          </cell>
        </row>
        <row r="53">
          <cell r="E53">
            <v>11.196954266678716</v>
          </cell>
        </row>
        <row r="54">
          <cell r="E54">
            <v>100.05515171814793</v>
          </cell>
        </row>
        <row r="55">
          <cell r="E55">
            <v>0</v>
          </cell>
        </row>
        <row r="56">
          <cell r="E56">
            <v>0</v>
          </cell>
        </row>
        <row r="57">
          <cell r="E57">
            <v>3.9154347726113912</v>
          </cell>
        </row>
      </sheetData>
      <sheetData sheetId="26" refreshError="1"/>
      <sheetData sheetId="27">
        <row r="13">
          <cell r="L13">
            <v>86.192023090421856</v>
          </cell>
        </row>
      </sheetData>
      <sheetData sheetId="28" refreshError="1"/>
      <sheetData sheetId="29">
        <row r="13">
          <cell r="L13">
            <v>57.004792385507699</v>
          </cell>
        </row>
      </sheetData>
      <sheetData sheetId="30" refreshError="1"/>
      <sheetData sheetId="31">
        <row r="13">
          <cell r="L13">
            <v>95.466033511784872</v>
          </cell>
        </row>
      </sheetData>
      <sheetData sheetId="32" refreshError="1"/>
      <sheetData sheetId="33">
        <row r="13">
          <cell r="L13">
            <v>125.47851234932489</v>
          </cell>
        </row>
      </sheetData>
      <sheetData sheetId="34" refreshError="1"/>
      <sheetData sheetId="35">
        <row r="13">
          <cell r="L13">
            <v>28.679288227585289</v>
          </cell>
        </row>
      </sheetData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/>
      <sheetData sheetId="104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300"/>
  <sheetViews>
    <sheetView tabSelected="1" zoomScale="110" zoomScaleNormal="110" workbookViewId="0">
      <pane xSplit="2" ySplit="1" topLeftCell="AR2" activePane="bottomRight" state="frozen"/>
      <selection pane="topRight" activeCell="B1" sqref="B1"/>
      <selection pane="bottomLeft" activeCell="A2" sqref="A2"/>
      <selection pane="bottomRight" activeCell="B2" sqref="B2:AW251"/>
    </sheetView>
  </sheetViews>
  <sheetFormatPr baseColWidth="10" defaultColWidth="11.42578125" defaultRowHeight="15" x14ac:dyDescent="0.25"/>
  <cols>
    <col min="1" max="1" width="39.28515625" customWidth="1"/>
    <col min="2" max="2" width="65.42578125" customWidth="1"/>
    <col min="45" max="50" width="11.7109375" customWidth="1"/>
  </cols>
  <sheetData>
    <row r="1" spans="1:49" ht="51.75" thickBot="1" x14ac:dyDescent="0.3">
      <c r="A1" s="236" t="s">
        <v>221</v>
      </c>
      <c r="B1" s="242" t="s">
        <v>157</v>
      </c>
      <c r="C1" s="237">
        <v>2</v>
      </c>
      <c r="D1" s="237">
        <f>C1+1</f>
        <v>3</v>
      </c>
      <c r="E1" s="237">
        <f t="shared" ref="E1:AS1" si="0">D1+1</f>
        <v>4</v>
      </c>
      <c r="F1" s="237">
        <f t="shared" si="0"/>
        <v>5</v>
      </c>
      <c r="G1" s="237">
        <f t="shared" si="0"/>
        <v>6</v>
      </c>
      <c r="H1" s="237">
        <f t="shared" si="0"/>
        <v>7</v>
      </c>
      <c r="I1" s="237">
        <f t="shared" si="0"/>
        <v>8</v>
      </c>
      <c r="J1" s="237">
        <f t="shared" si="0"/>
        <v>9</v>
      </c>
      <c r="K1" s="237">
        <f t="shared" si="0"/>
        <v>10</v>
      </c>
      <c r="L1" s="237">
        <f t="shared" si="0"/>
        <v>11</v>
      </c>
      <c r="M1" s="237">
        <f t="shared" si="0"/>
        <v>12</v>
      </c>
      <c r="N1" s="237">
        <f t="shared" si="0"/>
        <v>13</v>
      </c>
      <c r="O1" s="237">
        <f>N1+1</f>
        <v>14</v>
      </c>
      <c r="P1" s="237">
        <f t="shared" si="0"/>
        <v>15</v>
      </c>
      <c r="Q1" s="237">
        <f t="shared" si="0"/>
        <v>16</v>
      </c>
      <c r="R1" s="237">
        <f t="shared" si="0"/>
        <v>17</v>
      </c>
      <c r="S1" s="237">
        <f t="shared" si="0"/>
        <v>18</v>
      </c>
      <c r="T1" s="237">
        <f t="shared" si="0"/>
        <v>19</v>
      </c>
      <c r="U1" s="237">
        <f t="shared" si="0"/>
        <v>20</v>
      </c>
      <c r="V1" s="237">
        <f t="shared" si="0"/>
        <v>21</v>
      </c>
      <c r="W1" s="237">
        <f t="shared" si="0"/>
        <v>22</v>
      </c>
      <c r="X1" s="237">
        <f t="shared" si="0"/>
        <v>23</v>
      </c>
      <c r="Y1" s="237">
        <f t="shared" si="0"/>
        <v>24</v>
      </c>
      <c r="Z1" s="237">
        <f t="shared" si="0"/>
        <v>25</v>
      </c>
      <c r="AA1" s="237">
        <f t="shared" si="0"/>
        <v>26</v>
      </c>
      <c r="AB1" s="237">
        <f t="shared" si="0"/>
        <v>27</v>
      </c>
      <c r="AC1" s="237">
        <f t="shared" si="0"/>
        <v>28</v>
      </c>
      <c r="AD1" s="237">
        <f t="shared" si="0"/>
        <v>29</v>
      </c>
      <c r="AE1" s="237">
        <f t="shared" si="0"/>
        <v>30</v>
      </c>
      <c r="AF1" s="237">
        <f t="shared" si="0"/>
        <v>31</v>
      </c>
      <c r="AG1" s="237">
        <f t="shared" si="0"/>
        <v>32</v>
      </c>
      <c r="AH1" s="237">
        <f t="shared" si="0"/>
        <v>33</v>
      </c>
      <c r="AI1" s="237">
        <f t="shared" si="0"/>
        <v>34</v>
      </c>
      <c r="AJ1" s="237">
        <f t="shared" si="0"/>
        <v>35</v>
      </c>
      <c r="AK1" s="237">
        <f t="shared" si="0"/>
        <v>36</v>
      </c>
      <c r="AL1" s="237">
        <f t="shared" si="0"/>
        <v>37</v>
      </c>
      <c r="AM1" s="237">
        <f t="shared" si="0"/>
        <v>38</v>
      </c>
      <c r="AN1" s="237">
        <f t="shared" si="0"/>
        <v>39</v>
      </c>
      <c r="AO1" s="237">
        <f t="shared" si="0"/>
        <v>40</v>
      </c>
      <c r="AP1" s="237">
        <f t="shared" si="0"/>
        <v>41</v>
      </c>
      <c r="AQ1" s="237">
        <f t="shared" si="0"/>
        <v>42</v>
      </c>
      <c r="AR1" s="237">
        <f t="shared" si="0"/>
        <v>43</v>
      </c>
      <c r="AS1" s="237">
        <f t="shared" si="0"/>
        <v>44</v>
      </c>
      <c r="AT1" s="237">
        <f>AS1+1</f>
        <v>45</v>
      </c>
      <c r="AU1" s="237">
        <f>AT1+1</f>
        <v>46</v>
      </c>
      <c r="AV1" s="237">
        <f t="shared" ref="AV1:AW1" si="1">AU1+1</f>
        <v>47</v>
      </c>
      <c r="AW1" s="237">
        <f t="shared" si="1"/>
        <v>48</v>
      </c>
    </row>
    <row r="2" spans="1:49" x14ac:dyDescent="0.25">
      <c r="B2" s="244"/>
      <c r="C2">
        <v>2004</v>
      </c>
      <c r="D2">
        <v>2005</v>
      </c>
      <c r="E2">
        <v>2006</v>
      </c>
      <c r="F2">
        <v>2007</v>
      </c>
      <c r="G2">
        <v>2008</v>
      </c>
      <c r="H2">
        <v>2009</v>
      </c>
      <c r="I2">
        <v>2010</v>
      </c>
      <c r="J2">
        <v>2011</v>
      </c>
      <c r="K2">
        <v>2012</v>
      </c>
      <c r="L2">
        <v>2013</v>
      </c>
      <c r="M2">
        <v>2014</v>
      </c>
      <c r="N2">
        <v>2015</v>
      </c>
      <c r="O2">
        <v>2016</v>
      </c>
      <c r="P2">
        <v>2017</v>
      </c>
      <c r="Q2">
        <v>2018</v>
      </c>
      <c r="R2">
        <v>2019</v>
      </c>
      <c r="S2">
        <v>2020</v>
      </c>
      <c r="T2">
        <v>2021</v>
      </c>
      <c r="U2">
        <v>2022</v>
      </c>
      <c r="V2">
        <v>2023</v>
      </c>
      <c r="W2">
        <v>2024</v>
      </c>
      <c r="X2">
        <v>2025</v>
      </c>
      <c r="Y2">
        <v>2026</v>
      </c>
      <c r="Z2">
        <v>2027</v>
      </c>
      <c r="AA2">
        <v>2028</v>
      </c>
      <c r="AB2">
        <v>2029</v>
      </c>
      <c r="AC2">
        <v>2030</v>
      </c>
      <c r="AD2">
        <v>2031</v>
      </c>
      <c r="AE2">
        <v>2032</v>
      </c>
      <c r="AF2">
        <v>2033</v>
      </c>
      <c r="AG2">
        <v>2034</v>
      </c>
      <c r="AH2">
        <v>2035</v>
      </c>
      <c r="AI2">
        <v>2036</v>
      </c>
      <c r="AJ2">
        <v>2037</v>
      </c>
      <c r="AK2">
        <v>2038</v>
      </c>
      <c r="AL2">
        <v>2039</v>
      </c>
      <c r="AM2">
        <v>2040</v>
      </c>
      <c r="AN2">
        <v>2041</v>
      </c>
      <c r="AO2">
        <v>2042</v>
      </c>
      <c r="AP2">
        <v>2043</v>
      </c>
      <c r="AQ2">
        <v>2044</v>
      </c>
      <c r="AR2">
        <v>2045</v>
      </c>
      <c r="AS2">
        <v>2046</v>
      </c>
      <c r="AT2">
        <v>2047</v>
      </c>
      <c r="AU2">
        <v>2048</v>
      </c>
      <c r="AV2">
        <v>2049</v>
      </c>
      <c r="AW2">
        <v>2050</v>
      </c>
    </row>
    <row r="3" spans="1:49" x14ac:dyDescent="0.25">
      <c r="B3" s="16" t="s">
        <v>304</v>
      </c>
      <c r="C3">
        <v>78.155731330970795</v>
      </c>
      <c r="D3">
        <v>79.410546877677106</v>
      </c>
      <c r="E3">
        <v>67.551490139999999</v>
      </c>
      <c r="F3">
        <v>68.689415120000007</v>
      </c>
      <c r="G3">
        <v>65.725412309999996</v>
      </c>
      <c r="H3">
        <v>64.004613550000002</v>
      </c>
      <c r="I3">
        <v>63.387190449999999</v>
      </c>
      <c r="J3">
        <v>61.930867190000001</v>
      </c>
      <c r="K3">
        <v>60.190908020000002</v>
      </c>
      <c r="L3">
        <v>59.079060400000003</v>
      </c>
      <c r="M3">
        <v>59.200045780000004</v>
      </c>
      <c r="N3">
        <v>59.927097619999998</v>
      </c>
      <c r="O3">
        <v>58.890292109999997</v>
      </c>
      <c r="P3">
        <v>57.330030540000003</v>
      </c>
      <c r="Q3">
        <v>55.046081229999999</v>
      </c>
      <c r="R3">
        <v>53.644836400000003</v>
      </c>
      <c r="S3">
        <v>52.364997629999998</v>
      </c>
      <c r="T3">
        <v>52.348711600000001</v>
      </c>
      <c r="U3">
        <v>52.192902080000003</v>
      </c>
      <c r="V3">
        <v>52.138813749999997</v>
      </c>
      <c r="W3">
        <v>51.800499629999997</v>
      </c>
      <c r="X3">
        <v>51.017603510000001</v>
      </c>
      <c r="Y3">
        <v>50.50423541</v>
      </c>
      <c r="Z3">
        <v>50.214542999999999</v>
      </c>
      <c r="AA3">
        <v>49.906993219999997</v>
      </c>
      <c r="AB3">
        <v>49.588234229999998</v>
      </c>
      <c r="AC3">
        <v>49.134479669999997</v>
      </c>
      <c r="AD3">
        <v>48.744067479999998</v>
      </c>
      <c r="AE3">
        <v>48.409363829999997</v>
      </c>
      <c r="AF3">
        <v>48.081329570000001</v>
      </c>
      <c r="AG3">
        <v>47.74762647</v>
      </c>
      <c r="AH3">
        <v>47.420371789999997</v>
      </c>
      <c r="AI3">
        <v>47.160749420000002</v>
      </c>
      <c r="AJ3">
        <v>46.917304350000002</v>
      </c>
      <c r="AK3">
        <v>46.669622429999997</v>
      </c>
      <c r="AL3">
        <v>46.429870190000003</v>
      </c>
      <c r="AM3">
        <v>46.19555381</v>
      </c>
      <c r="AN3">
        <v>45.931593960000001</v>
      </c>
      <c r="AO3">
        <v>45.657026109999997</v>
      </c>
      <c r="AP3">
        <v>45.364172689999997</v>
      </c>
      <c r="AQ3">
        <v>45.066976070000003</v>
      </c>
      <c r="AR3">
        <v>44.719305429999999</v>
      </c>
      <c r="AS3">
        <v>44.51537021</v>
      </c>
      <c r="AT3">
        <v>44.31946757</v>
      </c>
      <c r="AU3">
        <v>44.123147060000001</v>
      </c>
      <c r="AV3">
        <v>43.929972309999997</v>
      </c>
      <c r="AW3">
        <v>43.756102679999998</v>
      </c>
    </row>
    <row r="4" spans="1:49" x14ac:dyDescent="0.25">
      <c r="B4" s="16" t="s">
        <v>305</v>
      </c>
      <c r="C4">
        <v>77.477678819662401</v>
      </c>
      <c r="D4">
        <v>78.721608013977402</v>
      </c>
      <c r="E4">
        <v>66.677101919999998</v>
      </c>
      <c r="F4">
        <v>67.521857929999996</v>
      </c>
      <c r="G4">
        <v>64.342905090000002</v>
      </c>
      <c r="H4">
        <v>62.400979079999999</v>
      </c>
      <c r="I4">
        <v>61.54523038</v>
      </c>
      <c r="J4">
        <v>59.884279970000001</v>
      </c>
      <c r="K4">
        <v>57.962797049999999</v>
      </c>
      <c r="L4">
        <v>56.658462479999997</v>
      </c>
      <c r="M4">
        <v>56.541328780000001</v>
      </c>
      <c r="N4">
        <v>57.000671529999998</v>
      </c>
      <c r="O4">
        <v>55.97268407</v>
      </c>
      <c r="P4">
        <v>54.446431420000003</v>
      </c>
      <c r="Q4">
        <v>52.233065959999998</v>
      </c>
      <c r="R4">
        <v>50.857332300000003</v>
      </c>
      <c r="S4">
        <v>49.595839269999999</v>
      </c>
      <c r="T4">
        <v>49.447423639999997</v>
      </c>
      <c r="U4">
        <v>49.171955079999996</v>
      </c>
      <c r="V4">
        <v>48.99692649</v>
      </c>
      <c r="W4">
        <v>48.6789992</v>
      </c>
      <c r="X4">
        <v>47.943280430000002</v>
      </c>
      <c r="Y4">
        <v>47.460847919999999</v>
      </c>
      <c r="Z4">
        <v>47.188612390000003</v>
      </c>
      <c r="AA4">
        <v>46.899595570000002</v>
      </c>
      <c r="AB4">
        <v>46.600045010000002</v>
      </c>
      <c r="AC4">
        <v>46.173633719999998</v>
      </c>
      <c r="AD4">
        <v>45.806747790000003</v>
      </c>
      <c r="AE4">
        <v>45.492213390000003</v>
      </c>
      <c r="AF4">
        <v>45.183946489999997</v>
      </c>
      <c r="AG4">
        <v>44.870352359999998</v>
      </c>
      <c r="AH4">
        <v>44.562818059999998</v>
      </c>
      <c r="AI4">
        <v>44.318840539999997</v>
      </c>
      <c r="AJ4">
        <v>44.09006548</v>
      </c>
      <c r="AK4">
        <v>43.857308889999999</v>
      </c>
      <c r="AL4">
        <v>43.632004129999999</v>
      </c>
      <c r="AM4">
        <v>43.411807670000002</v>
      </c>
      <c r="AN4">
        <v>43.163754050000001</v>
      </c>
      <c r="AO4">
        <v>42.905731660000001</v>
      </c>
      <c r="AP4">
        <v>42.630525599999999</v>
      </c>
      <c r="AQ4">
        <v>42.351238070000001</v>
      </c>
      <c r="AR4">
        <v>42.024518069999999</v>
      </c>
      <c r="AS4">
        <v>41.832872000000002</v>
      </c>
      <c r="AT4">
        <v>41.648774459999998</v>
      </c>
      <c r="AU4">
        <v>41.464284239999998</v>
      </c>
      <c r="AV4">
        <v>41.282750210000003</v>
      </c>
      <c r="AW4">
        <v>41.119357970000003</v>
      </c>
    </row>
    <row r="5" spans="1:49" x14ac:dyDescent="0.25">
      <c r="B5" s="16" t="s">
        <v>306</v>
      </c>
      <c r="C5">
        <v>0.67805251130835598</v>
      </c>
      <c r="D5">
        <v>0.68893886369971102</v>
      </c>
      <c r="E5">
        <v>0.8743882194</v>
      </c>
      <c r="F5">
        <v>1.167557188</v>
      </c>
      <c r="G5">
        <v>1.382507216</v>
      </c>
      <c r="H5">
        <v>1.6036344709999999</v>
      </c>
      <c r="I5">
        <v>1.8419600709999999</v>
      </c>
      <c r="J5">
        <v>2.0465872169999999</v>
      </c>
      <c r="K5">
        <v>2.2281109670000001</v>
      </c>
      <c r="L5">
        <v>2.4205979279999998</v>
      </c>
      <c r="M5">
        <v>2.6587170059999998</v>
      </c>
      <c r="N5">
        <v>2.9264260929999999</v>
      </c>
      <c r="O5">
        <v>2.917608049</v>
      </c>
      <c r="P5">
        <v>2.8835991189999999</v>
      </c>
      <c r="Q5">
        <v>2.8130152690000001</v>
      </c>
      <c r="R5">
        <v>2.7875041</v>
      </c>
      <c r="S5">
        <v>2.7691583560000002</v>
      </c>
      <c r="T5">
        <v>2.9012879649999999</v>
      </c>
      <c r="U5">
        <v>3.020947005</v>
      </c>
      <c r="V5">
        <v>3.141887256</v>
      </c>
      <c r="W5">
        <v>3.1215004309999999</v>
      </c>
      <c r="X5">
        <v>3.0743230760000002</v>
      </c>
      <c r="Y5">
        <v>3.0433874919999999</v>
      </c>
      <c r="Z5">
        <v>3.025930614</v>
      </c>
      <c r="AA5">
        <v>3.0073976500000001</v>
      </c>
      <c r="AB5">
        <v>2.9881892190000001</v>
      </c>
      <c r="AC5">
        <v>2.9608459489999999</v>
      </c>
      <c r="AD5">
        <v>2.9373196930000001</v>
      </c>
      <c r="AE5">
        <v>2.917150436</v>
      </c>
      <c r="AF5">
        <v>2.8973830770000002</v>
      </c>
      <c r="AG5">
        <v>2.8772741129999999</v>
      </c>
      <c r="AH5">
        <v>2.8575537309999999</v>
      </c>
      <c r="AI5">
        <v>2.8419088760000002</v>
      </c>
      <c r="AJ5">
        <v>2.827238865</v>
      </c>
      <c r="AK5">
        <v>2.812313541</v>
      </c>
      <c r="AL5">
        <v>2.7978660610000001</v>
      </c>
      <c r="AM5">
        <v>2.7837461449999998</v>
      </c>
      <c r="AN5">
        <v>2.767839913</v>
      </c>
      <c r="AO5">
        <v>2.7512944410000002</v>
      </c>
      <c r="AP5">
        <v>2.733647081</v>
      </c>
      <c r="AQ5">
        <v>2.715738</v>
      </c>
      <c r="AR5">
        <v>2.694787351</v>
      </c>
      <c r="AS5">
        <v>2.682498206</v>
      </c>
      <c r="AT5">
        <v>2.6706931040000002</v>
      </c>
      <c r="AU5">
        <v>2.658862821</v>
      </c>
      <c r="AV5">
        <v>2.6472221020000002</v>
      </c>
      <c r="AW5">
        <v>2.636744711</v>
      </c>
    </row>
    <row r="6" spans="1:49" x14ac:dyDescent="0.25">
      <c r="B6" s="16" t="s">
        <v>307</v>
      </c>
      <c r="C6">
        <v>28.634797354551999</v>
      </c>
      <c r="D6">
        <v>29.094538288267</v>
      </c>
      <c r="E6">
        <v>26.011154829999999</v>
      </c>
      <c r="F6">
        <v>26.60079597</v>
      </c>
      <c r="G6">
        <v>26.967052760000001</v>
      </c>
      <c r="H6">
        <v>24.795980870000001</v>
      </c>
      <c r="I6">
        <v>25.622019479999999</v>
      </c>
      <c r="J6">
        <v>26.409952489999998</v>
      </c>
      <c r="K6">
        <v>26.662159979999998</v>
      </c>
      <c r="L6">
        <v>26.49601436</v>
      </c>
      <c r="M6">
        <v>26.28062641</v>
      </c>
      <c r="N6">
        <v>25.650294760000001</v>
      </c>
      <c r="O6">
        <v>24.191159590000002</v>
      </c>
      <c r="P6">
        <v>23.75545954</v>
      </c>
      <c r="Q6">
        <v>23.605403129999999</v>
      </c>
      <c r="R6">
        <v>22.75979792</v>
      </c>
      <c r="S6">
        <v>21.822424869999999</v>
      </c>
      <c r="T6">
        <v>21.696684619999999</v>
      </c>
      <c r="U6">
        <v>21.614635450000002</v>
      </c>
      <c r="V6">
        <v>21.585960870000001</v>
      </c>
      <c r="W6">
        <v>21.863352209999999</v>
      </c>
      <c r="X6">
        <v>22.227185009999999</v>
      </c>
      <c r="Y6">
        <v>22.654824919999999</v>
      </c>
      <c r="Z6">
        <v>22.97236998</v>
      </c>
      <c r="AA6">
        <v>23.31542039</v>
      </c>
      <c r="AB6">
        <v>23.622579340000001</v>
      </c>
      <c r="AC6">
        <v>23.991494320000001</v>
      </c>
      <c r="AD6">
        <v>24.282632190000001</v>
      </c>
      <c r="AE6">
        <v>24.573663379999999</v>
      </c>
      <c r="AF6">
        <v>24.864156860000001</v>
      </c>
      <c r="AG6">
        <v>25.151199779999999</v>
      </c>
      <c r="AH6">
        <v>25.456931010000002</v>
      </c>
      <c r="AI6">
        <v>25.723607260000001</v>
      </c>
      <c r="AJ6">
        <v>25.97864779</v>
      </c>
      <c r="AK6">
        <v>26.222583589999999</v>
      </c>
      <c r="AL6">
        <v>26.46100534</v>
      </c>
      <c r="AM6">
        <v>26.69530786</v>
      </c>
      <c r="AN6">
        <v>26.861223880000001</v>
      </c>
      <c r="AO6">
        <v>27.021972309999999</v>
      </c>
      <c r="AP6">
        <v>27.17852529</v>
      </c>
      <c r="AQ6">
        <v>27.32722893</v>
      </c>
      <c r="AR6">
        <v>27.497997009999999</v>
      </c>
      <c r="AS6">
        <v>27.612440979999999</v>
      </c>
      <c r="AT6">
        <v>27.722886970000001</v>
      </c>
      <c r="AU6">
        <v>27.82825308</v>
      </c>
      <c r="AV6">
        <v>27.930966680000001</v>
      </c>
      <c r="AW6">
        <v>28.040980820000001</v>
      </c>
    </row>
    <row r="7" spans="1:49" x14ac:dyDescent="0.25">
      <c r="B7" s="16" t="s">
        <v>308</v>
      </c>
      <c r="C7">
        <v>0.36749349586970598</v>
      </c>
      <c r="D7">
        <v>0.37339372281503302</v>
      </c>
      <c r="E7">
        <v>0.4232294553</v>
      </c>
      <c r="F7">
        <v>0.43422553530000002</v>
      </c>
      <c r="G7">
        <v>0.4416301225</v>
      </c>
      <c r="H7">
        <v>0.40739056969999998</v>
      </c>
      <c r="I7">
        <v>0.42232570149999998</v>
      </c>
      <c r="J7">
        <v>0.43672318739999999</v>
      </c>
      <c r="K7">
        <v>0.44232189440000003</v>
      </c>
      <c r="L7">
        <v>0.44098938259999998</v>
      </c>
      <c r="M7">
        <v>0.43882137249999997</v>
      </c>
      <c r="N7">
        <v>0.42968371579999998</v>
      </c>
      <c r="O7">
        <v>0.41335269749999998</v>
      </c>
      <c r="P7">
        <v>0.41450492519999999</v>
      </c>
      <c r="Q7">
        <v>0.42113423080000001</v>
      </c>
      <c r="R7">
        <v>0.41573188680000001</v>
      </c>
      <c r="S7">
        <v>0.40872975750000001</v>
      </c>
      <c r="T7">
        <v>0.44954248219999998</v>
      </c>
      <c r="U7">
        <v>0.49224461580000001</v>
      </c>
      <c r="V7">
        <v>0.53739971099999995</v>
      </c>
      <c r="W7">
        <v>0.54430558959999997</v>
      </c>
      <c r="X7">
        <v>0.55336349740000002</v>
      </c>
      <c r="Y7">
        <v>0.56400993399999999</v>
      </c>
      <c r="Z7">
        <v>0.57191547129999998</v>
      </c>
      <c r="AA7">
        <v>0.58045598490000005</v>
      </c>
      <c r="AB7">
        <v>0.58810295189999995</v>
      </c>
      <c r="AC7">
        <v>0.59728738459999997</v>
      </c>
      <c r="AD7">
        <v>0.60453549409999996</v>
      </c>
      <c r="AE7">
        <v>0.61178094780000003</v>
      </c>
      <c r="AF7">
        <v>0.61901301460000002</v>
      </c>
      <c r="AG7">
        <v>0.62615917700000001</v>
      </c>
      <c r="AH7">
        <v>0.63377059970000005</v>
      </c>
      <c r="AI7">
        <v>0.64040971759999998</v>
      </c>
      <c r="AJ7">
        <v>0.64675915500000003</v>
      </c>
      <c r="AK7">
        <v>0.65283213139999996</v>
      </c>
      <c r="AL7">
        <v>0.65876783100000003</v>
      </c>
      <c r="AM7">
        <v>0.66460097890000003</v>
      </c>
      <c r="AN7">
        <v>0.66873159069999999</v>
      </c>
      <c r="AO7">
        <v>0.67273355089999998</v>
      </c>
      <c r="AP7">
        <v>0.67663106230000003</v>
      </c>
      <c r="AQ7">
        <v>0.68033315809999995</v>
      </c>
      <c r="AR7">
        <v>0.68458456560000003</v>
      </c>
      <c r="AS7">
        <v>0.68743373949999997</v>
      </c>
      <c r="AT7">
        <v>0.69018338050000005</v>
      </c>
      <c r="AU7">
        <v>0.6928065538</v>
      </c>
      <c r="AV7">
        <v>0.69536369080000004</v>
      </c>
      <c r="AW7">
        <v>0.69810258069999997</v>
      </c>
    </row>
    <row r="8" spans="1:49" x14ac:dyDescent="0.25">
      <c r="B8" t="s">
        <v>309</v>
      </c>
      <c r="C8">
        <v>1.4676116307532601</v>
      </c>
      <c r="D8">
        <v>1.4911746101974399</v>
      </c>
      <c r="E8">
        <v>1.33314278</v>
      </c>
      <c r="F8">
        <v>1.365346459</v>
      </c>
      <c r="G8">
        <v>1.386158609</v>
      </c>
      <c r="H8">
        <v>1.2764151189999999</v>
      </c>
      <c r="I8">
        <v>1.3208551980000001</v>
      </c>
      <c r="J8">
        <v>1.3634545890000001</v>
      </c>
      <c r="K8">
        <v>1.3784772190000001</v>
      </c>
      <c r="L8">
        <v>1.371879667</v>
      </c>
      <c r="M8">
        <v>1.3627066859999999</v>
      </c>
      <c r="N8">
        <v>1.3319571079999999</v>
      </c>
      <c r="O8">
        <v>1.4068715359999999</v>
      </c>
      <c r="P8">
        <v>1.541228764</v>
      </c>
      <c r="Q8">
        <v>1.703274822</v>
      </c>
      <c r="R8">
        <v>1.822142307</v>
      </c>
      <c r="S8">
        <v>1.9350830370000001</v>
      </c>
      <c r="T8">
        <v>1.859842349</v>
      </c>
      <c r="U8">
        <v>1.7868856980000001</v>
      </c>
      <c r="V8">
        <v>1.7165043419999999</v>
      </c>
      <c r="W8">
        <v>1.7385623560000001</v>
      </c>
      <c r="X8">
        <v>1.767494151</v>
      </c>
      <c r="Y8">
        <v>1.8014998529999999</v>
      </c>
      <c r="Z8">
        <v>1.8267508699999999</v>
      </c>
      <c r="AA8">
        <v>1.8540300590000001</v>
      </c>
      <c r="AB8">
        <v>1.8784551789999999</v>
      </c>
      <c r="AC8">
        <v>1.9077911059999999</v>
      </c>
      <c r="AD8">
        <v>1.930942237</v>
      </c>
      <c r="AE8">
        <v>1.954084886</v>
      </c>
      <c r="AF8">
        <v>1.9771847760000001</v>
      </c>
      <c r="AG8">
        <v>2.0000102790000001</v>
      </c>
      <c r="AH8">
        <v>2.0243218660000002</v>
      </c>
      <c r="AI8">
        <v>2.045527823</v>
      </c>
      <c r="AJ8">
        <v>2.0658085119999998</v>
      </c>
      <c r="AK8">
        <v>2.0852061599999998</v>
      </c>
      <c r="AL8">
        <v>2.1041653330000001</v>
      </c>
      <c r="AM8">
        <v>2.1227969469999999</v>
      </c>
      <c r="AN8">
        <v>2.1359905029999999</v>
      </c>
      <c r="AO8">
        <v>2.1487731330000002</v>
      </c>
      <c r="AP8">
        <v>2.161222145</v>
      </c>
      <c r="AQ8">
        <v>2.1730469810000002</v>
      </c>
      <c r="AR8">
        <v>2.1866263689999998</v>
      </c>
      <c r="AS8">
        <v>2.1957268939999999</v>
      </c>
      <c r="AT8">
        <v>2.2045095020000001</v>
      </c>
      <c r="AU8">
        <v>2.2128881599999999</v>
      </c>
      <c r="AV8">
        <v>2.2210558919999999</v>
      </c>
      <c r="AW8">
        <v>2.229804159</v>
      </c>
    </row>
    <row r="9" spans="1:49" x14ac:dyDescent="0.25">
      <c r="B9" t="s">
        <v>310</v>
      </c>
      <c r="C9">
        <v>1.4643633957556199</v>
      </c>
      <c r="D9">
        <v>1.4878742237362399</v>
      </c>
      <c r="E9">
        <v>1.330192163</v>
      </c>
      <c r="F9">
        <v>1.2526395690000001</v>
      </c>
      <c r="G9">
        <v>1.169342468</v>
      </c>
      <c r="H9">
        <v>0.99007085080000001</v>
      </c>
      <c r="I9">
        <v>0.9420524482</v>
      </c>
      <c r="J9">
        <v>0.8941411642</v>
      </c>
      <c r="K9">
        <v>0.83120958590000005</v>
      </c>
      <c r="L9">
        <v>0.76062834820000003</v>
      </c>
      <c r="M9">
        <v>0.69471138020000001</v>
      </c>
      <c r="N9">
        <v>0.62436392860000001</v>
      </c>
      <c r="O9">
        <v>0.52290092769999996</v>
      </c>
      <c r="P9">
        <v>0.44359335370000003</v>
      </c>
      <c r="Q9">
        <v>0.42113423080000001</v>
      </c>
      <c r="R9">
        <v>0.41573188680000001</v>
      </c>
      <c r="S9">
        <v>0.40872975750000001</v>
      </c>
      <c r="T9">
        <v>0.41158454729999999</v>
      </c>
      <c r="U9">
        <v>0.41538693030000001</v>
      </c>
      <c r="V9">
        <v>0.42036440219999999</v>
      </c>
      <c r="W9">
        <v>0.42576631339999998</v>
      </c>
      <c r="X9">
        <v>0.43285158330000001</v>
      </c>
      <c r="Y9">
        <v>0.44117943100000001</v>
      </c>
      <c r="Z9">
        <v>0.44736329450000001</v>
      </c>
      <c r="AA9">
        <v>0.45404384869999997</v>
      </c>
      <c r="AB9">
        <v>0.46002545350000001</v>
      </c>
      <c r="AC9">
        <v>0.46720969359999998</v>
      </c>
      <c r="AD9">
        <v>0.47287930439999998</v>
      </c>
      <c r="AE9">
        <v>0.47854683780000001</v>
      </c>
      <c r="AF9">
        <v>0.4842038998</v>
      </c>
      <c r="AG9">
        <v>0.48979376559999999</v>
      </c>
      <c r="AH9">
        <v>0.495747567</v>
      </c>
      <c r="AI9">
        <v>0.50094081290000003</v>
      </c>
      <c r="AJ9">
        <v>0.50590746509999995</v>
      </c>
      <c r="AK9">
        <v>0.51065786420000003</v>
      </c>
      <c r="AL9">
        <v>0.51530088259999995</v>
      </c>
      <c r="AM9">
        <v>0.51986368329999999</v>
      </c>
      <c r="AN9">
        <v>0.52309472739999996</v>
      </c>
      <c r="AO9">
        <v>0.52622513770000001</v>
      </c>
      <c r="AP9">
        <v>0.52927384619999995</v>
      </c>
      <c r="AQ9">
        <v>0.53216969680000004</v>
      </c>
      <c r="AR9">
        <v>0.53549522959999996</v>
      </c>
      <c r="AS9">
        <v>0.53772390830000005</v>
      </c>
      <c r="AT9">
        <v>0.53987473050000001</v>
      </c>
      <c r="AU9">
        <v>0.54192662709999995</v>
      </c>
      <c r="AV9">
        <v>0.54392686889999997</v>
      </c>
      <c r="AW9">
        <v>0.54606928129999999</v>
      </c>
    </row>
    <row r="10" spans="1:49" x14ac:dyDescent="0.25">
      <c r="B10" t="s">
        <v>311</v>
      </c>
      <c r="C10">
        <v>0.29584764130791702</v>
      </c>
      <c r="D10">
        <v>0.300597570883747</v>
      </c>
      <c r="E10">
        <v>0.4232294553</v>
      </c>
      <c r="F10">
        <v>0.72906345500000003</v>
      </c>
      <c r="G10">
        <v>1.0164730289999999</v>
      </c>
      <c r="H10">
        <v>1.1669725209999999</v>
      </c>
      <c r="I10">
        <v>1.4199892300000001</v>
      </c>
      <c r="J10">
        <v>1.6540299350000001</v>
      </c>
      <c r="K10">
        <v>1.8263024320000001</v>
      </c>
      <c r="L10">
        <v>1.928056464</v>
      </c>
      <c r="M10">
        <v>1.9733636139999999</v>
      </c>
      <c r="N10">
        <v>1.9234799789999999</v>
      </c>
      <c r="O10">
        <v>2.0305865829999998</v>
      </c>
      <c r="P10">
        <v>2.223489533</v>
      </c>
      <c r="Q10">
        <v>2.4562860199999998</v>
      </c>
      <c r="R10">
        <v>2.6267787870000001</v>
      </c>
      <c r="S10">
        <v>2.78872103</v>
      </c>
      <c r="T10">
        <v>2.9399454719999998</v>
      </c>
      <c r="U10">
        <v>3.1009041530000001</v>
      </c>
      <c r="V10">
        <v>3.2743156550000001</v>
      </c>
      <c r="W10">
        <v>3.316392392</v>
      </c>
      <c r="X10">
        <v>3.371581199</v>
      </c>
      <c r="Y10">
        <v>3.4364487330000002</v>
      </c>
      <c r="Z10">
        <v>3.4846162779999998</v>
      </c>
      <c r="AA10">
        <v>3.5366526610000002</v>
      </c>
      <c r="AB10">
        <v>3.583244766</v>
      </c>
      <c r="AC10">
        <v>3.6392044760000002</v>
      </c>
      <c r="AD10">
        <v>3.683366387</v>
      </c>
      <c r="AE10">
        <v>3.7275121169999998</v>
      </c>
      <c r="AF10">
        <v>3.7715762819999998</v>
      </c>
      <c r="AG10">
        <v>3.8151170419999998</v>
      </c>
      <c r="AH10">
        <v>3.8614925790000001</v>
      </c>
      <c r="AI10">
        <v>3.9019439739999999</v>
      </c>
      <c r="AJ10">
        <v>3.9406303770000002</v>
      </c>
      <c r="AK10">
        <v>3.9776323360000001</v>
      </c>
      <c r="AL10">
        <v>4.0137978820000004</v>
      </c>
      <c r="AM10">
        <v>4.0493385919999998</v>
      </c>
      <c r="AN10">
        <v>4.0745059430000001</v>
      </c>
      <c r="AO10">
        <v>4.0988894340000002</v>
      </c>
      <c r="AP10">
        <v>4.1226365300000003</v>
      </c>
      <c r="AQ10">
        <v>4.1451929810000001</v>
      </c>
      <c r="AR10">
        <v>4.1710963259999998</v>
      </c>
      <c r="AS10">
        <v>4.1884560200000003</v>
      </c>
      <c r="AT10">
        <v>4.2052092720000003</v>
      </c>
      <c r="AU10">
        <v>4.2211919699999996</v>
      </c>
      <c r="AV10">
        <v>4.2367723169999998</v>
      </c>
      <c r="AW10">
        <v>4.2534600620000003</v>
      </c>
    </row>
    <row r="11" spans="1:49" x14ac:dyDescent="0.25">
      <c r="B11" t="s">
        <v>312</v>
      </c>
      <c r="C11">
        <v>6.65657192942814E-2</v>
      </c>
      <c r="D11">
        <v>6.7634453448843099E-2</v>
      </c>
      <c r="E11">
        <v>0.4232294553</v>
      </c>
      <c r="F11">
        <v>0.4544564344</v>
      </c>
      <c r="G11">
        <v>0.48949182279999998</v>
      </c>
      <c r="H11">
        <v>0.4849201205</v>
      </c>
      <c r="I11">
        <v>0.54858377869999997</v>
      </c>
      <c r="J11">
        <v>0.6302100263</v>
      </c>
      <c r="K11">
        <v>0.72280353890000004</v>
      </c>
      <c r="L11">
        <v>0.83236345950000001</v>
      </c>
      <c r="M11">
        <v>0.97571858619999996</v>
      </c>
      <c r="N11">
        <v>1.1468601869999999</v>
      </c>
      <c r="O11">
        <v>1.1826919389999999</v>
      </c>
      <c r="P11">
        <v>1.268507512</v>
      </c>
      <c r="Q11">
        <v>1.375717855</v>
      </c>
      <c r="R11">
        <v>1.4470934419999999</v>
      </c>
      <c r="S11">
        <v>1.513586898</v>
      </c>
      <c r="T11">
        <v>1.5653226849999999</v>
      </c>
      <c r="U11">
        <v>1.621588917</v>
      </c>
      <c r="V11">
        <v>1.6835924870000001</v>
      </c>
      <c r="W11">
        <v>1.705227566</v>
      </c>
      <c r="X11">
        <v>1.733604629</v>
      </c>
      <c r="Y11">
        <v>1.766958314</v>
      </c>
      <c r="Z11">
        <v>1.791725174</v>
      </c>
      <c r="AA11">
        <v>1.8184813179999999</v>
      </c>
      <c r="AB11">
        <v>1.8424381160000001</v>
      </c>
      <c r="AC11">
        <v>1.8712115629999999</v>
      </c>
      <c r="AD11">
        <v>1.8939188</v>
      </c>
      <c r="AE11">
        <v>1.9166177170000001</v>
      </c>
      <c r="AF11">
        <v>1.9392746949999999</v>
      </c>
      <c r="AG11">
        <v>1.961662547</v>
      </c>
      <c r="AH11">
        <v>1.9855079899999999</v>
      </c>
      <c r="AI11">
        <v>2.006307348</v>
      </c>
      <c r="AJ11">
        <v>2.0261991799999999</v>
      </c>
      <c r="AK11">
        <v>2.0452249020000002</v>
      </c>
      <c r="AL11">
        <v>2.063820556</v>
      </c>
      <c r="AM11">
        <v>2.082094932</v>
      </c>
      <c r="AN11">
        <v>2.095035518</v>
      </c>
      <c r="AO11">
        <v>2.1075730570000002</v>
      </c>
      <c r="AP11">
        <v>2.1197833739999998</v>
      </c>
      <c r="AQ11">
        <v>2.1313814839999998</v>
      </c>
      <c r="AR11">
        <v>2.1447005039999998</v>
      </c>
      <c r="AS11">
        <v>2.1536265370000001</v>
      </c>
      <c r="AT11">
        <v>2.162240749</v>
      </c>
      <c r="AU11">
        <v>2.170458757</v>
      </c>
      <c r="AV11">
        <v>2.178469883</v>
      </c>
      <c r="AW11">
        <v>2.1870504130000001</v>
      </c>
    </row>
    <row r="12" spans="1:49" x14ac:dyDescent="0.25">
      <c r="B12" t="s">
        <v>313</v>
      </c>
      <c r="C12">
        <v>3.32767453113023</v>
      </c>
      <c r="D12">
        <v>3.3811014220943498</v>
      </c>
      <c r="E12">
        <v>3.0227787679999998</v>
      </c>
      <c r="F12">
        <v>2.9824322959999998</v>
      </c>
      <c r="G12">
        <v>2.917015111</v>
      </c>
      <c r="H12">
        <v>2.587710687</v>
      </c>
      <c r="I12">
        <v>2.5797464080000001</v>
      </c>
      <c r="J12">
        <v>2.5654320259999999</v>
      </c>
      <c r="K12">
        <v>2.498719205</v>
      </c>
      <c r="L12">
        <v>2.3956971039999999</v>
      </c>
      <c r="M12">
        <v>2.2925367310000002</v>
      </c>
      <c r="N12">
        <v>2.1587491660000002</v>
      </c>
      <c r="O12">
        <v>2.2969129530000001</v>
      </c>
      <c r="P12">
        <v>2.5321177600000002</v>
      </c>
      <c r="Q12">
        <v>2.813627672</v>
      </c>
      <c r="R12">
        <v>3.0243718560000001</v>
      </c>
      <c r="S12">
        <v>3.2253812549999998</v>
      </c>
      <c r="T12">
        <v>3.3928464909999998</v>
      </c>
      <c r="U12">
        <v>3.5713856050000001</v>
      </c>
      <c r="V12">
        <v>3.7640770090000002</v>
      </c>
      <c r="W12">
        <v>3.8124474460000002</v>
      </c>
      <c r="X12">
        <v>3.8758912130000001</v>
      </c>
      <c r="Y12">
        <v>3.9504614189999998</v>
      </c>
      <c r="Z12">
        <v>4.0058337069999999</v>
      </c>
      <c r="AA12">
        <v>4.0656535209999998</v>
      </c>
      <c r="AB12">
        <v>4.1192147200000004</v>
      </c>
      <c r="AC12">
        <v>4.1835446980000004</v>
      </c>
      <c r="AD12">
        <v>4.234312203</v>
      </c>
      <c r="AE12">
        <v>4.2850611059999997</v>
      </c>
      <c r="AF12">
        <v>4.3357162430000002</v>
      </c>
      <c r="AG12">
        <v>4.3857696859999997</v>
      </c>
      <c r="AH12">
        <v>4.4390819239999999</v>
      </c>
      <c r="AI12">
        <v>4.4855839050000004</v>
      </c>
      <c r="AJ12">
        <v>4.5300568940000003</v>
      </c>
      <c r="AK12">
        <v>4.5725934830000003</v>
      </c>
      <c r="AL12">
        <v>4.6141685519999998</v>
      </c>
      <c r="AM12">
        <v>4.6550253250000004</v>
      </c>
      <c r="AN12">
        <v>4.6839571250000001</v>
      </c>
      <c r="AO12">
        <v>4.711987819</v>
      </c>
      <c r="AP12">
        <v>4.7392869270000002</v>
      </c>
      <c r="AQ12">
        <v>4.7652172979999996</v>
      </c>
      <c r="AR12">
        <v>4.7949951789999998</v>
      </c>
      <c r="AS12">
        <v>4.8149514790000003</v>
      </c>
      <c r="AT12">
        <v>4.8342106280000001</v>
      </c>
      <c r="AU12">
        <v>4.852583965</v>
      </c>
      <c r="AV12">
        <v>4.8704947689999996</v>
      </c>
      <c r="AW12">
        <v>4.8896786130000001</v>
      </c>
    </row>
    <row r="13" spans="1:49" x14ac:dyDescent="0.25">
      <c r="B13" t="s">
        <v>314</v>
      </c>
      <c r="C13">
        <v>0.21556468620722</v>
      </c>
      <c r="D13">
        <v>0.21902564697065</v>
      </c>
      <c r="E13">
        <v>0.4232294553</v>
      </c>
      <c r="F13">
        <v>0.45779440440000002</v>
      </c>
      <c r="G13">
        <v>0.49238382050000001</v>
      </c>
      <c r="H13">
        <v>0.4818142359</v>
      </c>
      <c r="I13">
        <v>0.53145189459999997</v>
      </c>
      <c r="J13">
        <v>0.58651268850000005</v>
      </c>
      <c r="K13">
        <v>0.63583792900000002</v>
      </c>
      <c r="L13">
        <v>0.68049251649999998</v>
      </c>
      <c r="M13">
        <v>0.72892471670000003</v>
      </c>
      <c r="N13">
        <v>0.77039352149999996</v>
      </c>
      <c r="O13">
        <v>0.71672118139999996</v>
      </c>
      <c r="P13">
        <v>0.69337556580000004</v>
      </c>
      <c r="Q13">
        <v>0.67776890199999995</v>
      </c>
      <c r="R13">
        <v>0.64173321940000005</v>
      </c>
      <c r="S13">
        <v>0.6030172452</v>
      </c>
      <c r="T13">
        <v>0.62670975200000001</v>
      </c>
      <c r="U13">
        <v>0.65228364260000005</v>
      </c>
      <c r="V13">
        <v>0.68024702199999998</v>
      </c>
      <c r="W13">
        <v>0.68898856620000004</v>
      </c>
      <c r="X13">
        <v>0.70045417480000005</v>
      </c>
      <c r="Y13">
        <v>0.71393056249999998</v>
      </c>
      <c r="Z13">
        <v>0.72393748680000003</v>
      </c>
      <c r="AA13">
        <v>0.73474817160000006</v>
      </c>
      <c r="AB13">
        <v>0.74442779449999996</v>
      </c>
      <c r="AC13">
        <v>0.75605355990000001</v>
      </c>
      <c r="AD13">
        <v>0.76522830409999998</v>
      </c>
      <c r="AE13">
        <v>0.77439968660000003</v>
      </c>
      <c r="AF13">
        <v>0.7835541238</v>
      </c>
      <c r="AG13">
        <v>0.79259982230000003</v>
      </c>
      <c r="AH13">
        <v>0.80223445270000004</v>
      </c>
      <c r="AI13">
        <v>0.81063832810000003</v>
      </c>
      <c r="AJ13">
        <v>0.81867552229999996</v>
      </c>
      <c r="AK13">
        <v>0.82636276890000004</v>
      </c>
      <c r="AL13">
        <v>0.83387624890000001</v>
      </c>
      <c r="AM13">
        <v>0.84125991769999997</v>
      </c>
      <c r="AN13">
        <v>0.84648849589999997</v>
      </c>
      <c r="AO13">
        <v>0.85155422530000002</v>
      </c>
      <c r="AP13">
        <v>0.8564877421</v>
      </c>
      <c r="AQ13">
        <v>0.86117389950000001</v>
      </c>
      <c r="AR13">
        <v>0.86655538229999995</v>
      </c>
      <c r="AS13">
        <v>0.8701619008</v>
      </c>
      <c r="AT13">
        <v>0.87364242960000005</v>
      </c>
      <c r="AU13">
        <v>0.87696287390000005</v>
      </c>
      <c r="AV13">
        <v>0.88019972869999996</v>
      </c>
      <c r="AW13">
        <v>0.88366664839999998</v>
      </c>
    </row>
    <row r="14" spans="1:49" x14ac:dyDescent="0.25">
      <c r="B14" t="s">
        <v>315</v>
      </c>
      <c r="C14">
        <v>35.839918454870201</v>
      </c>
      <c r="D14">
        <v>36.415339938413297</v>
      </c>
      <c r="E14">
        <v>33.390186370000002</v>
      </c>
      <c r="F14">
        <v>34.27675412</v>
      </c>
      <c r="G14">
        <v>34.87954774</v>
      </c>
      <c r="H14">
        <v>32.191274980000003</v>
      </c>
      <c r="I14">
        <v>33.387024140000001</v>
      </c>
      <c r="J14">
        <v>34.540456110000001</v>
      </c>
      <c r="K14">
        <v>34.997831779999999</v>
      </c>
      <c r="L14">
        <v>34.906121300000002</v>
      </c>
      <c r="M14">
        <v>34.747409490000003</v>
      </c>
      <c r="N14">
        <v>34.03578237</v>
      </c>
      <c r="O14">
        <v>32.761197410000001</v>
      </c>
      <c r="P14">
        <v>32.87227695</v>
      </c>
      <c r="Q14">
        <v>33.474346869999998</v>
      </c>
      <c r="R14">
        <v>33.153381299999999</v>
      </c>
      <c r="S14">
        <v>32.705673849999997</v>
      </c>
      <c r="T14">
        <v>32.942478399999999</v>
      </c>
      <c r="U14">
        <v>33.255315019999998</v>
      </c>
      <c r="V14">
        <v>33.662461499999999</v>
      </c>
      <c r="W14">
        <v>34.09504244</v>
      </c>
      <c r="X14">
        <v>34.662425460000001</v>
      </c>
      <c r="Y14">
        <v>35.329313169999999</v>
      </c>
      <c r="Z14">
        <v>35.824512259999999</v>
      </c>
      <c r="AA14">
        <v>36.35948595</v>
      </c>
      <c r="AB14">
        <v>36.838488320000003</v>
      </c>
      <c r="AC14">
        <v>37.4137968</v>
      </c>
      <c r="AD14">
        <v>37.867814920000001</v>
      </c>
      <c r="AE14">
        <v>38.32166668</v>
      </c>
      <c r="AF14">
        <v>38.774679900000002</v>
      </c>
      <c r="AG14">
        <v>39.222312100000003</v>
      </c>
      <c r="AH14">
        <v>39.699087990000002</v>
      </c>
      <c r="AI14">
        <v>40.114959169999999</v>
      </c>
      <c r="AJ14">
        <v>40.512684890000003</v>
      </c>
      <c r="AK14">
        <v>40.893093239999999</v>
      </c>
      <c r="AL14">
        <v>41.264902630000002</v>
      </c>
      <c r="AM14">
        <v>41.630288229999998</v>
      </c>
      <c r="AN14">
        <v>41.889027779999999</v>
      </c>
      <c r="AO14">
        <v>42.139708659999997</v>
      </c>
      <c r="AP14">
        <v>42.383846920000003</v>
      </c>
      <c r="AQ14">
        <v>42.615744429999999</v>
      </c>
      <c r="AR14">
        <v>42.882050569999997</v>
      </c>
      <c r="AS14">
        <v>43.060521459999997</v>
      </c>
      <c r="AT14">
        <v>43.232757659999997</v>
      </c>
      <c r="AU14">
        <v>43.39707198</v>
      </c>
      <c r="AV14">
        <v>43.557249830000003</v>
      </c>
      <c r="AW14">
        <v>43.728812580000003</v>
      </c>
    </row>
    <row r="15" spans="1:49" x14ac:dyDescent="0.25">
      <c r="B15" t="s">
        <v>316</v>
      </c>
      <c r="C15">
        <v>36.006525643363197</v>
      </c>
      <c r="D15">
        <v>36.584622059208101</v>
      </c>
      <c r="E15">
        <v>32.766873199999999</v>
      </c>
      <c r="F15">
        <v>33.612310770000001</v>
      </c>
      <c r="G15">
        <v>33.2943712</v>
      </c>
      <c r="H15">
        <v>32.463734539999997</v>
      </c>
      <c r="I15">
        <v>33.736998100000001</v>
      </c>
      <c r="J15">
        <v>34.216574790000003</v>
      </c>
      <c r="K15">
        <v>33.497859259999998</v>
      </c>
      <c r="L15">
        <v>33.349717290000001</v>
      </c>
      <c r="M15">
        <v>33.997879419999997</v>
      </c>
      <c r="N15">
        <v>35.134966349999999</v>
      </c>
      <c r="O15">
        <v>35.960571850000001</v>
      </c>
      <c r="P15">
        <v>36.216565199999998</v>
      </c>
      <c r="Q15">
        <v>34.982173889999999</v>
      </c>
      <c r="R15">
        <v>34.23497107</v>
      </c>
      <c r="S15">
        <v>33.714567129999999</v>
      </c>
      <c r="T15">
        <v>33.459401909999997</v>
      </c>
      <c r="U15">
        <v>33.424224469999999</v>
      </c>
      <c r="V15">
        <v>33.493442080000001</v>
      </c>
      <c r="W15">
        <v>33.550063809999997</v>
      </c>
      <c r="X15">
        <v>33.734250950000003</v>
      </c>
      <c r="Y15">
        <v>33.969312770000002</v>
      </c>
      <c r="Z15">
        <v>34.343677370000002</v>
      </c>
      <c r="AA15">
        <v>34.55276156</v>
      </c>
      <c r="AB15">
        <v>34.753455719999998</v>
      </c>
      <c r="AC15">
        <v>34.927127599999999</v>
      </c>
      <c r="AD15">
        <v>35.189069510000003</v>
      </c>
      <c r="AE15">
        <v>35.392454119999996</v>
      </c>
      <c r="AF15">
        <v>35.612158180000002</v>
      </c>
      <c r="AG15">
        <v>35.792382289999999</v>
      </c>
      <c r="AH15">
        <v>35.96038446</v>
      </c>
      <c r="AI15">
        <v>36.059373620000002</v>
      </c>
      <c r="AJ15">
        <v>36.164090129999998</v>
      </c>
      <c r="AK15">
        <v>36.259490669999998</v>
      </c>
      <c r="AL15">
        <v>36.353998160000003</v>
      </c>
      <c r="AM15">
        <v>36.448671099999999</v>
      </c>
      <c r="AN15">
        <v>36.363932749999996</v>
      </c>
      <c r="AO15">
        <v>36.284987379999997</v>
      </c>
      <c r="AP15">
        <v>36.190673699999998</v>
      </c>
      <c r="AQ15">
        <v>36.095855700000001</v>
      </c>
      <c r="AR15">
        <v>35.976136189999998</v>
      </c>
      <c r="AS15">
        <v>35.891094350000003</v>
      </c>
      <c r="AT15">
        <v>35.806239830000003</v>
      </c>
      <c r="AU15">
        <v>35.713921740000004</v>
      </c>
      <c r="AV15">
        <v>35.615081580000002</v>
      </c>
      <c r="AW15">
        <v>35.521752489999997</v>
      </c>
    </row>
    <row r="16" spans="1:49" x14ac:dyDescent="0.25">
      <c r="B16" t="s">
        <v>317</v>
      </c>
      <c r="C16">
        <v>33.108335480742298</v>
      </c>
      <c r="D16">
        <v>33.639900516080203</v>
      </c>
      <c r="E16">
        <v>29.611875959999999</v>
      </c>
      <c r="F16">
        <v>29.45438777</v>
      </c>
      <c r="G16">
        <v>28.291245450000002</v>
      </c>
      <c r="H16">
        <v>26.749625160000001</v>
      </c>
      <c r="I16">
        <v>26.95699406</v>
      </c>
      <c r="J16">
        <v>26.51274562</v>
      </c>
      <c r="K16">
        <v>25.170697759999999</v>
      </c>
      <c r="L16">
        <v>24.296841919999999</v>
      </c>
      <c r="M16">
        <v>24.011228979999999</v>
      </c>
      <c r="N16">
        <v>24.05569758</v>
      </c>
      <c r="O16">
        <v>24.514166469999999</v>
      </c>
      <c r="P16">
        <v>24.58131436</v>
      </c>
      <c r="Q16">
        <v>23.639978169999999</v>
      </c>
      <c r="R16">
        <v>23.033915830000002</v>
      </c>
      <c r="S16">
        <v>22.584370639999999</v>
      </c>
      <c r="T16">
        <v>21.506803999999999</v>
      </c>
      <c r="U16">
        <v>20.55686051</v>
      </c>
      <c r="V16">
        <v>19.647700279999999</v>
      </c>
      <c r="W16">
        <v>19.680915339999999</v>
      </c>
      <c r="X16">
        <v>19.78896198</v>
      </c>
      <c r="Y16">
        <v>19.92685238</v>
      </c>
      <c r="Z16">
        <v>20.146459650000001</v>
      </c>
      <c r="AA16">
        <v>20.26911123</v>
      </c>
      <c r="AB16">
        <v>20.386841100000002</v>
      </c>
      <c r="AC16">
        <v>20.48871935</v>
      </c>
      <c r="AD16">
        <v>20.642377969999998</v>
      </c>
      <c r="AE16">
        <v>20.761686099999999</v>
      </c>
      <c r="AF16">
        <v>20.890567430000001</v>
      </c>
      <c r="AG16">
        <v>20.996289300000001</v>
      </c>
      <c r="AH16">
        <v>21.09484162</v>
      </c>
      <c r="AI16">
        <v>21.15290998</v>
      </c>
      <c r="AJ16">
        <v>21.214338080000001</v>
      </c>
      <c r="AK16">
        <v>21.270301310000001</v>
      </c>
      <c r="AL16">
        <v>21.325740669999998</v>
      </c>
      <c r="AM16">
        <v>21.381277069999999</v>
      </c>
      <c r="AN16">
        <v>21.331568430000001</v>
      </c>
      <c r="AO16">
        <v>21.285258020000001</v>
      </c>
      <c r="AP16">
        <v>21.229932359999999</v>
      </c>
      <c r="AQ16">
        <v>21.174310850000001</v>
      </c>
      <c r="AR16">
        <v>21.104081789999999</v>
      </c>
      <c r="AS16">
        <v>21.054195109999998</v>
      </c>
      <c r="AT16">
        <v>21.004418319999999</v>
      </c>
      <c r="AU16">
        <v>20.9502633</v>
      </c>
      <c r="AV16">
        <v>20.89228233</v>
      </c>
      <c r="AW16">
        <v>20.837534250000001</v>
      </c>
    </row>
    <row r="17" spans="2:49" x14ac:dyDescent="0.25">
      <c r="B17" t="s">
        <v>318</v>
      </c>
      <c r="C17">
        <v>1.54983431156195</v>
      </c>
      <c r="D17">
        <v>1.57471740274219</v>
      </c>
      <c r="E17">
        <v>1.3861615430000001</v>
      </c>
      <c r="F17">
        <v>2.2617018280000001</v>
      </c>
      <c r="G17">
        <v>3.0163235180000001</v>
      </c>
      <c r="H17">
        <v>3.6369272910000001</v>
      </c>
      <c r="I17">
        <v>4.4307721170000001</v>
      </c>
      <c r="J17">
        <v>5.0695969349999999</v>
      </c>
      <c r="K17">
        <v>5.42917703</v>
      </c>
      <c r="L17">
        <v>5.7516384809999996</v>
      </c>
      <c r="M17">
        <v>6.0716003629999999</v>
      </c>
      <c r="N17">
        <v>6.3077829899999998</v>
      </c>
      <c r="O17">
        <v>6.5301359090000002</v>
      </c>
      <c r="P17">
        <v>6.6511476280000004</v>
      </c>
      <c r="Q17">
        <v>6.4963086729999997</v>
      </c>
      <c r="R17">
        <v>6.4277458059999999</v>
      </c>
      <c r="S17">
        <v>6.3990423270000001</v>
      </c>
      <c r="T17">
        <v>6.5185723820000003</v>
      </c>
      <c r="U17">
        <v>6.6835131939999997</v>
      </c>
      <c r="V17">
        <v>6.87366806</v>
      </c>
      <c r="W17">
        <v>6.885288214</v>
      </c>
      <c r="X17">
        <v>6.9230878909999998</v>
      </c>
      <c r="Y17">
        <v>6.9713282870000004</v>
      </c>
      <c r="Z17">
        <v>7.0481569970000004</v>
      </c>
      <c r="AA17">
        <v>7.0910661529999999</v>
      </c>
      <c r="AB17">
        <v>7.1322534710000003</v>
      </c>
      <c r="AC17">
        <v>7.1678951609999997</v>
      </c>
      <c r="AD17">
        <v>7.2216520050000002</v>
      </c>
      <c r="AE17">
        <v>7.263391468</v>
      </c>
      <c r="AF17">
        <v>7.3084800779999997</v>
      </c>
      <c r="AG17">
        <v>7.3454664440000004</v>
      </c>
      <c r="AH17">
        <v>7.3799445720000003</v>
      </c>
      <c r="AI17">
        <v>7.4002595519999996</v>
      </c>
      <c r="AJ17">
        <v>7.4217499240000002</v>
      </c>
      <c r="AK17">
        <v>7.4413284319999997</v>
      </c>
      <c r="AL17">
        <v>7.4607236669999999</v>
      </c>
      <c r="AM17">
        <v>7.4801528529999999</v>
      </c>
      <c r="AN17">
        <v>7.4627624859999999</v>
      </c>
      <c r="AO17">
        <v>7.4465609779999999</v>
      </c>
      <c r="AP17">
        <v>7.4272055200000002</v>
      </c>
      <c r="AQ17">
        <v>7.4077465619999998</v>
      </c>
      <c r="AR17">
        <v>7.3831772090000003</v>
      </c>
      <c r="AS17">
        <v>7.3657245590000002</v>
      </c>
      <c r="AT17">
        <v>7.3483103490000001</v>
      </c>
      <c r="AU17">
        <v>7.3293644349999996</v>
      </c>
      <c r="AV17">
        <v>7.3090800309999997</v>
      </c>
      <c r="AW17">
        <v>7.2899266349999996</v>
      </c>
    </row>
    <row r="18" spans="2:49" x14ac:dyDescent="0.25">
      <c r="B18" t="s">
        <v>319</v>
      </c>
      <c r="C18">
        <v>0.19372928894524399</v>
      </c>
      <c r="D18">
        <v>0.196839675342774</v>
      </c>
      <c r="E18">
        <v>0.41865197459999998</v>
      </c>
      <c r="F18">
        <v>0.42930691970000001</v>
      </c>
      <c r="G18">
        <v>0.42510931480000003</v>
      </c>
      <c r="H18">
        <v>0.41437822089999998</v>
      </c>
      <c r="I18">
        <v>0.43050812249999998</v>
      </c>
      <c r="J18">
        <v>0.43651106589999999</v>
      </c>
      <c r="K18">
        <v>0.42723465579999997</v>
      </c>
      <c r="L18">
        <v>0.4251593293</v>
      </c>
      <c r="M18">
        <v>0.43315859919999999</v>
      </c>
      <c r="N18">
        <v>0.44738474630000002</v>
      </c>
      <c r="O18">
        <v>0.51267342999999999</v>
      </c>
      <c r="P18">
        <v>0.57138981430000002</v>
      </c>
      <c r="Q18">
        <v>0.60500923470000001</v>
      </c>
      <c r="R18">
        <v>0.64395370789999995</v>
      </c>
      <c r="S18">
        <v>0.68515223270000003</v>
      </c>
      <c r="T18">
        <v>0.87824339659999995</v>
      </c>
      <c r="U18">
        <v>1.0801222100000001</v>
      </c>
      <c r="V18">
        <v>1.290497016</v>
      </c>
      <c r="W18">
        <v>1.292678642</v>
      </c>
      <c r="X18">
        <v>1.2997753430000001</v>
      </c>
      <c r="Y18">
        <v>1.3088322379999999</v>
      </c>
      <c r="Z18">
        <v>1.3232564469999999</v>
      </c>
      <c r="AA18">
        <v>1.3313124270000001</v>
      </c>
      <c r="AB18">
        <v>1.339045142</v>
      </c>
      <c r="AC18">
        <v>1.345736692</v>
      </c>
      <c r="AD18">
        <v>1.355829272</v>
      </c>
      <c r="AE18">
        <v>1.3636656490000001</v>
      </c>
      <c r="AF18">
        <v>1.3721308109999999</v>
      </c>
      <c r="AG18">
        <v>1.3790748180000001</v>
      </c>
      <c r="AH18">
        <v>1.3855479150000001</v>
      </c>
      <c r="AI18">
        <v>1.3893619509999999</v>
      </c>
      <c r="AJ18">
        <v>1.393396662</v>
      </c>
      <c r="AK18">
        <v>1.3970724290000001</v>
      </c>
      <c r="AL18">
        <v>1.400713788</v>
      </c>
      <c r="AM18">
        <v>1.404361521</v>
      </c>
      <c r="AN18">
        <v>1.401096567</v>
      </c>
      <c r="AO18">
        <v>1.398054814</v>
      </c>
      <c r="AP18">
        <v>1.394420923</v>
      </c>
      <c r="AQ18">
        <v>1.3907676</v>
      </c>
      <c r="AR18">
        <v>1.3861548260000001</v>
      </c>
      <c r="AS18">
        <v>1.3828781779999999</v>
      </c>
      <c r="AT18">
        <v>1.379608747</v>
      </c>
      <c r="AU18">
        <v>1.376051745</v>
      </c>
      <c r="AV18">
        <v>1.3722434489999999</v>
      </c>
      <c r="AW18">
        <v>1.368647494</v>
      </c>
    </row>
    <row r="19" spans="2:49" x14ac:dyDescent="0.25">
      <c r="B19" t="s">
        <v>320</v>
      </c>
      <c r="C19">
        <v>0.57343869527792402</v>
      </c>
      <c r="D19">
        <v>0.58264543901461296</v>
      </c>
      <c r="E19">
        <v>0.51287977090000003</v>
      </c>
      <c r="F19">
        <v>0.50974501719999998</v>
      </c>
      <c r="G19">
        <v>0.48922472350000001</v>
      </c>
      <c r="H19">
        <v>0.46219726519999998</v>
      </c>
      <c r="I19">
        <v>0.46540867540000003</v>
      </c>
      <c r="J19">
        <v>0.45737356219999997</v>
      </c>
      <c r="K19">
        <v>0.43387532099999998</v>
      </c>
      <c r="L19">
        <v>0.4251593293</v>
      </c>
      <c r="M19">
        <v>0.43315859919999999</v>
      </c>
      <c r="N19">
        <v>0.44738474630000002</v>
      </c>
      <c r="O19">
        <v>0.63759773730000002</v>
      </c>
      <c r="P19">
        <v>0.82279098370000003</v>
      </c>
      <c r="Q19">
        <v>0.96893107180000004</v>
      </c>
      <c r="R19">
        <v>1.1183927300000001</v>
      </c>
      <c r="S19">
        <v>1.268662854</v>
      </c>
      <c r="T19">
        <v>1.310166634</v>
      </c>
      <c r="U19">
        <v>1.3610611560000001</v>
      </c>
      <c r="V19">
        <v>1.417527022</v>
      </c>
      <c r="W19">
        <v>1.4199233959999999</v>
      </c>
      <c r="X19">
        <v>1.4277186610000001</v>
      </c>
      <c r="Y19">
        <v>1.43766707</v>
      </c>
      <c r="Z19">
        <v>1.4535111249999999</v>
      </c>
      <c r="AA19">
        <v>1.4623600960000001</v>
      </c>
      <c r="AB19">
        <v>1.4708539789999999</v>
      </c>
      <c r="AC19">
        <v>1.4782042120000001</v>
      </c>
      <c r="AD19">
        <v>1.489290255</v>
      </c>
      <c r="AE19">
        <v>1.4978980049999999</v>
      </c>
      <c r="AF19">
        <v>1.507196435</v>
      </c>
      <c r="AG19">
        <v>1.5148239750000001</v>
      </c>
      <c r="AH19">
        <v>1.521934251</v>
      </c>
      <c r="AI19">
        <v>1.5261237219999999</v>
      </c>
      <c r="AJ19">
        <v>1.530555589</v>
      </c>
      <c r="AK19">
        <v>1.5345931799999999</v>
      </c>
      <c r="AL19">
        <v>1.5385929759999999</v>
      </c>
      <c r="AM19">
        <v>1.5425997739999999</v>
      </c>
      <c r="AN19">
        <v>1.539013433</v>
      </c>
      <c r="AO19">
        <v>1.535672266</v>
      </c>
      <c r="AP19">
        <v>1.5316806730000001</v>
      </c>
      <c r="AQ19">
        <v>1.5276677359999999</v>
      </c>
      <c r="AR19">
        <v>1.5226009039999999</v>
      </c>
      <c r="AS19">
        <v>1.5190017179999999</v>
      </c>
      <c r="AT19">
        <v>1.5154104610000001</v>
      </c>
      <c r="AU19">
        <v>1.5115033259999999</v>
      </c>
      <c r="AV19">
        <v>1.507320161</v>
      </c>
      <c r="AW19">
        <v>1.503370238</v>
      </c>
    </row>
    <row r="20" spans="2:49" x14ac:dyDescent="0.25">
      <c r="B20" t="s">
        <v>321</v>
      </c>
      <c r="C20">
        <v>0.19372928894524399</v>
      </c>
      <c r="D20">
        <v>0.196839675342774</v>
      </c>
      <c r="E20">
        <v>0.41865197459999998</v>
      </c>
      <c r="F20">
        <v>0.42930691970000001</v>
      </c>
      <c r="G20">
        <v>0.42510931480000003</v>
      </c>
      <c r="H20">
        <v>0.41437822089999998</v>
      </c>
      <c r="I20">
        <v>0.43050812249999998</v>
      </c>
      <c r="J20">
        <v>0.43651106589999999</v>
      </c>
      <c r="K20">
        <v>0.42723465579999997</v>
      </c>
      <c r="L20">
        <v>0.4251593293</v>
      </c>
      <c r="M20">
        <v>0.43315859919999999</v>
      </c>
      <c r="N20">
        <v>0.44738474630000002</v>
      </c>
      <c r="O20">
        <v>0.48716004670000002</v>
      </c>
      <c r="P20">
        <v>0.52004596830000005</v>
      </c>
      <c r="Q20">
        <v>0.53068521000000002</v>
      </c>
      <c r="R20">
        <v>0.5470586771</v>
      </c>
      <c r="S20">
        <v>0.56598142890000003</v>
      </c>
      <c r="T20">
        <v>0.62057937839999999</v>
      </c>
      <c r="U20">
        <v>0.68015237289999997</v>
      </c>
      <c r="V20">
        <v>0.74337089469999995</v>
      </c>
      <c r="W20">
        <v>0.74462758669999995</v>
      </c>
      <c r="X20">
        <v>0.74871553209999997</v>
      </c>
      <c r="Y20">
        <v>0.75393261649999999</v>
      </c>
      <c r="Z20">
        <v>0.76224145929999998</v>
      </c>
      <c r="AA20">
        <v>0.76688198269999996</v>
      </c>
      <c r="AB20">
        <v>0.77133629339999998</v>
      </c>
      <c r="AC20">
        <v>0.77519085769999996</v>
      </c>
      <c r="AD20">
        <v>0.78100453280000004</v>
      </c>
      <c r="AE20">
        <v>0.78551855670000004</v>
      </c>
      <c r="AF20">
        <v>0.79039478289999998</v>
      </c>
      <c r="AG20">
        <v>0.79439477059999997</v>
      </c>
      <c r="AH20">
        <v>0.79812349839999996</v>
      </c>
      <c r="AI20">
        <v>0.80032051530000003</v>
      </c>
      <c r="AJ20">
        <v>0.80264464800000002</v>
      </c>
      <c r="AK20">
        <v>0.80476201729999997</v>
      </c>
      <c r="AL20">
        <v>0.80685956579999996</v>
      </c>
      <c r="AM20">
        <v>0.8089607862</v>
      </c>
      <c r="AN20">
        <v>0.80708005940000005</v>
      </c>
      <c r="AO20">
        <v>0.80532790470000004</v>
      </c>
      <c r="AP20">
        <v>0.80323465780000003</v>
      </c>
      <c r="AQ20">
        <v>0.80113021770000004</v>
      </c>
      <c r="AR20">
        <v>0.79847310049999998</v>
      </c>
      <c r="AS20">
        <v>0.79658563770000002</v>
      </c>
      <c r="AT20">
        <v>0.79470233219999997</v>
      </c>
      <c r="AU20">
        <v>0.79265337650000001</v>
      </c>
      <c r="AV20">
        <v>0.79045966639999998</v>
      </c>
      <c r="AW20">
        <v>0.78838827199999995</v>
      </c>
    </row>
    <row r="21" spans="2:49" x14ac:dyDescent="0.25">
      <c r="B21" t="s">
        <v>322</v>
      </c>
      <c r="C21">
        <v>0.38745857789048899</v>
      </c>
      <c r="D21">
        <v>0.39367935068554899</v>
      </c>
      <c r="E21">
        <v>0.41865197459999998</v>
      </c>
      <c r="F21">
        <v>0.52786231279999996</v>
      </c>
      <c r="G21">
        <v>0.64735887719999996</v>
      </c>
      <c r="H21">
        <v>0.78622837940000001</v>
      </c>
      <c r="I21">
        <v>1.022807003</v>
      </c>
      <c r="J21">
        <v>1.3038365439999999</v>
      </c>
      <c r="K21">
        <v>1.6096398380000001</v>
      </c>
      <c r="L21">
        <v>2.0257588979999999</v>
      </c>
      <c r="M21">
        <v>2.6155742829999999</v>
      </c>
      <c r="N21">
        <v>3.4293315390000001</v>
      </c>
      <c r="O21">
        <v>3.2788382550000001</v>
      </c>
      <c r="P21">
        <v>3.0698764459999999</v>
      </c>
      <c r="Q21">
        <v>2.7412615329999999</v>
      </c>
      <c r="R21">
        <v>2.4639043190000001</v>
      </c>
      <c r="S21">
        <v>2.2113576429999999</v>
      </c>
      <c r="T21">
        <v>2.6250361139999998</v>
      </c>
      <c r="U21">
        <v>3.0625150219999999</v>
      </c>
      <c r="V21">
        <v>3.520678808</v>
      </c>
      <c r="W21">
        <v>3.5266306269999999</v>
      </c>
      <c r="X21">
        <v>3.5459915450000001</v>
      </c>
      <c r="Y21">
        <v>3.5707001780000001</v>
      </c>
      <c r="Z21">
        <v>3.6100516869999999</v>
      </c>
      <c r="AA21">
        <v>3.632029669</v>
      </c>
      <c r="AB21">
        <v>3.6531257300000002</v>
      </c>
      <c r="AC21">
        <v>3.6713813310000001</v>
      </c>
      <c r="AD21">
        <v>3.698915478</v>
      </c>
      <c r="AE21">
        <v>3.7202943460000002</v>
      </c>
      <c r="AF21">
        <v>3.74338864</v>
      </c>
      <c r="AG21">
        <v>3.7623329810000001</v>
      </c>
      <c r="AH21">
        <v>3.7799926089999998</v>
      </c>
      <c r="AI21">
        <v>3.7903978999999999</v>
      </c>
      <c r="AJ21">
        <v>3.8014052249999999</v>
      </c>
      <c r="AK21">
        <v>3.8114332970000002</v>
      </c>
      <c r="AL21">
        <v>3.8213674969999998</v>
      </c>
      <c r="AM21">
        <v>3.8313190860000002</v>
      </c>
      <c r="AN21">
        <v>3.822411776</v>
      </c>
      <c r="AO21">
        <v>3.8141133960000002</v>
      </c>
      <c r="AP21">
        <v>3.8041995700000002</v>
      </c>
      <c r="AQ21">
        <v>3.7942327310000001</v>
      </c>
      <c r="AR21">
        <v>3.7816483590000001</v>
      </c>
      <c r="AS21">
        <v>3.772709147</v>
      </c>
      <c r="AT21">
        <v>3.7637896240000002</v>
      </c>
      <c r="AU21">
        <v>3.754085565</v>
      </c>
      <c r="AV21">
        <v>3.7436959339999998</v>
      </c>
      <c r="AW21">
        <v>3.7338856040000001</v>
      </c>
    </row>
    <row r="22" spans="2:49" x14ac:dyDescent="0.25">
      <c r="B22" t="s">
        <v>323</v>
      </c>
      <c r="C22">
        <v>5.5705789795526002</v>
      </c>
      <c r="D22">
        <v>5.6600164269241402</v>
      </c>
      <c r="E22">
        <v>4.7606703819999998</v>
      </c>
      <c r="F22">
        <v>4.8013044579999997</v>
      </c>
      <c r="G22">
        <v>4.0003632610000004</v>
      </c>
      <c r="H22">
        <v>3.5072477809999998</v>
      </c>
      <c r="I22">
        <v>3.4836958779999998</v>
      </c>
      <c r="J22">
        <v>3.3331722269999999</v>
      </c>
      <c r="K22">
        <v>3.2187509410000001</v>
      </c>
      <c r="L22">
        <v>3.4374174150000001</v>
      </c>
      <c r="M22">
        <v>3.5288717809999999</v>
      </c>
      <c r="N22">
        <v>3.5910665370000001</v>
      </c>
      <c r="O22">
        <v>2.8329629700000001</v>
      </c>
      <c r="P22">
        <v>2.3860619719999998</v>
      </c>
      <c r="Q22">
        <v>2.0990921760000001</v>
      </c>
      <c r="R22">
        <v>1.912048771</v>
      </c>
      <c r="S22">
        <v>1.739122941</v>
      </c>
      <c r="T22">
        <v>1.7062631690000001</v>
      </c>
      <c r="U22">
        <v>1.6854159989999999</v>
      </c>
      <c r="V22">
        <v>1.678433906</v>
      </c>
      <c r="W22">
        <v>1.6399399219999999</v>
      </c>
      <c r="X22">
        <v>1.5878891479999999</v>
      </c>
      <c r="Y22">
        <v>1.5817919540000001</v>
      </c>
      <c r="Z22">
        <v>1.587714463</v>
      </c>
      <c r="AA22">
        <v>1.5928449360000001</v>
      </c>
      <c r="AB22">
        <v>1.5978570990000001</v>
      </c>
      <c r="AC22">
        <v>1.6003855769999999</v>
      </c>
      <c r="AD22">
        <v>1.6214762840000001</v>
      </c>
      <c r="AE22">
        <v>1.639184542</v>
      </c>
      <c r="AF22">
        <v>1.657123839</v>
      </c>
      <c r="AG22">
        <v>1.675968801</v>
      </c>
      <c r="AH22">
        <v>1.6940189510000001</v>
      </c>
      <c r="AI22">
        <v>1.716577695</v>
      </c>
      <c r="AJ22">
        <v>1.7378479650000001</v>
      </c>
      <c r="AK22">
        <v>1.7588208350000001</v>
      </c>
      <c r="AL22">
        <v>1.7800238230000001</v>
      </c>
      <c r="AM22">
        <v>1.801260343</v>
      </c>
      <c r="AN22">
        <v>1.8021894350000001</v>
      </c>
      <c r="AO22">
        <v>1.8002470269999999</v>
      </c>
      <c r="AP22">
        <v>1.795542295</v>
      </c>
      <c r="AQ22">
        <v>1.7894227030000001</v>
      </c>
      <c r="AR22">
        <v>1.7795838319999999</v>
      </c>
      <c r="AS22">
        <v>1.783650696</v>
      </c>
      <c r="AT22">
        <v>1.788168245</v>
      </c>
      <c r="AU22">
        <v>1.7922024299999999</v>
      </c>
      <c r="AV22">
        <v>1.7956949740000001</v>
      </c>
      <c r="AW22">
        <v>1.7995674129999999</v>
      </c>
    </row>
    <row r="23" spans="2:49" x14ac:dyDescent="0.25">
      <c r="B23" t="s">
        <v>324</v>
      </c>
      <c r="C23">
        <v>155.572754408756</v>
      </c>
      <c r="D23">
        <v>158.07052530222199</v>
      </c>
      <c r="E23">
        <v>138.4692201</v>
      </c>
      <c r="F23">
        <v>141.3797845</v>
      </c>
      <c r="G23">
        <v>137.89969450000001</v>
      </c>
      <c r="H23">
        <v>132.16687089999999</v>
      </c>
      <c r="I23">
        <v>133.9949086</v>
      </c>
      <c r="J23">
        <v>134.02107029999999</v>
      </c>
      <c r="K23">
        <v>131.90535</v>
      </c>
      <c r="L23">
        <v>130.77231639999999</v>
      </c>
      <c r="M23">
        <v>131.47420650000001</v>
      </c>
      <c r="N23">
        <v>132.68891289999999</v>
      </c>
      <c r="O23">
        <v>130.4450243</v>
      </c>
      <c r="P23">
        <v>128.80493469999999</v>
      </c>
      <c r="Q23">
        <v>125.6016942</v>
      </c>
      <c r="R23">
        <v>122.9452375</v>
      </c>
      <c r="S23">
        <v>120.52436160000001</v>
      </c>
      <c r="T23">
        <v>120.4568551</v>
      </c>
      <c r="U23">
        <v>120.55785760000001</v>
      </c>
      <c r="V23">
        <v>120.9731512</v>
      </c>
      <c r="W23">
        <v>121.08554580000001</v>
      </c>
      <c r="X23">
        <v>121.0021691</v>
      </c>
      <c r="Y23">
        <v>121.3846533</v>
      </c>
      <c r="Z23">
        <v>121.9704471</v>
      </c>
      <c r="AA23">
        <v>122.41208570000001</v>
      </c>
      <c r="AB23">
        <v>122.77803539999999</v>
      </c>
      <c r="AC23">
        <v>123.0757897</v>
      </c>
      <c r="AD23">
        <v>123.4224282</v>
      </c>
      <c r="AE23">
        <v>123.7626692</v>
      </c>
      <c r="AF23">
        <v>124.1252915</v>
      </c>
      <c r="AG23">
        <v>124.4382897</v>
      </c>
      <c r="AH23">
        <v>124.77386319999999</v>
      </c>
      <c r="AI23">
        <v>125.0516599</v>
      </c>
      <c r="AJ23">
        <v>125.3319273</v>
      </c>
      <c r="AK23">
        <v>125.58102719999999</v>
      </c>
      <c r="AL23">
        <v>125.8287948</v>
      </c>
      <c r="AM23">
        <v>126.0757735</v>
      </c>
      <c r="AN23">
        <v>125.98674389999999</v>
      </c>
      <c r="AO23">
        <v>125.8819692</v>
      </c>
      <c r="AP23">
        <v>125.73423560000001</v>
      </c>
      <c r="AQ23">
        <v>125.56799890000001</v>
      </c>
      <c r="AR23">
        <v>125.35707600000001</v>
      </c>
      <c r="AS23">
        <v>125.2506367</v>
      </c>
      <c r="AT23">
        <v>125.1466333</v>
      </c>
      <c r="AU23">
        <v>125.0263432</v>
      </c>
      <c r="AV23">
        <v>124.8979987</v>
      </c>
      <c r="AW23">
        <v>124.8062352</v>
      </c>
    </row>
    <row r="24" spans="2:49" x14ac:dyDescent="0.25">
      <c r="B24" t="s">
        <v>325</v>
      </c>
      <c r="C24">
        <v>2.7703288319169999</v>
      </c>
      <c r="D24">
        <v>2.8148073574016701</v>
      </c>
      <c r="E24">
        <v>2.86</v>
      </c>
      <c r="F24">
        <v>2.9751176500000001</v>
      </c>
      <c r="G24">
        <v>2.854489488</v>
      </c>
      <c r="H24">
        <v>2.988447029</v>
      </c>
      <c r="I24">
        <v>3.1270391630000001</v>
      </c>
      <c r="J24">
        <v>2.978537561</v>
      </c>
      <c r="K24">
        <v>2.8837608769999998</v>
      </c>
      <c r="L24">
        <v>2.8180529280000002</v>
      </c>
      <c r="M24">
        <v>3.0183896319999999</v>
      </c>
      <c r="N24">
        <v>3.1940712150000001</v>
      </c>
      <c r="O24">
        <v>3.2858806970000001</v>
      </c>
      <c r="P24">
        <v>3.3102955550000002</v>
      </c>
      <c r="Q24">
        <v>3.0942387459999998</v>
      </c>
      <c r="R24">
        <v>3.062971761</v>
      </c>
      <c r="S24">
        <v>3.0826485269999999</v>
      </c>
      <c r="T24">
        <v>3.151585286</v>
      </c>
      <c r="U24">
        <v>3.215864662</v>
      </c>
      <c r="V24">
        <v>3.309198334</v>
      </c>
      <c r="W24">
        <v>3.3781106599999999</v>
      </c>
      <c r="X24">
        <v>3.46652768</v>
      </c>
      <c r="Y24">
        <v>3.5341575500000002</v>
      </c>
      <c r="Z24">
        <v>3.5848448149999999</v>
      </c>
      <c r="AA24">
        <v>3.6251327170000001</v>
      </c>
      <c r="AB24">
        <v>3.661791504</v>
      </c>
      <c r="AC24">
        <v>3.716509168</v>
      </c>
      <c r="AD24">
        <v>3.7413925240000001</v>
      </c>
      <c r="AE24">
        <v>3.7739832</v>
      </c>
      <c r="AF24">
        <v>3.809507253</v>
      </c>
      <c r="AG24">
        <v>3.847483676</v>
      </c>
      <c r="AH24">
        <v>3.8966094579999999</v>
      </c>
      <c r="AI24">
        <v>3.9347183100000001</v>
      </c>
      <c r="AJ24">
        <v>3.9806249239999998</v>
      </c>
      <c r="AK24">
        <v>4.0257937269999999</v>
      </c>
      <c r="AL24">
        <v>4.0731722589999997</v>
      </c>
      <c r="AM24">
        <v>4.1225538449999997</v>
      </c>
      <c r="AN24">
        <v>4.1752427330000002</v>
      </c>
      <c r="AO24">
        <v>4.2302418030000002</v>
      </c>
      <c r="AP24">
        <v>4.2853212689999998</v>
      </c>
      <c r="AQ24">
        <v>4.340465461</v>
      </c>
      <c r="AR24">
        <v>4.4034608750000004</v>
      </c>
      <c r="AS24">
        <v>4.4499969999999998</v>
      </c>
      <c r="AT24">
        <v>4.4976057520000001</v>
      </c>
      <c r="AU24">
        <v>4.545859589</v>
      </c>
      <c r="AV24">
        <v>4.5956200220000003</v>
      </c>
      <c r="AW24">
        <v>4.6475764469999996</v>
      </c>
    </row>
    <row r="25" spans="2:49" x14ac:dyDescent="0.25">
      <c r="B25" t="s">
        <v>326</v>
      </c>
      <c r="C25">
        <v>46.663857241186399</v>
      </c>
      <c r="D25">
        <v>47.413060563046002</v>
      </c>
      <c r="E25">
        <v>48.17429259</v>
      </c>
      <c r="F25">
        <v>49.2025115</v>
      </c>
      <c r="G25">
        <v>46.572148499999997</v>
      </c>
      <c r="H25">
        <v>42.508576220000002</v>
      </c>
      <c r="I25">
        <v>43.024070680000001</v>
      </c>
      <c r="J25">
        <v>43.455717100000001</v>
      </c>
      <c r="K25">
        <v>41.322925089999998</v>
      </c>
      <c r="L25">
        <v>40.941676139999998</v>
      </c>
      <c r="M25">
        <v>41.51900337</v>
      </c>
      <c r="N25">
        <v>42.437477979999997</v>
      </c>
      <c r="O25">
        <v>40.185899329999998</v>
      </c>
      <c r="P25">
        <v>38.394923499999997</v>
      </c>
      <c r="Q25">
        <v>36.108009279999997</v>
      </c>
      <c r="R25">
        <v>34.450233609999998</v>
      </c>
      <c r="S25">
        <v>32.831714789999999</v>
      </c>
      <c r="T25">
        <v>32.922508870000001</v>
      </c>
      <c r="U25">
        <v>33.045421810000001</v>
      </c>
      <c r="V25">
        <v>33.467209680000003</v>
      </c>
      <c r="W25">
        <v>33.297195739999999</v>
      </c>
      <c r="X25">
        <v>32.952851289999998</v>
      </c>
      <c r="Y25">
        <v>32.926394520000002</v>
      </c>
      <c r="Z25">
        <v>33.100705720000001</v>
      </c>
      <c r="AA25">
        <v>33.252215900000003</v>
      </c>
      <c r="AB25">
        <v>33.387924929999997</v>
      </c>
      <c r="AC25">
        <v>33.537810659999998</v>
      </c>
      <c r="AD25">
        <v>33.839656840000004</v>
      </c>
      <c r="AE25">
        <v>34.102194259999997</v>
      </c>
      <c r="AF25">
        <v>34.390212089999999</v>
      </c>
      <c r="AG25">
        <v>34.69041086</v>
      </c>
      <c r="AH25">
        <v>35.005004360000001</v>
      </c>
      <c r="AI25">
        <v>35.374606489999998</v>
      </c>
      <c r="AJ25">
        <v>35.737788049999999</v>
      </c>
      <c r="AK25">
        <v>36.093886159999997</v>
      </c>
      <c r="AL25">
        <v>36.457744339999998</v>
      </c>
      <c r="AM25">
        <v>36.827829450000003</v>
      </c>
      <c r="AN25">
        <v>36.977621849999998</v>
      </c>
      <c r="AO25">
        <v>37.12671546</v>
      </c>
      <c r="AP25">
        <v>37.254309599999999</v>
      </c>
      <c r="AQ25">
        <v>37.375436450000002</v>
      </c>
      <c r="AR25">
        <v>37.46910286</v>
      </c>
      <c r="AS25">
        <v>37.703733210000003</v>
      </c>
      <c r="AT25">
        <v>37.942162369999998</v>
      </c>
      <c r="AU25">
        <v>38.175688059999999</v>
      </c>
      <c r="AV25">
        <v>38.409983070000003</v>
      </c>
      <c r="AW25">
        <v>38.673341829999998</v>
      </c>
    </row>
    <row r="26" spans="2:49" x14ac:dyDescent="0.25">
      <c r="B26" t="s">
        <v>327</v>
      </c>
      <c r="C26">
        <v>39.525714811669303</v>
      </c>
      <c r="D26">
        <v>40.160312947925298</v>
      </c>
      <c r="E26">
        <v>40.805099759999997</v>
      </c>
      <c r="F26">
        <v>40.686524370000001</v>
      </c>
      <c r="G26">
        <v>40.319396679999997</v>
      </c>
      <c r="H26">
        <v>40.241775459999999</v>
      </c>
      <c r="I26">
        <v>40.262670139999997</v>
      </c>
      <c r="J26">
        <v>40.052181560000001</v>
      </c>
      <c r="K26">
        <v>39.593129920000003</v>
      </c>
      <c r="L26">
        <v>39.220544480000001</v>
      </c>
      <c r="M26">
        <v>39.016534290000003</v>
      </c>
      <c r="N26">
        <v>39.030392560000003</v>
      </c>
      <c r="O26">
        <v>39.307002339999997</v>
      </c>
      <c r="P26">
        <v>39.392887690000002</v>
      </c>
      <c r="Q26">
        <v>39.073065200000002</v>
      </c>
      <c r="R26">
        <v>38.74787036</v>
      </c>
      <c r="S26">
        <v>38.39747938</v>
      </c>
      <c r="T26">
        <v>37.916501459999999</v>
      </c>
      <c r="U26">
        <v>37.77458841</v>
      </c>
      <c r="V26">
        <v>37.669203940000003</v>
      </c>
      <c r="W26">
        <v>37.738138859999999</v>
      </c>
      <c r="X26">
        <v>37.893369069999999</v>
      </c>
      <c r="Y26">
        <v>38.097587050000001</v>
      </c>
      <c r="Z26">
        <v>38.442851050000002</v>
      </c>
      <c r="AA26">
        <v>38.754747979999998</v>
      </c>
      <c r="AB26">
        <v>39.070605010000001</v>
      </c>
      <c r="AC26">
        <v>39.353651050000003</v>
      </c>
      <c r="AD26">
        <v>39.62688722</v>
      </c>
      <c r="AE26">
        <v>39.858606860000002</v>
      </c>
      <c r="AF26">
        <v>40.068835010000001</v>
      </c>
      <c r="AG26">
        <v>40.243983200000002</v>
      </c>
      <c r="AH26">
        <v>40.396015349999999</v>
      </c>
      <c r="AI26">
        <v>40.511937619999998</v>
      </c>
      <c r="AJ26">
        <v>40.61184042</v>
      </c>
      <c r="AK26">
        <v>40.69407975</v>
      </c>
      <c r="AL26">
        <v>40.759591569999998</v>
      </c>
      <c r="AM26">
        <v>40.808204629999999</v>
      </c>
      <c r="AN26">
        <v>40.831564700000001</v>
      </c>
      <c r="AO26">
        <v>40.833403959999998</v>
      </c>
      <c r="AP26">
        <v>40.807516149999998</v>
      </c>
      <c r="AQ26">
        <v>40.761184929999999</v>
      </c>
      <c r="AR26">
        <v>40.685311980000002</v>
      </c>
      <c r="AS26">
        <v>40.600665329999998</v>
      </c>
      <c r="AT26">
        <v>40.494204889999999</v>
      </c>
      <c r="AU26">
        <v>40.364172240000002</v>
      </c>
      <c r="AV26">
        <v>40.209928269999999</v>
      </c>
      <c r="AW26">
        <v>40.049926749999997</v>
      </c>
    </row>
    <row r="27" spans="2:49" x14ac:dyDescent="0.25">
      <c r="B27" t="s">
        <v>328</v>
      </c>
      <c r="C27">
        <v>21.072806770403201</v>
      </c>
      <c r="D27">
        <v>21.411137499294501</v>
      </c>
      <c r="E27">
        <v>21.754900240000001</v>
      </c>
      <c r="F27">
        <v>22.63565741</v>
      </c>
      <c r="G27">
        <v>22.8499491</v>
      </c>
      <c r="H27">
        <v>21.819995089999999</v>
      </c>
      <c r="I27">
        <v>22.629595720000001</v>
      </c>
      <c r="J27">
        <v>23.159429119999999</v>
      </c>
      <c r="K27">
        <v>23.326856540000001</v>
      </c>
      <c r="L27">
        <v>23.513211590000001</v>
      </c>
      <c r="M27">
        <v>23.957200780000001</v>
      </c>
      <c r="N27">
        <v>24.499368230000002</v>
      </c>
      <c r="O27">
        <v>24.057040870000002</v>
      </c>
      <c r="P27">
        <v>23.71946324</v>
      </c>
      <c r="Q27">
        <v>23.19129526</v>
      </c>
      <c r="R27">
        <v>22.426704619999999</v>
      </c>
      <c r="S27">
        <v>21.748811740000001</v>
      </c>
      <c r="T27">
        <v>21.688369160000001</v>
      </c>
      <c r="U27">
        <v>21.61393996</v>
      </c>
      <c r="V27">
        <v>21.525087169999999</v>
      </c>
      <c r="W27">
        <v>21.671063050000001</v>
      </c>
      <c r="X27">
        <v>21.857410130000002</v>
      </c>
      <c r="Y27">
        <v>22.139563939999999</v>
      </c>
      <c r="Z27">
        <v>22.275751020000001</v>
      </c>
      <c r="AA27">
        <v>22.349305829999999</v>
      </c>
      <c r="AB27">
        <v>22.38182561</v>
      </c>
      <c r="AC27">
        <v>22.38805361</v>
      </c>
      <c r="AD27">
        <v>22.363601540000001</v>
      </c>
      <c r="AE27">
        <v>22.31995491</v>
      </c>
      <c r="AF27">
        <v>22.267822110000001</v>
      </c>
      <c r="AG27">
        <v>22.192878520000001</v>
      </c>
      <c r="AH27">
        <v>22.101987489999999</v>
      </c>
      <c r="AI27">
        <v>21.991306510000001</v>
      </c>
      <c r="AJ27">
        <v>21.870276499999999</v>
      </c>
      <c r="AK27">
        <v>21.739232009999998</v>
      </c>
      <c r="AL27">
        <v>21.600308139999999</v>
      </c>
      <c r="AM27">
        <v>21.45552927</v>
      </c>
      <c r="AN27">
        <v>21.185384540000001</v>
      </c>
      <c r="AO27">
        <v>20.896023979999999</v>
      </c>
      <c r="AP27">
        <v>20.606140159999999</v>
      </c>
      <c r="AQ27">
        <v>20.317696919999999</v>
      </c>
      <c r="AR27">
        <v>20.033807159999999</v>
      </c>
      <c r="AS27">
        <v>19.757237750000002</v>
      </c>
      <c r="AT27">
        <v>19.485048209999999</v>
      </c>
      <c r="AU27">
        <v>19.215627850000001</v>
      </c>
      <c r="AV27">
        <v>18.949632189999999</v>
      </c>
      <c r="AW27">
        <v>18.686306600000002</v>
      </c>
    </row>
    <row r="28" spans="2:49" x14ac:dyDescent="0.25">
      <c r="B28" t="s">
        <v>329</v>
      </c>
      <c r="C28">
        <v>23.690458989791001</v>
      </c>
      <c r="D28">
        <v>24.070816971768199</v>
      </c>
      <c r="E28">
        <v>24.457281720000001</v>
      </c>
      <c r="F28">
        <v>25.366623229999998</v>
      </c>
      <c r="G28">
        <v>24.93791135</v>
      </c>
      <c r="H28">
        <v>25.085904289999998</v>
      </c>
      <c r="I28">
        <v>25.18112339</v>
      </c>
      <c r="J28">
        <v>25.045666000000001</v>
      </c>
      <c r="K28">
        <v>24.808085089999999</v>
      </c>
      <c r="L28">
        <v>24.582342709999999</v>
      </c>
      <c r="M28">
        <v>24.429451010000001</v>
      </c>
      <c r="N28">
        <v>24.21736744</v>
      </c>
      <c r="O28">
        <v>24.099472509999998</v>
      </c>
      <c r="P28">
        <v>23.853193959999999</v>
      </c>
      <c r="Q28">
        <v>23.573093149999998</v>
      </c>
      <c r="R28">
        <v>23.320966049999999</v>
      </c>
      <c r="S28">
        <v>23.318924970000001</v>
      </c>
      <c r="T28">
        <v>23.236517939999999</v>
      </c>
      <c r="U28">
        <v>23.043569170000001</v>
      </c>
      <c r="V28">
        <v>22.746440750000001</v>
      </c>
      <c r="W28">
        <v>22.496748310000001</v>
      </c>
      <c r="X28">
        <v>21.900948710000002</v>
      </c>
      <c r="Y28">
        <v>21.532450950000001</v>
      </c>
      <c r="Z28">
        <v>21.252018570000001</v>
      </c>
      <c r="AA28">
        <v>20.99914266</v>
      </c>
      <c r="AB28">
        <v>20.750630739999998</v>
      </c>
      <c r="AC28">
        <v>20.28256944</v>
      </c>
      <c r="AD28">
        <v>19.96643809</v>
      </c>
      <c r="AE28">
        <v>19.784341470000001</v>
      </c>
      <c r="AF28">
        <v>19.604765059999998</v>
      </c>
      <c r="AG28">
        <v>19.424865780000001</v>
      </c>
      <c r="AH28">
        <v>19.21216433</v>
      </c>
      <c r="AI28">
        <v>18.970611179999999</v>
      </c>
      <c r="AJ28">
        <v>18.767136199999999</v>
      </c>
      <c r="AK28">
        <v>18.578349330000002</v>
      </c>
      <c r="AL28">
        <v>18.39769729</v>
      </c>
      <c r="AM28">
        <v>18.22338212</v>
      </c>
      <c r="AN28">
        <v>18.037112619999998</v>
      </c>
      <c r="AO28">
        <v>17.838058239999999</v>
      </c>
      <c r="AP28">
        <v>17.634565640000002</v>
      </c>
      <c r="AQ28">
        <v>17.42989042</v>
      </c>
      <c r="AR28">
        <v>17.132725220000001</v>
      </c>
      <c r="AS28">
        <v>16.887713779999999</v>
      </c>
      <c r="AT28">
        <v>16.662029690000001</v>
      </c>
      <c r="AU28">
        <v>16.44541577</v>
      </c>
      <c r="AV28">
        <v>16.234229859999999</v>
      </c>
      <c r="AW28">
        <v>16.02722911</v>
      </c>
    </row>
    <row r="29" spans="2:49" x14ac:dyDescent="0.25">
      <c r="B29" t="s">
        <v>330</v>
      </c>
      <c r="C29">
        <v>22.212930412666701</v>
      </c>
      <c r="D29">
        <v>22.569566195417998</v>
      </c>
      <c r="E29">
        <v>22.937925329999999</v>
      </c>
      <c r="F29">
        <v>23.479190809999999</v>
      </c>
      <c r="G29">
        <v>22.61001971</v>
      </c>
      <c r="H29">
        <v>20.903516230000001</v>
      </c>
      <c r="I29">
        <v>21.33880645</v>
      </c>
      <c r="J29">
        <v>20.779490150000001</v>
      </c>
      <c r="K29">
        <v>21.00726079</v>
      </c>
      <c r="L29">
        <v>20.52794154</v>
      </c>
      <c r="M29">
        <v>20.47607331</v>
      </c>
      <c r="N29">
        <v>20.481031269999999</v>
      </c>
      <c r="O29">
        <v>20.290192810000001</v>
      </c>
      <c r="P29">
        <v>20.56496465</v>
      </c>
      <c r="Q29">
        <v>20.3764112</v>
      </c>
      <c r="R29">
        <v>20.286659329999999</v>
      </c>
      <c r="S29">
        <v>20.074577439999999</v>
      </c>
      <c r="T29">
        <v>20.451123710000001</v>
      </c>
      <c r="U29">
        <v>20.768930900000001</v>
      </c>
      <c r="V29">
        <v>21.203006970000001</v>
      </c>
      <c r="W29">
        <v>21.43413872</v>
      </c>
      <c r="X29">
        <v>21.787643589999998</v>
      </c>
      <c r="Y29">
        <v>22.01801184</v>
      </c>
      <c r="Z29">
        <v>22.230864270000001</v>
      </c>
      <c r="AA29">
        <v>22.378892759999999</v>
      </c>
      <c r="AB29">
        <v>22.493706889999999</v>
      </c>
      <c r="AC29">
        <v>22.767053579999999</v>
      </c>
      <c r="AD29">
        <v>22.87060992</v>
      </c>
      <c r="AE29">
        <v>22.92793872</v>
      </c>
      <c r="AF29">
        <v>23.010227059999998</v>
      </c>
      <c r="AG29">
        <v>23.07942469</v>
      </c>
      <c r="AH29">
        <v>23.220169500000001</v>
      </c>
      <c r="AI29">
        <v>23.341455209999999</v>
      </c>
      <c r="AJ29">
        <v>23.453760639999999</v>
      </c>
      <c r="AK29">
        <v>23.551573950000002</v>
      </c>
      <c r="AL29">
        <v>23.655053290000001</v>
      </c>
      <c r="AM29">
        <v>23.766294210000002</v>
      </c>
      <c r="AN29">
        <v>23.873990620000001</v>
      </c>
      <c r="AO29">
        <v>24.015100740000001</v>
      </c>
      <c r="AP29">
        <v>24.160346870000001</v>
      </c>
      <c r="AQ29">
        <v>24.311093970000002</v>
      </c>
      <c r="AR29">
        <v>24.54404787</v>
      </c>
      <c r="AS29">
        <v>24.732065980000002</v>
      </c>
      <c r="AT29">
        <v>24.916733969999999</v>
      </c>
      <c r="AU29">
        <v>25.098989119999999</v>
      </c>
      <c r="AV29">
        <v>25.28539224</v>
      </c>
      <c r="AW29">
        <v>25.481897700000001</v>
      </c>
    </row>
    <row r="30" spans="2:49" x14ac:dyDescent="0.25">
      <c r="B30" t="s">
        <v>331</v>
      </c>
      <c r="C30">
        <v>30998.430217312201</v>
      </c>
      <c r="D30">
        <v>31496.120041177499</v>
      </c>
      <c r="E30">
        <v>32001.800439999999</v>
      </c>
      <c r="F30">
        <v>32688.379000000001</v>
      </c>
      <c r="G30">
        <v>33314.794710000002</v>
      </c>
      <c r="H30">
        <v>34142.844949999999</v>
      </c>
      <c r="I30">
        <v>34863.837440000003</v>
      </c>
      <c r="J30">
        <v>35489.148800000003</v>
      </c>
      <c r="K30">
        <v>35731.31351</v>
      </c>
      <c r="L30">
        <v>35839.916219999999</v>
      </c>
      <c r="M30">
        <v>35948.063869999998</v>
      </c>
      <c r="N30">
        <v>35911.307350000003</v>
      </c>
      <c r="O30">
        <v>35978.501450000003</v>
      </c>
      <c r="P30">
        <v>36321.204380000003</v>
      </c>
      <c r="Q30">
        <v>36708.886160000002</v>
      </c>
      <c r="R30">
        <v>37113.743849999999</v>
      </c>
      <c r="S30">
        <v>37468.153879999998</v>
      </c>
      <c r="T30">
        <v>37679.582190000001</v>
      </c>
      <c r="U30">
        <v>37785.530330000001</v>
      </c>
      <c r="V30">
        <v>37733.513099999996</v>
      </c>
      <c r="W30">
        <v>37788.598969999999</v>
      </c>
      <c r="X30">
        <v>37105.788189999999</v>
      </c>
      <c r="Y30">
        <v>36979.773849999998</v>
      </c>
      <c r="Z30">
        <v>37062.422449999998</v>
      </c>
      <c r="AA30">
        <v>37227.330670000003</v>
      </c>
      <c r="AB30">
        <v>37424.166920000003</v>
      </c>
      <c r="AC30">
        <v>37101.25071</v>
      </c>
      <c r="AD30">
        <v>37160.68694</v>
      </c>
      <c r="AE30">
        <v>37272.546320000001</v>
      </c>
      <c r="AF30">
        <v>37410.649129999998</v>
      </c>
      <c r="AG30">
        <v>37563.213179999999</v>
      </c>
      <c r="AH30">
        <v>37330.045599999998</v>
      </c>
      <c r="AI30">
        <v>37342.438029999998</v>
      </c>
      <c r="AJ30">
        <v>37464.96142</v>
      </c>
      <c r="AK30">
        <v>37630.862280000001</v>
      </c>
      <c r="AL30">
        <v>37818.739860000001</v>
      </c>
      <c r="AM30">
        <v>38020.574990000001</v>
      </c>
      <c r="AN30">
        <v>38132.91358</v>
      </c>
      <c r="AO30">
        <v>38205.54939</v>
      </c>
      <c r="AP30">
        <v>38260.878250000002</v>
      </c>
      <c r="AQ30">
        <v>38306.793850000002</v>
      </c>
      <c r="AR30">
        <v>38054.842900000003</v>
      </c>
      <c r="AS30">
        <v>37928.939969999999</v>
      </c>
      <c r="AT30">
        <v>37854.62096</v>
      </c>
      <c r="AU30">
        <v>37798.551420000003</v>
      </c>
      <c r="AV30">
        <v>37747.987099999998</v>
      </c>
      <c r="AW30">
        <v>37697.903919999997</v>
      </c>
    </row>
    <row r="31" spans="2:49" x14ac:dyDescent="0.25">
      <c r="B31" t="s">
        <v>332</v>
      </c>
      <c r="C31">
        <v>17.998489648965599</v>
      </c>
      <c r="D31">
        <v>18.287461222056098</v>
      </c>
      <c r="E31">
        <v>18.581072330000001</v>
      </c>
      <c r="F31">
        <v>19.84014668</v>
      </c>
      <c r="G31">
        <v>49.886290529999997</v>
      </c>
      <c r="H31">
        <v>82.736925459999995</v>
      </c>
      <c r="I31">
        <v>117.4896083</v>
      </c>
      <c r="J31">
        <v>164.5564589</v>
      </c>
      <c r="K31">
        <v>207.75886850000001</v>
      </c>
      <c r="L31">
        <v>245.75472450000001</v>
      </c>
      <c r="M31">
        <v>281.27473029999999</v>
      </c>
      <c r="N31">
        <v>300.95006590000003</v>
      </c>
      <c r="O31">
        <v>316.57364389999998</v>
      </c>
      <c r="P31">
        <v>326.11699279999999</v>
      </c>
      <c r="Q31">
        <v>353.80833250000001</v>
      </c>
      <c r="R31">
        <v>384.86953340000002</v>
      </c>
      <c r="S31">
        <v>438.02428259999999</v>
      </c>
      <c r="T31">
        <v>481.30141029999999</v>
      </c>
      <c r="U31">
        <v>554.04431799999998</v>
      </c>
      <c r="V31">
        <v>634.59476119999999</v>
      </c>
      <c r="W31">
        <v>719.39101470000003</v>
      </c>
      <c r="X31">
        <v>765.51116909999996</v>
      </c>
      <c r="Y31">
        <v>833.64864450000005</v>
      </c>
      <c r="Z31">
        <v>908.68796669999995</v>
      </c>
      <c r="AA31">
        <v>985.26131799999996</v>
      </c>
      <c r="AB31">
        <v>1060.814991</v>
      </c>
      <c r="AC31">
        <v>1106.3970159999999</v>
      </c>
      <c r="AD31">
        <v>1167.0931230000001</v>
      </c>
      <c r="AE31">
        <v>1227.0424250000001</v>
      </c>
      <c r="AF31">
        <v>1285.2295939999999</v>
      </c>
      <c r="AG31">
        <v>1340.6160070000001</v>
      </c>
      <c r="AH31">
        <v>1373.9642510000001</v>
      </c>
      <c r="AI31">
        <v>1416.72183</v>
      </c>
      <c r="AJ31">
        <v>1462.1934639999999</v>
      </c>
      <c r="AK31">
        <v>1507.7186879999999</v>
      </c>
      <c r="AL31">
        <v>1552.329602</v>
      </c>
      <c r="AM31">
        <v>1595.635894</v>
      </c>
      <c r="AN31">
        <v>1633.7357529999999</v>
      </c>
      <c r="AO31">
        <v>1669.224667</v>
      </c>
      <c r="AP31">
        <v>1703.2503469999999</v>
      </c>
      <c r="AQ31">
        <v>1736.398314</v>
      </c>
      <c r="AR31">
        <v>1753.0607319999999</v>
      </c>
      <c r="AS31">
        <v>1776.2157749999999</v>
      </c>
      <c r="AT31">
        <v>1802.222162</v>
      </c>
      <c r="AU31">
        <v>1829.5420919999999</v>
      </c>
      <c r="AV31">
        <v>1857.5074239999999</v>
      </c>
      <c r="AW31">
        <v>1885.82404</v>
      </c>
    </row>
    <row r="32" spans="2:49" x14ac:dyDescent="0.25">
      <c r="B32" t="s">
        <v>333</v>
      </c>
      <c r="C32">
        <v>1571.8931047778699</v>
      </c>
      <c r="D32">
        <v>1597.13035701831</v>
      </c>
      <c r="E32">
        <v>1622.772802</v>
      </c>
      <c r="F32">
        <v>1973.0996210000001</v>
      </c>
      <c r="G32">
        <v>2310.7588989999999</v>
      </c>
      <c r="H32">
        <v>2680.073586</v>
      </c>
      <c r="I32">
        <v>3016.2664719999998</v>
      </c>
      <c r="J32">
        <v>3326.4818620000001</v>
      </c>
      <c r="K32">
        <v>3553.5030109999998</v>
      </c>
      <c r="L32">
        <v>3745.3129530000001</v>
      </c>
      <c r="M32">
        <v>3928.0219710000001</v>
      </c>
      <c r="N32">
        <v>4076.6385409999998</v>
      </c>
      <c r="O32">
        <v>4234.9951460000002</v>
      </c>
      <c r="P32">
        <v>4416.5683300000001</v>
      </c>
      <c r="Q32">
        <v>4604.3028109999996</v>
      </c>
      <c r="R32">
        <v>4788.3279229999998</v>
      </c>
      <c r="S32">
        <v>4969.0474880000002</v>
      </c>
      <c r="T32">
        <v>5106.7795720000004</v>
      </c>
      <c r="U32">
        <v>5242.2048610000002</v>
      </c>
      <c r="V32">
        <v>5346.5361849999999</v>
      </c>
      <c r="W32">
        <v>5456.7116889999998</v>
      </c>
      <c r="X32">
        <v>5418.5010819999998</v>
      </c>
      <c r="Y32">
        <v>5464.9381729999996</v>
      </c>
      <c r="Z32">
        <v>5531.4412000000002</v>
      </c>
      <c r="AA32">
        <v>5595.3862799999997</v>
      </c>
      <c r="AB32">
        <v>5648.1827000000003</v>
      </c>
      <c r="AC32">
        <v>5605.9621340000003</v>
      </c>
      <c r="AD32">
        <v>5607.3792599999997</v>
      </c>
      <c r="AE32">
        <v>5602.9790670000002</v>
      </c>
      <c r="AF32">
        <v>5590.0067060000001</v>
      </c>
      <c r="AG32">
        <v>5567.7408619999997</v>
      </c>
      <c r="AH32">
        <v>5488.0797309999998</v>
      </c>
      <c r="AI32">
        <v>5431.0301090000003</v>
      </c>
      <c r="AJ32">
        <v>5380.0519690000001</v>
      </c>
      <c r="AK32">
        <v>5328.0931280000004</v>
      </c>
      <c r="AL32">
        <v>5273.486441</v>
      </c>
      <c r="AM32">
        <v>5216.0738350000001</v>
      </c>
      <c r="AN32">
        <v>5145.8377760000003</v>
      </c>
      <c r="AO32">
        <v>5068.8140240000002</v>
      </c>
      <c r="AP32">
        <v>4987.8971419999998</v>
      </c>
      <c r="AQ32">
        <v>4904.4417780000003</v>
      </c>
      <c r="AR32">
        <v>4793.2969919999996</v>
      </c>
      <c r="AS32">
        <v>4692.8519930000002</v>
      </c>
      <c r="AT32">
        <v>4596.6323819999998</v>
      </c>
      <c r="AU32">
        <v>4501.9968449999997</v>
      </c>
      <c r="AV32">
        <v>4408.0867019999996</v>
      </c>
      <c r="AW32">
        <v>4314.6792670000004</v>
      </c>
    </row>
    <row r="33" spans="2:49" x14ac:dyDescent="0.25">
      <c r="B33" t="s">
        <v>334</v>
      </c>
      <c r="C33">
        <v>3720.5673609549599</v>
      </c>
      <c r="D33">
        <v>3780.3022733867101</v>
      </c>
      <c r="E33">
        <v>3840.9962489999998</v>
      </c>
      <c r="F33">
        <v>4323.9358240000001</v>
      </c>
      <c r="G33">
        <v>4770.047998</v>
      </c>
      <c r="H33">
        <v>5260.6028990000004</v>
      </c>
      <c r="I33">
        <v>5705.2536909999999</v>
      </c>
      <c r="J33">
        <v>6108.5505999999996</v>
      </c>
      <c r="K33">
        <v>6389.5134939999998</v>
      </c>
      <c r="L33">
        <v>6620.0534429999998</v>
      </c>
      <c r="M33">
        <v>6838.5546370000002</v>
      </c>
      <c r="N33">
        <v>7016.6657189999996</v>
      </c>
      <c r="O33">
        <v>7212.5112550000003</v>
      </c>
      <c r="P33">
        <v>7457.9270630000001</v>
      </c>
      <c r="Q33">
        <v>7705.2778010000002</v>
      </c>
      <c r="R33">
        <v>7946.9543370000001</v>
      </c>
      <c r="S33">
        <v>8169.3013259999998</v>
      </c>
      <c r="T33">
        <v>8336.3832450000009</v>
      </c>
      <c r="U33">
        <v>8475.9262839999901</v>
      </c>
      <c r="V33">
        <v>8559.7718189999996</v>
      </c>
      <c r="W33">
        <v>8651.8091719999902</v>
      </c>
      <c r="X33">
        <v>8534.4249199999995</v>
      </c>
      <c r="Y33">
        <v>8539.0058840000002</v>
      </c>
      <c r="Z33">
        <v>8572.9310239999995</v>
      </c>
      <c r="AA33">
        <v>8603.5483820000009</v>
      </c>
      <c r="AB33">
        <v>8618.7764270000007</v>
      </c>
      <c r="AC33">
        <v>8503.5628820000002</v>
      </c>
      <c r="AD33">
        <v>8449.84433299999</v>
      </c>
      <c r="AE33">
        <v>8389.1120620000002</v>
      </c>
      <c r="AF33">
        <v>8317.4864159999997</v>
      </c>
      <c r="AG33">
        <v>8234.4679730000007</v>
      </c>
      <c r="AH33">
        <v>8075.2708839999996</v>
      </c>
      <c r="AI33">
        <v>7947.622985</v>
      </c>
      <c r="AJ33">
        <v>7829.2080910000004</v>
      </c>
      <c r="AK33">
        <v>7710.3060809999997</v>
      </c>
      <c r="AL33">
        <v>7588.7887119999996</v>
      </c>
      <c r="AM33">
        <v>7464.592498</v>
      </c>
      <c r="AN33">
        <v>7324.1619099999998</v>
      </c>
      <c r="AO33">
        <v>7175.5170909999997</v>
      </c>
      <c r="AP33">
        <v>7022.570275</v>
      </c>
      <c r="AQ33">
        <v>6867.1031590000002</v>
      </c>
      <c r="AR33">
        <v>6677.8426609999997</v>
      </c>
      <c r="AS33">
        <v>6503.1078580000003</v>
      </c>
      <c r="AT33">
        <v>6334.6685029999999</v>
      </c>
      <c r="AU33">
        <v>6169.1776159999999</v>
      </c>
      <c r="AV33">
        <v>6005.6403440000004</v>
      </c>
      <c r="AW33">
        <v>5843.8734860000004</v>
      </c>
    </row>
    <row r="34" spans="2:49" x14ac:dyDescent="0.25">
      <c r="B34" t="s">
        <v>335</v>
      </c>
      <c r="C34">
        <v>5208.7853750706299</v>
      </c>
      <c r="D34">
        <v>5292.4141090967596</v>
      </c>
      <c r="E34">
        <v>5377.3855290000001</v>
      </c>
      <c r="F34">
        <v>5766.1441089999998</v>
      </c>
      <c r="G34">
        <v>6121.954017</v>
      </c>
      <c r="H34">
        <v>6524.1251499999998</v>
      </c>
      <c r="I34">
        <v>6885.3677520000001</v>
      </c>
      <c r="J34">
        <v>7207.7198099999996</v>
      </c>
      <c r="K34">
        <v>7413.8328220000003</v>
      </c>
      <c r="L34">
        <v>7574.2282539999997</v>
      </c>
      <c r="M34">
        <v>7726.097068</v>
      </c>
      <c r="N34">
        <v>7833.40744</v>
      </c>
      <c r="O34">
        <v>7962.0797000000002</v>
      </c>
      <c r="P34">
        <v>8149.678527</v>
      </c>
      <c r="Q34">
        <v>8334.6877270000005</v>
      </c>
      <c r="R34">
        <v>8518.5348329999997</v>
      </c>
      <c r="S34">
        <v>8673.4606050000002</v>
      </c>
      <c r="T34">
        <v>8792.9969180000007</v>
      </c>
      <c r="U34">
        <v>8873.3203290000001</v>
      </c>
      <c r="V34">
        <v>8895.9143569999997</v>
      </c>
      <c r="W34">
        <v>8927.6103700000003</v>
      </c>
      <c r="X34">
        <v>8764.9192989999901</v>
      </c>
      <c r="Y34">
        <v>8718.7597480000004</v>
      </c>
      <c r="Z34">
        <v>8701.7140880000006</v>
      </c>
      <c r="AA34">
        <v>8682.8470670000006</v>
      </c>
      <c r="AB34">
        <v>8650.8248779999994</v>
      </c>
      <c r="AC34">
        <v>8499.6821679999903</v>
      </c>
      <c r="AD34">
        <v>8406.8905369999902</v>
      </c>
      <c r="AE34">
        <v>8308.9948289999902</v>
      </c>
      <c r="AF34">
        <v>8202.33763</v>
      </c>
      <c r="AG34">
        <v>8086.6496619999998</v>
      </c>
      <c r="AH34">
        <v>7902.8986020000002</v>
      </c>
      <c r="AI34">
        <v>7749.1516570000003</v>
      </c>
      <c r="AJ34">
        <v>7605.0378199999996</v>
      </c>
      <c r="AK34">
        <v>7461.5777749999997</v>
      </c>
      <c r="AL34">
        <v>7316.8643140000004</v>
      </c>
      <c r="AM34">
        <v>7170.8838379999997</v>
      </c>
      <c r="AN34">
        <v>7011.1907540000002</v>
      </c>
      <c r="AO34">
        <v>6845.020305</v>
      </c>
      <c r="AP34">
        <v>6675.9254140000003</v>
      </c>
      <c r="AQ34">
        <v>6505.5000479999999</v>
      </c>
      <c r="AR34">
        <v>6306.5529049999996</v>
      </c>
      <c r="AS34">
        <v>6121.3482949999998</v>
      </c>
      <c r="AT34">
        <v>5942.639956</v>
      </c>
      <c r="AU34">
        <v>5767.4884730000003</v>
      </c>
      <c r="AV34">
        <v>5595.0588269999998</v>
      </c>
      <c r="AW34">
        <v>5425.2280110000002</v>
      </c>
    </row>
    <row r="35" spans="2:49" x14ac:dyDescent="0.25">
      <c r="B35" t="s">
        <v>336</v>
      </c>
      <c r="C35">
        <v>13521.9613593495</v>
      </c>
      <c r="D35">
        <v>13739.0608227762</v>
      </c>
      <c r="E35">
        <v>13959.64589</v>
      </c>
      <c r="F35">
        <v>13632.25121</v>
      </c>
      <c r="G35">
        <v>13307.09303</v>
      </c>
      <c r="H35">
        <v>13036.83049</v>
      </c>
      <c r="I35">
        <v>12769.69643</v>
      </c>
      <c r="J35">
        <v>12501.365589999999</v>
      </c>
      <c r="K35">
        <v>12186.124659999999</v>
      </c>
      <c r="L35">
        <v>11871.76598</v>
      </c>
      <c r="M35">
        <v>11574.103080000001</v>
      </c>
      <c r="N35">
        <v>11261.712960000001</v>
      </c>
      <c r="O35">
        <v>10984.15403</v>
      </c>
      <c r="P35">
        <v>10790.55176</v>
      </c>
      <c r="Q35">
        <v>10604.5488</v>
      </c>
      <c r="R35">
        <v>10426.104579999999</v>
      </c>
      <c r="S35">
        <v>10225.286990000001</v>
      </c>
      <c r="T35">
        <v>10033.64748</v>
      </c>
      <c r="U35">
        <v>9776.6866150000005</v>
      </c>
      <c r="V35">
        <v>9480.6832720000002</v>
      </c>
      <c r="W35">
        <v>9204.5484350000006</v>
      </c>
      <c r="X35">
        <v>8843.3007469999902</v>
      </c>
      <c r="Y35">
        <v>8557.1766449999996</v>
      </c>
      <c r="Z35">
        <v>8299.5632000000005</v>
      </c>
      <c r="AA35">
        <v>8053.414205</v>
      </c>
      <c r="AB35">
        <v>7812.3265799999999</v>
      </c>
      <c r="AC35">
        <v>7523.8597319999999</v>
      </c>
      <c r="AD35">
        <v>7275.4201059999996</v>
      </c>
      <c r="AE35">
        <v>7034.9614119999997</v>
      </c>
      <c r="AF35">
        <v>6800.1187330000002</v>
      </c>
      <c r="AG35">
        <v>6570.5600480000003</v>
      </c>
      <c r="AH35">
        <v>6317.8017250000003</v>
      </c>
      <c r="AI35">
        <v>6087.9456909999999</v>
      </c>
      <c r="AJ35">
        <v>5870.8760590000002</v>
      </c>
      <c r="AK35">
        <v>5661.8363939999999</v>
      </c>
      <c r="AL35">
        <v>5459.6209769999996</v>
      </c>
      <c r="AM35">
        <v>5263.9459360000001</v>
      </c>
      <c r="AN35">
        <v>5068.0436049999998</v>
      </c>
      <c r="AO35">
        <v>4875.0698110000003</v>
      </c>
      <c r="AP35">
        <v>4686.4967640000004</v>
      </c>
      <c r="AQ35">
        <v>4502.8653690000001</v>
      </c>
      <c r="AR35">
        <v>4312.3496130000003</v>
      </c>
      <c r="AS35">
        <v>4133.0773410000002</v>
      </c>
      <c r="AT35">
        <v>3961.7067980000002</v>
      </c>
      <c r="AU35">
        <v>3796.7944729999999</v>
      </c>
      <c r="AV35">
        <v>3637.8358579999999</v>
      </c>
      <c r="AW35">
        <v>3484.6334310000002</v>
      </c>
    </row>
    <row r="36" spans="2:49" x14ac:dyDescent="0.25">
      <c r="B36" t="s">
        <v>337</v>
      </c>
      <c r="C36">
        <v>4769.5635809194901</v>
      </c>
      <c r="D36">
        <v>4846.1404669702097</v>
      </c>
      <c r="E36">
        <v>4923.9468200000001</v>
      </c>
      <c r="F36">
        <v>4800.2817850000001</v>
      </c>
      <c r="G36">
        <v>4669.8058629999996</v>
      </c>
      <c r="H36">
        <v>4553.6453760000004</v>
      </c>
      <c r="I36">
        <v>4440.2972870000003</v>
      </c>
      <c r="J36">
        <v>4324.430918</v>
      </c>
      <c r="K36">
        <v>4196.0140039999997</v>
      </c>
      <c r="L36">
        <v>4066.7247029999999</v>
      </c>
      <c r="M36">
        <v>3943.5637499999998</v>
      </c>
      <c r="N36">
        <v>3814.8950359999999</v>
      </c>
      <c r="O36">
        <v>3697.7909719999998</v>
      </c>
      <c r="P36">
        <v>3617.763074</v>
      </c>
      <c r="Q36">
        <v>3538.1775640000001</v>
      </c>
      <c r="R36">
        <v>3459.1960819999999</v>
      </c>
      <c r="S36">
        <v>3365.7939299999998</v>
      </c>
      <c r="T36">
        <v>3251.6556</v>
      </c>
      <c r="U36">
        <v>3110.5436119999999</v>
      </c>
      <c r="V36">
        <v>2959.7610370000002</v>
      </c>
      <c r="W36">
        <v>2816.688858</v>
      </c>
      <c r="X36">
        <v>2669.1323149999998</v>
      </c>
      <c r="Y36">
        <v>2535.9947470000002</v>
      </c>
      <c r="Z36">
        <v>2411.1981919999998</v>
      </c>
      <c r="AA36">
        <v>2292.3596339999999</v>
      </c>
      <c r="AB36">
        <v>2178.5847039999999</v>
      </c>
      <c r="AC36">
        <v>2064.8142739999998</v>
      </c>
      <c r="AD36">
        <v>1959.433221</v>
      </c>
      <c r="AE36">
        <v>1859.085497</v>
      </c>
      <c r="AF36">
        <v>1763.34465</v>
      </c>
      <c r="AG36">
        <v>1672.096356</v>
      </c>
      <c r="AH36">
        <v>1582.8811109999999</v>
      </c>
      <c r="AI36">
        <v>1499.210482</v>
      </c>
      <c r="AJ36">
        <v>1420.0931519999999</v>
      </c>
      <c r="AK36">
        <v>1344.9605200000001</v>
      </c>
      <c r="AL36">
        <v>1273.582897</v>
      </c>
      <c r="AM36">
        <v>1205.8068000000001</v>
      </c>
      <c r="AN36">
        <v>1140.7242859999999</v>
      </c>
      <c r="AO36">
        <v>1078.4663820000001</v>
      </c>
      <c r="AP36">
        <v>1019.0468980000001</v>
      </c>
      <c r="AQ36">
        <v>962.40868639999997</v>
      </c>
      <c r="AR36">
        <v>907.87924640000006</v>
      </c>
      <c r="AS36">
        <v>856.29126310000004</v>
      </c>
      <c r="AT36">
        <v>807.37287179999998</v>
      </c>
      <c r="AU36">
        <v>760.95774470000003</v>
      </c>
      <c r="AV36">
        <v>716.93266400000005</v>
      </c>
      <c r="AW36">
        <v>675.20012510000004</v>
      </c>
    </row>
    <row r="37" spans="2:49" x14ac:dyDescent="0.25">
      <c r="B37" t="s">
        <v>338</v>
      </c>
      <c r="C37">
        <v>2185.3248924602099</v>
      </c>
      <c r="D37">
        <v>2220.4109904720199</v>
      </c>
      <c r="E37">
        <v>2256.0604069999999</v>
      </c>
      <c r="F37">
        <v>2168.6277380000001</v>
      </c>
      <c r="G37">
        <v>2077.8708369999999</v>
      </c>
      <c r="H37">
        <v>1992.3541290000001</v>
      </c>
      <c r="I37">
        <v>1910.0245480000001</v>
      </c>
      <c r="J37">
        <v>1827.117994</v>
      </c>
      <c r="K37">
        <v>1744.397665</v>
      </c>
      <c r="L37">
        <v>1661.616383</v>
      </c>
      <c r="M37">
        <v>1583.061144</v>
      </c>
      <c r="N37">
        <v>1510.920443</v>
      </c>
      <c r="O37">
        <v>1442.985531</v>
      </c>
      <c r="P37">
        <v>1391.901646</v>
      </c>
      <c r="Q37">
        <v>1339.990041</v>
      </c>
      <c r="R37">
        <v>1287.1685110000001</v>
      </c>
      <c r="S37">
        <v>1231.9647600000001</v>
      </c>
      <c r="T37">
        <v>1173.03619</v>
      </c>
      <c r="U37">
        <v>1107.8675129999999</v>
      </c>
      <c r="V37">
        <v>1042.6988349999999</v>
      </c>
      <c r="W37">
        <v>981.36360990000003</v>
      </c>
      <c r="X37">
        <v>923.63633870000001</v>
      </c>
      <c r="Y37">
        <v>869.3047894</v>
      </c>
      <c r="Z37">
        <v>818.16921349999996</v>
      </c>
      <c r="AA37">
        <v>770.04161269999997</v>
      </c>
      <c r="AB37">
        <v>724.74504730000001</v>
      </c>
      <c r="AC37">
        <v>682.11298569999997</v>
      </c>
      <c r="AD37">
        <v>641.98869239999999</v>
      </c>
      <c r="AE37">
        <v>604.22465169999998</v>
      </c>
      <c r="AF37">
        <v>568.68202510000003</v>
      </c>
      <c r="AG37">
        <v>535.23014130000001</v>
      </c>
      <c r="AH37">
        <v>503.74601530000001</v>
      </c>
      <c r="AI37">
        <v>474.11389680000002</v>
      </c>
      <c r="AJ37">
        <v>446.22484400000002</v>
      </c>
      <c r="AK37">
        <v>419.97632379999999</v>
      </c>
      <c r="AL37">
        <v>395.27183409999998</v>
      </c>
      <c r="AM37">
        <v>372.02054980000003</v>
      </c>
      <c r="AN37">
        <v>350.00749949999999</v>
      </c>
      <c r="AO37">
        <v>329.17371980000001</v>
      </c>
      <c r="AP37">
        <v>309.46271860000002</v>
      </c>
      <c r="AQ37">
        <v>290.82038610000001</v>
      </c>
      <c r="AR37">
        <v>273.19490819999999</v>
      </c>
      <c r="AS37">
        <v>256.53668210000001</v>
      </c>
      <c r="AT37">
        <v>240.79823529999999</v>
      </c>
      <c r="AU37">
        <v>225.93414670000001</v>
      </c>
      <c r="AV37">
        <v>211.90096990000001</v>
      </c>
      <c r="AW37">
        <v>198.65715929999999</v>
      </c>
    </row>
    <row r="38" spans="2:49" x14ac:dyDescent="0.25">
      <c r="B38" t="s">
        <v>339</v>
      </c>
      <c r="C38">
        <v>6.9573204344700098E-3</v>
      </c>
      <c r="D38">
        <v>7.06902246445449E-3</v>
      </c>
      <c r="E38">
        <v>7.1825179100000001E-3</v>
      </c>
      <c r="F38">
        <v>1.1408635699999999E-2</v>
      </c>
      <c r="G38">
        <v>2.1608730400000001E-2</v>
      </c>
      <c r="H38">
        <v>5.4968236500000003E-2</v>
      </c>
      <c r="I38">
        <v>0.10728814759999999</v>
      </c>
      <c r="J38">
        <v>0.1854052152</v>
      </c>
      <c r="K38">
        <v>0.27977290630000001</v>
      </c>
      <c r="L38">
        <v>0.41186033</v>
      </c>
      <c r="M38">
        <v>0.6179895044</v>
      </c>
      <c r="N38">
        <v>0.89131600109999998</v>
      </c>
      <c r="O38">
        <v>1.2903585820000001</v>
      </c>
      <c r="P38">
        <v>1.4919916369999999</v>
      </c>
      <c r="Q38">
        <v>1.8464088750000001</v>
      </c>
      <c r="R38">
        <v>2.4696404429999999</v>
      </c>
      <c r="S38">
        <v>3.4798610499999998</v>
      </c>
      <c r="T38">
        <v>4.9857965399999999</v>
      </c>
      <c r="U38">
        <v>8.8509550380000004</v>
      </c>
      <c r="V38">
        <v>15.04360282</v>
      </c>
      <c r="W38">
        <v>23.340272209999998</v>
      </c>
      <c r="X38">
        <v>30.663172320000001</v>
      </c>
      <c r="Y38">
        <v>42.439368790000003</v>
      </c>
      <c r="Z38">
        <v>58.241095690000002</v>
      </c>
      <c r="AA38">
        <v>78.047865090000002</v>
      </c>
      <c r="AB38">
        <v>101.93319839999999</v>
      </c>
      <c r="AC38">
        <v>123.5039063</v>
      </c>
      <c r="AD38">
        <v>153.1985334</v>
      </c>
      <c r="AE38">
        <v>187.65622740000001</v>
      </c>
      <c r="AF38">
        <v>226.59314499999999</v>
      </c>
      <c r="AG38">
        <v>269.92954580000003</v>
      </c>
      <c r="AH38">
        <v>308.20804520000002</v>
      </c>
      <c r="AI38">
        <v>355.44988180000001</v>
      </c>
      <c r="AJ38">
        <v>409.33105640000002</v>
      </c>
      <c r="AK38">
        <v>468.3825071</v>
      </c>
      <c r="AL38">
        <v>532.02137879999998</v>
      </c>
      <c r="AM38">
        <v>599.95005479999998</v>
      </c>
      <c r="AN38">
        <v>669.30499650000002</v>
      </c>
      <c r="AO38">
        <v>741.49509379999995</v>
      </c>
      <c r="AP38">
        <v>817.23404900000003</v>
      </c>
      <c r="AQ38">
        <v>896.74854349999998</v>
      </c>
      <c r="AR38">
        <v>964.81060620000005</v>
      </c>
      <c r="AS38">
        <v>1042.4193049999999</v>
      </c>
      <c r="AT38">
        <v>1126.407001</v>
      </c>
      <c r="AU38">
        <v>1215.13229</v>
      </c>
      <c r="AV38">
        <v>1307.834024</v>
      </c>
      <c r="AW38">
        <v>1404.1533219999999</v>
      </c>
    </row>
    <row r="39" spans="2:49" x14ac:dyDescent="0.25">
      <c r="B39" t="s">
        <v>340</v>
      </c>
      <c r="C39">
        <v>1.59483191497851E-2</v>
      </c>
      <c r="D39">
        <v>1.6204374572364899E-2</v>
      </c>
      <c r="E39">
        <v>1.6464540999999999E-2</v>
      </c>
      <c r="F39">
        <v>2.7908665999999999E-2</v>
      </c>
      <c r="G39">
        <v>5.0116800599999997E-2</v>
      </c>
      <c r="H39">
        <v>9.7364229799999896E-2</v>
      </c>
      <c r="I39">
        <v>0.16648863389999999</v>
      </c>
      <c r="J39">
        <v>0.26519840259999999</v>
      </c>
      <c r="K39">
        <v>0.38339918239999998</v>
      </c>
      <c r="L39">
        <v>0.54177873850000002</v>
      </c>
      <c r="M39">
        <v>0.77237145500000004</v>
      </c>
      <c r="N39">
        <v>1.0664183410000001</v>
      </c>
      <c r="O39">
        <v>1.486284473</v>
      </c>
      <c r="P39">
        <v>1.8320501039999999</v>
      </c>
      <c r="Q39">
        <v>2.3497281619999999</v>
      </c>
      <c r="R39">
        <v>3.1315270669999999</v>
      </c>
      <c r="S39">
        <v>4.2612433960000002</v>
      </c>
      <c r="T39">
        <v>5.7979745149999999</v>
      </c>
      <c r="U39">
        <v>9.0249782920000001</v>
      </c>
      <c r="V39">
        <v>13.851058119999999</v>
      </c>
      <c r="W39">
        <v>20.25101167</v>
      </c>
      <c r="X39">
        <v>25.66344355</v>
      </c>
      <c r="Y39">
        <v>34.510145459999997</v>
      </c>
      <c r="Z39">
        <v>46.291896739999999</v>
      </c>
      <c r="AA39">
        <v>60.882207389999998</v>
      </c>
      <c r="AB39">
        <v>78.25216657</v>
      </c>
      <c r="AC39">
        <v>93.509729199999995</v>
      </c>
      <c r="AD39">
        <v>114.5488582</v>
      </c>
      <c r="AE39">
        <v>138.6797578</v>
      </c>
      <c r="AF39">
        <v>165.62563109999999</v>
      </c>
      <c r="AG39">
        <v>195.24370450000001</v>
      </c>
      <c r="AH39">
        <v>220.75675870000001</v>
      </c>
      <c r="AI39">
        <v>252.16724149999999</v>
      </c>
      <c r="AJ39">
        <v>287.6386081</v>
      </c>
      <c r="AK39">
        <v>326.03037790000002</v>
      </c>
      <c r="AL39">
        <v>366.86330459999999</v>
      </c>
      <c r="AM39">
        <v>409.87008980000002</v>
      </c>
      <c r="AN39">
        <v>452.89294860000001</v>
      </c>
      <c r="AO39">
        <v>496.8432813</v>
      </c>
      <c r="AP39">
        <v>542.12375759999998</v>
      </c>
      <c r="AQ39">
        <v>588.8029894</v>
      </c>
      <c r="AR39">
        <v>627.20193019999999</v>
      </c>
      <c r="AS39">
        <v>670.67610660000003</v>
      </c>
      <c r="AT39">
        <v>717.00013869999998</v>
      </c>
      <c r="AU39">
        <v>765.01542749999999</v>
      </c>
      <c r="AV39">
        <v>814.15902510000001</v>
      </c>
      <c r="AW39">
        <v>864.12274530000002</v>
      </c>
    </row>
    <row r="40" spans="2:49" x14ac:dyDescent="0.25">
      <c r="B40" t="s">
        <v>341</v>
      </c>
      <c r="C40">
        <v>6.5291776385026298E-2</v>
      </c>
      <c r="D40">
        <v>6.63400569741113E-2</v>
      </c>
      <c r="E40">
        <v>6.7405168000000001E-2</v>
      </c>
      <c r="F40">
        <v>0.1170271178</v>
      </c>
      <c r="G40">
        <v>0.2060978799</v>
      </c>
      <c r="H40">
        <v>0.35376968089999999</v>
      </c>
      <c r="I40">
        <v>0.55735199199999996</v>
      </c>
      <c r="J40">
        <v>0.83605227739999999</v>
      </c>
      <c r="K40">
        <v>1.1668847339999999</v>
      </c>
      <c r="L40">
        <v>1.5903565129999999</v>
      </c>
      <c r="M40">
        <v>2.158714324</v>
      </c>
      <c r="N40">
        <v>2.8472666219999998</v>
      </c>
      <c r="O40">
        <v>3.800436049</v>
      </c>
      <c r="P40">
        <v>5.0321651530000002</v>
      </c>
      <c r="Q40">
        <v>6.689326264</v>
      </c>
      <c r="R40">
        <v>8.8807542379999997</v>
      </c>
      <c r="S40">
        <v>11.66406469</v>
      </c>
      <c r="T40">
        <v>14.99700704</v>
      </c>
      <c r="U40">
        <v>19.710342690000001</v>
      </c>
      <c r="V40">
        <v>25.577138519999998</v>
      </c>
      <c r="W40">
        <v>33.153570649999999</v>
      </c>
      <c r="X40">
        <v>38.759928809999998</v>
      </c>
      <c r="Y40">
        <v>48.474431019999997</v>
      </c>
      <c r="Z40">
        <v>61.154987640000002</v>
      </c>
      <c r="AA40">
        <v>76.315607330000006</v>
      </c>
      <c r="AB40">
        <v>93.684250559999995</v>
      </c>
      <c r="AC40">
        <v>107.6265217</v>
      </c>
      <c r="AD40">
        <v>127.03050639999999</v>
      </c>
      <c r="AE40">
        <v>148.49106829999999</v>
      </c>
      <c r="AF40">
        <v>171.5683689</v>
      </c>
      <c r="AG40">
        <v>195.93122869999999</v>
      </c>
      <c r="AH40">
        <v>215.1496602</v>
      </c>
      <c r="AI40">
        <v>238.70325339999999</v>
      </c>
      <c r="AJ40">
        <v>264.45557350000001</v>
      </c>
      <c r="AK40">
        <v>291.1692688</v>
      </c>
      <c r="AL40">
        <v>318.31248470000003</v>
      </c>
      <c r="AM40">
        <v>345.57957040000002</v>
      </c>
      <c r="AN40">
        <v>370.83831500000002</v>
      </c>
      <c r="AO40">
        <v>394.82887520000003</v>
      </c>
      <c r="AP40">
        <v>417.80281109999999</v>
      </c>
      <c r="AQ40">
        <v>439.74408820000002</v>
      </c>
      <c r="AR40">
        <v>454.43040130000003</v>
      </c>
      <c r="AS40">
        <v>470.68004830000001</v>
      </c>
      <c r="AT40">
        <v>486.73373779999997</v>
      </c>
      <c r="AU40">
        <v>501.73126969999998</v>
      </c>
      <c r="AV40">
        <v>515.27525290000005</v>
      </c>
      <c r="AW40">
        <v>527.13965169999994</v>
      </c>
    </row>
    <row r="41" spans="2:49" x14ac:dyDescent="0.25">
      <c r="B41" t="s">
        <v>342</v>
      </c>
      <c r="C41">
        <v>1.5338215665531501</v>
      </c>
      <c r="D41">
        <v>1.55844756793281</v>
      </c>
      <c r="E41">
        <v>1.5834689479999999</v>
      </c>
      <c r="F41">
        <v>2.7567227569999999</v>
      </c>
      <c r="G41">
        <v>4.8441439910000001</v>
      </c>
      <c r="H41">
        <v>8.1917021660000007</v>
      </c>
      <c r="I41">
        <v>12.764713090000001</v>
      </c>
      <c r="J41">
        <v>18.982715809999998</v>
      </c>
      <c r="K41">
        <v>26.353309429999999</v>
      </c>
      <c r="L41">
        <v>35.715232640000004</v>
      </c>
      <c r="M41">
        <v>48.098603570000002</v>
      </c>
      <c r="N41">
        <v>62.955936280000003</v>
      </c>
      <c r="O41">
        <v>83.399420219999996</v>
      </c>
      <c r="P41">
        <v>111.8326483</v>
      </c>
      <c r="Q41">
        <v>149.5286993</v>
      </c>
      <c r="R41">
        <v>198.36308750000001</v>
      </c>
      <c r="S41">
        <v>259.00158850000003</v>
      </c>
      <c r="T41">
        <v>329.82252089999997</v>
      </c>
      <c r="U41">
        <v>420.938828</v>
      </c>
      <c r="V41">
        <v>528.91905510000004</v>
      </c>
      <c r="W41">
        <v>667.64761710000005</v>
      </c>
      <c r="X41">
        <v>766.58658660000003</v>
      </c>
      <c r="Y41">
        <v>941.47461090000002</v>
      </c>
      <c r="Z41">
        <v>1169.084996</v>
      </c>
      <c r="AA41">
        <v>1439.3761890000001</v>
      </c>
      <c r="AB41">
        <v>1746.818831</v>
      </c>
      <c r="AC41">
        <v>1989.127307</v>
      </c>
      <c r="AD41">
        <v>2327.8747640000001</v>
      </c>
      <c r="AE41">
        <v>2700.760037</v>
      </c>
      <c r="AF41">
        <v>3100.0431960000001</v>
      </c>
      <c r="AG41">
        <v>3520.0268120000001</v>
      </c>
      <c r="AH41">
        <v>3848.398549</v>
      </c>
      <c r="AI41">
        <v>4252.1195729999999</v>
      </c>
      <c r="AJ41">
        <v>4693.9565599999996</v>
      </c>
      <c r="AK41">
        <v>5152.9740789999996</v>
      </c>
      <c r="AL41">
        <v>5620.771898</v>
      </c>
      <c r="AM41">
        <v>6092.9765420000003</v>
      </c>
      <c r="AN41">
        <v>6534.4160519999996</v>
      </c>
      <c r="AO41">
        <v>6959.2854530000004</v>
      </c>
      <c r="AP41">
        <v>7373.4336190000004</v>
      </c>
      <c r="AQ41">
        <v>7778.1544000000004</v>
      </c>
      <c r="AR41">
        <v>8065.3369080000002</v>
      </c>
      <c r="AS41">
        <v>8390.3081120000006</v>
      </c>
      <c r="AT41">
        <v>8724.9888599999995</v>
      </c>
      <c r="AU41">
        <v>9056.3009500000007</v>
      </c>
      <c r="AV41">
        <v>9378.9229730000006</v>
      </c>
      <c r="AW41">
        <v>9690.5205640000004</v>
      </c>
    </row>
    <row r="42" spans="2:49" x14ac:dyDescent="0.25">
      <c r="B42" t="s">
        <v>343</v>
      </c>
      <c r="C42">
        <v>0.60453762790594801</v>
      </c>
      <c r="D42">
        <v>0.61424367506521405</v>
      </c>
      <c r="E42">
        <v>0.62410555599999995</v>
      </c>
      <c r="F42">
        <v>1.0871213550000001</v>
      </c>
      <c r="G42">
        <v>1.9094584729999999</v>
      </c>
      <c r="H42">
        <v>3.219025212</v>
      </c>
      <c r="I42">
        <v>5.0043315499999999</v>
      </c>
      <c r="J42">
        <v>7.4280593599999998</v>
      </c>
      <c r="K42" s="100">
        <v>10.300096910000001</v>
      </c>
      <c r="L42" s="100">
        <v>13.941445480000001</v>
      </c>
      <c r="M42" s="100">
        <v>18.74094062</v>
      </c>
      <c r="N42" s="100">
        <v>24.485151729999998</v>
      </c>
      <c r="O42" s="100">
        <v>32.376636849999997</v>
      </c>
      <c r="P42">
        <v>43.544008869999999</v>
      </c>
      <c r="Q42">
        <v>58.302239389999997</v>
      </c>
      <c r="R42">
        <v>77.332213510000003</v>
      </c>
      <c r="S42">
        <v>100.8337633</v>
      </c>
      <c r="T42">
        <v>128.10455970000001</v>
      </c>
      <c r="U42">
        <v>162.1451687</v>
      </c>
      <c r="V42">
        <v>201.62105940000001</v>
      </c>
      <c r="W42">
        <v>252.15894220000001</v>
      </c>
      <c r="X42">
        <v>287.45869210000001</v>
      </c>
      <c r="Y42">
        <v>350.47783820000001</v>
      </c>
      <c r="Z42">
        <v>432.25091650000002</v>
      </c>
      <c r="AA42">
        <v>528.8202837</v>
      </c>
      <c r="AB42">
        <v>637.96802400000001</v>
      </c>
      <c r="AC42">
        <v>722.59012270000005</v>
      </c>
      <c r="AD42">
        <v>841.14183460000004</v>
      </c>
      <c r="AE42">
        <v>970.76182600000004</v>
      </c>
      <c r="AF42">
        <v>1108.5561359999999</v>
      </c>
      <c r="AG42">
        <v>1252.3390159999999</v>
      </c>
      <c r="AH42">
        <v>1362.6322769999999</v>
      </c>
      <c r="AI42">
        <v>1498.1870799999999</v>
      </c>
      <c r="AJ42">
        <v>1645.5456690000001</v>
      </c>
      <c r="AK42">
        <v>1797.2401620000001</v>
      </c>
      <c r="AL42">
        <v>1950.2963910000001</v>
      </c>
      <c r="AM42">
        <v>2103.1852589999999</v>
      </c>
      <c r="AN42">
        <v>2243.5887320000002</v>
      </c>
      <c r="AO42">
        <v>2376.4585820000002</v>
      </c>
      <c r="AP42">
        <v>2503.8208789999999</v>
      </c>
      <c r="AQ42">
        <v>2626.1573880000001</v>
      </c>
      <c r="AR42">
        <v>2708.337837</v>
      </c>
      <c r="AS42">
        <v>2801.371275</v>
      </c>
      <c r="AT42">
        <v>2895.9038310000001</v>
      </c>
      <c r="AU42">
        <v>2987.704792</v>
      </c>
      <c r="AV42">
        <v>3075.1531460000001</v>
      </c>
      <c r="AW42">
        <v>3157.6118959999999</v>
      </c>
    </row>
    <row r="43" spans="2:49" x14ac:dyDescent="0.25">
      <c r="B43" t="s">
        <v>344</v>
      </c>
      <c r="C43">
        <v>8.2417488223721705E-3</v>
      </c>
      <c r="D43">
        <v>8.3740727655845504E-3</v>
      </c>
      <c r="E43">
        <v>8.5085212099999998E-3</v>
      </c>
      <c r="F43">
        <v>1.5650115400000001E-2</v>
      </c>
      <c r="G43">
        <v>2.6308649600000001E-2</v>
      </c>
      <c r="H43">
        <v>3.0576940600000001E-2</v>
      </c>
      <c r="I43">
        <v>3.1390164499999998E-2</v>
      </c>
      <c r="J43">
        <v>4.0204046E-2</v>
      </c>
      <c r="K43">
        <v>5.0809735500000001E-2</v>
      </c>
      <c r="L43">
        <v>6.44832511E-2</v>
      </c>
      <c r="M43">
        <v>8.2793034799999998E-2</v>
      </c>
      <c r="N43">
        <v>0.10490368880000001</v>
      </c>
      <c r="O43">
        <v>0.13555518659999999</v>
      </c>
      <c r="P43">
        <v>0.21443277559999999</v>
      </c>
      <c r="Q43">
        <v>0.26081983800000003</v>
      </c>
      <c r="R43">
        <v>0.3335502897</v>
      </c>
      <c r="S43">
        <v>0.42435466820000001</v>
      </c>
      <c r="T43">
        <v>0.53077136039999995</v>
      </c>
      <c r="U43">
        <v>0.66826706709999995</v>
      </c>
      <c r="V43">
        <v>0.83182819569999999</v>
      </c>
      <c r="W43">
        <v>1.042608784</v>
      </c>
      <c r="X43">
        <v>1.1929490760000001</v>
      </c>
      <c r="Y43">
        <v>1.4596003989999999</v>
      </c>
      <c r="Z43">
        <v>1.8072807790000001</v>
      </c>
      <c r="AA43">
        <v>2.220800949</v>
      </c>
      <c r="AB43">
        <v>2.6918424970000001</v>
      </c>
      <c r="AC43">
        <v>3.0638371630000001</v>
      </c>
      <c r="AD43">
        <v>3.5842739990000001</v>
      </c>
      <c r="AE43">
        <v>4.157998869</v>
      </c>
      <c r="AF43">
        <v>4.7732750619999997</v>
      </c>
      <c r="AG43">
        <v>5.4215333619999999</v>
      </c>
      <c r="AH43">
        <v>5.9300680379999999</v>
      </c>
      <c r="AI43">
        <v>6.5557068190000001</v>
      </c>
      <c r="AJ43">
        <v>7.2415778389999996</v>
      </c>
      <c r="AK43">
        <v>7.9556752409999998</v>
      </c>
      <c r="AL43">
        <v>8.6852049820000001</v>
      </c>
      <c r="AM43">
        <v>9.4235441929999997</v>
      </c>
      <c r="AN43">
        <v>10.116800420000001</v>
      </c>
      <c r="AO43">
        <v>10.786986929999999</v>
      </c>
      <c r="AP43">
        <v>11.443297230000001</v>
      </c>
      <c r="AQ43">
        <v>12.08787704</v>
      </c>
      <c r="AR43">
        <v>12.55164478</v>
      </c>
      <c r="AS43">
        <v>13.077229470000001</v>
      </c>
      <c r="AT43">
        <v>13.62123989</v>
      </c>
      <c r="AU43">
        <v>14.16341983</v>
      </c>
      <c r="AV43">
        <v>14.69551922</v>
      </c>
      <c r="AW43">
        <v>15.21394534</v>
      </c>
    </row>
    <row r="44" spans="2:49" x14ac:dyDescent="0.25">
      <c r="B44" t="s">
        <v>345</v>
      </c>
      <c r="C44">
        <v>0.101255771246286</v>
      </c>
      <c r="D44">
        <v>0.10288146540575301</v>
      </c>
      <c r="E44">
        <v>0.1045332606</v>
      </c>
      <c r="F44">
        <v>0.18273494009999999</v>
      </c>
      <c r="G44">
        <v>0.3200394231</v>
      </c>
      <c r="H44">
        <v>0.52897748209999995</v>
      </c>
      <c r="I44">
        <v>0.8100899386</v>
      </c>
      <c r="J44">
        <v>1.1879314949999999</v>
      </c>
      <c r="K44">
        <v>1.63471342</v>
      </c>
      <c r="L44">
        <v>2.1946151899999999</v>
      </c>
      <c r="M44">
        <v>2.9160719660000001</v>
      </c>
      <c r="N44">
        <v>3.7661574799999999</v>
      </c>
      <c r="O44">
        <v>4.9224829330000004</v>
      </c>
      <c r="P44">
        <v>6.7496837799999998</v>
      </c>
      <c r="Q44">
        <v>9.1158546000000005</v>
      </c>
      <c r="R44">
        <v>12.07727189</v>
      </c>
      <c r="S44">
        <v>15.609628669999999</v>
      </c>
      <c r="T44">
        <v>19.5431472</v>
      </c>
      <c r="U44">
        <v>23.598263209999999</v>
      </c>
      <c r="V44">
        <v>27.709093670000001</v>
      </c>
      <c r="W44">
        <v>32.88180114</v>
      </c>
      <c r="X44">
        <v>36.037546579999997</v>
      </c>
      <c r="Y44">
        <v>42.109224699999999</v>
      </c>
      <c r="Z44">
        <v>49.886389549999997</v>
      </c>
      <c r="AA44">
        <v>58.809222239999997</v>
      </c>
      <c r="AB44">
        <v>68.563280480000003</v>
      </c>
      <c r="AC44">
        <v>75.438092319999996</v>
      </c>
      <c r="AD44">
        <v>85.258894190000007</v>
      </c>
      <c r="AE44">
        <v>95.639455389999995</v>
      </c>
      <c r="AF44">
        <v>106.2836215</v>
      </c>
      <c r="AG44">
        <v>116.96029129999999</v>
      </c>
      <c r="AH44">
        <v>124.3279241</v>
      </c>
      <c r="AI44">
        <v>133.4586448</v>
      </c>
      <c r="AJ44">
        <v>143.10697260000001</v>
      </c>
      <c r="AK44">
        <v>152.64130349999999</v>
      </c>
      <c r="AL44">
        <v>161.84441949999999</v>
      </c>
      <c r="AM44">
        <v>170.63057800000001</v>
      </c>
      <c r="AN44">
        <v>178.05415400000001</v>
      </c>
      <c r="AO44">
        <v>184.56512309999999</v>
      </c>
      <c r="AP44">
        <v>190.3702787</v>
      </c>
      <c r="AQ44">
        <v>195.56082140000001</v>
      </c>
      <c r="AR44">
        <v>197.99651679999999</v>
      </c>
      <c r="AS44">
        <v>200.9786837</v>
      </c>
      <c r="AT44">
        <v>203.9252477</v>
      </c>
      <c r="AU44">
        <v>206.61187939999999</v>
      </c>
      <c r="AV44">
        <v>208.98437480000001</v>
      </c>
      <c r="AW44">
        <v>211.04627679999999</v>
      </c>
    </row>
    <row r="45" spans="2:49" x14ac:dyDescent="0.25">
      <c r="B45" t="s">
        <v>346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  <c r="AV45">
        <v>0</v>
      </c>
      <c r="AW45">
        <v>0</v>
      </c>
    </row>
    <row r="46" spans="2:49" x14ac:dyDescent="0.25">
      <c r="B46" t="s">
        <v>347</v>
      </c>
      <c r="C46">
        <v>30996.0941631817</v>
      </c>
      <c r="D46">
        <v>31493.7464809423</v>
      </c>
      <c r="E46">
        <v>31999.388770000001</v>
      </c>
      <c r="F46">
        <v>32684.18043</v>
      </c>
      <c r="G46">
        <v>33307.416940000003</v>
      </c>
      <c r="H46">
        <v>34130.368560000003</v>
      </c>
      <c r="I46">
        <v>34844.395790000002</v>
      </c>
      <c r="J46">
        <v>35460.223230000003</v>
      </c>
      <c r="K46">
        <v>35691.144520000002</v>
      </c>
      <c r="L46">
        <v>35785.456440000002</v>
      </c>
      <c r="M46">
        <v>35874.676379999997</v>
      </c>
      <c r="N46">
        <v>35815.190199999997</v>
      </c>
      <c r="O46">
        <v>35851.090270000001</v>
      </c>
      <c r="P46">
        <v>36150.507400000002</v>
      </c>
      <c r="Q46">
        <v>36480.793080000003</v>
      </c>
      <c r="R46">
        <v>36811.1558</v>
      </c>
      <c r="S46">
        <v>37072.879379999998</v>
      </c>
      <c r="T46">
        <v>37175.800410000003</v>
      </c>
      <c r="U46">
        <v>37140.593529999998</v>
      </c>
      <c r="V46">
        <v>36919.960270000003</v>
      </c>
      <c r="W46">
        <v>36758.123149999999</v>
      </c>
      <c r="X46">
        <v>35919.425869999999</v>
      </c>
      <c r="Y46">
        <v>35518.828630000004</v>
      </c>
      <c r="Z46">
        <v>35243.704879999998</v>
      </c>
      <c r="AA46">
        <v>34982.858500000002</v>
      </c>
      <c r="AB46">
        <v>34694.25533</v>
      </c>
      <c r="AC46">
        <v>33986.391190000002</v>
      </c>
      <c r="AD46">
        <v>33508.049270000003</v>
      </c>
      <c r="AE46">
        <v>33026.399940000003</v>
      </c>
      <c r="AF46">
        <v>32527.205750000001</v>
      </c>
      <c r="AG46">
        <v>32007.36105</v>
      </c>
      <c r="AH46">
        <v>31244.642319999999</v>
      </c>
      <c r="AI46">
        <v>30605.79665</v>
      </c>
      <c r="AJ46">
        <v>30013.685399999998</v>
      </c>
      <c r="AK46" s="100">
        <v>29434.46891</v>
      </c>
      <c r="AL46" s="100">
        <v>28859.944780000002</v>
      </c>
      <c r="AM46" s="100">
        <v>28288.959350000001</v>
      </c>
      <c r="AN46" s="100">
        <v>27673.701580000001</v>
      </c>
      <c r="AO46" s="100">
        <v>27041.286</v>
      </c>
      <c r="AP46" s="100">
        <v>26404.649560000002</v>
      </c>
      <c r="AQ46" s="100">
        <v>25769.53774</v>
      </c>
      <c r="AR46" s="100">
        <v>25024.177060000002</v>
      </c>
      <c r="AS46" s="100">
        <v>24339.429209999998</v>
      </c>
      <c r="AT46" s="100">
        <v>23686.04091</v>
      </c>
      <c r="AU46" s="100">
        <v>23051.891390000001</v>
      </c>
      <c r="AV46" s="100">
        <v>22432.962790000001</v>
      </c>
      <c r="AW46">
        <v>21828.095519999999</v>
      </c>
    </row>
    <row r="47" spans="2:49" x14ac:dyDescent="0.25">
      <c r="B47" t="s">
        <v>348</v>
      </c>
      <c r="C47">
        <v>2.3360541304970401</v>
      </c>
      <c r="D47" s="100">
        <v>2.3735602351802898</v>
      </c>
      <c r="E47" s="100">
        <v>2.411668513</v>
      </c>
      <c r="F47">
        <v>4.1985735870000003</v>
      </c>
      <c r="G47">
        <v>7.3777739469999997</v>
      </c>
      <c r="H47">
        <v>12.476383950000001</v>
      </c>
      <c r="I47">
        <v>19.441653519999999</v>
      </c>
      <c r="J47">
        <v>28.925566610000001</v>
      </c>
      <c r="K47">
        <v>40.168986330000003</v>
      </c>
      <c r="L47">
        <v>54.459772149999999</v>
      </c>
      <c r="M47">
        <v>73.387484479999998</v>
      </c>
      <c r="N47" s="100">
        <v>96.117150150000001</v>
      </c>
      <c r="O47" s="100">
        <v>127.4111743</v>
      </c>
      <c r="P47" s="100">
        <v>170.69698059999999</v>
      </c>
      <c r="Q47" s="100">
        <v>228.0930765</v>
      </c>
      <c r="R47" s="100">
        <v>302.5880449</v>
      </c>
      <c r="S47" s="100">
        <v>395.27450429999999</v>
      </c>
      <c r="T47" s="100">
        <v>503.78177729999999</v>
      </c>
      <c r="U47" s="100">
        <v>644.93680289999998</v>
      </c>
      <c r="V47" s="100">
        <v>813.55283580000003</v>
      </c>
      <c r="W47" s="100">
        <v>1030.4758240000001</v>
      </c>
      <c r="X47" s="100">
        <v>1186.3623190000001</v>
      </c>
      <c r="Y47" s="100">
        <v>1460.945219</v>
      </c>
      <c r="Z47" s="100">
        <v>1818.7175629999999</v>
      </c>
      <c r="AA47" s="100">
        <v>2244.4721760000002</v>
      </c>
      <c r="AB47" s="100">
        <v>2729.9115940000002</v>
      </c>
      <c r="AC47" s="100">
        <v>3114.859516</v>
      </c>
      <c r="AD47" s="100">
        <v>3652.6376639999999</v>
      </c>
      <c r="AE47" s="100">
        <v>4246.1463709999998</v>
      </c>
      <c r="AF47" s="100">
        <v>4883.4433749999998</v>
      </c>
      <c r="AG47">
        <v>5555.852132</v>
      </c>
      <c r="AH47">
        <v>6085.4032820000002</v>
      </c>
      <c r="AI47">
        <v>6736.6413810000004</v>
      </c>
      <c r="AJ47">
        <v>7451.2760179999996</v>
      </c>
      <c r="AK47">
        <v>8196.3933730000008</v>
      </c>
      <c r="AL47">
        <v>8958.7950820000005</v>
      </c>
      <c r="AM47">
        <v>9731.6156379999902</v>
      </c>
      <c r="AN47">
        <v>10459.212</v>
      </c>
      <c r="AO47">
        <v>11164.2634</v>
      </c>
      <c r="AP47">
        <v>11856.22869</v>
      </c>
      <c r="AQ47">
        <v>12537.25611</v>
      </c>
      <c r="AR47">
        <v>13030.66584</v>
      </c>
      <c r="AS47">
        <v>13589.510759999999</v>
      </c>
      <c r="AT47">
        <v>14168.58006</v>
      </c>
      <c r="AU47">
        <v>14746.660029999999</v>
      </c>
      <c r="AV47">
        <v>15315.02432</v>
      </c>
      <c r="AW47">
        <v>15869.8084</v>
      </c>
    </row>
    <row r="48" spans="2:49" x14ac:dyDescent="0.25">
      <c r="B48" t="s">
        <v>349</v>
      </c>
      <c r="C48">
        <v>2.1906436884240502E-2</v>
      </c>
      <c r="D48" s="100">
        <v>2.2258151814254699E-2</v>
      </c>
      <c r="E48" s="100">
        <v>2.2615513600000001E-2</v>
      </c>
      <c r="F48">
        <v>2.4388332200000001E-2</v>
      </c>
      <c r="G48">
        <v>5.8671874700000001E-2</v>
      </c>
      <c r="H48">
        <v>9.6155563200000002E-2</v>
      </c>
      <c r="I48" s="100">
        <v>0.13575504790000001</v>
      </c>
      <c r="J48" s="100">
        <v>0.18924099929999999</v>
      </c>
      <c r="K48" s="100">
        <v>0.2382777432</v>
      </c>
      <c r="L48" s="100">
        <v>0.281396955</v>
      </c>
      <c r="M48" s="100">
        <v>0.32170987080000002</v>
      </c>
      <c r="N48" s="100">
        <v>0.34408751770000001</v>
      </c>
      <c r="O48" s="100">
        <v>0.36189726280000001</v>
      </c>
      <c r="P48" s="100">
        <v>0.37286083209999998</v>
      </c>
      <c r="Q48" s="100">
        <v>0.40433401159999999</v>
      </c>
      <c r="R48" s="100">
        <v>0.43961072289999997</v>
      </c>
      <c r="S48" s="100">
        <v>0.4998452357</v>
      </c>
      <c r="T48" s="100">
        <v>0.54887710639999998</v>
      </c>
      <c r="U48" s="100">
        <v>0.63119686330000002</v>
      </c>
      <c r="V48" s="100">
        <v>0.72230641480000002</v>
      </c>
      <c r="W48" s="100">
        <v>0.81821869160000005</v>
      </c>
      <c r="X48" s="100">
        <v>0.87028664759999996</v>
      </c>
      <c r="Y48" s="100">
        <v>0.94731423719999996</v>
      </c>
      <c r="Z48" s="100">
        <v>1.032159542</v>
      </c>
      <c r="AA48" s="100">
        <v>1.1187354220000001</v>
      </c>
      <c r="AB48" s="100">
        <v>1.204148129</v>
      </c>
      <c r="AC48" s="100">
        <v>1.2556041010000001</v>
      </c>
      <c r="AD48" s="100">
        <v>1.3241794739999999</v>
      </c>
      <c r="AE48" s="100">
        <v>1.3919052970000001</v>
      </c>
      <c r="AF48" s="100">
        <v>1.4576317029999999</v>
      </c>
      <c r="AG48" s="100">
        <v>1.5201845460000001</v>
      </c>
      <c r="AH48" s="100">
        <v>1.557781453</v>
      </c>
      <c r="AI48" s="100">
        <v>1.606031561</v>
      </c>
      <c r="AJ48" s="100">
        <v>1.657354056</v>
      </c>
      <c r="AK48" s="100">
        <v>1.7087361160000001</v>
      </c>
      <c r="AL48">
        <v>1.7590825489999999</v>
      </c>
      <c r="AM48">
        <v>1.8079522240000001</v>
      </c>
      <c r="AN48">
        <v>1.8509268919999999</v>
      </c>
      <c r="AO48">
        <v>1.890944948</v>
      </c>
      <c r="AP48">
        <v>1.9293059610000001</v>
      </c>
      <c r="AQ48">
        <v>1.966672803</v>
      </c>
      <c r="AR48">
        <v>1.9853867190000001</v>
      </c>
      <c r="AS48">
        <v>2.0114466489999998</v>
      </c>
      <c r="AT48">
        <v>2.040732228</v>
      </c>
      <c r="AU48">
        <v>2.0715034220000001</v>
      </c>
      <c r="AV48">
        <v>2.103004511</v>
      </c>
      <c r="AW48">
        <v>2.1349029810000002</v>
      </c>
    </row>
    <row r="49" spans="2:49" x14ac:dyDescent="0.25">
      <c r="B49" t="s">
        <v>350</v>
      </c>
      <c r="C49">
        <v>2298.5980133353301</v>
      </c>
      <c r="D49">
        <v>2335.5027479420201</v>
      </c>
      <c r="E49">
        <v>2373</v>
      </c>
      <c r="F49">
        <v>2446.6775899999998</v>
      </c>
      <c r="G49">
        <v>2424.2765530000001</v>
      </c>
      <c r="H49">
        <v>2660.3639440000002</v>
      </c>
      <c r="I49">
        <v>2598.8489709999999</v>
      </c>
      <c r="J49">
        <v>2542.822412</v>
      </c>
      <c r="K49">
        <v>2194.0678939999998</v>
      </c>
      <c r="L49">
        <v>2073.8249529999998</v>
      </c>
      <c r="M49">
        <v>2079.3430400000002</v>
      </c>
      <c r="N49">
        <v>1940.3869999999999</v>
      </c>
      <c r="O49">
        <v>2042.316</v>
      </c>
      <c r="P49">
        <v>2141.6280000000002</v>
      </c>
      <c r="Q49">
        <v>2203.7420000000002</v>
      </c>
      <c r="R49">
        <v>2240.3020000000001</v>
      </c>
      <c r="S49">
        <v>2210.0972230000002</v>
      </c>
      <c r="T49">
        <v>2084.8360039999998</v>
      </c>
      <c r="U49">
        <v>2199.2582649999999</v>
      </c>
      <c r="V49">
        <v>2170.6610230000001</v>
      </c>
      <c r="W49">
        <v>2274.7042879999999</v>
      </c>
      <c r="X49">
        <v>1540.0479849999999</v>
      </c>
      <c r="Y49">
        <v>2056.679083</v>
      </c>
      <c r="Z49">
        <v>2257.929412</v>
      </c>
      <c r="AA49">
        <v>2345.0507240000002</v>
      </c>
      <c r="AB49">
        <v>2386.6792289999999</v>
      </c>
      <c r="AC49">
        <v>1878.5053700000001</v>
      </c>
      <c r="AD49">
        <v>2241.8627379999998</v>
      </c>
      <c r="AE49">
        <v>2297.7821410000001</v>
      </c>
      <c r="AF49">
        <v>2330.6055369999999</v>
      </c>
      <c r="AG49">
        <v>2353.1904720000002</v>
      </c>
      <c r="AH49">
        <v>1976.4331970000001</v>
      </c>
      <c r="AI49">
        <v>2208.2774669999999</v>
      </c>
      <c r="AJ49">
        <v>2319.1373859999999</v>
      </c>
      <c r="AK49">
        <v>2369.7221260000001</v>
      </c>
      <c r="AL49">
        <v>2401.4577100000001</v>
      </c>
      <c r="AM49">
        <v>2426.4668849999998</v>
      </c>
      <c r="AN49">
        <v>2362.0767599999999</v>
      </c>
      <c r="AO49">
        <v>2342.452096</v>
      </c>
      <c r="AP49">
        <v>2343.0863049999998</v>
      </c>
      <c r="AQ49">
        <v>2350.787781</v>
      </c>
      <c r="AR49">
        <v>2069.672924</v>
      </c>
      <c r="AS49">
        <v>2194.5143159999998</v>
      </c>
      <c r="AT49">
        <v>2252.609829</v>
      </c>
      <c r="AU49">
        <v>2280.6354510000001</v>
      </c>
      <c r="AV49">
        <v>2297.1718000000001</v>
      </c>
      <c r="AW49">
        <v>2309.1660109999998</v>
      </c>
    </row>
    <row r="50" spans="2:49" x14ac:dyDescent="0.25">
      <c r="B50" t="s">
        <v>351</v>
      </c>
      <c r="C50">
        <v>2297.4487143286601</v>
      </c>
      <c r="D50">
        <v>2334.33499656805</v>
      </c>
      <c r="E50">
        <v>2371.8135000000002</v>
      </c>
      <c r="F50">
        <v>2444.7580429999998</v>
      </c>
      <c r="G50">
        <v>2420.8664309999999</v>
      </c>
      <c r="H50">
        <v>2654.8595559999999</v>
      </c>
      <c r="I50">
        <v>2591.1975000000002</v>
      </c>
      <c r="J50">
        <v>2532.2692069999998</v>
      </c>
      <c r="K50">
        <v>2181.2335680000001</v>
      </c>
      <c r="L50">
        <v>2057.324873</v>
      </c>
      <c r="M50">
        <v>2057.4200409999999</v>
      </c>
      <c r="N50">
        <v>1913.6210229999999</v>
      </c>
      <c r="O50">
        <v>2005.735533</v>
      </c>
      <c r="P50">
        <v>2091.9716349999999</v>
      </c>
      <c r="Q50">
        <v>2137.8110550000001</v>
      </c>
      <c r="R50">
        <v>2154.4023780000002</v>
      </c>
      <c r="S50">
        <v>2102.2813609999998</v>
      </c>
      <c r="T50">
        <v>1956.565006</v>
      </c>
      <c r="U50">
        <v>2030.115362</v>
      </c>
      <c r="V50">
        <v>1964.1075310000001</v>
      </c>
      <c r="W50">
        <v>2009.9252509999999</v>
      </c>
      <c r="X50">
        <v>1323.5452640000001</v>
      </c>
      <c r="Y50">
        <v>1712.310164</v>
      </c>
      <c r="Z50">
        <v>1814.2191150000001</v>
      </c>
      <c r="AA50">
        <v>1812.312725</v>
      </c>
      <c r="AB50">
        <v>1769.2120359999999</v>
      </c>
      <c r="AC50">
        <v>1332.9744129999999</v>
      </c>
      <c r="AD50">
        <v>1520.857559</v>
      </c>
      <c r="AE50">
        <v>1489.4123950000001</v>
      </c>
      <c r="AF50">
        <v>1443.535218</v>
      </c>
      <c r="AG50">
        <v>1393.52034</v>
      </c>
      <c r="AH50">
        <v>1120.067215</v>
      </c>
      <c r="AI50">
        <v>1199.0744689999999</v>
      </c>
      <c r="AJ50">
        <v>1208.2297269999999</v>
      </c>
      <c r="AK50">
        <v>1186.2944170000001</v>
      </c>
      <c r="AL50">
        <v>1156.9152140000001</v>
      </c>
      <c r="AM50">
        <v>1126.658383</v>
      </c>
      <c r="AN50">
        <v>1058.645154</v>
      </c>
      <c r="AO50">
        <v>1014.828557</v>
      </c>
      <c r="AP50" s="100">
        <v>982.60224210000001</v>
      </c>
      <c r="AQ50" s="100">
        <v>955.52972120000004</v>
      </c>
      <c r="AR50" s="100">
        <v>816.429483</v>
      </c>
      <c r="AS50" s="100">
        <v>841.11660629999994</v>
      </c>
      <c r="AT50" s="100">
        <v>839.82821460000002</v>
      </c>
      <c r="AU50">
        <v>827.95177249999995</v>
      </c>
      <c r="AV50">
        <v>812.86589649999996</v>
      </c>
      <c r="AW50">
        <v>797.19290430000001</v>
      </c>
    </row>
    <row r="51" spans="2:49" x14ac:dyDescent="0.25">
      <c r="B51" t="s">
        <v>352</v>
      </c>
      <c r="C51" s="100">
        <v>1.1492990066676601</v>
      </c>
      <c r="D51" s="100">
        <v>1.1677513739710099</v>
      </c>
      <c r="E51" s="100">
        <v>1.1865000000000001</v>
      </c>
      <c r="F51" s="100">
        <v>2.2810333319999998</v>
      </c>
      <c r="G51" s="100">
        <v>31.13735191</v>
      </c>
      <c r="H51" s="100">
        <v>35.594380909999998</v>
      </c>
      <c r="I51" s="100">
        <v>39.303213769999999</v>
      </c>
      <c r="J51" s="100">
        <v>53.528779049999997</v>
      </c>
      <c r="K51" s="100">
        <v>52.253014819999997</v>
      </c>
      <c r="L51" s="100">
        <v>49.422593829999997</v>
      </c>
      <c r="M51">
        <v>49.03651558</v>
      </c>
      <c r="N51">
        <v>35.145445760000001</v>
      </c>
      <c r="O51">
        <v>32.175831690000003</v>
      </c>
      <c r="P51">
        <v>25.372031100000001</v>
      </c>
      <c r="Q51">
        <v>43.997189259999999</v>
      </c>
      <c r="R51">
        <v>48.751617520000003</v>
      </c>
      <c r="S51">
        <v>72.398225929999995</v>
      </c>
      <c r="T51">
        <v>65.178341790000005</v>
      </c>
      <c r="U51">
        <v>99.481874989999994</v>
      </c>
      <c r="V51">
        <v>113.1412854</v>
      </c>
      <c r="W51">
        <v>122.1253571</v>
      </c>
      <c r="X51">
        <v>88.437272919999998</v>
      </c>
      <c r="Y51">
        <v>113.16754419999999</v>
      </c>
      <c r="Z51">
        <v>124.0774777</v>
      </c>
      <c r="AA51">
        <v>130.0255846</v>
      </c>
      <c r="AB51">
        <v>133.510221</v>
      </c>
      <c r="AC51">
        <v>107.9829074</v>
      </c>
      <c r="AD51">
        <v>125.778284</v>
      </c>
      <c r="AE51">
        <v>128.60183910000001</v>
      </c>
      <c r="AF51">
        <v>130.3661343</v>
      </c>
      <c r="AG51">
        <v>130.98815440000001</v>
      </c>
      <c r="AH51">
        <v>112.2080091</v>
      </c>
      <c r="AI51">
        <v>123.5790056</v>
      </c>
      <c r="AJ51">
        <v>128.80821220000001</v>
      </c>
      <c r="AK51">
        <v>131.5366042</v>
      </c>
      <c r="AL51">
        <v>133.3002487</v>
      </c>
      <c r="AM51">
        <v>134.61979719999999</v>
      </c>
      <c r="AN51" s="100">
        <v>132.51618439999999</v>
      </c>
      <c r="AO51" s="100">
        <v>132.7350903</v>
      </c>
      <c r="AP51" s="100">
        <v>133.97925269999999</v>
      </c>
      <c r="AQ51" s="100">
        <v>135.7534095</v>
      </c>
      <c r="AR51" s="100">
        <v>121.898679</v>
      </c>
      <c r="AS51" s="100">
        <v>130.04899080000001</v>
      </c>
      <c r="AT51">
        <v>134.97667910000001</v>
      </c>
      <c r="AU51">
        <v>138.5682118</v>
      </c>
      <c r="AV51">
        <v>141.60148659999999</v>
      </c>
      <c r="AW51">
        <v>144.41083029999999</v>
      </c>
    </row>
    <row r="52" spans="2:49" x14ac:dyDescent="0.25">
      <c r="B52" t="s">
        <v>353</v>
      </c>
      <c r="C52">
        <v>413.74764240035898</v>
      </c>
      <c r="D52">
        <v>420.39049462956399</v>
      </c>
      <c r="E52">
        <v>427.14</v>
      </c>
      <c r="F52">
        <v>439.57932310000001</v>
      </c>
      <c r="G52">
        <v>446.17975710000002</v>
      </c>
      <c r="H52">
        <v>496.40642730000002</v>
      </c>
      <c r="I52">
        <v>483.59693299999998</v>
      </c>
      <c r="J52">
        <v>476.11004550000001</v>
      </c>
      <c r="K52">
        <v>409.97765170000002</v>
      </c>
      <c r="L52">
        <v>387.25260730000002</v>
      </c>
      <c r="M52">
        <v>388.7012302</v>
      </c>
      <c r="N52">
        <v>364.65777910000003</v>
      </c>
      <c r="O52">
        <v>382.57172420000001</v>
      </c>
      <c r="P52">
        <v>393.32294200000001</v>
      </c>
      <c r="Q52">
        <v>408.5628974</v>
      </c>
      <c r="R52">
        <v>414.2402525</v>
      </c>
      <c r="S52">
        <v>420.13596050000001</v>
      </c>
      <c r="T52">
        <v>386.18445860000003</v>
      </c>
      <c r="U52">
        <v>419.13526510000003</v>
      </c>
      <c r="V52">
        <v>412.69631570000001</v>
      </c>
      <c r="W52">
        <v>424.67763350000001</v>
      </c>
      <c r="X52">
        <v>282.77243349999998</v>
      </c>
      <c r="Y52">
        <v>365.1724481</v>
      </c>
      <c r="Z52">
        <v>387.96997809999999</v>
      </c>
      <c r="AA52">
        <v>389.32397470000001</v>
      </c>
      <c r="AB52">
        <v>381.93678949999997</v>
      </c>
      <c r="AC52">
        <v>290.02547499999997</v>
      </c>
      <c r="AD52">
        <v>331.17960429999999</v>
      </c>
      <c r="AE52">
        <v>325.44564589999999</v>
      </c>
      <c r="AF52">
        <v>316.61464319999999</v>
      </c>
      <c r="AG52">
        <v>306.55807920000001</v>
      </c>
      <c r="AH52">
        <v>247.8530375</v>
      </c>
      <c r="AI52">
        <v>265.77859749999999</v>
      </c>
      <c r="AJ52">
        <v>268.49421919999997</v>
      </c>
      <c r="AK52">
        <v>264.51480450000003</v>
      </c>
      <c r="AL52">
        <v>258.81055529999998</v>
      </c>
      <c r="AM52">
        <v>252.7924792</v>
      </c>
      <c r="AN52">
        <v>238.40736340000001</v>
      </c>
      <c r="AO52" s="100">
        <v>229.276115</v>
      </c>
      <c r="AP52" s="100">
        <v>222.60491590000001</v>
      </c>
      <c r="AQ52" s="100">
        <v>217.02036820000001</v>
      </c>
      <c r="AR52" s="100">
        <v>186.09410879999999</v>
      </c>
      <c r="AS52" s="100">
        <v>191.82920870000001</v>
      </c>
      <c r="AT52">
        <v>191.6854184</v>
      </c>
      <c r="AU52">
        <v>189.1072025</v>
      </c>
      <c r="AV52">
        <v>185.7169911</v>
      </c>
      <c r="AW52">
        <v>182.09798319999999</v>
      </c>
    </row>
    <row r="53" spans="2:49" x14ac:dyDescent="0.25">
      <c r="B53" t="s">
        <v>354</v>
      </c>
      <c r="C53">
        <v>652.80183578723302</v>
      </c>
      <c r="D53">
        <v>663.28278041553403</v>
      </c>
      <c r="E53">
        <v>673.93200000000002</v>
      </c>
      <c r="F53">
        <v>694.19436810000002</v>
      </c>
      <c r="G53">
        <v>683.92864489999999</v>
      </c>
      <c r="H53">
        <v>752.90754089999996</v>
      </c>
      <c r="I53">
        <v>733.98395100000005</v>
      </c>
      <c r="J53">
        <v>717.08586209999999</v>
      </c>
      <c r="K53">
        <v>616.93317690000003</v>
      </c>
      <c r="L53">
        <v>581.96319100000005</v>
      </c>
      <c r="M53">
        <v>582.60413419999998</v>
      </c>
      <c r="N53">
        <v>554.23158679999995</v>
      </c>
      <c r="O53">
        <v>581.7621504</v>
      </c>
      <c r="P53">
        <v>606.04137109999999</v>
      </c>
      <c r="Q53">
        <v>620.24709089999999</v>
      </c>
      <c r="R53">
        <v>626.94042620000005</v>
      </c>
      <c r="S53">
        <v>619.69470539999998</v>
      </c>
      <c r="T53">
        <v>575.54698540000004</v>
      </c>
      <c r="U53">
        <v>602.67544129999999</v>
      </c>
      <c r="V53">
        <v>582.42943379999997</v>
      </c>
      <c r="W53">
        <v>595.5533428</v>
      </c>
      <c r="X53">
        <v>391.54569889999999</v>
      </c>
      <c r="Y53">
        <v>506.60595929999999</v>
      </c>
      <c r="Z53">
        <v>536.21960379999996</v>
      </c>
      <c r="AA53">
        <v>534.90741839999998</v>
      </c>
      <c r="AB53">
        <v>521.31912690000001</v>
      </c>
      <c r="AC53">
        <v>391.77330280000001</v>
      </c>
      <c r="AD53">
        <v>446.49103229999997</v>
      </c>
      <c r="AE53">
        <v>436.31739640000001</v>
      </c>
      <c r="AF53">
        <v>421.85153350000002</v>
      </c>
      <c r="AG53">
        <v>406.2454644</v>
      </c>
      <c r="AH53">
        <v>325.18337960000002</v>
      </c>
      <c r="AI53">
        <v>347.3680359</v>
      </c>
      <c r="AJ53">
        <v>349.09233999999998</v>
      </c>
      <c r="AK53">
        <v>341.63964229999999</v>
      </c>
      <c r="AL53">
        <v>332.03004800000002</v>
      </c>
      <c r="AM53">
        <v>322.20312130000002</v>
      </c>
      <c r="AN53">
        <v>301.2612762</v>
      </c>
      <c r="AO53" s="100">
        <v>287.3171992</v>
      </c>
      <c r="AP53" s="100">
        <v>276.72486600000002</v>
      </c>
      <c r="AQ53" s="100">
        <v>267.5792859</v>
      </c>
      <c r="AR53" s="100">
        <v>226.9275724</v>
      </c>
      <c r="AS53" s="100">
        <v>232.4507255</v>
      </c>
      <c r="AT53">
        <v>230.52431659999999</v>
      </c>
      <c r="AU53">
        <v>225.5380333</v>
      </c>
      <c r="AV53">
        <v>219.64146220000001</v>
      </c>
      <c r="AW53">
        <v>213.58566300000001</v>
      </c>
    </row>
    <row r="54" spans="2:49" x14ac:dyDescent="0.25">
      <c r="B54" t="s">
        <v>355</v>
      </c>
      <c r="C54">
        <v>643.60744373389196</v>
      </c>
      <c r="D54">
        <v>653.94076942376603</v>
      </c>
      <c r="E54">
        <v>664.44</v>
      </c>
      <c r="F54">
        <v>684.51478399999996</v>
      </c>
      <c r="G54">
        <v>672.94783399999994</v>
      </c>
      <c r="H54">
        <v>738.878604</v>
      </c>
      <c r="I54">
        <v>720.06948460000001</v>
      </c>
      <c r="J54">
        <v>701.04728469999998</v>
      </c>
      <c r="K54">
        <v>602.53760109999996</v>
      </c>
      <c r="L54">
        <v>568.15623730000004</v>
      </c>
      <c r="M54">
        <v>568.45136820000005</v>
      </c>
      <c r="N54">
        <v>532.24571089999995</v>
      </c>
      <c r="O54">
        <v>559.50966860000005</v>
      </c>
      <c r="P54">
        <v>585.70281269999998</v>
      </c>
      <c r="Q54">
        <v>592.4931259</v>
      </c>
      <c r="R54">
        <v>600.5814924</v>
      </c>
      <c r="S54">
        <v>580.85251319999998</v>
      </c>
      <c r="T54">
        <v>553.20934380000006</v>
      </c>
      <c r="U54">
        <v>568.82323940000003</v>
      </c>
      <c r="V54">
        <v>544.55404729999998</v>
      </c>
      <c r="W54">
        <v>554.9850927</v>
      </c>
      <c r="X54">
        <v>362.46248059999999</v>
      </c>
      <c r="Y54">
        <v>469.42393679999998</v>
      </c>
      <c r="Z54">
        <v>495.82256100000001</v>
      </c>
      <c r="AA54">
        <v>492.9985135</v>
      </c>
      <c r="AB54">
        <v>478.733521</v>
      </c>
      <c r="AC54">
        <v>357.7293416</v>
      </c>
      <c r="AD54">
        <v>407.18967240000001</v>
      </c>
      <c r="AE54">
        <v>396.62726529999998</v>
      </c>
      <c r="AF54">
        <v>382.10720220000002</v>
      </c>
      <c r="AG54">
        <v>366.80248130000001</v>
      </c>
      <c r="AH54">
        <v>291.93421430000001</v>
      </c>
      <c r="AI54">
        <v>311.12944279999999</v>
      </c>
      <c r="AJ54">
        <v>311.71861380000001</v>
      </c>
      <c r="AK54">
        <v>303.89512120000001</v>
      </c>
      <c r="AL54">
        <v>294.20287860000002</v>
      </c>
      <c r="AM54">
        <v>284.42330650000002</v>
      </c>
      <c r="AN54">
        <v>264.6195692</v>
      </c>
      <c r="AO54" s="100">
        <v>251.1623338</v>
      </c>
      <c r="AP54" s="100">
        <v>240.78656520000001</v>
      </c>
      <c r="AQ54" s="100">
        <v>231.7388148</v>
      </c>
      <c r="AR54" s="100">
        <v>195.32558800000001</v>
      </c>
      <c r="AS54" s="100">
        <v>199.3412988</v>
      </c>
      <c r="AT54">
        <v>196.83450060000001</v>
      </c>
      <c r="AU54">
        <v>191.67814379999999</v>
      </c>
      <c r="AV54">
        <v>185.799452</v>
      </c>
      <c r="AW54">
        <v>179.86036089999999</v>
      </c>
    </row>
    <row r="55" spans="2:49" x14ac:dyDescent="0.25">
      <c r="B55" t="s">
        <v>356</v>
      </c>
      <c r="C55">
        <v>413.74764240035898</v>
      </c>
      <c r="D55">
        <v>420.39049462956399</v>
      </c>
      <c r="E55">
        <v>427.14</v>
      </c>
      <c r="F55">
        <v>440.38584090000001</v>
      </c>
      <c r="G55">
        <v>424.61564320000002</v>
      </c>
      <c r="H55">
        <v>461.6275794</v>
      </c>
      <c r="I55">
        <v>449.89161419999999</v>
      </c>
      <c r="J55">
        <v>434.0024583</v>
      </c>
      <c r="K55">
        <v>372.33417659999998</v>
      </c>
      <c r="L55">
        <v>355.87818540000001</v>
      </c>
      <c r="M55">
        <v>355.28422490000003</v>
      </c>
      <c r="N55">
        <v>324.18554599999999</v>
      </c>
      <c r="O55">
        <v>341.83528159999997</v>
      </c>
      <c r="P55">
        <v>355.6054365</v>
      </c>
      <c r="Q55">
        <v>353.52463110000002</v>
      </c>
      <c r="R55">
        <v>351.78321990000001</v>
      </c>
      <c r="S55">
        <v>320.48763020000001</v>
      </c>
      <c r="T55">
        <v>319.62484230000001</v>
      </c>
      <c r="U55">
        <v>300.46399639999998</v>
      </c>
      <c r="V55">
        <v>279.09586999999999</v>
      </c>
      <c r="W55">
        <v>281.552414</v>
      </c>
      <c r="X55">
        <v>180.196338</v>
      </c>
      <c r="Y55">
        <v>234.07005950000001</v>
      </c>
      <c r="Z55">
        <v>245.7498875</v>
      </c>
      <c r="AA55">
        <v>242.0606046</v>
      </c>
      <c r="AB55">
        <v>232.6426227</v>
      </c>
      <c r="AC55">
        <v>171.0817739</v>
      </c>
      <c r="AD55">
        <v>194.1403579</v>
      </c>
      <c r="AE55">
        <v>187.50719459999999</v>
      </c>
      <c r="AF55">
        <v>178.97858110000001</v>
      </c>
      <c r="AG55">
        <v>170.4482989</v>
      </c>
      <c r="AH55">
        <v>133.74520960000001</v>
      </c>
      <c r="AI55">
        <v>141.7793618</v>
      </c>
      <c r="AJ55">
        <v>141.0448203</v>
      </c>
      <c r="AK55">
        <v>136.30598520000001</v>
      </c>
      <c r="AL55">
        <v>130.8337823</v>
      </c>
      <c r="AM55">
        <v>125.47913490000001</v>
      </c>
      <c r="AN55" s="100">
        <v>115.5737599</v>
      </c>
      <c r="AO55" s="100">
        <v>108.69546800000001</v>
      </c>
      <c r="AP55" s="100">
        <v>103.3473013</v>
      </c>
      <c r="AQ55" s="100">
        <v>98.687686639999995</v>
      </c>
      <c r="AR55" s="100">
        <v>82.385175270000005</v>
      </c>
      <c r="AS55" s="100">
        <v>83.675875090000005</v>
      </c>
      <c r="AT55">
        <v>82.192484800000003</v>
      </c>
      <c r="AU55">
        <v>79.637476500000005</v>
      </c>
      <c r="AV55">
        <v>76.867129199999894</v>
      </c>
      <c r="AW55">
        <v>74.162314390000006</v>
      </c>
    </row>
    <row r="56" spans="2:49" x14ac:dyDescent="0.25">
      <c r="B56" t="s">
        <v>357</v>
      </c>
      <c r="C56">
        <v>137.915880800119</v>
      </c>
      <c r="D56">
        <v>140.13016487652101</v>
      </c>
      <c r="E56">
        <v>142.38</v>
      </c>
      <c r="F56">
        <v>147.1520405</v>
      </c>
      <c r="G56">
        <v>133.5395762</v>
      </c>
      <c r="H56">
        <v>140.67883570000001</v>
      </c>
      <c r="I56">
        <v>137.10240690000001</v>
      </c>
      <c r="J56">
        <v>128.34998139999999</v>
      </c>
      <c r="K56">
        <v>109.4267868</v>
      </c>
      <c r="L56">
        <v>101.4914694</v>
      </c>
      <c r="M56">
        <v>100.50890510000001</v>
      </c>
      <c r="N56">
        <v>88.227292489999996</v>
      </c>
      <c r="O56">
        <v>92.715163090000004</v>
      </c>
      <c r="P56">
        <v>104.8616502</v>
      </c>
      <c r="Q56">
        <v>101.3026437</v>
      </c>
      <c r="R56">
        <v>97.927396450000003</v>
      </c>
      <c r="S56">
        <v>79.557652020000006</v>
      </c>
      <c r="T56">
        <v>54.151366039999999</v>
      </c>
      <c r="U56">
        <v>39.535545800000001</v>
      </c>
      <c r="V56">
        <v>32.19057892</v>
      </c>
      <c r="W56">
        <v>31.031411210000002</v>
      </c>
      <c r="X56">
        <v>18.131036569999999</v>
      </c>
      <c r="Y56">
        <v>23.870215559999998</v>
      </c>
      <c r="Z56">
        <v>24.379606840000001</v>
      </c>
      <c r="AA56">
        <v>22.99662897</v>
      </c>
      <c r="AB56">
        <v>21.069754440000001</v>
      </c>
      <c r="AC56">
        <v>14.38161187</v>
      </c>
      <c r="AD56">
        <v>16.078609539999999</v>
      </c>
      <c r="AE56">
        <v>14.91305371</v>
      </c>
      <c r="AF56">
        <v>13.617123400000001</v>
      </c>
      <c r="AG56">
        <v>12.477862139999999</v>
      </c>
      <c r="AH56">
        <v>9.1433647029999996</v>
      </c>
      <c r="AI56">
        <v>9.4400242849999998</v>
      </c>
      <c r="AJ56">
        <v>9.0715215130000004</v>
      </c>
      <c r="AK56">
        <v>8.4022595199999994</v>
      </c>
      <c r="AL56">
        <v>7.7377014099999997</v>
      </c>
      <c r="AM56" s="100">
        <v>7.1405439380000004</v>
      </c>
      <c r="AN56" s="100">
        <v>6.2670013469999999</v>
      </c>
      <c r="AO56" s="100">
        <v>5.6423508260000004</v>
      </c>
      <c r="AP56" s="100">
        <v>5.1593410940000002</v>
      </c>
      <c r="AQ56" s="100">
        <v>4.7501560840000003</v>
      </c>
      <c r="AR56" s="100">
        <v>3.7983591329999999</v>
      </c>
      <c r="AS56">
        <v>3.770507319</v>
      </c>
      <c r="AT56">
        <v>3.6148150499999998</v>
      </c>
      <c r="AU56">
        <v>3.422704505</v>
      </c>
      <c r="AV56">
        <v>3.2393755190000002</v>
      </c>
      <c r="AW56">
        <v>3.0757526039999998</v>
      </c>
    </row>
    <row r="57" spans="2:49" x14ac:dyDescent="0.25">
      <c r="B57" t="s">
        <v>358</v>
      </c>
      <c r="C57">
        <v>34.478970200029899</v>
      </c>
      <c r="D57">
        <v>35.032541219130302</v>
      </c>
      <c r="E57">
        <v>35.594999999999999</v>
      </c>
      <c r="F57">
        <v>36.650653490000003</v>
      </c>
      <c r="G57">
        <v>28.517623960000002</v>
      </c>
      <c r="H57" s="100">
        <v>28.766187949999999</v>
      </c>
      <c r="I57">
        <v>27.249896490000001</v>
      </c>
      <c r="J57">
        <v>22.144796500000002</v>
      </c>
      <c r="K57">
        <v>17.771160519999999</v>
      </c>
      <c r="L57">
        <v>13.160589079999999</v>
      </c>
      <c r="M57">
        <v>12.83366243</v>
      </c>
      <c r="N57">
        <v>14.927661649999999</v>
      </c>
      <c r="O57">
        <v>15.165713009999999</v>
      </c>
      <c r="P57">
        <v>21.065391420000001</v>
      </c>
      <c r="Q57">
        <v>17.683476800000001</v>
      </c>
      <c r="R57">
        <v>14.177972690000001</v>
      </c>
      <c r="S57">
        <v>9.1546741120000004</v>
      </c>
      <c r="T57">
        <v>2.6696679670000001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 s="100">
        <v>0</v>
      </c>
      <c r="AM57" s="100">
        <v>0</v>
      </c>
      <c r="AN57" s="100">
        <v>0</v>
      </c>
      <c r="AO57" s="100">
        <v>0</v>
      </c>
      <c r="AP57" s="100">
        <v>0</v>
      </c>
      <c r="AQ57" s="100">
        <v>0</v>
      </c>
      <c r="AR57">
        <v>0</v>
      </c>
      <c r="AS57">
        <v>0</v>
      </c>
      <c r="AT57">
        <v>0</v>
      </c>
      <c r="AU57">
        <v>0</v>
      </c>
      <c r="AV57">
        <v>0</v>
      </c>
      <c r="AW57">
        <v>0</v>
      </c>
    </row>
    <row r="58" spans="2:49" x14ac:dyDescent="0.25">
      <c r="B58" t="s">
        <v>359</v>
      </c>
      <c r="C58" s="100">
        <v>1.1492990066676601</v>
      </c>
      <c r="D58" s="100">
        <v>1.1677513739710099</v>
      </c>
      <c r="E58" s="100">
        <v>1.1865000000000001</v>
      </c>
      <c r="F58" s="100">
        <v>1.919546843</v>
      </c>
      <c r="G58" s="100">
        <v>3.4101219079999998</v>
      </c>
      <c r="H58" s="100">
        <v>5.5043875680000003</v>
      </c>
      <c r="I58">
        <v>7.6514706849999996</v>
      </c>
      <c r="J58">
        <v>10.553204040000001</v>
      </c>
      <c r="K58" s="100">
        <v>12.83432588</v>
      </c>
      <c r="L58" s="100">
        <v>16.500080069999999</v>
      </c>
      <c r="M58">
        <v>21.922999799999999</v>
      </c>
      <c r="N58">
        <v>26.76597731</v>
      </c>
      <c r="O58">
        <v>36.580467409999997</v>
      </c>
      <c r="P58">
        <v>49.656365000000001</v>
      </c>
      <c r="Q58">
        <v>65.930944909999994</v>
      </c>
      <c r="R58">
        <v>85.899622280000003</v>
      </c>
      <c r="S58">
        <v>107.81586160000001</v>
      </c>
      <c r="T58">
        <v>128.27099820000001</v>
      </c>
      <c r="U58">
        <v>169.14290220000001</v>
      </c>
      <c r="V58">
        <v>206.55349179999999</v>
      </c>
      <c r="W58">
        <v>264.77903709999998</v>
      </c>
      <c r="X58">
        <v>216.50272079999999</v>
      </c>
      <c r="Y58">
        <v>344.36891919999999</v>
      </c>
      <c r="Z58">
        <v>443.71029750000002</v>
      </c>
      <c r="AA58">
        <v>532.73799899999995</v>
      </c>
      <c r="AB58">
        <v>617.46719310000003</v>
      </c>
      <c r="AC58">
        <v>545.53095719999999</v>
      </c>
      <c r="AD58">
        <v>721.00517820000005</v>
      </c>
      <c r="AE58">
        <v>808.36974569999995</v>
      </c>
      <c r="AF58">
        <v>887.07031940000002</v>
      </c>
      <c r="AG58">
        <v>959.67013229999998</v>
      </c>
      <c r="AH58">
        <v>856.36598179999999</v>
      </c>
      <c r="AI58">
        <v>1009.202998</v>
      </c>
      <c r="AJ58">
        <v>1110.907659</v>
      </c>
      <c r="AK58">
        <v>1183.427709</v>
      </c>
      <c r="AL58">
        <v>1244.542496</v>
      </c>
      <c r="AM58">
        <v>1299.8085020000001</v>
      </c>
      <c r="AN58">
        <v>1303.431605</v>
      </c>
      <c r="AO58">
        <v>1327.6235389999999</v>
      </c>
      <c r="AP58">
        <v>1360.4840630000001</v>
      </c>
      <c r="AQ58">
        <v>1395.2580599999999</v>
      </c>
      <c r="AR58">
        <v>1253.2434410000001</v>
      </c>
      <c r="AS58">
        <v>1353.3977090000001</v>
      </c>
      <c r="AT58">
        <v>1412.781614</v>
      </c>
      <c r="AU58">
        <v>1452.683679</v>
      </c>
      <c r="AV58">
        <v>1484.3059040000001</v>
      </c>
      <c r="AW58">
        <v>1511.9731059999999</v>
      </c>
    </row>
    <row r="59" spans="2:49" x14ac:dyDescent="0.25">
      <c r="B59" t="s">
        <v>360</v>
      </c>
      <c r="C59" s="100">
        <v>3.4228836395600501E-3</v>
      </c>
      <c r="D59" s="100">
        <v>3.4778391435562701E-3</v>
      </c>
      <c r="E59" s="100">
        <v>3.5336769799999999E-3</v>
      </c>
      <c r="F59" s="100">
        <v>4.6211562400000003E-3</v>
      </c>
      <c r="G59" s="100">
        <v>1.0827569699999999E-2</v>
      </c>
      <c r="H59" s="100">
        <v>3.45479863E-2</v>
      </c>
      <c r="I59" s="100">
        <v>5.5343164E-2</v>
      </c>
      <c r="J59" s="100">
        <v>8.4017915700000001E-2</v>
      </c>
      <c r="K59" s="100">
        <v>0.104564978</v>
      </c>
      <c r="L59" s="100">
        <v>0.14747493349999999</v>
      </c>
      <c r="M59">
        <v>0.22878149249999999</v>
      </c>
      <c r="N59">
        <v>0.30731591940000003</v>
      </c>
      <c r="O59">
        <v>0.44806496070000001</v>
      </c>
      <c r="P59">
        <v>0.26615098399999998</v>
      </c>
      <c r="Q59">
        <v>0.42901682029999999</v>
      </c>
      <c r="R59">
        <v>0.71555201199999996</v>
      </c>
      <c r="S59">
        <v>1.133702628</v>
      </c>
      <c r="T59">
        <v>1.6799285429999999</v>
      </c>
      <c r="U59">
        <v>4.1421471939999996</v>
      </c>
      <c r="V59">
        <v>6.7132921919999999</v>
      </c>
      <c r="W59">
        <v>9.1815872049999996</v>
      </c>
      <c r="X59">
        <v>8.695857298</v>
      </c>
      <c r="Y59">
        <v>13.57991249</v>
      </c>
      <c r="Z59">
        <v>18.298160360000001</v>
      </c>
      <c r="AA59">
        <v>23.23271621</v>
      </c>
      <c r="AB59">
        <v>28.476384159999999</v>
      </c>
      <c r="AC59">
        <v>27.566778450000001</v>
      </c>
      <c r="AD59">
        <v>36.959562759999997</v>
      </c>
      <c r="AE59">
        <v>43.469372389999997</v>
      </c>
      <c r="AF59">
        <v>49.975519290000001</v>
      </c>
      <c r="AG59">
        <v>56.665409250000003</v>
      </c>
      <c r="AH59">
        <v>54.156707990000001</v>
      </c>
      <c r="AI59">
        <v>65.371721600000001</v>
      </c>
      <c r="AJ59">
        <v>74.789991240000006</v>
      </c>
      <c r="AK59">
        <v>83.129748079999999</v>
      </c>
      <c r="AL59">
        <v>91.1907839</v>
      </c>
      <c r="AM59">
        <v>99.224051209999999</v>
      </c>
      <c r="AN59">
        <v>104.85494490000001</v>
      </c>
      <c r="AO59">
        <v>112.0296804</v>
      </c>
      <c r="AP59">
        <v>120.139859</v>
      </c>
      <c r="AQ59">
        <v>128.74546129999999</v>
      </c>
      <c r="AR59">
        <v>122.4104593</v>
      </c>
      <c r="AS59">
        <v>136.43861329999999</v>
      </c>
      <c r="AT59">
        <v>147.93980110000001</v>
      </c>
      <c r="AU59">
        <v>158.2565851</v>
      </c>
      <c r="AV59">
        <v>168.1757896</v>
      </c>
      <c r="AW59">
        <v>178.05892470000001</v>
      </c>
    </row>
    <row r="60" spans="2:49" x14ac:dyDescent="0.25">
      <c r="B60" t="s">
        <v>361</v>
      </c>
      <c r="C60" s="100">
        <v>7.8463024968376607E-3</v>
      </c>
      <c r="D60" s="100">
        <v>7.9722774213828399E-3</v>
      </c>
      <c r="E60" s="100">
        <v>8.10027491E-3</v>
      </c>
      <c r="F60" s="100">
        <v>1.23496748E-2</v>
      </c>
      <c r="G60" s="100">
        <v>2.37431112E-2</v>
      </c>
      <c r="H60" s="100">
        <v>5.0003853199999997E-2</v>
      </c>
      <c r="I60" s="100">
        <v>7.4479436800000007E-2</v>
      </c>
      <c r="J60" s="100">
        <v>0.1078666435</v>
      </c>
      <c r="K60" s="100">
        <v>0.13278669200000001</v>
      </c>
      <c r="L60" s="100">
        <v>0.1794665111</v>
      </c>
      <c r="M60">
        <v>0.26039054709999998</v>
      </c>
      <c r="N60">
        <v>0.33652731629999999</v>
      </c>
      <c r="O60">
        <v>0.47851914039999999</v>
      </c>
      <c r="P60">
        <v>0.42007985479999999</v>
      </c>
      <c r="Q60">
        <v>0.60928056350000004</v>
      </c>
      <c r="R60">
        <v>0.89928531290000002</v>
      </c>
      <c r="S60">
        <v>1.286292682</v>
      </c>
      <c r="T60">
        <v>1.7497932890000001</v>
      </c>
      <c r="U60">
        <v>3.5491134710000001</v>
      </c>
      <c r="V60">
        <v>5.3569609060000003</v>
      </c>
      <c r="W60">
        <v>7.2147216700000003</v>
      </c>
      <c r="X60">
        <v>6.6036678630000001</v>
      </c>
      <c r="Y60">
        <v>10.35631624</v>
      </c>
      <c r="Z60">
        <v>13.811759840000001</v>
      </c>
      <c r="AA60">
        <v>17.3133634</v>
      </c>
      <c r="AB60">
        <v>20.951265500000002</v>
      </c>
      <c r="AC60">
        <v>19.860631250000001</v>
      </c>
      <c r="AD60">
        <v>26.539701350000001</v>
      </c>
      <c r="AE60">
        <v>30.86906767</v>
      </c>
      <c r="AF60">
        <v>35.103506109999998</v>
      </c>
      <c r="AG60">
        <v>39.360757599999999</v>
      </c>
      <c r="AH60">
        <v>36.99797796</v>
      </c>
      <c r="AI60">
        <v>44.396174479999999</v>
      </c>
      <c r="AJ60">
        <v>50.304733820000003</v>
      </c>
      <c r="AK60">
        <v>55.311687859999999</v>
      </c>
      <c r="AL60">
        <v>60.011184280000002</v>
      </c>
      <c r="AM60">
        <v>64.586979540000002</v>
      </c>
      <c r="AN60">
        <v>67.275526839999998</v>
      </c>
      <c r="AO60">
        <v>70.908246309999996</v>
      </c>
      <c r="AP60">
        <v>75.031571040000003</v>
      </c>
      <c r="AQ60">
        <v>79.337289420000005</v>
      </c>
      <c r="AR60">
        <v>74.083970530000002</v>
      </c>
      <c r="AS60">
        <v>81.718196460000001</v>
      </c>
      <c r="AT60">
        <v>87.469805570000005</v>
      </c>
      <c r="AU60">
        <v>92.274556590000003</v>
      </c>
      <c r="AV60">
        <v>96.660083729999997</v>
      </c>
      <c r="AW60">
        <v>100.84865929999999</v>
      </c>
    </row>
    <row r="61" spans="2:49" x14ac:dyDescent="0.25">
      <c r="B61" t="s">
        <v>362</v>
      </c>
      <c r="C61" s="100">
        <v>3.2122446463563603E-2</v>
      </c>
      <c r="D61" s="100">
        <v>3.2638182731835802E-2</v>
      </c>
      <c r="E61" s="100">
        <v>3.31621993E-2</v>
      </c>
      <c r="F61" s="100">
        <v>5.3329234000000003E-2</v>
      </c>
      <c r="G61" s="100">
        <v>9.5507253599999994E-2</v>
      </c>
      <c r="H61" s="100">
        <v>0.1590071844</v>
      </c>
      <c r="I61" s="100">
        <v>0.2230396435</v>
      </c>
      <c r="J61" s="100">
        <v>0.30935464499999998</v>
      </c>
      <c r="K61" s="100">
        <v>0.37681533230000003</v>
      </c>
      <c r="L61" s="100">
        <v>0.48765043930000002</v>
      </c>
      <c r="M61">
        <v>0.65582741909999998</v>
      </c>
      <c r="N61">
        <v>0.80728158559999996</v>
      </c>
      <c r="O61">
        <v>1.109769091</v>
      </c>
      <c r="P61">
        <v>1.421750906</v>
      </c>
      <c r="Q61">
        <v>1.908769369</v>
      </c>
      <c r="R61">
        <v>2.5258942869999998</v>
      </c>
      <c r="S61">
        <v>3.2273481629999998</v>
      </c>
      <c r="T61">
        <v>3.916145582</v>
      </c>
      <c r="U61">
        <v>5.5465027080000002</v>
      </c>
      <c r="V61">
        <v>7.0262277539999998</v>
      </c>
      <c r="W61">
        <v>9.0809696970000005</v>
      </c>
      <c r="X61">
        <v>7.556568189</v>
      </c>
      <c r="Y61">
        <v>11.99449802</v>
      </c>
      <c r="Z61" s="100">
        <v>15.531993740000001</v>
      </c>
      <c r="AA61">
        <v>18.757971900000001</v>
      </c>
      <c r="AB61">
        <v>21.857796610000001</v>
      </c>
      <c r="AC61">
        <v>19.453109449999999</v>
      </c>
      <c r="AD61">
        <v>25.734956520000001</v>
      </c>
      <c r="AE61">
        <v>28.932944679999999</v>
      </c>
      <c r="AF61">
        <v>31.812069319999999</v>
      </c>
      <c r="AG61">
        <v>34.455116799999999</v>
      </c>
      <c r="AH61">
        <v>30.743797820000001</v>
      </c>
      <c r="AI61">
        <v>36.209455630000001</v>
      </c>
      <c r="AJ61">
        <v>39.793687890000001</v>
      </c>
      <c r="AK61">
        <v>42.269905540000003</v>
      </c>
      <c r="AL61">
        <v>44.270819979999999</v>
      </c>
      <c r="AM61">
        <v>45.991349450000001</v>
      </c>
      <c r="AN61">
        <v>45.707239909999998</v>
      </c>
      <c r="AO61">
        <v>46.064269430000003</v>
      </c>
      <c r="AP61">
        <v>46.616383509999999</v>
      </c>
      <c r="AQ61">
        <v>47.110121120000002</v>
      </c>
      <c r="AR61">
        <v>41.337470000000003</v>
      </c>
      <c r="AS61">
        <v>43.95881782</v>
      </c>
      <c r="AT61">
        <v>44.929766020000002</v>
      </c>
      <c r="AU61">
        <v>45.042824420000002</v>
      </c>
      <c r="AV61">
        <v>44.707416109999997</v>
      </c>
      <c r="AW61">
        <v>44.069102059999999</v>
      </c>
    </row>
    <row r="62" spans="2:49" x14ac:dyDescent="0.25">
      <c r="B62" t="s">
        <v>363</v>
      </c>
      <c r="C62" s="100">
        <v>0.75461419315223899</v>
      </c>
      <c r="D62" s="100">
        <v>0.76672976811017601</v>
      </c>
      <c r="E62" s="100">
        <v>0.77903986250000001</v>
      </c>
      <c r="F62" s="100">
        <v>1.260344602</v>
      </c>
      <c r="G62" s="100">
        <v>2.2390409849999999</v>
      </c>
      <c r="H62" s="100">
        <v>3.613986095</v>
      </c>
      <c r="I62">
        <v>5.0235545420000003</v>
      </c>
      <c r="J62">
        <v>6.9200619430000003</v>
      </c>
      <c r="K62" s="100">
        <v>8.4146429890000007</v>
      </c>
      <c r="L62" s="100">
        <v>10.81135523</v>
      </c>
      <c r="M62">
        <v>14.347708730000001</v>
      </c>
      <c r="N62">
        <v>17.502755910000001</v>
      </c>
      <c r="O62">
        <v>23.90606043</v>
      </c>
      <c r="P62">
        <v>32.603199060000001</v>
      </c>
      <c r="Q62">
        <v>43.287683479999998</v>
      </c>
      <c r="R62">
        <v>56.310823110000001</v>
      </c>
      <c r="S62">
        <v>70.556655430000006</v>
      </c>
      <c r="T62">
        <v>83.771011779999995</v>
      </c>
      <c r="U62">
        <v>109.4397805</v>
      </c>
      <c r="V62">
        <v>132.74133459999999</v>
      </c>
      <c r="W62">
        <v>169.84144760000001</v>
      </c>
      <c r="X62">
        <v>138.2123588</v>
      </c>
      <c r="Y62">
        <v>219.98135289999999</v>
      </c>
      <c r="Z62">
        <v>282.99124460000002</v>
      </c>
      <c r="AA62">
        <v>339.06089880000002</v>
      </c>
      <c r="AB62">
        <v>392.11182980000001</v>
      </c>
      <c r="AC62">
        <v>345.06252419999998</v>
      </c>
      <c r="AD62">
        <v>455.75494559999999</v>
      </c>
      <c r="AE62">
        <v>509.81908320000002</v>
      </c>
      <c r="AF62">
        <v>558.15139669999996</v>
      </c>
      <c r="AG62">
        <v>602.3390981</v>
      </c>
      <c r="AH62">
        <v>535.43213730000002</v>
      </c>
      <c r="AI62">
        <v>630.09740929999998</v>
      </c>
      <c r="AJ62">
        <v>691.96166770000002</v>
      </c>
      <c r="AK62">
        <v>735.13261039999998</v>
      </c>
      <c r="AL62">
        <v>770.91394190000005</v>
      </c>
      <c r="AM62">
        <v>802.83828470000003</v>
      </c>
      <c r="AN62">
        <v>801.97066610000002</v>
      </c>
      <c r="AO62">
        <v>813.82273729999997</v>
      </c>
      <c r="AP62">
        <v>830.87184609999997</v>
      </c>
      <c r="AQ62">
        <v>848.90352889999997</v>
      </c>
      <c r="AR62">
        <v>758.58580559999996</v>
      </c>
      <c r="AS62">
        <v>816.76003920000005</v>
      </c>
      <c r="AT62">
        <v>849.42357779999998</v>
      </c>
      <c r="AU62">
        <v>869.89164840000001</v>
      </c>
      <c r="AV62">
        <v>885.12518809999995</v>
      </c>
      <c r="AW62">
        <v>897.78027680000002</v>
      </c>
    </row>
    <row r="63" spans="2:49" x14ac:dyDescent="0.25">
      <c r="B63" t="s">
        <v>364</v>
      </c>
      <c r="C63" s="100">
        <v>0.29742225840361802</v>
      </c>
      <c r="D63" s="100">
        <v>0.302197468966243</v>
      </c>
      <c r="E63" s="100">
        <v>0.30704934709999998</v>
      </c>
      <c r="F63" s="100">
        <v>0.49734160440000003</v>
      </c>
      <c r="G63" s="100">
        <v>0.88212879259999999</v>
      </c>
      <c r="H63" s="100">
        <v>1.4145869550000001</v>
      </c>
      <c r="I63" s="100">
        <v>1.9623527249999999</v>
      </c>
      <c r="J63" s="100">
        <v>2.6989660450000001</v>
      </c>
      <c r="K63" s="100">
        <v>3.28058082</v>
      </c>
      <c r="L63" s="100">
        <v>4.2078538999999999</v>
      </c>
      <c r="M63">
        <v>5.5662746409999997</v>
      </c>
      <c r="N63">
        <v>6.774962843</v>
      </c>
      <c r="O63">
        <v>9.2381684679999996</v>
      </c>
      <c r="P63">
        <v>12.786203860000001</v>
      </c>
      <c r="Q63">
        <v>16.935430960000001</v>
      </c>
      <c r="R63">
        <v>21.94508609</v>
      </c>
      <c r="S63">
        <v>27.36816048</v>
      </c>
      <c r="T63">
        <v>32.312484580000003</v>
      </c>
      <c r="U63">
        <v>41.157528910000003</v>
      </c>
      <c r="V63">
        <v>49.013841810000002</v>
      </c>
      <c r="W63">
        <v>62.397945159999999</v>
      </c>
      <c r="X63">
        <v>50.132628869999998</v>
      </c>
      <c r="Y63">
        <v>79.928480890000003</v>
      </c>
      <c r="Z63">
        <v>102.3894217</v>
      </c>
      <c r="AA63">
        <v>121.9958917</v>
      </c>
      <c r="AB63">
        <v>140.25481579999999</v>
      </c>
      <c r="AC63">
        <v>122.1496295</v>
      </c>
      <c r="AD63">
        <v>161.0570132</v>
      </c>
      <c r="AE63">
        <v>179.09892289999999</v>
      </c>
      <c r="AF63">
        <v>194.8979473</v>
      </c>
      <c r="AG63">
        <v>208.992064</v>
      </c>
      <c r="AH63">
        <v>183.9602624</v>
      </c>
      <c r="AI63">
        <v>215.7096425</v>
      </c>
      <c r="AJ63">
        <v>235.48724100000001</v>
      </c>
      <c r="AK63">
        <v>248.49129669999999</v>
      </c>
      <c r="AL63">
        <v>258.7762391</v>
      </c>
      <c r="AM63">
        <v>267.61218489999999</v>
      </c>
      <c r="AN63">
        <v>264.85230519999999</v>
      </c>
      <c r="AO63">
        <v>266.41679809999999</v>
      </c>
      <c r="AP63">
        <v>269.6652062</v>
      </c>
      <c r="AQ63">
        <v>273.1690921</v>
      </c>
      <c r="AR63">
        <v>241.34150270000001</v>
      </c>
      <c r="AS63">
        <v>258.17598859999998</v>
      </c>
      <c r="AT63">
        <v>266.3958245</v>
      </c>
      <c r="AU63">
        <v>270.56045690000002</v>
      </c>
      <c r="AV63">
        <v>273.02008000000001</v>
      </c>
      <c r="AW63">
        <v>274.655822</v>
      </c>
    </row>
    <row r="64" spans="2:49" x14ac:dyDescent="0.25">
      <c r="B64" t="s">
        <v>365</v>
      </c>
      <c r="C64" s="100">
        <v>4.0548006191711396E-3</v>
      </c>
      <c r="D64">
        <v>4.1199017546743504E-3</v>
      </c>
      <c r="E64">
        <v>4.1860481099999999E-3</v>
      </c>
      <c r="F64">
        <v>7.6095628600000003E-3</v>
      </c>
      <c r="G64">
        <v>1.1519290499999999E-2</v>
      </c>
      <c r="H64" s="100">
        <v>5.7152667199999998E-3</v>
      </c>
      <c r="I64">
        <v>2.4949556999999999E-3</v>
      </c>
      <c r="J64">
        <v>1.05403405E-2</v>
      </c>
      <c r="K64">
        <v>1.2816912099999999E-2</v>
      </c>
      <c r="L64">
        <v>1.6468051099999999E-2</v>
      </c>
      <c r="M64">
        <v>2.18563625E-2</v>
      </c>
      <c r="N64">
        <v>2.6664270899999998E-2</v>
      </c>
      <c r="O64" s="100">
        <v>3.6421200600000002E-2</v>
      </c>
      <c r="P64">
        <v>8.5655348300000003E-2</v>
      </c>
      <c r="Q64" s="100">
        <v>5.71087012E-2</v>
      </c>
      <c r="R64" s="100">
        <v>8.5771443500000003E-2</v>
      </c>
      <c r="S64" s="100">
        <v>0.107481893</v>
      </c>
      <c r="T64">
        <v>0.1276344257</v>
      </c>
      <c r="U64">
        <v>0.1669830045</v>
      </c>
      <c r="V64">
        <v>0.2028709561</v>
      </c>
      <c r="W64">
        <v>0.25971165829999998</v>
      </c>
      <c r="X64">
        <v>0.21167022069999999</v>
      </c>
      <c r="Y64">
        <v>0.33682479809999999</v>
      </c>
      <c r="Z64">
        <v>0.4335392267</v>
      </c>
      <c r="AA64">
        <v>0.51983080410000004</v>
      </c>
      <c r="AB64">
        <v>0.6016768978</v>
      </c>
      <c r="AC64">
        <v>0.53033834310000005</v>
      </c>
      <c r="AD64">
        <v>0.70066255060000004</v>
      </c>
      <c r="AE64">
        <v>0.78456451699999996</v>
      </c>
      <c r="AF64">
        <v>0.85986436180000003</v>
      </c>
      <c r="AG64">
        <v>0.92903918640000005</v>
      </c>
      <c r="AH64">
        <v>0.82744840289999999</v>
      </c>
      <c r="AI64">
        <v>0.97446631240000003</v>
      </c>
      <c r="AJ64">
        <v>1.071500833</v>
      </c>
      <c r="AK64">
        <v>1.140072569</v>
      </c>
      <c r="AL64">
        <v>1.1975106369999999</v>
      </c>
      <c r="AM64">
        <v>1.249233622</v>
      </c>
      <c r="AN64">
        <v>1.250862388</v>
      </c>
      <c r="AO64">
        <v>1.272377015</v>
      </c>
      <c r="AP64">
        <v>1.3022376609999999</v>
      </c>
      <c r="AQ64">
        <v>1.333935066</v>
      </c>
      <c r="AR64">
        <v>1.1963663490000001</v>
      </c>
      <c r="AS64">
        <v>1.2909288809999999</v>
      </c>
      <c r="AT64">
        <v>1.346294439</v>
      </c>
      <c r="AU64">
        <v>1.3829972210000001</v>
      </c>
      <c r="AV64">
        <v>1.411814908</v>
      </c>
      <c r="AW64">
        <v>1.4368960660000001</v>
      </c>
    </row>
    <row r="65" spans="2:49" x14ac:dyDescent="0.25">
      <c r="B65" t="s">
        <v>366</v>
      </c>
      <c r="C65" s="100">
        <v>4.9816121892674002E-2</v>
      </c>
      <c r="D65" s="100">
        <v>5.0615935843142099E-2</v>
      </c>
      <c r="E65" s="100">
        <v>5.1428591099999997E-2</v>
      </c>
      <c r="F65" s="100">
        <v>8.3951008800000004E-2</v>
      </c>
      <c r="G65" s="100">
        <v>0.14735490470000001</v>
      </c>
      <c r="H65" s="100">
        <v>0.22654022730000001</v>
      </c>
      <c r="I65" s="100">
        <v>0.31020621799999998</v>
      </c>
      <c r="J65" s="100">
        <v>0.42239650290000003</v>
      </c>
      <c r="K65" s="100">
        <v>0.51211815760000001</v>
      </c>
      <c r="L65" s="100">
        <v>0.64981100820000004</v>
      </c>
      <c r="M65" s="100">
        <v>0.84216061109999996</v>
      </c>
      <c r="N65" s="100">
        <v>1.0104694729999999</v>
      </c>
      <c r="O65" s="100">
        <v>1.3634641139999999</v>
      </c>
      <c r="P65" s="100">
        <v>2.0733249929999999</v>
      </c>
      <c r="Q65" s="100">
        <v>2.7036550099999999</v>
      </c>
      <c r="R65" s="100">
        <v>3.4172100209999998</v>
      </c>
      <c r="S65" s="100">
        <v>4.1362203739999996</v>
      </c>
      <c r="T65" s="100">
        <v>4.7139999640000001</v>
      </c>
      <c r="U65" s="100">
        <v>5.1408464110000001</v>
      </c>
      <c r="V65" s="100">
        <v>5.4989635909999999</v>
      </c>
      <c r="W65" s="100">
        <v>6.8026541549999999</v>
      </c>
      <c r="X65" s="100">
        <v>5.0899690379999996</v>
      </c>
      <c r="Y65" s="100">
        <v>8.1915338010000003</v>
      </c>
      <c r="Z65" s="100">
        <v>10.25417807</v>
      </c>
      <c r="AA65" s="100">
        <v>11.85732619</v>
      </c>
      <c r="AB65" s="100">
        <v>13.213424249999999</v>
      </c>
      <c r="AC65" s="100">
        <v>10.90794599</v>
      </c>
      <c r="AD65" s="100">
        <v>14.25833671</v>
      </c>
      <c r="AE65" s="100">
        <v>15.395790269999999</v>
      </c>
      <c r="AF65" s="100">
        <v>16.270016460000001</v>
      </c>
      <c r="AG65" s="100">
        <v>16.928647470000001</v>
      </c>
      <c r="AH65" s="100">
        <v>14.24764996</v>
      </c>
      <c r="AI65" s="100">
        <v>16.444128030000002</v>
      </c>
      <c r="AJ65" s="100">
        <v>17.498836300000001</v>
      </c>
      <c r="AK65" s="100">
        <v>17.952388160000002</v>
      </c>
      <c r="AL65" s="100">
        <v>18.182016180000002</v>
      </c>
      <c r="AM65" s="100">
        <v>18.306418480000001</v>
      </c>
      <c r="AN65" s="100">
        <v>17.5200599</v>
      </c>
      <c r="AO65" s="100">
        <v>17.109430580000001</v>
      </c>
      <c r="AP65" s="100">
        <v>16.856959369999998</v>
      </c>
      <c r="AQ65" s="100">
        <v>16.65863178</v>
      </c>
      <c r="AR65" s="100">
        <v>14.2878664</v>
      </c>
      <c r="AS65" s="100">
        <v>15.05512527</v>
      </c>
      <c r="AT65" s="100">
        <v>15.27654461</v>
      </c>
      <c r="AU65" s="100">
        <v>15.2746099</v>
      </c>
      <c r="AV65" s="100">
        <v>15.20553146</v>
      </c>
      <c r="AW65">
        <v>15.12342537</v>
      </c>
    </row>
    <row r="66" spans="2:49" x14ac:dyDescent="0.25">
      <c r="B66" t="s">
        <v>367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0</v>
      </c>
      <c r="AV66">
        <v>0</v>
      </c>
      <c r="AW66">
        <v>0</v>
      </c>
    </row>
    <row r="67" spans="2:49" x14ac:dyDescent="0.25">
      <c r="B67" t="s">
        <v>368</v>
      </c>
      <c r="C67">
        <v>5.2121797950038999</v>
      </c>
      <c r="D67">
        <v>5.29586302754001</v>
      </c>
      <c r="E67">
        <v>5.3808898210000002</v>
      </c>
      <c r="F67">
        <v>5.4330005960000003</v>
      </c>
      <c r="G67">
        <v>4.4695161150000002</v>
      </c>
      <c r="H67">
        <v>3.878414802</v>
      </c>
      <c r="I67">
        <v>3.852534629</v>
      </c>
      <c r="J67">
        <v>3.673538073</v>
      </c>
      <c r="K67">
        <v>3.5398524249999999</v>
      </c>
      <c r="L67">
        <v>3.810247398</v>
      </c>
      <c r="M67">
        <v>3.9268856099999998</v>
      </c>
      <c r="N67">
        <v>4.0066068560000003</v>
      </c>
      <c r="O67">
        <v>3.0922471900000001</v>
      </c>
      <c r="P67">
        <v>2.5523905459999998</v>
      </c>
      <c r="Q67">
        <v>2.2066454229999999</v>
      </c>
      <c r="R67">
        <v>1.9852239679999999</v>
      </c>
      <c r="S67">
        <v>1.78210523</v>
      </c>
      <c r="T67">
        <v>1.749321575</v>
      </c>
      <c r="U67">
        <v>1.7307843510000001</v>
      </c>
      <c r="V67">
        <v>1.728604518</v>
      </c>
      <c r="W67">
        <v>1.686508763</v>
      </c>
      <c r="X67">
        <v>1.627131315</v>
      </c>
      <c r="Y67">
        <v>1.621900261</v>
      </c>
      <c r="Z67">
        <v>1.6302189650000001</v>
      </c>
      <c r="AA67">
        <v>1.6372733049999999</v>
      </c>
      <c r="AB67">
        <v>1.644229183</v>
      </c>
      <c r="AC67">
        <v>1.648393644</v>
      </c>
      <c r="AD67">
        <v>1.6752373039999999</v>
      </c>
      <c r="AE67">
        <v>1.698270258</v>
      </c>
      <c r="AF67">
        <v>1.721828787</v>
      </c>
      <c r="AG67">
        <v>1.7467036659999999</v>
      </c>
      <c r="AH67">
        <v>1.770814476</v>
      </c>
      <c r="AI67">
        <v>1.8005551070000001</v>
      </c>
      <c r="AJ67">
        <v>1.8288970170000001</v>
      </c>
      <c r="AK67">
        <v>1.8569850050000001</v>
      </c>
      <c r="AL67">
        <v>1.885430596</v>
      </c>
      <c r="AM67">
        <v>1.9139814770000001</v>
      </c>
      <c r="AN67">
        <v>1.9180755229999999</v>
      </c>
      <c r="AO67">
        <v>1.918820084</v>
      </c>
      <c r="AP67">
        <v>1.916351001</v>
      </c>
      <c r="AQ67">
        <v>1.9122817270000001</v>
      </c>
      <c r="AR67">
        <v>1.9038198690000001</v>
      </c>
      <c r="AS67">
        <v>1.912244855</v>
      </c>
      <c r="AT67">
        <v>1.921303937</v>
      </c>
      <c r="AU67">
        <v>1.9298648380000001</v>
      </c>
      <c r="AV67">
        <v>1.937852954</v>
      </c>
      <c r="AW67">
        <v>1.9463333679999999</v>
      </c>
    </row>
    <row r="68" spans="2:49" x14ac:dyDescent="0.25">
      <c r="B68" t="s">
        <v>369</v>
      </c>
      <c r="C68">
        <v>0.35839918454870201</v>
      </c>
      <c r="D68">
        <v>0.36415339938413299</v>
      </c>
      <c r="E68">
        <v>0.37</v>
      </c>
      <c r="F68">
        <v>0.36697518940000001</v>
      </c>
      <c r="G68">
        <v>0.36292270409999999</v>
      </c>
      <c r="H68">
        <v>0.35834051779999998</v>
      </c>
      <c r="I68">
        <v>0.35576999110000002</v>
      </c>
      <c r="J68">
        <v>0.35293397679999999</v>
      </c>
      <c r="K68">
        <v>0.34839871150000001</v>
      </c>
      <c r="L68">
        <v>0.34215283949999997</v>
      </c>
      <c r="M68">
        <v>0.33599150160000002</v>
      </c>
      <c r="N68" s="100">
        <v>0.33140152020000002</v>
      </c>
      <c r="O68" s="100">
        <v>0.32997207779999999</v>
      </c>
      <c r="P68" s="100">
        <v>0.32997231560000001</v>
      </c>
      <c r="Q68" s="100">
        <v>0.32905792509999998</v>
      </c>
      <c r="R68" s="100">
        <v>0.32453094710000002</v>
      </c>
      <c r="S68" s="100">
        <v>0.31875528339999998</v>
      </c>
      <c r="T68" s="100">
        <v>0.31184433290000002</v>
      </c>
      <c r="U68" s="100">
        <v>0.30519817570000002</v>
      </c>
      <c r="V68" s="100">
        <v>0.29894364029999998</v>
      </c>
      <c r="W68" s="100">
        <v>0.29453866359999997</v>
      </c>
      <c r="X68" s="100">
        <v>0.29103877569999997</v>
      </c>
      <c r="Y68" s="100">
        <v>0.2889044201</v>
      </c>
      <c r="Z68" s="100">
        <v>0.28774010550000001</v>
      </c>
      <c r="AA68" s="100">
        <v>0.28688337749999998</v>
      </c>
      <c r="AB68" s="100">
        <v>0.28598219270000003</v>
      </c>
      <c r="AC68" s="100">
        <v>0.28487213319999999</v>
      </c>
      <c r="AD68">
        <v>0.2835060472</v>
      </c>
      <c r="AE68">
        <v>0.28186466859999998</v>
      </c>
      <c r="AF68">
        <v>0.2799768098</v>
      </c>
      <c r="AG68">
        <v>0.2778666454</v>
      </c>
      <c r="AH68">
        <v>0.2755604176</v>
      </c>
      <c r="AI68">
        <v>0.27307074840000001</v>
      </c>
      <c r="AJ68">
        <v>0.27042332450000001</v>
      </c>
      <c r="AK68">
        <v>0.267670564</v>
      </c>
      <c r="AL68">
        <v>0.26483818269999998</v>
      </c>
      <c r="AM68">
        <v>0.26194101759999999</v>
      </c>
      <c r="AN68">
        <v>0.25896931439999998</v>
      </c>
      <c r="AO68" s="100">
        <v>0.25587832430000002</v>
      </c>
      <c r="AP68" s="100">
        <v>0.25266409210000002</v>
      </c>
      <c r="AQ68" s="100">
        <v>0.2493408983</v>
      </c>
      <c r="AR68" s="100">
        <v>0.2459173999</v>
      </c>
      <c r="AS68" s="100">
        <v>0.24240518650000001</v>
      </c>
      <c r="AT68" s="100">
        <v>0.23880330320000001</v>
      </c>
      <c r="AU68" s="100">
        <v>0.23511569660000001</v>
      </c>
      <c r="AV68" s="100">
        <v>0.2313465747</v>
      </c>
      <c r="AW68" s="100">
        <v>0.22754406769999999</v>
      </c>
    </row>
    <row r="69" spans="2:49" x14ac:dyDescent="0.25">
      <c r="B69" t="s">
        <v>370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 s="100">
        <v>0</v>
      </c>
      <c r="J69" s="100">
        <v>0</v>
      </c>
      <c r="K69" s="100">
        <v>0</v>
      </c>
      <c r="L69" s="100">
        <v>0</v>
      </c>
      <c r="M69" s="100">
        <v>0</v>
      </c>
      <c r="N69" s="100">
        <v>0</v>
      </c>
      <c r="O69" s="100">
        <v>0</v>
      </c>
      <c r="P69" s="100">
        <v>0</v>
      </c>
      <c r="Q69" s="100">
        <v>0</v>
      </c>
      <c r="R69" s="100">
        <v>0</v>
      </c>
      <c r="S69" s="100">
        <v>0</v>
      </c>
      <c r="T69" s="100">
        <v>0</v>
      </c>
      <c r="U69" s="100">
        <v>0</v>
      </c>
      <c r="V69" s="100">
        <v>0</v>
      </c>
      <c r="W69" s="100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0</v>
      </c>
      <c r="AV69">
        <v>0</v>
      </c>
      <c r="AW69">
        <v>0</v>
      </c>
    </row>
    <row r="70" spans="2:49" x14ac:dyDescent="0.25">
      <c r="B70" t="s">
        <v>371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  <c r="AR70">
        <v>0</v>
      </c>
      <c r="AS70">
        <v>0</v>
      </c>
      <c r="AT70">
        <v>0</v>
      </c>
      <c r="AU70">
        <v>0</v>
      </c>
      <c r="AV70">
        <v>0</v>
      </c>
      <c r="AW70">
        <v>0</v>
      </c>
    </row>
    <row r="71" spans="2:49" x14ac:dyDescent="0.25">
      <c r="B71" t="s">
        <v>372</v>
      </c>
      <c r="C71" s="100">
        <v>0</v>
      </c>
      <c r="D71" s="100">
        <v>0</v>
      </c>
      <c r="E71" s="100">
        <v>0</v>
      </c>
      <c r="F71" s="100">
        <v>0</v>
      </c>
      <c r="G71" s="100">
        <v>0</v>
      </c>
      <c r="H71" s="100">
        <v>0</v>
      </c>
      <c r="I71" s="100">
        <v>0</v>
      </c>
      <c r="J71" s="100">
        <v>0</v>
      </c>
      <c r="K71" s="100">
        <v>0</v>
      </c>
      <c r="L71" s="100">
        <v>0</v>
      </c>
      <c r="M71" s="100">
        <v>0</v>
      </c>
      <c r="N71" s="100">
        <v>0</v>
      </c>
      <c r="O71" s="100">
        <v>0</v>
      </c>
      <c r="P71" s="100">
        <v>0</v>
      </c>
      <c r="Q71" s="100">
        <v>0</v>
      </c>
      <c r="R71" s="100">
        <v>0</v>
      </c>
      <c r="S71" s="100">
        <v>0</v>
      </c>
      <c r="T71" s="100">
        <v>0</v>
      </c>
      <c r="U71" s="100">
        <v>0</v>
      </c>
      <c r="V71" s="100">
        <v>0</v>
      </c>
      <c r="W71" s="100">
        <v>0</v>
      </c>
      <c r="X71" s="100">
        <v>0</v>
      </c>
      <c r="Y71" s="100">
        <v>0</v>
      </c>
      <c r="Z71" s="100">
        <v>0</v>
      </c>
      <c r="AA71" s="100">
        <v>0</v>
      </c>
      <c r="AB71" s="100">
        <v>0</v>
      </c>
      <c r="AC71" s="100">
        <v>0</v>
      </c>
      <c r="AD71" s="100">
        <v>0</v>
      </c>
      <c r="AE71" s="100">
        <v>0</v>
      </c>
      <c r="AF71" s="100">
        <v>0</v>
      </c>
      <c r="AG71" s="100">
        <v>0</v>
      </c>
      <c r="AH71" s="100">
        <v>0</v>
      </c>
      <c r="AI71" s="100">
        <v>0</v>
      </c>
      <c r="AJ71" s="100">
        <v>0</v>
      </c>
      <c r="AK71" s="100">
        <v>0</v>
      </c>
      <c r="AL71" s="100">
        <v>0</v>
      </c>
      <c r="AM71" s="100">
        <v>0</v>
      </c>
      <c r="AN71" s="100">
        <v>0</v>
      </c>
      <c r="AO71" s="100">
        <v>0</v>
      </c>
      <c r="AP71" s="100">
        <v>0</v>
      </c>
      <c r="AQ71" s="100">
        <v>0</v>
      </c>
      <c r="AR71" s="100">
        <v>0</v>
      </c>
      <c r="AS71" s="100">
        <v>0</v>
      </c>
      <c r="AT71" s="100">
        <v>0</v>
      </c>
      <c r="AU71" s="100">
        <v>0</v>
      </c>
      <c r="AV71" s="100">
        <v>0</v>
      </c>
      <c r="AW71">
        <v>0</v>
      </c>
    </row>
    <row r="72" spans="2:49" x14ac:dyDescent="0.25">
      <c r="B72" t="s">
        <v>373</v>
      </c>
      <c r="C72">
        <v>2.1503951072922098</v>
      </c>
      <c r="D72">
        <v>2.1849203963048001</v>
      </c>
      <c r="E72">
        <v>2.2200000000000002</v>
      </c>
      <c r="F72">
        <v>2.3061789269999999</v>
      </c>
      <c r="G72">
        <v>2.194080976</v>
      </c>
      <c r="H72">
        <v>2.3316476800000001</v>
      </c>
      <c r="I72">
        <v>2.425838336</v>
      </c>
      <c r="J72">
        <v>2.282435875</v>
      </c>
      <c r="K72">
        <v>2.1873830609999998</v>
      </c>
      <c r="L72">
        <v>2.1390528799999999</v>
      </c>
      <c r="M72">
        <v>2.3052808200000001</v>
      </c>
      <c r="N72">
        <v>2.479654236</v>
      </c>
      <c r="O72">
        <v>2.5835449509999999</v>
      </c>
      <c r="P72">
        <v>2.596780366</v>
      </c>
      <c r="Q72">
        <v>2.4024730060000001</v>
      </c>
      <c r="R72">
        <v>2.3810543900000001</v>
      </c>
      <c r="S72">
        <v>2.3996914199999999</v>
      </c>
      <c r="T72">
        <v>2.4595693550000002</v>
      </c>
      <c r="U72">
        <v>2.5142346770000001</v>
      </c>
      <c r="V72">
        <v>2.5920387580000002</v>
      </c>
      <c r="W72">
        <v>2.651763077</v>
      </c>
      <c r="X72">
        <v>2.7274768489999999</v>
      </c>
      <c r="Y72">
        <v>2.7793646719999998</v>
      </c>
      <c r="Z72">
        <v>2.8200437749999998</v>
      </c>
      <c r="AA72">
        <v>2.8532608599999998</v>
      </c>
      <c r="AB72">
        <v>2.8839602709999999</v>
      </c>
      <c r="AC72">
        <v>2.9287536570000001</v>
      </c>
      <c r="AD72">
        <v>2.950292272</v>
      </c>
      <c r="AE72">
        <v>2.9778200049999999</v>
      </c>
      <c r="AF72">
        <v>3.007137706</v>
      </c>
      <c r="AG72">
        <v>3.0387307319999999</v>
      </c>
      <c r="AH72">
        <v>3.0790951500000001</v>
      </c>
      <c r="AI72">
        <v>3.1122433379999999</v>
      </c>
      <c r="AJ72">
        <v>3.1518554769999998</v>
      </c>
      <c r="AK72">
        <v>3.190934683</v>
      </c>
      <c r="AL72">
        <v>3.2318171480000002</v>
      </c>
      <c r="AM72">
        <v>3.274136972</v>
      </c>
      <c r="AN72">
        <v>3.3180971210000001</v>
      </c>
      <c r="AO72">
        <v>3.3635844009999998</v>
      </c>
      <c r="AP72">
        <v>3.409070855</v>
      </c>
      <c r="AQ72">
        <v>3.4547402009999999</v>
      </c>
      <c r="AR72">
        <v>3.5065617530000002</v>
      </c>
      <c r="AS72">
        <v>3.5439089250000002</v>
      </c>
      <c r="AT72">
        <v>3.5817209239999999</v>
      </c>
      <c r="AU72">
        <v>3.619981256</v>
      </c>
      <c r="AV72">
        <v>3.6593945990000001</v>
      </c>
      <c r="AW72">
        <v>3.700572057</v>
      </c>
    </row>
    <row r="73" spans="2:49" x14ac:dyDescent="0.25">
      <c r="B73" t="s">
        <v>374</v>
      </c>
      <c r="C73">
        <v>17.283948650263198</v>
      </c>
      <c r="D73">
        <v>17.561448036494799</v>
      </c>
      <c r="E73">
        <v>17.843402770000001</v>
      </c>
      <c r="F73">
        <v>18.153582109999999</v>
      </c>
      <c r="G73">
        <v>16.95813081</v>
      </c>
      <c r="H73">
        <v>16.058643409999998</v>
      </c>
      <c r="I73">
        <v>15.460493749999999</v>
      </c>
      <c r="J73">
        <v>15.377348359999999</v>
      </c>
      <c r="K73">
        <v>14.11799139</v>
      </c>
      <c r="L73">
        <v>13.831739750000001</v>
      </c>
      <c r="M73">
        <v>14.16695415</v>
      </c>
      <c r="N73">
        <v>14.89950777</v>
      </c>
      <c r="O73">
        <v>14.056731389999999</v>
      </c>
      <c r="P73">
        <v>12.72362111</v>
      </c>
      <c r="Q73">
        <v>11.24968576</v>
      </c>
      <c r="R73">
        <v>10.25442563</v>
      </c>
      <c r="S73">
        <v>9.3444810749999903</v>
      </c>
      <c r="T73">
        <v>9.2466272959999998</v>
      </c>
      <c r="U73">
        <v>9.1537849359999903</v>
      </c>
      <c r="V73">
        <v>9.140644322</v>
      </c>
      <c r="W73">
        <v>8.9471836459999903</v>
      </c>
      <c r="X73">
        <v>8.7112238049999995</v>
      </c>
      <c r="Y73">
        <v>8.7112224850000004</v>
      </c>
      <c r="Z73">
        <v>8.7855982570000002</v>
      </c>
      <c r="AA73">
        <v>8.8668100459999994</v>
      </c>
      <c r="AB73">
        <v>8.9494009969999997</v>
      </c>
      <c r="AC73">
        <v>9.0461333120000003</v>
      </c>
      <c r="AD73">
        <v>9.1605722430000007</v>
      </c>
      <c r="AE73">
        <v>9.2674146139999998</v>
      </c>
      <c r="AF73">
        <v>9.3774561950000006</v>
      </c>
      <c r="AG73">
        <v>9.4938437439999994</v>
      </c>
      <c r="AH73">
        <v>9.6228145769999998</v>
      </c>
      <c r="AI73">
        <v>9.7631155629999995</v>
      </c>
      <c r="AJ73">
        <v>9.9030726490000003</v>
      </c>
      <c r="AK73">
        <v>10.043745980000001</v>
      </c>
      <c r="AL73">
        <v>10.186877709999999</v>
      </c>
      <c r="AM73">
        <v>10.33077902</v>
      </c>
      <c r="AN73">
        <v>10.324233449999999</v>
      </c>
      <c r="AO73">
        <v>10.29360206</v>
      </c>
      <c r="AP73">
        <v>10.248451469999999</v>
      </c>
      <c r="AQ73">
        <v>10.198931079999999</v>
      </c>
      <c r="AR73">
        <v>10.14035112</v>
      </c>
      <c r="AS73">
        <v>10.152456900000001</v>
      </c>
      <c r="AT73">
        <v>10.17249674</v>
      </c>
      <c r="AU73">
        <v>10.1908098</v>
      </c>
      <c r="AV73">
        <v>10.2079758</v>
      </c>
      <c r="AW73">
        <v>10.23624519</v>
      </c>
    </row>
    <row r="74" spans="2:49" x14ac:dyDescent="0.25">
      <c r="B74" t="s">
        <v>375</v>
      </c>
      <c r="C74">
        <v>9.6518912203120095</v>
      </c>
      <c r="D74">
        <v>9.8068554558467902</v>
      </c>
      <c r="E74">
        <v>9.9643076920000002</v>
      </c>
      <c r="F74">
        <v>9.5495204170000001</v>
      </c>
      <c r="G74">
        <v>8.8736175750000008</v>
      </c>
      <c r="H74">
        <v>9.1082547900000002</v>
      </c>
      <c r="I74">
        <v>8.5071438829999995</v>
      </c>
      <c r="J74">
        <v>7.924431674</v>
      </c>
      <c r="K74">
        <v>7.4799623649999996</v>
      </c>
      <c r="L74">
        <v>7.2889126620000004</v>
      </c>
      <c r="M74">
        <v>7.1506053100000004</v>
      </c>
      <c r="N74">
        <v>7.2407211670000002</v>
      </c>
      <c r="O74">
        <v>7.2546442439999996</v>
      </c>
      <c r="P74">
        <v>7.011869441</v>
      </c>
      <c r="Q74">
        <v>6.6995402869999996</v>
      </c>
      <c r="R74">
        <v>6.6285230100000003</v>
      </c>
      <c r="S74">
        <v>6.4528228150000002</v>
      </c>
      <c r="T74">
        <v>6.3902400239999997</v>
      </c>
      <c r="U74">
        <v>6.3040235940000002</v>
      </c>
      <c r="V74">
        <v>6.231540689</v>
      </c>
      <c r="W74">
        <v>6.2032041949999996</v>
      </c>
      <c r="X74">
        <v>6.1922222199999997</v>
      </c>
      <c r="Y74">
        <v>6.117576949</v>
      </c>
      <c r="Z74">
        <v>6.1305005110000002</v>
      </c>
      <c r="AA74">
        <v>6.145362478</v>
      </c>
      <c r="AB74">
        <v>6.1632506009999997</v>
      </c>
      <c r="AC74">
        <v>6.1729901119999999</v>
      </c>
      <c r="AD74">
        <v>6.1865646999999999</v>
      </c>
      <c r="AE74">
        <v>6.1910609069999998</v>
      </c>
      <c r="AF74">
        <v>6.1852150259999998</v>
      </c>
      <c r="AG74">
        <v>6.1789197979999999</v>
      </c>
      <c r="AH74">
        <v>6.1676216080000001</v>
      </c>
      <c r="AI74">
        <v>6.1670601920000001</v>
      </c>
      <c r="AJ74">
        <v>6.1640072589999999</v>
      </c>
      <c r="AK74">
        <v>6.1590991859999997</v>
      </c>
      <c r="AL74">
        <v>6.152301939</v>
      </c>
      <c r="AM74">
        <v>6.1430832879999997</v>
      </c>
      <c r="AN74">
        <v>6.1165785289999999</v>
      </c>
      <c r="AO74">
        <v>6.0851774150000004</v>
      </c>
      <c r="AP74">
        <v>6.0492955620000002</v>
      </c>
      <c r="AQ74">
        <v>6.0109129460000004</v>
      </c>
      <c r="AR74">
        <v>5.9668759170000003</v>
      </c>
      <c r="AS74">
        <v>5.9039871760000002</v>
      </c>
      <c r="AT74">
        <v>5.8358316730000004</v>
      </c>
      <c r="AU74">
        <v>5.7638330270000004</v>
      </c>
      <c r="AV74">
        <v>5.6875929660000004</v>
      </c>
      <c r="AW74">
        <v>5.6094567140000002</v>
      </c>
    </row>
    <row r="75" spans="2:49" x14ac:dyDescent="0.25">
      <c r="B75" t="s">
        <v>376</v>
      </c>
      <c r="C75">
        <v>4.6065844460580001</v>
      </c>
      <c r="D75">
        <v>4.68054464938142</v>
      </c>
      <c r="E75">
        <v>4.7556923080000004</v>
      </c>
      <c r="F75">
        <v>4.7683510299999998</v>
      </c>
      <c r="G75">
        <v>4.4869176670000002</v>
      </c>
      <c r="H75">
        <v>4.3324933530000003</v>
      </c>
      <c r="I75">
        <v>4.2417808509999997</v>
      </c>
      <c r="J75" s="42">
        <v>4.0289649430000001</v>
      </c>
      <c r="K75">
        <v>3.8082707519999999</v>
      </c>
      <c r="L75">
        <v>3.7176682680000002</v>
      </c>
      <c r="M75">
        <v>3.7101192150000002</v>
      </c>
      <c r="N75">
        <v>3.7806868680000001</v>
      </c>
      <c r="O75">
        <v>3.569971341</v>
      </c>
      <c r="P75">
        <v>3.3228929800000002</v>
      </c>
      <c r="Q75">
        <v>3.0925987099999999</v>
      </c>
      <c r="R75">
        <v>2.9131636470000002</v>
      </c>
      <c r="S75">
        <v>2.7276801470000001</v>
      </c>
      <c r="T75">
        <v>2.7378923730000002</v>
      </c>
      <c r="U75">
        <v>2.752774252</v>
      </c>
      <c r="V75">
        <v>2.7707803900000001</v>
      </c>
      <c r="W75">
        <v>2.6931095109999998</v>
      </c>
      <c r="X75">
        <v>2.6087533820000002</v>
      </c>
      <c r="Y75">
        <v>2.5042047690000002</v>
      </c>
      <c r="Z75">
        <v>2.4265960089999998</v>
      </c>
      <c r="AA75">
        <v>2.3592536119999998</v>
      </c>
      <c r="AB75">
        <v>2.2996674549999998</v>
      </c>
      <c r="AC75">
        <v>2.2449121120000002</v>
      </c>
      <c r="AD75">
        <v>2.1962086470000002</v>
      </c>
      <c r="AE75">
        <v>2.1509461289999998</v>
      </c>
      <c r="AF75">
        <v>2.107485633</v>
      </c>
      <c r="AG75">
        <v>2.0681259719999998</v>
      </c>
      <c r="AH75">
        <v>2.0317459599999999</v>
      </c>
      <c r="AI75">
        <v>1.9990432490000001</v>
      </c>
      <c r="AJ75">
        <v>1.968519014</v>
      </c>
      <c r="AK75">
        <v>1.939971694</v>
      </c>
      <c r="AL75">
        <v>1.91297673</v>
      </c>
      <c r="AM75">
        <v>1.887143646</v>
      </c>
      <c r="AN75">
        <v>1.885018895</v>
      </c>
      <c r="AO75">
        <v>1.8867106650000001</v>
      </c>
      <c r="AP75">
        <v>1.8886123450000001</v>
      </c>
      <c r="AQ75">
        <v>1.8903878700000001</v>
      </c>
      <c r="AR75">
        <v>1.891337015</v>
      </c>
      <c r="AS75">
        <v>1.890889614</v>
      </c>
      <c r="AT75">
        <v>1.889678443</v>
      </c>
      <c r="AU75">
        <v>1.887999623</v>
      </c>
      <c r="AV75">
        <v>1.885720031</v>
      </c>
      <c r="AW75">
        <v>1.8829674270000001</v>
      </c>
    </row>
    <row r="76" spans="2:49" x14ac:dyDescent="0.25">
      <c r="B76" t="s">
        <v>377</v>
      </c>
      <c r="C76">
        <v>23.690015269078899</v>
      </c>
      <c r="D76">
        <v>24.070366126976499</v>
      </c>
      <c r="E76">
        <v>24.45682364</v>
      </c>
      <c r="F76">
        <v>25.365800520000001</v>
      </c>
      <c r="G76">
        <v>24.936493469999998</v>
      </c>
      <c r="H76">
        <v>25.083510830000002</v>
      </c>
      <c r="I76">
        <v>25.17740062</v>
      </c>
      <c r="J76">
        <v>25.040174830000002</v>
      </c>
      <c r="K76">
        <v>24.80049271</v>
      </c>
      <c r="L76">
        <v>24.572062150000001</v>
      </c>
      <c r="M76">
        <v>24.415579950000001</v>
      </c>
      <c r="N76">
        <v>24.199172430000001</v>
      </c>
      <c r="O76">
        <v>24.07529177</v>
      </c>
      <c r="P76">
        <v>23.821150729999999</v>
      </c>
      <c r="Q76">
        <v>23.530822629999999</v>
      </c>
      <c r="R76">
        <v>23.26555334</v>
      </c>
      <c r="S76">
        <v>23.2464543</v>
      </c>
      <c r="T76">
        <v>23.144045460000001</v>
      </c>
      <c r="U76">
        <v>22.925047580000001</v>
      </c>
      <c r="V76">
        <v>22.596756110000001</v>
      </c>
      <c r="W76">
        <v>22.306929220000001</v>
      </c>
      <c r="X76">
        <v>21.682156509999999</v>
      </c>
      <c r="Y76">
        <v>21.263044449999999</v>
      </c>
      <c r="Z76">
        <v>20.91666773</v>
      </c>
      <c r="AA76">
        <v>20.585324849999999</v>
      </c>
      <c r="AB76">
        <v>20.247355939999998</v>
      </c>
      <c r="AC76">
        <v>19.708376260000001</v>
      </c>
      <c r="AD76">
        <v>19.29311512</v>
      </c>
      <c r="AE76">
        <v>18.99690687</v>
      </c>
      <c r="AF76">
        <v>18.693733940000001</v>
      </c>
      <c r="AG76">
        <v>18.382235789999999</v>
      </c>
      <c r="AH76">
        <v>18.0566624</v>
      </c>
      <c r="AI76">
        <v>17.684061379999999</v>
      </c>
      <c r="AJ76">
        <v>17.335932490000001</v>
      </c>
      <c r="AK76">
        <v>16.995034870000001</v>
      </c>
      <c r="AL76">
        <v>16.657278860000002</v>
      </c>
      <c r="AM76">
        <v>16.322150870000002</v>
      </c>
      <c r="AN76">
        <v>15.98019903</v>
      </c>
      <c r="AO76">
        <v>15.6280418</v>
      </c>
      <c r="AP76">
        <v>15.272228670000001</v>
      </c>
      <c r="AQ76">
        <v>14.915635249999999</v>
      </c>
      <c r="AR76">
        <v>14.502656869999999</v>
      </c>
      <c r="AS76">
        <v>14.125792669999999</v>
      </c>
      <c r="AT76">
        <v>13.762549529999999</v>
      </c>
      <c r="AU76">
        <v>13.406956109999999</v>
      </c>
      <c r="AV76">
        <v>13.05718465</v>
      </c>
      <c r="AW76">
        <v>12.71284026</v>
      </c>
    </row>
    <row r="77" spans="2:49" x14ac:dyDescent="0.25">
      <c r="B77" t="s">
        <v>378</v>
      </c>
      <c r="C77">
        <v>20.7498358478441</v>
      </c>
      <c r="D77">
        <v>21.0829811741058</v>
      </c>
      <c r="E77">
        <v>21.427087029999999</v>
      </c>
      <c r="F77">
        <v>21.88274535</v>
      </c>
      <c r="G77">
        <v>21.03744305</v>
      </c>
      <c r="H77">
        <v>19.517223869999999</v>
      </c>
      <c r="I77">
        <v>19.881804150000001</v>
      </c>
      <c r="J77">
        <v>19.302032400000002</v>
      </c>
      <c r="K77">
        <v>19.483497549999999</v>
      </c>
      <c r="L77">
        <v>19.000437770000001</v>
      </c>
      <c r="M77">
        <v>18.945809969999999</v>
      </c>
      <c r="N77">
        <v>18.962823440000001</v>
      </c>
      <c r="O77">
        <v>18.784270169999999</v>
      </c>
      <c r="P77">
        <v>18.984936659999999</v>
      </c>
      <c r="Q77">
        <v>18.758729120000002</v>
      </c>
      <c r="R77">
        <v>18.617818440000001</v>
      </c>
      <c r="S77">
        <v>18.361075939999999</v>
      </c>
      <c r="T77">
        <v>18.534383030000001</v>
      </c>
      <c r="U77">
        <v>18.676830890000002</v>
      </c>
      <c r="V77">
        <v>18.93034553</v>
      </c>
      <c r="W77">
        <v>19.055914739999999</v>
      </c>
      <c r="X77">
        <v>19.001368070000002</v>
      </c>
      <c r="Y77">
        <v>18.93474385</v>
      </c>
      <c r="Z77">
        <v>18.884811679999999</v>
      </c>
      <c r="AA77">
        <v>18.786942360000001</v>
      </c>
      <c r="AB77">
        <v>18.672669580000001</v>
      </c>
      <c r="AC77">
        <v>18.573283679999999</v>
      </c>
      <c r="AD77">
        <v>18.421481379999999</v>
      </c>
      <c r="AE77">
        <v>18.224395990000001</v>
      </c>
      <c r="AF77">
        <v>18.045790499999999</v>
      </c>
      <c r="AG77">
        <v>17.856467940000002</v>
      </c>
      <c r="AH77">
        <v>17.66958971</v>
      </c>
      <c r="AI77">
        <v>17.591974929999999</v>
      </c>
      <c r="AJ77">
        <v>17.503399300000002</v>
      </c>
      <c r="AK77">
        <v>17.402227849999999</v>
      </c>
      <c r="AL77">
        <v>17.30345925</v>
      </c>
      <c r="AM77">
        <v>17.207606510000002</v>
      </c>
      <c r="AN77">
        <v>17.225562879999998</v>
      </c>
      <c r="AO77">
        <v>17.264695509999999</v>
      </c>
      <c r="AP77">
        <v>17.304438999999999</v>
      </c>
      <c r="AQ77">
        <v>17.34659014</v>
      </c>
      <c r="AR77">
        <v>17.394240270000001</v>
      </c>
      <c r="AS77">
        <v>17.541456320000002</v>
      </c>
      <c r="AT77">
        <v>17.68227512</v>
      </c>
      <c r="AU77">
        <v>17.820534439999999</v>
      </c>
      <c r="AV77">
        <v>17.961564580000001</v>
      </c>
      <c r="AW77">
        <v>18.10972275</v>
      </c>
    </row>
    <row r="78" spans="2:49" x14ac:dyDescent="0.25">
      <c r="B78" t="s">
        <v>379</v>
      </c>
      <c r="C78">
        <v>0.28090746897060398</v>
      </c>
      <c r="D78">
        <v>0.28541752924702302</v>
      </c>
      <c r="E78">
        <v>0.28999999999999998</v>
      </c>
      <c r="F78">
        <v>0.30263501539999998</v>
      </c>
      <c r="G78">
        <v>0.30356236590000002</v>
      </c>
      <c r="H78">
        <v>0.2953258225</v>
      </c>
      <c r="I78">
        <v>0.31287879880000002</v>
      </c>
      <c r="J78">
        <v>0.31434320500000001</v>
      </c>
      <c r="K78">
        <v>0.32116972789999998</v>
      </c>
      <c r="L78">
        <v>0.31429423140000001</v>
      </c>
      <c r="M78">
        <v>0.32697432840000001</v>
      </c>
      <c r="N78">
        <v>0.31984049019999999</v>
      </c>
      <c r="O78">
        <v>0.30678961809999999</v>
      </c>
      <c r="P78">
        <v>0.31228444840000003</v>
      </c>
      <c r="Q78">
        <v>0.3125887853</v>
      </c>
      <c r="R78">
        <v>0.31100424310000002</v>
      </c>
      <c r="S78">
        <v>0.31209402739999997</v>
      </c>
      <c r="T78">
        <v>0.31617359119999999</v>
      </c>
      <c r="U78">
        <v>0.3196090573</v>
      </c>
      <c r="V78">
        <v>0.32537683820000002</v>
      </c>
      <c r="W78">
        <v>0.32747263560000001</v>
      </c>
      <c r="X78">
        <v>0.33037047060000002</v>
      </c>
      <c r="Y78">
        <v>0.33741242599999999</v>
      </c>
      <c r="Z78">
        <v>0.34078242939999998</v>
      </c>
      <c r="AA78">
        <v>0.3440095849</v>
      </c>
      <c r="AB78">
        <v>0.34664066399999999</v>
      </c>
      <c r="AC78">
        <v>0.35124843090000002</v>
      </c>
      <c r="AD78">
        <v>0.35253627720000003</v>
      </c>
      <c r="AE78">
        <v>0.35483966080000001</v>
      </c>
      <c r="AF78">
        <v>0.35760776509999997</v>
      </c>
      <c r="AG78">
        <v>0.36063245729999999</v>
      </c>
      <c r="AH78">
        <v>0.36477914500000003</v>
      </c>
      <c r="AI78">
        <v>0.36739186829999998</v>
      </c>
      <c r="AJ78">
        <v>0.37043505850000003</v>
      </c>
      <c r="AK78">
        <v>0.3733373271</v>
      </c>
      <c r="AL78">
        <v>0.37640564520000003</v>
      </c>
      <c r="AM78">
        <v>0.37973066319999998</v>
      </c>
      <c r="AN78">
        <v>0.38357835420000003</v>
      </c>
      <c r="AO78">
        <v>0.38759741939999998</v>
      </c>
      <c r="AP78">
        <v>0.39162048970000002</v>
      </c>
      <c r="AQ78">
        <v>0.39543882829999999</v>
      </c>
      <c r="AR78">
        <v>0.4000788965</v>
      </c>
      <c r="AS78">
        <v>0.40384345770000002</v>
      </c>
      <c r="AT78">
        <v>0.40782725980000001</v>
      </c>
      <c r="AU78">
        <v>0.41186393259999998</v>
      </c>
      <c r="AV78">
        <v>0.41605289979999999</v>
      </c>
      <c r="AW78">
        <v>0.42043986509999998</v>
      </c>
    </row>
    <row r="79" spans="2:49" x14ac:dyDescent="0.25">
      <c r="B79" t="s">
        <v>380</v>
      </c>
      <c r="C79">
        <v>11.323476938849501</v>
      </c>
      <c r="D79">
        <v>11.5052790237851</v>
      </c>
      <c r="E79">
        <v>11.69</v>
      </c>
      <c r="F79">
        <v>11.971025839999999</v>
      </c>
      <c r="G79">
        <v>11.941108659999999</v>
      </c>
      <c r="H79">
        <v>10.418143990000001</v>
      </c>
      <c r="I79">
        <v>11.04166388</v>
      </c>
      <c r="J79">
        <v>11.5069129</v>
      </c>
      <c r="K79">
        <v>11.368543620000001</v>
      </c>
      <c r="L79">
        <v>11.214977230000001</v>
      </c>
      <c r="M79">
        <v>11.163215340000001</v>
      </c>
      <c r="N79">
        <v>10.966752</v>
      </c>
      <c r="O79">
        <v>10.19789271</v>
      </c>
      <c r="P79">
        <v>9.967748555</v>
      </c>
      <c r="Q79">
        <v>9.7898514750000007</v>
      </c>
      <c r="R79">
        <v>9.4109518239999996</v>
      </c>
      <c r="S79">
        <v>8.9832429129999998</v>
      </c>
      <c r="T79">
        <v>9.0885370489999904</v>
      </c>
      <c r="U79">
        <v>9.2418766580000007</v>
      </c>
      <c r="V79">
        <v>9.4948497140000008</v>
      </c>
      <c r="W79">
        <v>9.6273273219999904</v>
      </c>
      <c r="X79">
        <v>9.7141922279999999</v>
      </c>
      <c r="Y79">
        <v>9.7773758260000001</v>
      </c>
      <c r="Z79">
        <v>9.8343090439999994</v>
      </c>
      <c r="AA79">
        <v>9.9047873440000007</v>
      </c>
      <c r="AB79">
        <v>9.9646152860000008</v>
      </c>
      <c r="AC79">
        <v>10.0231286</v>
      </c>
      <c r="AD79">
        <v>10.12612588</v>
      </c>
      <c r="AE79">
        <v>10.22022791</v>
      </c>
      <c r="AF79">
        <v>10.32099378</v>
      </c>
      <c r="AG79">
        <v>10.428618</v>
      </c>
      <c r="AH79">
        <v>10.534216560000001</v>
      </c>
      <c r="AI79">
        <v>10.6694148</v>
      </c>
      <c r="AJ79">
        <v>10.797505320000001</v>
      </c>
      <c r="AK79">
        <v>10.920391370000001</v>
      </c>
      <c r="AL79">
        <v>11.044575999999999</v>
      </c>
      <c r="AM79">
        <v>11.170514130000001</v>
      </c>
      <c r="AN79">
        <v>11.322826060000001</v>
      </c>
      <c r="AO79">
        <v>11.497578499999999</v>
      </c>
      <c r="AP79">
        <v>11.677710250000001</v>
      </c>
      <c r="AQ79">
        <v>11.860294700000001</v>
      </c>
      <c r="AR79">
        <v>12.04170244</v>
      </c>
      <c r="AS79">
        <v>12.21752706</v>
      </c>
      <c r="AT79">
        <v>12.383944019999999</v>
      </c>
      <c r="AU79">
        <v>12.54890398</v>
      </c>
      <c r="AV79">
        <v>12.71656774</v>
      </c>
      <c r="AW79">
        <v>12.893103010000001</v>
      </c>
    </row>
    <row r="80" spans="2:49" x14ac:dyDescent="0.25">
      <c r="B80" t="s">
        <v>381</v>
      </c>
      <c r="C80">
        <v>12.401465507675301</v>
      </c>
      <c r="D80">
        <v>12.6005750477687</v>
      </c>
      <c r="E80">
        <v>12.802881360000001</v>
      </c>
      <c r="F80">
        <v>12.96019656</v>
      </c>
      <c r="G80">
        <v>13.34772596</v>
      </c>
      <c r="H80">
        <v>13.0313275</v>
      </c>
      <c r="I80">
        <v>13.288519859999999</v>
      </c>
      <c r="J80">
        <v>13.65066732</v>
      </c>
      <c r="K80">
        <v>13.97993771</v>
      </c>
      <c r="L80">
        <v>14.02920316</v>
      </c>
      <c r="M80">
        <v>13.970486620000001</v>
      </c>
      <c r="N80">
        <v>13.752200009999999</v>
      </c>
      <c r="O80">
        <v>13.657236660000001</v>
      </c>
      <c r="P80">
        <v>13.88751055</v>
      </c>
      <c r="Q80">
        <v>14.31734971</v>
      </c>
      <c r="R80">
        <v>14.38065724</v>
      </c>
      <c r="S80">
        <v>14.445102029999999</v>
      </c>
      <c r="T80">
        <v>14.427125309999999</v>
      </c>
      <c r="U80">
        <v>14.51751367</v>
      </c>
      <c r="V80">
        <v>14.615124310000001</v>
      </c>
      <c r="W80">
        <v>14.725534250000001</v>
      </c>
      <c r="X80">
        <v>14.83491006</v>
      </c>
      <c r="Y80">
        <v>15.05056544</v>
      </c>
      <c r="Z80">
        <v>15.212500929999999</v>
      </c>
      <c r="AA80">
        <v>15.40892113</v>
      </c>
      <c r="AB80">
        <v>15.5914795</v>
      </c>
      <c r="AC80">
        <v>15.77190278</v>
      </c>
      <c r="AD80">
        <v>15.932651679999999</v>
      </c>
      <c r="AE80">
        <v>16.09349705</v>
      </c>
      <c r="AF80">
        <v>16.246158139999999</v>
      </c>
      <c r="AG80">
        <v>16.393201220000002</v>
      </c>
      <c r="AH80">
        <v>16.534930410000001</v>
      </c>
      <c r="AI80">
        <v>16.666279970000001</v>
      </c>
      <c r="AJ80">
        <v>16.784090670000001</v>
      </c>
      <c r="AK80">
        <v>16.893917510000001</v>
      </c>
      <c r="AL80">
        <v>16.9958961</v>
      </c>
      <c r="AM80">
        <v>17.09005453</v>
      </c>
      <c r="AN80">
        <v>17.185452779999999</v>
      </c>
      <c r="AO80">
        <v>17.26804203</v>
      </c>
      <c r="AP80">
        <v>17.340337510000001</v>
      </c>
      <c r="AQ80">
        <v>17.399915889999999</v>
      </c>
      <c r="AR80">
        <v>17.45225147</v>
      </c>
      <c r="AS80">
        <v>17.495582750000001</v>
      </c>
      <c r="AT80">
        <v>17.529058360000001</v>
      </c>
      <c r="AU80">
        <v>17.552122220000001</v>
      </c>
      <c r="AV80">
        <v>17.565420289999999</v>
      </c>
      <c r="AW80">
        <v>17.580457930000001</v>
      </c>
    </row>
    <row r="81" spans="2:49" x14ac:dyDescent="0.25">
      <c r="B81" t="s">
        <v>382</v>
      </c>
      <c r="C81">
        <v>10.826676236859401</v>
      </c>
      <c r="D81">
        <v>11.000502025829901</v>
      </c>
      <c r="E81">
        <v>11.17711864</v>
      </c>
      <c r="F81">
        <v>11.653960570000001</v>
      </c>
      <c r="G81">
        <v>11.97922823</v>
      </c>
      <c r="H81">
        <v>10.96568377</v>
      </c>
      <c r="I81">
        <v>11.32528514</v>
      </c>
      <c r="J81">
        <v>11.753451070000001</v>
      </c>
      <c r="K81">
        <v>12.03325968</v>
      </c>
      <c r="L81">
        <v>12.031526339999999</v>
      </c>
      <c r="M81">
        <v>11.94304876</v>
      </c>
      <c r="N81">
        <v>11.577119919999999</v>
      </c>
      <c r="O81">
        <v>11.029402810000001</v>
      </c>
      <c r="P81">
        <v>11.070493580000001</v>
      </c>
      <c r="Q81">
        <v>11.4391859</v>
      </c>
      <c r="R81">
        <v>11.331976170000001</v>
      </c>
      <c r="S81">
        <v>11.13643673</v>
      </c>
      <c r="T81">
        <v>11.14457123</v>
      </c>
      <c r="U81">
        <v>11.09293415</v>
      </c>
      <c r="V81">
        <v>11.019922129999999</v>
      </c>
      <c r="W81">
        <v>11.14072833</v>
      </c>
      <c r="X81">
        <v>11.26652449</v>
      </c>
      <c r="Y81">
        <v>11.517395690000001</v>
      </c>
      <c r="Z81">
        <v>11.66348758</v>
      </c>
      <c r="AA81">
        <v>11.80964064</v>
      </c>
      <c r="AB81">
        <v>11.924790249999999</v>
      </c>
      <c r="AC81">
        <v>12.025610439999999</v>
      </c>
      <c r="AD81">
        <v>12.09198509</v>
      </c>
      <c r="AE81">
        <v>12.14957179</v>
      </c>
      <c r="AF81">
        <v>12.19491899</v>
      </c>
      <c r="AG81">
        <v>12.228258090000001</v>
      </c>
      <c r="AH81">
        <v>12.24987979</v>
      </c>
      <c r="AI81">
        <v>12.259201689999999</v>
      </c>
      <c r="AJ81">
        <v>12.25327791</v>
      </c>
      <c r="AK81">
        <v>12.23619454</v>
      </c>
      <c r="AL81">
        <v>12.21028941</v>
      </c>
      <c r="AM81">
        <v>12.17749598</v>
      </c>
      <c r="AN81">
        <v>12.035236490000001</v>
      </c>
      <c r="AO81">
        <v>11.870327570000001</v>
      </c>
      <c r="AP81">
        <v>11.70232193</v>
      </c>
      <c r="AQ81">
        <v>11.5306756</v>
      </c>
      <c r="AR81">
        <v>11.36263233</v>
      </c>
      <c r="AS81">
        <v>11.199597539999999</v>
      </c>
      <c r="AT81">
        <v>11.037936970000001</v>
      </c>
      <c r="AU81">
        <v>10.8769913</v>
      </c>
      <c r="AV81">
        <v>10.71780568</v>
      </c>
      <c r="AW81">
        <v>10.5601843</v>
      </c>
    </row>
    <row r="82" spans="2:49" x14ac:dyDescent="0.25">
      <c r="B82" t="s">
        <v>383</v>
      </c>
      <c r="C82">
        <v>4.42659733299524E-4</v>
      </c>
      <c r="D82">
        <v>4.4976677849999601E-4</v>
      </c>
      <c r="E82">
        <v>4.5698792999999998E-4</v>
      </c>
      <c r="F82">
        <v>8.2141451500000002E-4</v>
      </c>
      <c r="G82">
        <v>1.4155585100000001E-3</v>
      </c>
      <c r="H82">
        <v>2.3900095E-3</v>
      </c>
      <c r="I82">
        <v>3.71812394E-3</v>
      </c>
      <c r="J82">
        <v>5.4850080200000003E-3</v>
      </c>
      <c r="K82">
        <v>7.5848295899999998E-3</v>
      </c>
      <c r="L82">
        <v>1.0271789700000001E-2</v>
      </c>
      <c r="M82">
        <v>1.38611234E-2</v>
      </c>
      <c r="N82">
        <v>1.8184398500000001E-2</v>
      </c>
      <c r="O82">
        <v>2.41695681E-2</v>
      </c>
      <c r="P82">
        <v>3.2031828599999999E-2</v>
      </c>
      <c r="Q82">
        <v>4.2258361600000002E-2</v>
      </c>
      <c r="R82">
        <v>5.53997169E-2</v>
      </c>
      <c r="S82">
        <v>7.2456006399999995E-2</v>
      </c>
      <c r="T82">
        <v>9.2456454199999996E-2</v>
      </c>
      <c r="U82">
        <v>0.1185033176</v>
      </c>
      <c r="V82">
        <v>0.1496639015</v>
      </c>
      <c r="W82">
        <v>0.189795731</v>
      </c>
      <c r="X82">
        <v>0.21876744519999999</v>
      </c>
      <c r="Y82">
        <v>0.26937967439999999</v>
      </c>
      <c r="Z82">
        <v>0.33532172459999998</v>
      </c>
      <c r="AA82">
        <v>0.4137863805</v>
      </c>
      <c r="AB82">
        <v>0.50324107579999999</v>
      </c>
      <c r="AC82">
        <v>0.57415809669999995</v>
      </c>
      <c r="AD82">
        <v>0.67328605949999998</v>
      </c>
      <c r="AE82">
        <v>0.78739564549999996</v>
      </c>
      <c r="AF82">
        <v>0.91099016860000004</v>
      </c>
      <c r="AG82">
        <v>1.0425871069999999</v>
      </c>
      <c r="AH82">
        <v>1.1554575279999999</v>
      </c>
      <c r="AI82">
        <v>1.2865038259999999</v>
      </c>
      <c r="AJ82">
        <v>1.4311560560000001</v>
      </c>
      <c r="AK82">
        <v>1.583265116</v>
      </c>
      <c r="AL82">
        <v>1.7403674060000001</v>
      </c>
      <c r="AM82">
        <v>1.9011785830000001</v>
      </c>
      <c r="AN82">
        <v>2.0568593559999999</v>
      </c>
      <c r="AO82">
        <v>2.2099607410000002</v>
      </c>
      <c r="AP82">
        <v>2.3622798220000001</v>
      </c>
      <c r="AQ82">
        <v>2.5141965869999998</v>
      </c>
      <c r="AR82">
        <v>2.630008884</v>
      </c>
      <c r="AS82">
        <v>2.7618605020000002</v>
      </c>
      <c r="AT82">
        <v>2.899418292</v>
      </c>
      <c r="AU82">
        <v>3.0383964780000001</v>
      </c>
      <c r="AV82">
        <v>3.1769806850000002</v>
      </c>
      <c r="AW82">
        <v>3.314322953</v>
      </c>
    </row>
    <row r="83" spans="2:49" x14ac:dyDescent="0.25">
      <c r="B83" t="s">
        <v>384</v>
      </c>
      <c r="C83">
        <v>1.1996237928359601</v>
      </c>
      <c r="D83">
        <v>1.2188841408592499</v>
      </c>
      <c r="E83">
        <v>1.238794476</v>
      </c>
      <c r="F83">
        <v>1.2961445439999999</v>
      </c>
      <c r="G83">
        <v>1.281178065</v>
      </c>
      <c r="H83">
        <v>1.144919016</v>
      </c>
      <c r="I83">
        <v>1.2158896370000001</v>
      </c>
      <c r="J83">
        <v>1.240105279</v>
      </c>
      <c r="K83">
        <v>1.268233261</v>
      </c>
      <c r="L83">
        <v>1.274752994</v>
      </c>
      <c r="M83">
        <v>1.2792156750000001</v>
      </c>
      <c r="N83">
        <v>1.268838986</v>
      </c>
      <c r="O83">
        <v>1.2658803240000001</v>
      </c>
      <c r="P83">
        <v>1.332752317</v>
      </c>
      <c r="Q83">
        <v>1.363320708</v>
      </c>
      <c r="R83">
        <v>1.4049790879999999</v>
      </c>
      <c r="S83">
        <v>1.4349099599999999</v>
      </c>
      <c r="T83">
        <v>1.5778756949999999</v>
      </c>
      <c r="U83">
        <v>1.7033605300000001</v>
      </c>
      <c r="V83">
        <v>1.8408042339999999</v>
      </c>
      <c r="W83">
        <v>1.9160809969999999</v>
      </c>
      <c r="X83">
        <v>2.193325009</v>
      </c>
      <c r="Y83">
        <v>2.3477989940000001</v>
      </c>
      <c r="Z83">
        <v>2.464380206</v>
      </c>
      <c r="AA83">
        <v>2.5647355109999999</v>
      </c>
      <c r="AB83">
        <v>2.6479506279999998</v>
      </c>
      <c r="AC83">
        <v>2.8726356929999999</v>
      </c>
      <c r="AD83">
        <v>2.9471436710000001</v>
      </c>
      <c r="AE83">
        <v>3.023056161</v>
      </c>
      <c r="AF83">
        <v>3.1018461529999999</v>
      </c>
      <c r="AG83">
        <v>3.1771591190000001</v>
      </c>
      <c r="AH83">
        <v>3.3215526569999998</v>
      </c>
      <c r="AI83">
        <v>3.374634329</v>
      </c>
      <c r="AJ83">
        <v>3.4293870640000002</v>
      </c>
      <c r="AK83">
        <v>3.4819081519999999</v>
      </c>
      <c r="AL83">
        <v>3.535076009</v>
      </c>
      <c r="AM83">
        <v>3.5900874900000002</v>
      </c>
      <c r="AN83">
        <v>3.6129272929999998</v>
      </c>
      <c r="AO83">
        <v>3.642228647</v>
      </c>
      <c r="AP83">
        <v>3.6730415249999999</v>
      </c>
      <c r="AQ83">
        <v>3.7047500960000002</v>
      </c>
      <c r="AR83">
        <v>3.8148336180000002</v>
      </c>
      <c r="AS83">
        <v>3.8216253189999998</v>
      </c>
      <c r="AT83">
        <v>3.8334453329999998</v>
      </c>
      <c r="AU83">
        <v>3.8461337210000002</v>
      </c>
      <c r="AV83">
        <v>3.8597643599999998</v>
      </c>
      <c r="AW83">
        <v>3.8749280530000001</v>
      </c>
    </row>
    <row r="84" spans="2:49" x14ac:dyDescent="0.25">
      <c r="B84" t="s">
        <v>385</v>
      </c>
      <c r="C84">
        <v>0.33902625565417799</v>
      </c>
      <c r="D84">
        <v>0.34446943184985501</v>
      </c>
      <c r="E84">
        <v>0.35</v>
      </c>
      <c r="F84">
        <v>0.3663037079</v>
      </c>
      <c r="G84">
        <v>0.35684614640000001</v>
      </c>
      <c r="H84">
        <v>0.36147352649999998</v>
      </c>
      <c r="I84">
        <v>0.38832202840000002</v>
      </c>
      <c r="J84">
        <v>0.38175848200000001</v>
      </c>
      <c r="K84">
        <v>0.37520808789999999</v>
      </c>
      <c r="L84">
        <v>0.36470581699999999</v>
      </c>
      <c r="M84">
        <v>0.38613448350000001</v>
      </c>
      <c r="N84">
        <v>0.39457648909999998</v>
      </c>
      <c r="O84">
        <v>0.39554612810000001</v>
      </c>
      <c r="P84">
        <v>0.40123074050000002</v>
      </c>
      <c r="Q84">
        <v>0.37917695439999999</v>
      </c>
      <c r="R84">
        <v>0.37091312859999997</v>
      </c>
      <c r="S84">
        <v>0.3708630798</v>
      </c>
      <c r="T84">
        <v>0.37584233970000003</v>
      </c>
      <c r="U84">
        <v>0.38202092809999999</v>
      </c>
      <c r="V84">
        <v>0.39178273819999998</v>
      </c>
      <c r="W84">
        <v>0.39887494750000002</v>
      </c>
      <c r="X84">
        <v>0.40868036130000002</v>
      </c>
      <c r="Y84">
        <v>0.41738045219999997</v>
      </c>
      <c r="Z84">
        <v>0.42401860969999999</v>
      </c>
      <c r="AA84">
        <v>0.42786227230000001</v>
      </c>
      <c r="AB84">
        <v>0.43119056830000002</v>
      </c>
      <c r="AC84">
        <v>0.43650707979999998</v>
      </c>
      <c r="AD84">
        <v>0.43856397460000002</v>
      </c>
      <c r="AE84">
        <v>0.44132353349999998</v>
      </c>
      <c r="AF84">
        <v>0.44476178189999999</v>
      </c>
      <c r="AG84">
        <v>0.44812048609999999</v>
      </c>
      <c r="AH84">
        <v>0.45273516289999999</v>
      </c>
      <c r="AI84">
        <v>0.45508310369999999</v>
      </c>
      <c r="AJ84">
        <v>0.45833438830000001</v>
      </c>
      <c r="AK84">
        <v>0.461521717</v>
      </c>
      <c r="AL84">
        <v>0.46494946549999999</v>
      </c>
      <c r="AM84">
        <v>0.4686862094</v>
      </c>
      <c r="AN84">
        <v>0.47356725820000001</v>
      </c>
      <c r="AO84">
        <v>0.4790599827</v>
      </c>
      <c r="AP84">
        <v>0.48462992449999998</v>
      </c>
      <c r="AQ84">
        <v>0.49028643170000002</v>
      </c>
      <c r="AR84">
        <v>0.4968202256</v>
      </c>
      <c r="AS84">
        <v>0.50224461750000005</v>
      </c>
      <c r="AT84">
        <v>0.50805756859999995</v>
      </c>
      <c r="AU84">
        <v>0.51401440040000002</v>
      </c>
      <c r="AV84">
        <v>0.52017252339999998</v>
      </c>
      <c r="AW84">
        <v>0.52656452519999997</v>
      </c>
    </row>
    <row r="85" spans="2:49" x14ac:dyDescent="0.25">
      <c r="B85" t="s">
        <v>386</v>
      </c>
      <c r="C85">
        <v>12.8442518570697</v>
      </c>
      <c r="D85">
        <v>13.0504704752259</v>
      </c>
      <c r="E85">
        <v>13.26</v>
      </c>
      <c r="F85">
        <v>13.64490296</v>
      </c>
      <c r="G85">
        <v>13.203392920000001</v>
      </c>
      <c r="H85">
        <v>12.153374019999999</v>
      </c>
      <c r="I85">
        <v>12.669378419999999</v>
      </c>
      <c r="J85">
        <v>12.897917769999999</v>
      </c>
      <c r="K85">
        <v>12.29653766</v>
      </c>
      <c r="L85">
        <v>12.08471177</v>
      </c>
      <c r="M85">
        <v>12.26194827</v>
      </c>
      <c r="N85">
        <v>12.564611360000001</v>
      </c>
      <c r="O85">
        <v>12.83902803</v>
      </c>
      <c r="P85">
        <v>13.15116329</v>
      </c>
      <c r="Q85">
        <v>12.86182662</v>
      </c>
      <c r="R85">
        <v>12.79963218</v>
      </c>
      <c r="S85">
        <v>12.72188557</v>
      </c>
      <c r="T85">
        <v>12.838022949999999</v>
      </c>
      <c r="U85">
        <v>12.918975870000001</v>
      </c>
      <c r="V85">
        <v>13.10311113</v>
      </c>
      <c r="W85">
        <v>13.03617601</v>
      </c>
      <c r="X85">
        <v>12.900303940000001</v>
      </c>
      <c r="Y85">
        <v>12.81589595</v>
      </c>
      <c r="Z85">
        <v>12.85057945</v>
      </c>
      <c r="AA85">
        <v>12.843345210000001</v>
      </c>
      <c r="AB85">
        <v>12.829679459999999</v>
      </c>
      <c r="AC85">
        <v>12.820155099999999</v>
      </c>
      <c r="AD85">
        <v>12.877721409999999</v>
      </c>
      <c r="AE85" s="100">
        <v>12.91628148</v>
      </c>
      <c r="AF85" s="100">
        <v>12.96993333</v>
      </c>
      <c r="AG85">
        <v>13.02124545</v>
      </c>
      <c r="AH85">
        <v>13.077158750000001</v>
      </c>
      <c r="AI85">
        <v>13.141521020000001</v>
      </c>
      <c r="AJ85" s="100">
        <v>13.20831306</v>
      </c>
      <c r="AK85">
        <v>13.2727638</v>
      </c>
      <c r="AL85">
        <v>13.340860040000001</v>
      </c>
      <c r="AM85">
        <v>13.41255482</v>
      </c>
      <c r="AN85">
        <v>13.412486830000001</v>
      </c>
      <c r="AO85">
        <v>13.416714819999999</v>
      </c>
      <c r="AP85">
        <v>13.41179687</v>
      </c>
      <c r="AQ85">
        <v>13.40392894</v>
      </c>
      <c r="AR85">
        <v>13.383229439999999</v>
      </c>
      <c r="AS85">
        <v>13.4215044</v>
      </c>
      <c r="AT85">
        <v>13.46441767</v>
      </c>
      <c r="AU85">
        <v>13.506109439999999</v>
      </c>
      <c r="AV85">
        <v>13.547586580000001</v>
      </c>
      <c r="AW85">
        <v>13.59766026</v>
      </c>
    </row>
    <row r="86" spans="2:49" x14ac:dyDescent="0.25">
      <c r="B86" t="s">
        <v>387</v>
      </c>
      <c r="C86" s="100">
        <v>17.113958899133198</v>
      </c>
      <c r="D86">
        <v>17.388729044925601</v>
      </c>
      <c r="E86">
        <v>17.667910710000001</v>
      </c>
      <c r="F86">
        <v>17.809832199999999</v>
      </c>
      <c r="G86" s="100">
        <v>17.735130439999999</v>
      </c>
      <c r="H86">
        <v>17.743852650000001</v>
      </c>
      <c r="I86">
        <v>18.11123641</v>
      </c>
      <c r="J86">
        <v>18.124148590000001</v>
      </c>
      <c r="K86" s="100">
        <v>17.784831130000001</v>
      </c>
      <c r="L86" s="100">
        <v>17.560275820000001</v>
      </c>
      <c r="M86" s="100">
        <v>17.559450859999998</v>
      </c>
      <c r="N86">
        <v>17.706069859999999</v>
      </c>
      <c r="O86">
        <v>18.065149359999999</v>
      </c>
      <c r="P86">
        <v>18.163535379999999</v>
      </c>
      <c r="Q86">
        <v>17.727117270000001</v>
      </c>
      <c r="R86">
        <v>17.414159160000001</v>
      </c>
      <c r="S86">
        <v>17.18079925</v>
      </c>
      <c r="T86">
        <v>16.787291790000001</v>
      </c>
      <c r="U86">
        <v>16.647852969999999</v>
      </c>
      <c r="V86">
        <v>16.5235953</v>
      </c>
      <c r="W86">
        <v>16.514861759999999</v>
      </c>
      <c r="X86">
        <v>16.575198010000001</v>
      </c>
      <c r="Y86">
        <v>16.64054024</v>
      </c>
      <c r="Z86">
        <v>16.812109509999999</v>
      </c>
      <c r="AA86">
        <v>16.913581000000001</v>
      </c>
      <c r="AB86">
        <v>17.029892719999999</v>
      </c>
      <c r="AC86">
        <v>17.123886030000001</v>
      </c>
      <c r="AD86">
        <v>17.22416479</v>
      </c>
      <c r="AE86">
        <v>17.29218423</v>
      </c>
      <c r="AF86">
        <v>17.357485029999999</v>
      </c>
      <c r="AG86">
        <v>17.393995539999999</v>
      </c>
      <c r="AH86">
        <v>17.417902909999999</v>
      </c>
      <c r="AI86">
        <v>17.40552671</v>
      </c>
      <c r="AJ86">
        <v>17.393319160000001</v>
      </c>
      <c r="AK86">
        <v>17.373392490000001</v>
      </c>
      <c r="AL86">
        <v>17.346555349999999</v>
      </c>
      <c r="AM86">
        <v>17.313125790000001</v>
      </c>
      <c r="AN86">
        <v>17.27056408</v>
      </c>
      <c r="AO86">
        <v>17.22430619</v>
      </c>
      <c r="AP86">
        <v>17.16521899</v>
      </c>
      <c r="AQ86">
        <v>17.101015199999999</v>
      </c>
      <c r="AR86">
        <v>17.020267199999999</v>
      </c>
      <c r="AS86">
        <v>16.958690220000001</v>
      </c>
      <c r="AT86">
        <v>16.890511549999999</v>
      </c>
      <c r="AU86">
        <v>16.8131013</v>
      </c>
      <c r="AV86">
        <v>16.72556844</v>
      </c>
      <c r="AW86">
        <v>16.632468039999999</v>
      </c>
    </row>
    <row r="87" spans="2:49" x14ac:dyDescent="0.25">
      <c r="B87" t="s">
        <v>388</v>
      </c>
      <c r="C87" s="100">
        <v>5.6395460874857797</v>
      </c>
      <c r="D87" s="100">
        <v>5.7300908240832298</v>
      </c>
      <c r="E87" s="100">
        <v>5.8220892859999998</v>
      </c>
      <c r="F87">
        <v>6.2133458150000003</v>
      </c>
      <c r="G87">
        <v>6.3838032120000001</v>
      </c>
      <c r="H87">
        <v>6.5218179709999999</v>
      </c>
      <c r="I87">
        <v>7.0625297250000001</v>
      </c>
      <c r="J87">
        <v>7.3770131069999998</v>
      </c>
      <c r="K87">
        <v>7.4853261050000004</v>
      </c>
      <c r="L87">
        <v>7.7640169820000002</v>
      </c>
      <c r="M87">
        <v>8.3040327999999999</v>
      </c>
      <c r="N87">
        <v>9.1415614349999998</v>
      </c>
      <c r="O87">
        <v>9.4576667190000006</v>
      </c>
      <c r="P87">
        <v>9.3260766870000005</v>
      </c>
      <c r="Q87">
        <v>8.6595106469999994</v>
      </c>
      <c r="R87">
        <v>8.1815648050000007</v>
      </c>
      <c r="S87">
        <v>7.8846948670000003</v>
      </c>
      <c r="T87">
        <v>7.8059055529999997</v>
      </c>
      <c r="U87">
        <v>7.7682315610000003</v>
      </c>
      <c r="V87">
        <v>7.7343846579999997</v>
      </c>
      <c r="W87">
        <v>7.8372252109999998</v>
      </c>
      <c r="X87">
        <v>7.9821322539999997</v>
      </c>
      <c r="Y87">
        <v>8.1179634840000006</v>
      </c>
      <c r="Z87">
        <v>8.1856674310000006</v>
      </c>
      <c r="AA87">
        <v>8.1804115730000007</v>
      </c>
      <c r="AB87">
        <v>8.1573679119999998</v>
      </c>
      <c r="AC87">
        <v>8.1175310589999903</v>
      </c>
      <c r="AD87">
        <v>8.0754078029999903</v>
      </c>
      <c r="AE87">
        <v>8.0194369909999903</v>
      </c>
      <c r="AF87">
        <v>7.9654174849999997</v>
      </c>
      <c r="AG87">
        <v>7.896494465</v>
      </c>
      <c r="AH87">
        <v>7.8203617449999996</v>
      </c>
      <c r="AI87">
        <v>7.733061567</v>
      </c>
      <c r="AJ87">
        <v>7.6484795800000001</v>
      </c>
      <c r="AK87">
        <v>7.5630657780000003</v>
      </c>
      <c r="AL87">
        <v>7.477042</v>
      </c>
      <c r="AM87">
        <v>7.3908896400000001</v>
      </c>
      <c r="AN87">
        <v>7.2651291550000003</v>
      </c>
      <c r="AO87">
        <v>7.1389857460000004</v>
      </c>
      <c r="AP87">
        <v>7.0152058850000003</v>
      </c>
      <c r="AQ87">
        <v>6.8966334500000004</v>
      </c>
      <c r="AR87">
        <v>6.7798378120000002</v>
      </c>
      <c r="AS87">
        <v>6.6667505909999996</v>
      </c>
      <c r="AT87">
        <v>6.5574328030000002</v>
      </c>
      <c r="AU87" s="100">
        <v>6.4506369360000004</v>
      </c>
      <c r="AV87" s="100">
        <v>6.3461064770000002</v>
      </c>
      <c r="AW87">
        <v>6.2431548680000004</v>
      </c>
    </row>
    <row r="88" spans="2:49" x14ac:dyDescent="0.25">
      <c r="B88" t="s">
        <v>389</v>
      </c>
      <c r="C88" s="100">
        <v>1.0609788529198101E-6</v>
      </c>
      <c r="D88" s="100">
        <v>1.0780132115867701E-6</v>
      </c>
      <c r="E88" s="100">
        <v>1.0953210600000001E-6</v>
      </c>
      <c r="F88" s="100">
        <v>1.2870020300000001E-6</v>
      </c>
      <c r="G88" s="100">
        <v>2.3139638699999998E-6</v>
      </c>
      <c r="H88" s="100">
        <v>3.45845446E-6</v>
      </c>
      <c r="I88" s="100">
        <v>4.6477410099999999E-6</v>
      </c>
      <c r="J88" s="100">
        <v>6.16659201E-6</v>
      </c>
      <c r="K88" s="100">
        <v>7.5463309200000004E-6</v>
      </c>
      <c r="L88" s="100">
        <v>8.7704254400000007E-6</v>
      </c>
      <c r="M88" s="100">
        <v>9.9375681000000003E-6</v>
      </c>
      <c r="N88" s="100">
        <v>1.06100426E-5</v>
      </c>
      <c r="O88" s="100">
        <v>1.11737046E-5</v>
      </c>
      <c r="P88" s="100">
        <v>1.14036039E-5</v>
      </c>
      <c r="Q88" s="100">
        <v>1.21560034E-5</v>
      </c>
      <c r="R88" s="100">
        <v>1.29993192E-5</v>
      </c>
      <c r="S88" s="100">
        <v>1.46634596E-5</v>
      </c>
      <c r="T88" s="100">
        <v>1.6021909499999999E-5</v>
      </c>
      <c r="U88" s="100">
        <v>1.8267784099999999E-5</v>
      </c>
      <c r="V88" s="100">
        <v>2.07440645E-5</v>
      </c>
      <c r="W88" s="100">
        <v>2.3355833099999999E-5</v>
      </c>
      <c r="X88" s="100">
        <v>2.4761798400000002E-5</v>
      </c>
      <c r="Y88" s="100">
        <v>2.68278244E-5</v>
      </c>
      <c r="Z88" s="100">
        <v>2.9107766599999999E-5</v>
      </c>
      <c r="AA88" s="100">
        <v>3.1432774399999997E-5</v>
      </c>
      <c r="AB88" s="100">
        <v>3.3723214999999997E-5</v>
      </c>
      <c r="AC88" s="100">
        <v>3.5080689700000002E-5</v>
      </c>
      <c r="AD88" s="100">
        <v>3.69097998E-5</v>
      </c>
      <c r="AE88" s="100">
        <v>3.8947516000000003E-5</v>
      </c>
      <c r="AF88" s="100">
        <v>4.0950516399999997E-5</v>
      </c>
      <c r="AG88" s="100">
        <v>4.2885709300000001E-5</v>
      </c>
      <c r="AH88" s="100">
        <v>4.4401966099999998E-5</v>
      </c>
      <c r="AI88" s="100">
        <v>4.5974828599999999E-5</v>
      </c>
      <c r="AJ88" s="100">
        <v>4.76499938E-5</v>
      </c>
      <c r="AK88" s="100">
        <v>4.9342655300000003E-5</v>
      </c>
      <c r="AL88" s="100">
        <v>5.1021555999999999E-5</v>
      </c>
      <c r="AM88" s="100">
        <v>5.2673673599999999E-5</v>
      </c>
      <c r="AN88" s="100">
        <v>5.4223925999999999E-5</v>
      </c>
      <c r="AO88" s="100">
        <v>5.57032432E-5</v>
      </c>
      <c r="AP88" s="100">
        <v>5.7148274900000003E-5</v>
      </c>
      <c r="AQ88" s="100">
        <v>5.8577718500000001E-5</v>
      </c>
      <c r="AR88" s="100">
        <v>5.9467528599999999E-5</v>
      </c>
      <c r="AS88" s="100">
        <v>6.0615410000000003E-5</v>
      </c>
      <c r="AT88" s="100">
        <v>6.1870263200000005E-5</v>
      </c>
      <c r="AU88" s="100">
        <v>6.3181370899999899E-5</v>
      </c>
      <c r="AV88" s="100">
        <v>6.45266923E-5</v>
      </c>
      <c r="AW88" s="100">
        <v>6.5896558E-5</v>
      </c>
    </row>
    <row r="89" spans="2:49" x14ac:dyDescent="0.25">
      <c r="B89" t="s">
        <v>390</v>
      </c>
      <c r="C89">
        <v>0.26347077198670499</v>
      </c>
      <c r="D89">
        <v>0.26770088045298701</v>
      </c>
      <c r="E89">
        <v>0.27204382430000001</v>
      </c>
      <c r="F89">
        <v>0.30030092200000003</v>
      </c>
      <c r="G89">
        <v>0.29139859150000003</v>
      </c>
      <c r="H89">
        <v>0.24137334590000001</v>
      </c>
      <c r="I89">
        <v>0.2411126633</v>
      </c>
      <c r="J89">
        <v>0.23735247379999999</v>
      </c>
      <c r="K89">
        <v>0.25552998240000002</v>
      </c>
      <c r="L89">
        <v>0.2527507685</v>
      </c>
      <c r="M89">
        <v>0.25104766179999999</v>
      </c>
      <c r="N89">
        <v>0.24936884200000001</v>
      </c>
      <c r="O89">
        <v>0.24004232149999999</v>
      </c>
      <c r="P89">
        <v>0.24727566919999999</v>
      </c>
      <c r="Q89">
        <v>0.25436137269999998</v>
      </c>
      <c r="R89">
        <v>0.26386180209999999</v>
      </c>
      <c r="S89">
        <v>0.2785915444</v>
      </c>
      <c r="T89">
        <v>0.3388649829</v>
      </c>
      <c r="U89">
        <v>0.3887394797</v>
      </c>
      <c r="V89">
        <v>0.43185720550000001</v>
      </c>
      <c r="W89">
        <v>0.46214297650000002</v>
      </c>
      <c r="X89">
        <v>0.59295051330000004</v>
      </c>
      <c r="Y89">
        <v>0.73546900439999996</v>
      </c>
      <c r="Z89">
        <v>0.88167237740000004</v>
      </c>
      <c r="AA89">
        <v>1.0272148860000001</v>
      </c>
      <c r="AB89">
        <v>1.1730866790000001</v>
      </c>
      <c r="AC89">
        <v>1.321134209</v>
      </c>
      <c r="AD89">
        <v>1.501984872</v>
      </c>
      <c r="AE89">
        <v>1.6804865659999999</v>
      </c>
      <c r="AF89">
        <v>1.8625904069999999</v>
      </c>
      <c r="AG89">
        <v>2.0457976279999999</v>
      </c>
      <c r="AH89">
        <v>2.2290271320000001</v>
      </c>
      <c r="AI89">
        <v>2.3748459500000001</v>
      </c>
      <c r="AJ89">
        <v>2.52097427</v>
      </c>
      <c r="AK89">
        <v>2.6674379510000001</v>
      </c>
      <c r="AL89">
        <v>2.8165180329999999</v>
      </c>
      <c r="AM89">
        <v>2.968600211</v>
      </c>
      <c r="AN89">
        <v>3.0355004540000001</v>
      </c>
      <c r="AO89">
        <v>3.108176587</v>
      </c>
      <c r="AP89">
        <v>3.1828663399999999</v>
      </c>
      <c r="AQ89">
        <v>3.2597537349999999</v>
      </c>
      <c r="AR89">
        <v>3.334973985</v>
      </c>
      <c r="AS89">
        <v>3.3689843339999999</v>
      </c>
      <c r="AT89">
        <v>3.4010135109999999</v>
      </c>
      <c r="AU89">
        <v>3.432320958</v>
      </c>
      <c r="AV89">
        <v>3.464063307</v>
      </c>
      <c r="AW89">
        <v>3.497246896</v>
      </c>
    </row>
    <row r="90" spans="2:49" x14ac:dyDescent="0.25">
      <c r="B90" t="s">
        <v>391</v>
      </c>
      <c r="C90">
        <v>2318131524.4374599</v>
      </c>
      <c r="D90">
        <v>2355349875.8831902</v>
      </c>
      <c r="E90" s="100">
        <v>2393165780</v>
      </c>
      <c r="F90" s="100">
        <v>2417743066</v>
      </c>
      <c r="G90" s="100">
        <v>2442572755</v>
      </c>
      <c r="H90">
        <v>2467657440</v>
      </c>
      <c r="I90" s="100">
        <v>2492999739</v>
      </c>
      <c r="J90" s="100">
        <v>2518602297</v>
      </c>
      <c r="K90" s="100">
        <v>2544467789</v>
      </c>
      <c r="L90" s="100">
        <v>2570598913</v>
      </c>
      <c r="M90" s="100">
        <v>2596998398</v>
      </c>
      <c r="N90">
        <v>2623669000</v>
      </c>
      <c r="O90">
        <v>2653988446</v>
      </c>
      <c r="P90">
        <v>2684658267</v>
      </c>
      <c r="Q90">
        <v>2715682513</v>
      </c>
      <c r="R90">
        <v>2745467125</v>
      </c>
      <c r="S90">
        <v>2775151740</v>
      </c>
      <c r="T90">
        <v>2804229571</v>
      </c>
      <c r="U90">
        <v>2833057577</v>
      </c>
      <c r="V90">
        <v>2863783189</v>
      </c>
      <c r="W90">
        <v>2894524521</v>
      </c>
      <c r="X90" s="100">
        <v>2924411523</v>
      </c>
      <c r="Y90">
        <v>2953544095</v>
      </c>
      <c r="Z90">
        <v>2981851909</v>
      </c>
      <c r="AA90">
        <v>3009484025</v>
      </c>
      <c r="AB90">
        <v>3036284686</v>
      </c>
      <c r="AC90">
        <v>3062184172</v>
      </c>
      <c r="AD90">
        <v>3087964217</v>
      </c>
      <c r="AE90">
        <v>3113483048</v>
      </c>
      <c r="AF90">
        <v>3138686341</v>
      </c>
      <c r="AG90">
        <v>3163564425</v>
      </c>
      <c r="AH90">
        <v>3188384924</v>
      </c>
      <c r="AI90">
        <v>3212818008</v>
      </c>
      <c r="AJ90">
        <v>3236712515</v>
      </c>
      <c r="AK90">
        <v>3260337894</v>
      </c>
      <c r="AL90">
        <v>3283638812</v>
      </c>
      <c r="AM90">
        <v>3306510935</v>
      </c>
      <c r="AN90">
        <v>3328474335</v>
      </c>
      <c r="AO90">
        <v>3349315510</v>
      </c>
      <c r="AP90">
        <v>3369011741</v>
      </c>
      <c r="AQ90">
        <v>3387834688</v>
      </c>
      <c r="AR90">
        <v>3405571666</v>
      </c>
      <c r="AS90">
        <v>3422253727</v>
      </c>
      <c r="AT90">
        <v>3438013091</v>
      </c>
      <c r="AU90">
        <v>3452736286</v>
      </c>
      <c r="AV90">
        <v>3466409026</v>
      </c>
      <c r="AW90">
        <v>3479017918</v>
      </c>
    </row>
    <row r="91" spans="2:49" x14ac:dyDescent="0.25">
      <c r="B91" t="s">
        <v>392</v>
      </c>
      <c r="C91" s="100">
        <v>640398.31806251395</v>
      </c>
      <c r="D91">
        <v>650680.12020171306</v>
      </c>
      <c r="E91">
        <v>661127</v>
      </c>
      <c r="F91">
        <v>1873259.4809999999</v>
      </c>
      <c r="G91" s="100">
        <v>3556588.62</v>
      </c>
      <c r="H91">
        <v>5352173.8</v>
      </c>
      <c r="I91">
        <v>6916544.5559999999</v>
      </c>
      <c r="J91">
        <v>8503599.2019999996</v>
      </c>
      <c r="K91" s="100">
        <v>10259479.130000001</v>
      </c>
      <c r="L91" s="100">
        <v>12191814.560000001</v>
      </c>
      <c r="M91">
        <v>14291457.460000001</v>
      </c>
      <c r="N91" s="100">
        <v>16492559.82</v>
      </c>
      <c r="O91">
        <v>18510135.510000002</v>
      </c>
      <c r="P91">
        <v>20754506.620000001</v>
      </c>
      <c r="Q91">
        <v>23481810.719999999</v>
      </c>
      <c r="R91">
        <v>27409910.379999999</v>
      </c>
      <c r="S91">
        <v>32173865.84</v>
      </c>
      <c r="T91">
        <v>37880581.020000003</v>
      </c>
      <c r="U91">
        <v>44249521.259999998</v>
      </c>
      <c r="V91">
        <v>51054586.549999997</v>
      </c>
      <c r="W91">
        <v>57057901.530000001</v>
      </c>
      <c r="X91">
        <v>62626640.350000001</v>
      </c>
      <c r="Y91">
        <v>67486220.180000007</v>
      </c>
      <c r="Z91">
        <v>71461554.310000002</v>
      </c>
      <c r="AA91">
        <v>75428664.629999995</v>
      </c>
      <c r="AB91">
        <v>79699140.579999998</v>
      </c>
      <c r="AC91">
        <v>84455113.260000005</v>
      </c>
      <c r="AD91">
        <v>89823408.180000007</v>
      </c>
      <c r="AE91">
        <v>95904728.019999996</v>
      </c>
      <c r="AF91">
        <v>102695555.09999999</v>
      </c>
      <c r="AG91">
        <v>110203804.09999999</v>
      </c>
      <c r="AH91">
        <v>118457047.09999999</v>
      </c>
      <c r="AI91" s="100">
        <v>127461102.7</v>
      </c>
      <c r="AJ91">
        <v>137255276.90000001</v>
      </c>
      <c r="AK91">
        <v>147888892.80000001</v>
      </c>
      <c r="AL91" s="100">
        <v>159391851.59999999</v>
      </c>
      <c r="AM91">
        <v>171786331.69999999</v>
      </c>
      <c r="AN91">
        <v>185034832.40000001</v>
      </c>
      <c r="AO91">
        <v>199114378.19999999</v>
      </c>
      <c r="AP91">
        <v>214036200.19999999</v>
      </c>
      <c r="AQ91">
        <v>229854784.69999999</v>
      </c>
      <c r="AR91" s="100">
        <v>246553971.90000001</v>
      </c>
      <c r="AS91">
        <v>264116057</v>
      </c>
      <c r="AT91">
        <v>282565152.39999998</v>
      </c>
      <c r="AU91">
        <v>301873838.10000002</v>
      </c>
      <c r="AV91">
        <v>322041233.19999999</v>
      </c>
      <c r="AW91">
        <v>343060030.80000001</v>
      </c>
    </row>
    <row r="92" spans="2:49" x14ac:dyDescent="0.25">
      <c r="B92" t="s">
        <v>393</v>
      </c>
      <c r="C92" s="100">
        <v>41062689.603059798</v>
      </c>
      <c r="D92">
        <v>41721964.366740197</v>
      </c>
      <c r="E92">
        <v>42391824</v>
      </c>
      <c r="F92">
        <v>48313250.600000001</v>
      </c>
      <c r="G92" s="100">
        <v>55391046.939999998</v>
      </c>
      <c r="H92">
        <v>62855851.890000001</v>
      </c>
      <c r="I92">
        <v>69239608.540000007</v>
      </c>
      <c r="J92">
        <v>75837435.239999995</v>
      </c>
      <c r="K92" s="100">
        <v>83217958.109999999</v>
      </c>
      <c r="L92" s="100">
        <v>91742946.420000002</v>
      </c>
      <c r="M92">
        <v>100756262.09999999</v>
      </c>
      <c r="N92">
        <v>109664428.2</v>
      </c>
      <c r="O92">
        <v>116923314.2</v>
      </c>
      <c r="P92">
        <v>124676551.09999999</v>
      </c>
      <c r="Q92">
        <v>133745627</v>
      </c>
      <c r="R92">
        <v>147425794.09999999</v>
      </c>
      <c r="S92">
        <v>162932278.40000001</v>
      </c>
      <c r="T92">
        <v>181297298.69999999</v>
      </c>
      <c r="U92">
        <v>199902474.5</v>
      </c>
      <c r="V92">
        <v>218994876.59999999</v>
      </c>
      <c r="W92">
        <v>234736926.40000001</v>
      </c>
      <c r="X92">
        <v>249529094.80000001</v>
      </c>
      <c r="Y92">
        <v>261708547.09999999</v>
      </c>
      <c r="Z92">
        <v>271638971.30000001</v>
      </c>
      <c r="AA92">
        <v>281238100.60000002</v>
      </c>
      <c r="AB92">
        <v>291307363.69999999</v>
      </c>
      <c r="AC92">
        <v>302259294.80000001</v>
      </c>
      <c r="AD92">
        <v>314272791.60000002</v>
      </c>
      <c r="AE92">
        <v>327469633.60000002</v>
      </c>
      <c r="AF92">
        <v>341720329.30000001</v>
      </c>
      <c r="AG92">
        <v>356919344.10000002</v>
      </c>
      <c r="AH92">
        <v>372987751.30000001</v>
      </c>
      <c r="AI92">
        <v>389837718.80000001</v>
      </c>
      <c r="AJ92">
        <v>407421334.39999998</v>
      </c>
      <c r="AK92">
        <v>425680306.69999999</v>
      </c>
      <c r="AL92">
        <v>444548236.19999999</v>
      </c>
      <c r="AM92">
        <v>463953849.30000001</v>
      </c>
      <c r="AN92">
        <v>483761865.60000002</v>
      </c>
      <c r="AO92">
        <v>503879129.80000001</v>
      </c>
      <c r="AP92">
        <v>524218741.30000001</v>
      </c>
      <c r="AQ92">
        <v>544753328</v>
      </c>
      <c r="AR92">
        <v>565384410.20000005</v>
      </c>
      <c r="AS92">
        <v>586026979</v>
      </c>
      <c r="AT92">
        <v>606662462.29999995</v>
      </c>
      <c r="AU92">
        <v>627202183.70000005</v>
      </c>
      <c r="AV92">
        <v>647588224.29999995</v>
      </c>
      <c r="AW92">
        <v>667755365.20000005</v>
      </c>
    </row>
    <row r="93" spans="2:49" x14ac:dyDescent="0.25">
      <c r="B93" t="s">
        <v>394</v>
      </c>
      <c r="C93" s="100">
        <v>291506404.18067801</v>
      </c>
      <c r="D93" s="100">
        <v>296186633.79021603</v>
      </c>
      <c r="E93" s="100">
        <v>300942006</v>
      </c>
      <c r="F93" s="100">
        <v>329947500.80000001</v>
      </c>
      <c r="G93">
        <v>360030582.19999999</v>
      </c>
      <c r="H93">
        <v>390075784.10000002</v>
      </c>
      <c r="I93">
        <v>415183648.39999998</v>
      </c>
      <c r="J93">
        <v>440202500.10000002</v>
      </c>
      <c r="K93" s="100">
        <v>467785081.39999998</v>
      </c>
      <c r="L93" s="100">
        <v>497817522.10000002</v>
      </c>
      <c r="M93">
        <v>526899074.39999998</v>
      </c>
      <c r="N93">
        <v>552322880.5</v>
      </c>
      <c r="O93">
        <v>572771289</v>
      </c>
      <c r="P93">
        <v>589999435.39999998</v>
      </c>
      <c r="Q93">
        <v>608449146</v>
      </c>
      <c r="R93">
        <v>632000524.39999998</v>
      </c>
      <c r="S93">
        <v>656645211.20000005</v>
      </c>
      <c r="T93">
        <v>681979132.79999995</v>
      </c>
      <c r="U93">
        <v>705610596.60000002</v>
      </c>
      <c r="V93">
        <v>728472322.89999998</v>
      </c>
      <c r="W93">
        <v>747687122.5</v>
      </c>
      <c r="X93">
        <v>764568675.79999995</v>
      </c>
      <c r="Y93">
        <v>778588087.70000005</v>
      </c>
      <c r="Z93">
        <v>790697713.20000005</v>
      </c>
      <c r="AA93">
        <v>801742548.89999998</v>
      </c>
      <c r="AB93">
        <v>812129112.89999998</v>
      </c>
      <c r="AC93">
        <v>822033651.10000002</v>
      </c>
      <c r="AD93">
        <v>831818436.20000005</v>
      </c>
      <c r="AE93">
        <v>841404809.89999998</v>
      </c>
      <c r="AF93">
        <v>850725117.89999998</v>
      </c>
      <c r="AG93">
        <v>859738889.60000002</v>
      </c>
      <c r="AH93">
        <v>868503051.5</v>
      </c>
      <c r="AI93">
        <v>876854620.10000002</v>
      </c>
      <c r="AJ93">
        <v>884652564.70000005</v>
      </c>
      <c r="AK93">
        <v>891897754.70000005</v>
      </c>
      <c r="AL93">
        <v>898521048.39999998</v>
      </c>
      <c r="AM93">
        <v>904459837.39999998</v>
      </c>
      <c r="AN93">
        <v>909574250</v>
      </c>
      <c r="AO93">
        <v>913901517.70000005</v>
      </c>
      <c r="AP93">
        <v>917453996.60000002</v>
      </c>
      <c r="AQ93">
        <v>920307100.29999995</v>
      </c>
      <c r="AR93">
        <v>922375883.70000005</v>
      </c>
      <c r="AS93">
        <v>923680133</v>
      </c>
      <c r="AT93">
        <v>924300912</v>
      </c>
      <c r="AU93">
        <v>924213339.29999995</v>
      </c>
      <c r="AV93">
        <v>923410542.70000005</v>
      </c>
      <c r="AW93">
        <v>921883851.60000002</v>
      </c>
    </row>
    <row r="94" spans="2:49" x14ac:dyDescent="0.25">
      <c r="B94" t="s">
        <v>395</v>
      </c>
      <c r="C94" s="100">
        <v>640671991.67983496</v>
      </c>
      <c r="D94" s="100">
        <v>650958187.73748195</v>
      </c>
      <c r="E94" s="100">
        <v>661409532</v>
      </c>
      <c r="F94" s="100">
        <v>679066338.79999995</v>
      </c>
      <c r="G94" s="100">
        <v>696820530.10000002</v>
      </c>
      <c r="H94" s="100">
        <v>714812013.79999995</v>
      </c>
      <c r="I94" s="100">
        <v>730318639.89999998</v>
      </c>
      <c r="J94" s="100">
        <v>745964798.20000005</v>
      </c>
      <c r="K94" s="100">
        <v>763541919.5</v>
      </c>
      <c r="L94" s="100">
        <v>782517436.89999998</v>
      </c>
      <c r="M94" s="100">
        <v>800558822.39999998</v>
      </c>
      <c r="N94" s="100">
        <v>815923014.20000005</v>
      </c>
      <c r="O94" s="100">
        <v>829842844.29999995</v>
      </c>
      <c r="P94" s="100">
        <v>840906855.79999995</v>
      </c>
      <c r="Q94" s="100">
        <v>852077038.39999998</v>
      </c>
      <c r="R94" s="100">
        <v>862801464.60000002</v>
      </c>
      <c r="S94">
        <v>873164689.60000002</v>
      </c>
      <c r="T94">
        <v>881435688.89999998</v>
      </c>
      <c r="U94">
        <v>888651355.79999995</v>
      </c>
      <c r="V94">
        <v>895718436.20000005</v>
      </c>
      <c r="W94">
        <v>903863928.5</v>
      </c>
      <c r="X94">
        <v>911291313.89999998</v>
      </c>
      <c r="Y94">
        <v>919218442</v>
      </c>
      <c r="Z94">
        <v>927828788.89999998</v>
      </c>
      <c r="AA94" s="100">
        <v>935912213</v>
      </c>
      <c r="AB94" s="100">
        <v>942947722.5</v>
      </c>
      <c r="AC94" s="100">
        <v>948633489.29999995</v>
      </c>
      <c r="AD94" s="100">
        <v>953281808.70000005</v>
      </c>
      <c r="AE94" s="100">
        <v>956658868.70000005</v>
      </c>
      <c r="AF94" s="100">
        <v>958815383.60000002</v>
      </c>
      <c r="AG94" s="100">
        <v>959806600.39999998</v>
      </c>
      <c r="AH94" s="100">
        <v>959824007.20000005</v>
      </c>
      <c r="AI94" s="100">
        <v>958723727.60000002</v>
      </c>
      <c r="AJ94" s="100">
        <v>956404816.29999995</v>
      </c>
      <c r="AK94" s="100">
        <v>952993753.89999998</v>
      </c>
      <c r="AL94" s="100">
        <v>948465642.70000005</v>
      </c>
      <c r="AM94" s="100">
        <v>942788350.39999998</v>
      </c>
      <c r="AN94" s="100">
        <v>935823481.10000002</v>
      </c>
      <c r="AO94" s="100">
        <v>927596432.20000005</v>
      </c>
      <c r="AP94" s="100">
        <v>918179618.79999995</v>
      </c>
      <c r="AQ94" s="100">
        <v>907719567.20000005</v>
      </c>
      <c r="AR94" s="100">
        <v>896180205.70000005</v>
      </c>
      <c r="AS94" s="100">
        <v>883657416.10000002</v>
      </c>
      <c r="AT94" s="100">
        <v>870232591.39999998</v>
      </c>
      <c r="AU94" s="100">
        <v>855935199.60000002</v>
      </c>
      <c r="AV94" s="100">
        <v>840812565.39999998</v>
      </c>
      <c r="AW94">
        <v>826406032</v>
      </c>
    </row>
    <row r="95" spans="2:49" x14ac:dyDescent="0.25">
      <c r="B95" t="s">
        <v>396</v>
      </c>
      <c r="C95">
        <v>762047427.55376601</v>
      </c>
      <c r="D95">
        <v>774282345.494367</v>
      </c>
      <c r="E95">
        <v>786713699</v>
      </c>
      <c r="F95">
        <v>767713822.20000005</v>
      </c>
      <c r="G95" s="100">
        <v>747563050.89999998</v>
      </c>
      <c r="H95" s="100">
        <v>727533592.60000002</v>
      </c>
      <c r="I95" s="100">
        <v>712574395.20000005</v>
      </c>
      <c r="J95" s="100">
        <v>697840365.79999995</v>
      </c>
      <c r="K95" s="100">
        <v>680704790.89999998</v>
      </c>
      <c r="L95" s="100">
        <v>661325662.10000002</v>
      </c>
      <c r="M95" s="100">
        <v>642915793.79999995</v>
      </c>
      <c r="N95">
        <v>628039249</v>
      </c>
      <c r="O95">
        <v>619509874</v>
      </c>
      <c r="P95">
        <v>613966063.20000005</v>
      </c>
      <c r="Q95">
        <v>607031931.39999998</v>
      </c>
      <c r="R95">
        <v>594042765.60000002</v>
      </c>
      <c r="S95">
        <v>579375608.10000002</v>
      </c>
      <c r="T95">
        <v>563199006.20000005</v>
      </c>
      <c r="U95">
        <v>548002331.29999995</v>
      </c>
      <c r="V95">
        <v>533916719.89999998</v>
      </c>
      <c r="W95">
        <v>523616673.39999998</v>
      </c>
      <c r="X95">
        <v>515322680.30000001</v>
      </c>
      <c r="Y95">
        <v>509776053.60000002</v>
      </c>
      <c r="Z95">
        <v>506238463.80000001</v>
      </c>
      <c r="AA95">
        <v>503398284.89999998</v>
      </c>
      <c r="AB95">
        <v>500621645.69999999</v>
      </c>
      <c r="AC95">
        <v>497611955.5</v>
      </c>
      <c r="AD95">
        <v>494263235.69999999</v>
      </c>
      <c r="AE95">
        <v>490543826.80000001</v>
      </c>
      <c r="AF95">
        <v>486513478.89999998</v>
      </c>
      <c r="AG95" s="100">
        <v>482217455.39999998</v>
      </c>
      <c r="AH95" s="100">
        <v>477699639</v>
      </c>
      <c r="AI95">
        <v>472995054.60000002</v>
      </c>
      <c r="AJ95" s="100">
        <v>468156439.5</v>
      </c>
      <c r="AK95" s="100">
        <v>463262426.19999999</v>
      </c>
      <c r="AL95">
        <v>458351492</v>
      </c>
      <c r="AM95">
        <v>453443566.89999998</v>
      </c>
      <c r="AN95" s="100">
        <v>448524726</v>
      </c>
      <c r="AO95" s="100">
        <v>443515138.10000002</v>
      </c>
      <c r="AP95" s="100">
        <v>438398786.10000002</v>
      </c>
      <c r="AQ95" s="100">
        <v>433186772.30000001</v>
      </c>
      <c r="AR95" s="100">
        <v>427888585.80000001</v>
      </c>
      <c r="AS95">
        <v>422513065</v>
      </c>
      <c r="AT95">
        <v>417037409.89999998</v>
      </c>
      <c r="AU95">
        <v>411457906.39999998</v>
      </c>
      <c r="AV95">
        <v>405774353.60000002</v>
      </c>
      <c r="AW95">
        <v>399988784.19999999</v>
      </c>
    </row>
    <row r="96" spans="2:49" x14ac:dyDescent="0.25">
      <c r="B96" t="s">
        <v>397</v>
      </c>
      <c r="C96">
        <v>399231640.45290101</v>
      </c>
      <c r="D96">
        <v>405641433.57550502</v>
      </c>
      <c r="E96">
        <v>412154138</v>
      </c>
      <c r="F96">
        <v>399772763.80000001</v>
      </c>
      <c r="G96" s="100">
        <v>386967503.60000002</v>
      </c>
      <c r="H96" s="100">
        <v>374327013.80000001</v>
      </c>
      <c r="I96" s="100">
        <v>364699399.60000002</v>
      </c>
      <c r="J96" s="100">
        <v>355234327.30000001</v>
      </c>
      <c r="K96" s="100">
        <v>344374421.30000001</v>
      </c>
      <c r="L96" s="100">
        <v>332323054.10000002</v>
      </c>
      <c r="M96">
        <v>321041054.10000002</v>
      </c>
      <c r="N96">
        <v>312006248.39999998</v>
      </c>
      <c r="O96">
        <v>306623420.30000001</v>
      </c>
      <c r="P96">
        <v>303099532.30000001</v>
      </c>
      <c r="Q96">
        <v>298924809.89999998</v>
      </c>
      <c r="R96">
        <v>291732369.5</v>
      </c>
      <c r="S96">
        <v>283770054.60000002</v>
      </c>
      <c r="T96">
        <v>275245048.30000001</v>
      </c>
      <c r="U96">
        <v>267298079</v>
      </c>
      <c r="V96">
        <v>260008249.69999999</v>
      </c>
      <c r="W96">
        <v>254527769.19999999</v>
      </c>
      <c r="X96">
        <v>250088810.59999999</v>
      </c>
      <c r="Y96">
        <v>246965204.80000001</v>
      </c>
      <c r="Z96">
        <v>244769865.40000001</v>
      </c>
      <c r="AA96">
        <v>242948870.40000001</v>
      </c>
      <c r="AB96">
        <v>241218117</v>
      </c>
      <c r="AC96">
        <v>239442867.59999999</v>
      </c>
      <c r="AD96">
        <v>237568828</v>
      </c>
      <c r="AE96">
        <v>235581964.40000001</v>
      </c>
      <c r="AF96">
        <v>233497500.80000001</v>
      </c>
      <c r="AG96">
        <v>231324732.40000001</v>
      </c>
      <c r="AH96">
        <v>229074833.59999999</v>
      </c>
      <c r="AI96">
        <v>226759048.80000001</v>
      </c>
      <c r="AJ96">
        <v>224404353.80000001</v>
      </c>
      <c r="AK96">
        <v>222045273.40000001</v>
      </c>
      <c r="AL96">
        <v>219695527.80000001</v>
      </c>
      <c r="AM96">
        <v>217359128.5</v>
      </c>
      <c r="AN96">
        <v>215020862.59999999</v>
      </c>
      <c r="AO96">
        <v>212628926.09999999</v>
      </c>
      <c r="AP96">
        <v>210167852.5</v>
      </c>
      <c r="AQ96">
        <v>207639132.40000001</v>
      </c>
      <c r="AR96">
        <v>205046578.59999999</v>
      </c>
      <c r="AS96">
        <v>202389838.69999999</v>
      </c>
      <c r="AT96">
        <v>199651570.09999999</v>
      </c>
      <c r="AU96">
        <v>196827912.80000001</v>
      </c>
      <c r="AV96">
        <v>193919981.5</v>
      </c>
      <c r="AW96">
        <v>190930839.90000001</v>
      </c>
    </row>
    <row r="97" spans="2:49" x14ac:dyDescent="0.25">
      <c r="B97" t="s">
        <v>398</v>
      </c>
      <c r="C97">
        <v>182970972.649156</v>
      </c>
      <c r="D97" s="100">
        <v>185908630.79867601</v>
      </c>
      <c r="E97" s="100">
        <v>188893454</v>
      </c>
      <c r="F97" s="100">
        <v>191056130.30000001</v>
      </c>
      <c r="G97">
        <v>192243452.80000001</v>
      </c>
      <c r="H97">
        <v>192701009.69999999</v>
      </c>
      <c r="I97" s="100">
        <v>194067502.40000001</v>
      </c>
      <c r="J97" s="100">
        <v>195019271.5</v>
      </c>
      <c r="K97" s="100">
        <v>194584138.30000001</v>
      </c>
      <c r="L97" s="100">
        <v>192680476.59999999</v>
      </c>
      <c r="M97">
        <v>190535933.80000001</v>
      </c>
      <c r="N97">
        <v>189220619.90000001</v>
      </c>
      <c r="O97" s="100">
        <v>189807568.80000001</v>
      </c>
      <c r="P97">
        <v>191255322.69999999</v>
      </c>
      <c r="Q97">
        <v>191972149.30000001</v>
      </c>
      <c r="R97">
        <v>190054296.90000001</v>
      </c>
      <c r="S97">
        <v>187090031.80000001</v>
      </c>
      <c r="T97">
        <v>183192815.30000001</v>
      </c>
      <c r="U97">
        <v>179343218.5</v>
      </c>
      <c r="V97">
        <v>175617997.69999999</v>
      </c>
      <c r="W97">
        <v>173034199.59999999</v>
      </c>
      <c r="X97">
        <v>170984307</v>
      </c>
      <c r="Y97">
        <v>169801539.80000001</v>
      </c>
      <c r="Z97">
        <v>169216552.40000001</v>
      </c>
      <c r="AA97">
        <v>168815342.59999999</v>
      </c>
      <c r="AB97">
        <v>168361583.5</v>
      </c>
      <c r="AC97">
        <v>167747800.69999999</v>
      </c>
      <c r="AD97">
        <v>166935708.80000001</v>
      </c>
      <c r="AE97">
        <v>165919216.09999999</v>
      </c>
      <c r="AF97">
        <v>164718975.59999999</v>
      </c>
      <c r="AG97">
        <v>163353599</v>
      </c>
      <c r="AH97">
        <v>161838594.5</v>
      </c>
      <c r="AI97">
        <v>160186735.59999999</v>
      </c>
      <c r="AJ97">
        <v>158417729.59999999</v>
      </c>
      <c r="AK97">
        <v>156569486</v>
      </c>
      <c r="AL97">
        <v>154665013.5</v>
      </c>
      <c r="AM97">
        <v>152719870.5</v>
      </c>
      <c r="AN97">
        <v>150734317.40000001</v>
      </c>
      <c r="AO97">
        <v>148679987.59999999</v>
      </c>
      <c r="AP97">
        <v>146556545.19999999</v>
      </c>
      <c r="AQ97">
        <v>144374002.90000001</v>
      </c>
      <c r="AR97">
        <v>142142030.30000001</v>
      </c>
      <c r="AS97">
        <v>139870238.59999999</v>
      </c>
      <c r="AT97">
        <v>137562992.5</v>
      </c>
      <c r="AU97">
        <v>135225906</v>
      </c>
      <c r="AV97">
        <v>132862125.3</v>
      </c>
      <c r="AW97">
        <v>130473670.90000001</v>
      </c>
    </row>
    <row r="98" spans="2:49" x14ac:dyDescent="0.25">
      <c r="B98" s="62" t="s">
        <v>399</v>
      </c>
      <c r="C98">
        <v>651205.12405279896</v>
      </c>
      <c r="D98">
        <v>661660.432957732</v>
      </c>
      <c r="E98">
        <v>672283.60519999999</v>
      </c>
      <c r="F98">
        <v>690924.66559999995</v>
      </c>
      <c r="G98">
        <v>678581.71100000001</v>
      </c>
      <c r="H98">
        <v>619435.65870000003</v>
      </c>
      <c r="I98">
        <v>636180.69220000005</v>
      </c>
      <c r="J98">
        <v>653802.57869999995</v>
      </c>
      <c r="K98">
        <v>644454.95090000005</v>
      </c>
      <c r="L98">
        <v>636957.33299999998</v>
      </c>
      <c r="M98">
        <v>640329.71609999996</v>
      </c>
      <c r="N98">
        <v>649163.82010000001</v>
      </c>
      <c r="O98">
        <v>659683.12349999999</v>
      </c>
      <c r="P98">
        <v>687399.4203</v>
      </c>
      <c r="Q98">
        <v>700150.70160000003</v>
      </c>
      <c r="R98">
        <v>714944.25320000004</v>
      </c>
      <c r="S98">
        <v>711782.85569999996</v>
      </c>
      <c r="T98">
        <v>721668.91099999996</v>
      </c>
      <c r="U98">
        <v>728687.83039999998</v>
      </c>
      <c r="V98">
        <v>741733.65659999999</v>
      </c>
      <c r="W98">
        <v>738833.73230000003</v>
      </c>
      <c r="X98">
        <v>732796.09420000005</v>
      </c>
      <c r="Y98">
        <v>730763.67570000002</v>
      </c>
      <c r="Z98">
        <v>730146.35620000004</v>
      </c>
      <c r="AA98">
        <v>729267.01599999995</v>
      </c>
      <c r="AB98">
        <v>728724.98869999999</v>
      </c>
      <c r="AC98">
        <v>728052.71010000003</v>
      </c>
      <c r="AD98">
        <v>734077.87009999994</v>
      </c>
      <c r="AE98">
        <v>738398.86060000001</v>
      </c>
      <c r="AF98">
        <v>743422.83609999996</v>
      </c>
      <c r="AG98">
        <v>748327.65910000005</v>
      </c>
      <c r="AH98">
        <v>753118.98829999997</v>
      </c>
      <c r="AI98">
        <v>760889.56850000005</v>
      </c>
      <c r="AJ98">
        <v>768306.61340000003</v>
      </c>
      <c r="AK98">
        <v>775486.66639999999</v>
      </c>
      <c r="AL98">
        <v>782901.29740000004</v>
      </c>
      <c r="AM98">
        <v>790576.1409</v>
      </c>
      <c r="AN98">
        <v>798025.85089999996</v>
      </c>
      <c r="AO98">
        <v>806658.59580000001</v>
      </c>
      <c r="AP98">
        <v>815586.51820000005</v>
      </c>
      <c r="AQ98">
        <v>824917.95409999997</v>
      </c>
      <c r="AR98">
        <v>833786.39469999995</v>
      </c>
      <c r="AS98">
        <v>844028.24129999999</v>
      </c>
      <c r="AT98">
        <v>853854.49560000002</v>
      </c>
      <c r="AU98">
        <v>863523.90179999999</v>
      </c>
      <c r="AV98">
        <v>873285.09019999998</v>
      </c>
      <c r="AW98">
        <v>883500.03390000004</v>
      </c>
    </row>
    <row r="99" spans="2:49" x14ac:dyDescent="0.25">
      <c r="B99" t="s">
        <v>400</v>
      </c>
      <c r="C99">
        <v>11699515.674308199</v>
      </c>
      <c r="D99">
        <v>11887355.182774801</v>
      </c>
      <c r="E99">
        <v>12078210.52</v>
      </c>
      <c r="F99">
        <v>12394208.23</v>
      </c>
      <c r="G99">
        <v>12130936.02</v>
      </c>
      <c r="H99">
        <v>11018218.310000001</v>
      </c>
      <c r="I99">
        <v>11233802.220000001</v>
      </c>
      <c r="J99">
        <v>11656711.98</v>
      </c>
      <c r="K99">
        <v>11446952.24</v>
      </c>
      <c r="L99">
        <v>11263843.59</v>
      </c>
      <c r="M99">
        <v>11300821.92</v>
      </c>
      <c r="N99">
        <v>11409654.07</v>
      </c>
      <c r="O99">
        <v>11619492.98</v>
      </c>
      <c r="P99">
        <v>12136393.41</v>
      </c>
      <c r="Q99">
        <v>12362443.25</v>
      </c>
      <c r="R99">
        <v>12640256.91</v>
      </c>
      <c r="S99">
        <v>12352596.75</v>
      </c>
      <c r="T99">
        <v>12674784.34</v>
      </c>
      <c r="U99">
        <v>12744445.359999999</v>
      </c>
      <c r="V99">
        <v>13043508.6</v>
      </c>
      <c r="W99">
        <v>12992083.699999999</v>
      </c>
      <c r="X99">
        <v>12965093.970000001</v>
      </c>
      <c r="Y99">
        <v>12819017.91</v>
      </c>
      <c r="Z99">
        <v>12759992.220000001</v>
      </c>
      <c r="AA99">
        <v>12723230.949999999</v>
      </c>
      <c r="AB99">
        <v>12693002.9</v>
      </c>
      <c r="AC99">
        <v>12696172.890000001</v>
      </c>
      <c r="AD99">
        <v>12749991.310000001</v>
      </c>
      <c r="AE99" s="100">
        <v>12792806.439999999</v>
      </c>
      <c r="AF99" s="100">
        <v>12856429.279999999</v>
      </c>
      <c r="AG99">
        <v>12912215.85</v>
      </c>
      <c r="AH99">
        <v>13002082.66</v>
      </c>
      <c r="AI99">
        <v>13090623.77</v>
      </c>
      <c r="AJ99" s="100">
        <v>13169170.15</v>
      </c>
      <c r="AK99">
        <v>13261288.609999999</v>
      </c>
      <c r="AL99">
        <v>13357535.42</v>
      </c>
      <c r="AM99">
        <v>13455175.41</v>
      </c>
      <c r="AN99">
        <v>13527045.33</v>
      </c>
      <c r="AO99">
        <v>13618482.42</v>
      </c>
      <c r="AP99">
        <v>13710386.050000001</v>
      </c>
      <c r="AQ99">
        <v>13820658.529999999</v>
      </c>
      <c r="AR99">
        <v>13928234.300000001</v>
      </c>
      <c r="AS99">
        <v>14033494.960000001</v>
      </c>
      <c r="AT99">
        <v>14136388.289999999</v>
      </c>
      <c r="AU99">
        <v>14229996.67</v>
      </c>
      <c r="AV99">
        <v>14324369.07</v>
      </c>
      <c r="AW99">
        <v>14476395.74</v>
      </c>
    </row>
    <row r="100" spans="2:49" x14ac:dyDescent="0.25">
      <c r="B100" t="s">
        <v>401</v>
      </c>
      <c r="C100">
        <v>12350720.798361</v>
      </c>
      <c r="D100">
        <v>12549015.615732601</v>
      </c>
      <c r="E100">
        <v>12750494.119999999</v>
      </c>
      <c r="F100">
        <v>13085132.9</v>
      </c>
      <c r="G100" s="100">
        <v>12809517.73</v>
      </c>
      <c r="H100">
        <v>11637653.970000001</v>
      </c>
      <c r="I100">
        <v>11869982.91</v>
      </c>
      <c r="J100">
        <v>12310514.560000001</v>
      </c>
      <c r="K100" s="100">
        <v>12091407.189999999</v>
      </c>
      <c r="L100" s="100">
        <v>11900800.92</v>
      </c>
      <c r="M100" s="100">
        <v>11941151.640000001</v>
      </c>
      <c r="N100">
        <v>12058817.890000001</v>
      </c>
      <c r="O100">
        <v>12279176.1</v>
      </c>
      <c r="P100">
        <v>12823792.83</v>
      </c>
      <c r="Q100">
        <v>13062593.949999999</v>
      </c>
      <c r="R100">
        <v>13355201.16</v>
      </c>
      <c r="S100">
        <v>13064379.609999999</v>
      </c>
      <c r="T100">
        <v>13396453.25</v>
      </c>
      <c r="U100">
        <v>13473133.189999999</v>
      </c>
      <c r="V100">
        <v>13785242.26</v>
      </c>
      <c r="W100">
        <v>13730917.43</v>
      </c>
      <c r="X100">
        <v>13697890.060000001</v>
      </c>
      <c r="Y100">
        <v>13549781.59</v>
      </c>
      <c r="Z100">
        <v>13490138.58</v>
      </c>
      <c r="AA100">
        <v>13452497.970000001</v>
      </c>
      <c r="AB100">
        <v>13421727.890000001</v>
      </c>
      <c r="AC100">
        <v>13424225.6</v>
      </c>
      <c r="AD100">
        <v>13484069.18</v>
      </c>
      <c r="AE100">
        <v>13531205.300000001</v>
      </c>
      <c r="AF100">
        <v>13599852.119999999</v>
      </c>
      <c r="AG100">
        <v>13660543.5</v>
      </c>
      <c r="AH100">
        <v>13755201.65</v>
      </c>
      <c r="AI100">
        <v>13851513.34</v>
      </c>
      <c r="AJ100">
        <v>13937476.76</v>
      </c>
      <c r="AK100">
        <v>14036775.27</v>
      </c>
      <c r="AL100">
        <v>14140436.720000001</v>
      </c>
      <c r="AM100">
        <v>14245751.550000001</v>
      </c>
      <c r="AN100">
        <v>14325071.18</v>
      </c>
      <c r="AO100">
        <v>14425141.02</v>
      </c>
      <c r="AP100">
        <v>14525972.57</v>
      </c>
      <c r="AQ100">
        <v>14645576.48</v>
      </c>
      <c r="AR100">
        <v>14762020.699999999</v>
      </c>
      <c r="AS100">
        <v>14877523.199999999</v>
      </c>
      <c r="AT100">
        <v>14990242.779999999</v>
      </c>
      <c r="AU100">
        <v>15093520.57</v>
      </c>
      <c r="AV100">
        <v>15197654.16</v>
      </c>
      <c r="AW100">
        <v>15359895.779999999</v>
      </c>
    </row>
    <row r="101" spans="2:49" x14ac:dyDescent="0.25">
      <c r="B101" t="s">
        <v>402</v>
      </c>
      <c r="C101" s="100">
        <v>144913116.15770999</v>
      </c>
      <c r="D101" s="100">
        <v>147239743.11109701</v>
      </c>
      <c r="E101" s="100">
        <v>149603724.80000001</v>
      </c>
      <c r="F101">
        <v>149826865.69999999</v>
      </c>
      <c r="G101">
        <v>144565259.59999999</v>
      </c>
      <c r="H101">
        <v>144209774.90000001</v>
      </c>
      <c r="I101">
        <v>141812378.09999999</v>
      </c>
      <c r="J101">
        <v>138083160.30000001</v>
      </c>
      <c r="K101">
        <v>133861813.5</v>
      </c>
      <c r="L101">
        <v>130740296</v>
      </c>
      <c r="M101">
        <v>128452338.90000001</v>
      </c>
      <c r="N101">
        <v>126971619.3</v>
      </c>
      <c r="O101">
        <v>127030878.40000001</v>
      </c>
      <c r="P101">
        <v>125469012</v>
      </c>
      <c r="Q101">
        <v>122691018.7</v>
      </c>
      <c r="R101">
        <v>120922686.59999999</v>
      </c>
      <c r="S101">
        <v>119713364.09999999</v>
      </c>
      <c r="T101">
        <v>117184878</v>
      </c>
      <c r="U101">
        <v>114652439.7</v>
      </c>
      <c r="V101">
        <v>111858083.5</v>
      </c>
      <c r="W101">
        <v>110870130.40000001</v>
      </c>
      <c r="X101">
        <v>109024233.7</v>
      </c>
      <c r="Y101">
        <v>107619020.7</v>
      </c>
      <c r="Z101">
        <v>106854340.40000001</v>
      </c>
      <c r="AA101">
        <v>106041002.09999999</v>
      </c>
      <c r="AB101">
        <v>105238008.09999999</v>
      </c>
      <c r="AC101">
        <v>103769907.8</v>
      </c>
      <c r="AD101">
        <v>102695694.5</v>
      </c>
      <c r="AE101">
        <v>101906674.8</v>
      </c>
      <c r="AF101">
        <v>101060663.3</v>
      </c>
      <c r="AG101">
        <v>100145996.5</v>
      </c>
      <c r="AH101">
        <v>99154907.099999994</v>
      </c>
      <c r="AI101">
        <v>98001306.640000001</v>
      </c>
      <c r="AJ101">
        <v>96913917.709999904</v>
      </c>
      <c r="AK101">
        <v>95831346.709999904</v>
      </c>
      <c r="AL101">
        <v>94742369.75</v>
      </c>
      <c r="AM101">
        <v>93644328.400000006</v>
      </c>
      <c r="AN101">
        <v>92460022.120000005</v>
      </c>
      <c r="AO101">
        <v>91224373.049999997</v>
      </c>
      <c r="AP101">
        <v>89945278.340000004</v>
      </c>
      <c r="AQ101">
        <v>88648564.400000006</v>
      </c>
      <c r="AR101">
        <v>87140166.5</v>
      </c>
      <c r="AS101">
        <v>85711283.620000005</v>
      </c>
      <c r="AT101">
        <v>84297879.170000002</v>
      </c>
      <c r="AU101" s="100">
        <v>82882430.430000007</v>
      </c>
      <c r="AV101" s="100">
        <v>81456937.730000004</v>
      </c>
      <c r="AW101">
        <v>80034002.409999996</v>
      </c>
    </row>
    <row r="102" spans="2:49" x14ac:dyDescent="0.25">
      <c r="B102" t="s">
        <v>403</v>
      </c>
      <c r="C102" s="100">
        <v>1098851.8998263199</v>
      </c>
      <c r="D102" s="100">
        <v>1116494.32251175</v>
      </c>
      <c r="E102" s="100">
        <v>1134420</v>
      </c>
      <c r="F102" s="100">
        <v>1125145.9310000001</v>
      </c>
      <c r="G102" s="100">
        <v>1112721.0109999999</v>
      </c>
      <c r="H102" s="100">
        <v>1098672.0279999999</v>
      </c>
      <c r="I102">
        <v>1090790.7930000001</v>
      </c>
      <c r="J102" s="100">
        <v>1082095.5730000001</v>
      </c>
      <c r="K102" s="100">
        <v>1068190.449</v>
      </c>
      <c r="L102" s="100">
        <v>1049040.6059999999</v>
      </c>
      <c r="M102" s="100">
        <v>1030149.944</v>
      </c>
      <c r="N102" s="100">
        <v>1016077.061</v>
      </c>
      <c r="O102">
        <v>1011694.39</v>
      </c>
      <c r="P102">
        <v>1011695.12</v>
      </c>
      <c r="Q102">
        <v>1008891.598</v>
      </c>
      <c r="R102">
        <v>995011.88370000001</v>
      </c>
      <c r="S102">
        <v>977303.69900000002</v>
      </c>
      <c r="T102">
        <v>956114.72479999997</v>
      </c>
      <c r="U102">
        <v>935737.60679999995</v>
      </c>
      <c r="V102">
        <v>916561.20109999995</v>
      </c>
      <c r="W102">
        <v>903055.54260000004</v>
      </c>
      <c r="X102">
        <v>892324.88639999996</v>
      </c>
      <c r="Y102">
        <v>885780.95200000005</v>
      </c>
      <c r="Z102">
        <v>882211.16339999996</v>
      </c>
      <c r="AA102">
        <v>879584.43539999996</v>
      </c>
      <c r="AB102">
        <v>876821.40289999999</v>
      </c>
      <c r="AC102">
        <v>873417.96039999998</v>
      </c>
      <c r="AD102">
        <v>869229.54079999996</v>
      </c>
      <c r="AE102">
        <v>864197.07389999996</v>
      </c>
      <c r="AF102">
        <v>858408.89879999997</v>
      </c>
      <c r="AG102">
        <v>851939.13489999995</v>
      </c>
      <c r="AH102">
        <v>844868.24049999996</v>
      </c>
      <c r="AI102">
        <v>837234.91460000002</v>
      </c>
      <c r="AJ102">
        <v>829117.9129</v>
      </c>
      <c r="AK102">
        <v>820677.94929999998</v>
      </c>
      <c r="AL102">
        <v>811993.86809999996</v>
      </c>
      <c r="AM102">
        <v>803111.16</v>
      </c>
      <c r="AN102">
        <v>793999.91799999995</v>
      </c>
      <c r="AO102">
        <v>784522.9423</v>
      </c>
      <c r="AP102">
        <v>774668.10620000004</v>
      </c>
      <c r="AQ102">
        <v>764479.19409999996</v>
      </c>
      <c r="AR102">
        <v>753982.74809999997</v>
      </c>
      <c r="AS102">
        <v>743214.30180000002</v>
      </c>
      <c r="AT102">
        <v>732170.92749999999</v>
      </c>
      <c r="AU102">
        <v>720864.72589999996</v>
      </c>
      <c r="AV102">
        <v>709308.59809999994</v>
      </c>
      <c r="AW102">
        <v>697650.11159999995</v>
      </c>
    </row>
    <row r="103" spans="2:49" x14ac:dyDescent="0.25">
      <c r="B103" t="s">
        <v>404</v>
      </c>
      <c r="C103">
        <v>1098851.8998263199</v>
      </c>
      <c r="D103">
        <v>1116494.32251175</v>
      </c>
      <c r="E103">
        <v>1134420</v>
      </c>
      <c r="F103">
        <v>1125145.9310000001</v>
      </c>
      <c r="G103">
        <v>1112721.0109999999</v>
      </c>
      <c r="H103">
        <v>1098672.0279999999</v>
      </c>
      <c r="I103">
        <v>1090790.7930000001</v>
      </c>
      <c r="J103">
        <v>1082095.5730000001</v>
      </c>
      <c r="K103">
        <v>1068190.449</v>
      </c>
      <c r="L103">
        <v>1049040.6059999999</v>
      </c>
      <c r="M103">
        <v>1030149.944</v>
      </c>
      <c r="N103">
        <v>1016077.061</v>
      </c>
      <c r="O103">
        <v>1011694.39</v>
      </c>
      <c r="P103">
        <v>1011695.12</v>
      </c>
      <c r="Q103">
        <v>1008891.598</v>
      </c>
      <c r="R103">
        <v>995011.88370000001</v>
      </c>
      <c r="S103">
        <v>977303.69900000002</v>
      </c>
      <c r="T103">
        <v>956114.72479999997</v>
      </c>
      <c r="U103">
        <v>935737.60679999995</v>
      </c>
      <c r="V103">
        <v>916561.20109999995</v>
      </c>
      <c r="W103">
        <v>903055.54260000004</v>
      </c>
      <c r="X103">
        <v>892324.88639999996</v>
      </c>
      <c r="Y103">
        <v>885780.95200000005</v>
      </c>
      <c r="Z103">
        <v>882211.16339999996</v>
      </c>
      <c r="AA103">
        <v>879584.43539999996</v>
      </c>
      <c r="AB103">
        <v>876821.40289999999</v>
      </c>
      <c r="AC103">
        <v>873417.96039999998</v>
      </c>
      <c r="AD103">
        <v>869229.54079999996</v>
      </c>
      <c r="AE103">
        <v>864197.07389999996</v>
      </c>
      <c r="AF103">
        <v>858408.89879999997</v>
      </c>
      <c r="AG103">
        <v>851939.13489999995</v>
      </c>
      <c r="AH103">
        <v>844868.24049999996</v>
      </c>
      <c r="AI103">
        <v>837234.91460000002</v>
      </c>
      <c r="AJ103">
        <v>829117.9129</v>
      </c>
      <c r="AK103">
        <v>820677.94929999998</v>
      </c>
      <c r="AL103">
        <v>811993.86809999996</v>
      </c>
      <c r="AM103">
        <v>803111.16</v>
      </c>
      <c r="AN103">
        <v>793999.91799999995</v>
      </c>
      <c r="AO103">
        <v>784522.9423</v>
      </c>
      <c r="AP103">
        <v>774668.10620000004</v>
      </c>
      <c r="AQ103">
        <v>764479.19409999996</v>
      </c>
      <c r="AR103">
        <v>753982.74809999997</v>
      </c>
      <c r="AS103">
        <v>743214.30180000002</v>
      </c>
      <c r="AT103">
        <v>732170.92749999999</v>
      </c>
      <c r="AU103">
        <v>720864.72589999996</v>
      </c>
      <c r="AV103">
        <v>709308.59809999994</v>
      </c>
      <c r="AW103">
        <v>697650.11159999995</v>
      </c>
    </row>
    <row r="104" spans="2:49" x14ac:dyDescent="0.25">
      <c r="B104" t="s">
        <v>405</v>
      </c>
      <c r="C104" s="100">
        <v>105875266.531468</v>
      </c>
      <c r="D104">
        <v>107575128.18195701</v>
      </c>
      <c r="E104">
        <v>109302281.7</v>
      </c>
      <c r="F104">
        <v>110416228.7</v>
      </c>
      <c r="G104" s="100">
        <v>106482012.2</v>
      </c>
      <c r="H104">
        <v>107241766.2</v>
      </c>
      <c r="I104">
        <v>105216992.5</v>
      </c>
      <c r="J104">
        <v>102545326.59999999</v>
      </c>
      <c r="K104" s="100">
        <v>100004696</v>
      </c>
      <c r="L104" s="100">
        <v>98299785.609999999</v>
      </c>
      <c r="M104">
        <v>96990316.180000007</v>
      </c>
      <c r="N104" s="100">
        <v>96205544.319999903</v>
      </c>
      <c r="O104">
        <v>95797513.890000001</v>
      </c>
      <c r="P104">
        <v>94203192.260000005</v>
      </c>
      <c r="Q104">
        <v>92283653.290000007</v>
      </c>
      <c r="R104">
        <v>91174438.180000007</v>
      </c>
      <c r="S104">
        <v>90492448.719999999</v>
      </c>
      <c r="T104">
        <v>89748344.349999994</v>
      </c>
      <c r="U104">
        <v>88589724.549999997</v>
      </c>
      <c r="V104">
        <v>87154332.859999999</v>
      </c>
      <c r="W104">
        <v>86192454.409999996</v>
      </c>
      <c r="X104">
        <v>84270427.030000001</v>
      </c>
      <c r="Y104">
        <v>82777689.150000006</v>
      </c>
      <c r="Z104">
        <v>81769586.349999994</v>
      </c>
      <c r="AA104">
        <v>80812794.349999994</v>
      </c>
      <c r="AB104">
        <v>79845119.180000007</v>
      </c>
      <c r="AC104">
        <v>78245108.799999997</v>
      </c>
      <c r="AD104">
        <v>77030721.290000007</v>
      </c>
      <c r="AE104">
        <v>76148811.129999995</v>
      </c>
      <c r="AF104">
        <v>75214578.75</v>
      </c>
      <c r="AG104">
        <v>74253818.900000006</v>
      </c>
      <c r="AH104">
        <v>73235381.409999996</v>
      </c>
      <c r="AI104" s="100">
        <v>72107228.659999996</v>
      </c>
      <c r="AJ104">
        <v>71045528.140000001</v>
      </c>
      <c r="AK104">
        <v>70000080.849999994</v>
      </c>
      <c r="AL104" s="100">
        <v>68958419.959999904</v>
      </c>
      <c r="AM104">
        <v>67917383.709999904</v>
      </c>
      <c r="AN104">
        <v>66803457.740000002</v>
      </c>
      <c r="AO104">
        <v>65643875.799999997</v>
      </c>
      <c r="AP104">
        <v>64459695.030000001</v>
      </c>
      <c r="AQ104">
        <v>63265594.920000002</v>
      </c>
      <c r="AR104" s="100">
        <v>61883935.990000002</v>
      </c>
      <c r="AS104">
        <v>60554465.350000001</v>
      </c>
      <c r="AT104">
        <v>59250251.609999999</v>
      </c>
      <c r="AU104">
        <v>57957546</v>
      </c>
      <c r="AV104">
        <v>56669618.710000001</v>
      </c>
      <c r="AW104">
        <v>55392366.060000002</v>
      </c>
    </row>
    <row r="105" spans="2:49" x14ac:dyDescent="0.25">
      <c r="B105" t="s">
        <v>406</v>
      </c>
      <c r="C105" s="100">
        <v>105875266.531468</v>
      </c>
      <c r="D105">
        <v>107575128.18195701</v>
      </c>
      <c r="E105">
        <v>109302281.7</v>
      </c>
      <c r="F105">
        <v>110416228.7</v>
      </c>
      <c r="G105" s="100">
        <v>106482012.2</v>
      </c>
      <c r="H105">
        <v>107241766.2</v>
      </c>
      <c r="I105">
        <v>105216992.5</v>
      </c>
      <c r="J105">
        <v>102545326.59999999</v>
      </c>
      <c r="K105" s="100">
        <v>100004696</v>
      </c>
      <c r="L105" s="100">
        <v>98299785.609999999</v>
      </c>
      <c r="M105">
        <v>96990316.180000007</v>
      </c>
      <c r="N105">
        <v>96205544.319999903</v>
      </c>
      <c r="O105">
        <v>95797513.890000001</v>
      </c>
      <c r="P105">
        <v>94203192.260000005</v>
      </c>
      <c r="Q105">
        <v>92283653.290000007</v>
      </c>
      <c r="R105">
        <v>91174438.180000007</v>
      </c>
      <c r="S105">
        <v>90492448.719999999</v>
      </c>
      <c r="T105">
        <v>89748344.349999994</v>
      </c>
      <c r="U105">
        <v>88589724.549999997</v>
      </c>
      <c r="V105">
        <v>87154332.859999999</v>
      </c>
      <c r="W105">
        <v>86192454.409999996</v>
      </c>
      <c r="X105">
        <v>84270427.030000001</v>
      </c>
      <c r="Y105">
        <v>82777689.150000006</v>
      </c>
      <c r="Z105">
        <v>81769586.349999994</v>
      </c>
      <c r="AA105">
        <v>80812794.349999994</v>
      </c>
      <c r="AB105">
        <v>79845119.180000007</v>
      </c>
      <c r="AC105">
        <v>78245108.799999997</v>
      </c>
      <c r="AD105">
        <v>77030721.290000007</v>
      </c>
      <c r="AE105">
        <v>76148811.129999995</v>
      </c>
      <c r="AF105">
        <v>75214578.75</v>
      </c>
      <c r="AG105">
        <v>74253818.900000006</v>
      </c>
      <c r="AH105">
        <v>73235381.409999996</v>
      </c>
      <c r="AI105">
        <v>72107228.659999996</v>
      </c>
      <c r="AJ105">
        <v>71045528.140000001</v>
      </c>
      <c r="AK105">
        <v>70000080.849999994</v>
      </c>
      <c r="AL105">
        <v>68958419.959999904</v>
      </c>
      <c r="AM105">
        <v>67917383.709999904</v>
      </c>
      <c r="AN105">
        <v>66803457.740000002</v>
      </c>
      <c r="AO105">
        <v>65643875.799999997</v>
      </c>
      <c r="AP105">
        <v>64459695.030000001</v>
      </c>
      <c r="AQ105">
        <v>63265594.920000002</v>
      </c>
      <c r="AR105">
        <v>61883935.990000002</v>
      </c>
      <c r="AS105">
        <v>60554465.350000001</v>
      </c>
      <c r="AT105">
        <v>59250251.609999999</v>
      </c>
      <c r="AU105">
        <v>57957546</v>
      </c>
      <c r="AV105">
        <v>56669618.710000001</v>
      </c>
      <c r="AW105">
        <v>55392366.060000002</v>
      </c>
    </row>
    <row r="106" spans="2:49" x14ac:dyDescent="0.25">
      <c r="B106" t="s">
        <v>407</v>
      </c>
      <c r="C106">
        <v>37938997.726415001</v>
      </c>
      <c r="D106">
        <v>38548120.6066292</v>
      </c>
      <c r="E106">
        <v>39167023.149999999</v>
      </c>
      <c r="F106">
        <v>38285491.020000003</v>
      </c>
      <c r="G106">
        <v>36970526.390000001</v>
      </c>
      <c r="H106">
        <v>35869336.719999999</v>
      </c>
      <c r="I106">
        <v>35504594.829999998</v>
      </c>
      <c r="J106">
        <v>34455738.090000004</v>
      </c>
      <c r="K106" s="100">
        <v>32788926.989999998</v>
      </c>
      <c r="L106" s="100">
        <v>31391469.75</v>
      </c>
      <c r="M106">
        <v>30431872.73</v>
      </c>
      <c r="N106">
        <v>29749997.969999999</v>
      </c>
      <c r="O106">
        <v>30221670.079999998</v>
      </c>
      <c r="P106">
        <v>30254124.649999999</v>
      </c>
      <c r="Q106">
        <v>29398473.859999999</v>
      </c>
      <c r="R106">
        <v>28753236.550000001</v>
      </c>
      <c r="S106">
        <v>28243611.690000001</v>
      </c>
      <c r="T106">
        <v>26480418.879999999</v>
      </c>
      <c r="U106">
        <v>25126977.52</v>
      </c>
      <c r="V106">
        <v>23787189.420000002</v>
      </c>
      <c r="W106">
        <v>23774620.48</v>
      </c>
      <c r="X106">
        <v>23861481.809999999</v>
      </c>
      <c r="Y106">
        <v>23955550.629999999</v>
      </c>
      <c r="Z106">
        <v>24202542.870000001</v>
      </c>
      <c r="AA106">
        <v>24348623.300000001</v>
      </c>
      <c r="AB106">
        <v>24516067.489999998</v>
      </c>
      <c r="AC106">
        <v>24651381.030000001</v>
      </c>
      <c r="AD106">
        <v>24795743.699999999</v>
      </c>
      <c r="AE106">
        <v>24893666.559999999</v>
      </c>
      <c r="AF106">
        <v>24987675.640000001</v>
      </c>
      <c r="AG106">
        <v>25040238.5</v>
      </c>
      <c r="AH106">
        <v>25074657.449999999</v>
      </c>
      <c r="AI106">
        <v>25056843.07</v>
      </c>
      <c r="AJ106">
        <v>25039271.66</v>
      </c>
      <c r="AK106">
        <v>25010587.91</v>
      </c>
      <c r="AL106">
        <v>24971955.91</v>
      </c>
      <c r="AM106">
        <v>24923833.530000001</v>
      </c>
      <c r="AN106">
        <v>24862564.460000001</v>
      </c>
      <c r="AO106">
        <v>24795974.309999999</v>
      </c>
      <c r="AP106">
        <v>24710915.199999999</v>
      </c>
      <c r="AQ106">
        <v>24618490.289999999</v>
      </c>
      <c r="AR106">
        <v>24502247.760000002</v>
      </c>
      <c r="AS106">
        <v>24413603.969999999</v>
      </c>
      <c r="AT106">
        <v>24315456.629999999</v>
      </c>
      <c r="AU106">
        <v>24204019.699999999</v>
      </c>
      <c r="AV106">
        <v>24078010.43</v>
      </c>
      <c r="AW106">
        <v>23943986.239999998</v>
      </c>
    </row>
    <row r="107" spans="2:49" x14ac:dyDescent="0.25">
      <c r="B107" t="s">
        <v>408</v>
      </c>
      <c r="C107" s="100">
        <v>37938997.726415001</v>
      </c>
      <c r="D107" s="100">
        <v>38548120.6066292</v>
      </c>
      <c r="E107" s="100">
        <v>39167023.149999999</v>
      </c>
      <c r="F107" s="100">
        <v>38285491.020000003</v>
      </c>
      <c r="G107" s="100">
        <v>36970526.390000001</v>
      </c>
      <c r="H107">
        <v>35869336.719999999</v>
      </c>
      <c r="I107">
        <v>35504594.829999998</v>
      </c>
      <c r="J107">
        <v>34455738.090000004</v>
      </c>
      <c r="K107" s="100">
        <v>32788926.989999998</v>
      </c>
      <c r="L107" s="100">
        <v>31391469.75</v>
      </c>
      <c r="M107">
        <v>30431872.73</v>
      </c>
      <c r="N107">
        <v>29749997.969999999</v>
      </c>
      <c r="O107">
        <v>30221670.079999998</v>
      </c>
      <c r="P107">
        <v>30254124.649999999</v>
      </c>
      <c r="Q107">
        <v>29398473.859999999</v>
      </c>
      <c r="R107">
        <v>28753236.550000001</v>
      </c>
      <c r="S107">
        <v>28243611.690000001</v>
      </c>
      <c r="T107">
        <v>26480418.879999999</v>
      </c>
      <c r="U107">
        <v>25126977.52</v>
      </c>
      <c r="V107">
        <v>23787189.420000002</v>
      </c>
      <c r="W107">
        <v>23774620.48</v>
      </c>
      <c r="X107">
        <v>23861481.809999999</v>
      </c>
      <c r="Y107">
        <v>23955550.629999999</v>
      </c>
      <c r="Z107">
        <v>24202542.870000001</v>
      </c>
      <c r="AA107">
        <v>24348623.300000001</v>
      </c>
      <c r="AB107">
        <v>24516067.489999998</v>
      </c>
      <c r="AC107">
        <v>24651381.030000001</v>
      </c>
      <c r="AD107">
        <v>24795743.699999999</v>
      </c>
      <c r="AE107">
        <v>24893666.559999999</v>
      </c>
      <c r="AF107">
        <v>24987675.640000001</v>
      </c>
      <c r="AG107">
        <v>25040238.5</v>
      </c>
      <c r="AH107">
        <v>25074657.449999999</v>
      </c>
      <c r="AI107">
        <v>25056843.07</v>
      </c>
      <c r="AJ107">
        <v>25039271.66</v>
      </c>
      <c r="AK107">
        <v>25010587.91</v>
      </c>
      <c r="AL107">
        <v>24971955.91</v>
      </c>
      <c r="AM107">
        <v>24923833.530000001</v>
      </c>
      <c r="AN107">
        <v>24862564.460000001</v>
      </c>
      <c r="AO107">
        <v>24795974.309999999</v>
      </c>
      <c r="AP107">
        <v>24710915.199999999</v>
      </c>
      <c r="AQ107">
        <v>24618490.289999999</v>
      </c>
      <c r="AR107">
        <v>24502247.760000002</v>
      </c>
      <c r="AS107">
        <v>24413603.969999999</v>
      </c>
      <c r="AT107">
        <v>24315456.629999999</v>
      </c>
      <c r="AU107">
        <v>24204019.699999999</v>
      </c>
      <c r="AV107">
        <v>24078010.43</v>
      </c>
      <c r="AW107">
        <v>23943986.239999998</v>
      </c>
    </row>
    <row r="108" spans="2:49" x14ac:dyDescent="0.25">
      <c r="B108" t="s">
        <v>409</v>
      </c>
      <c r="C108">
        <v>7249974.6999914004</v>
      </c>
      <c r="D108">
        <v>7366375.3888705196</v>
      </c>
      <c r="E108">
        <v>6262275.8710000003</v>
      </c>
      <c r="F108">
        <v>6465559.5120000001</v>
      </c>
      <c r="G108" s="100">
        <v>6124129.7300000004</v>
      </c>
      <c r="H108">
        <v>6432868.4800000004</v>
      </c>
      <c r="I108">
        <v>6668795.108</v>
      </c>
      <c r="J108">
        <v>6259483.2819999997</v>
      </c>
      <c r="K108" s="100">
        <v>5973373.2989999996</v>
      </c>
      <c r="L108" s="100">
        <v>5798765.8789999997</v>
      </c>
      <c r="M108">
        <v>6197529.5530000003</v>
      </c>
      <c r="N108">
        <v>6592710.7300000004</v>
      </c>
      <c r="O108">
        <v>6839339.4919999996</v>
      </c>
      <c r="P108">
        <v>6872114.8130000001</v>
      </c>
      <c r="Q108">
        <v>6361986.5089999996</v>
      </c>
      <c r="R108">
        <v>6290788.6969999997</v>
      </c>
      <c r="S108">
        <v>6327906.591</v>
      </c>
      <c r="T108">
        <v>6442376.5810000002</v>
      </c>
      <c r="U108">
        <v>6544522.3789999997</v>
      </c>
      <c r="V108">
        <v>6705188.608</v>
      </c>
      <c r="W108">
        <v>6857296.267</v>
      </c>
      <c r="X108">
        <v>7051132.1289999997</v>
      </c>
      <c r="Y108">
        <v>7186416.3210000005</v>
      </c>
      <c r="Z108">
        <v>7292251.2139999997</v>
      </c>
      <c r="AA108">
        <v>7376724.9419999998</v>
      </c>
      <c r="AB108">
        <v>7454519.3590000002</v>
      </c>
      <c r="AC108">
        <v>7568597.1880000001</v>
      </c>
      <c r="AD108">
        <v>7622833.9330000002</v>
      </c>
      <c r="AE108">
        <v>7692313.398</v>
      </c>
      <c r="AF108">
        <v>7766927.233</v>
      </c>
      <c r="AG108">
        <v>7846904.0439999998</v>
      </c>
      <c r="AH108">
        <v>7949484.8279999997</v>
      </c>
      <c r="AI108">
        <v>8031946.1220000004</v>
      </c>
      <c r="AJ108">
        <v>8131037.6390000004</v>
      </c>
      <c r="AK108">
        <v>8228771.0389999999</v>
      </c>
      <c r="AL108">
        <v>8331129.4919999996</v>
      </c>
      <c r="AM108">
        <v>8437319.4539999999</v>
      </c>
      <c r="AN108">
        <v>8548859.6040000003</v>
      </c>
      <c r="AO108">
        <v>8664820.5160000008</v>
      </c>
      <c r="AP108">
        <v>8780874.7990000006</v>
      </c>
      <c r="AQ108">
        <v>8897474.9580000006</v>
      </c>
      <c r="AR108">
        <v>9029924.9169999994</v>
      </c>
      <c r="AS108">
        <v>9126263.6710000001</v>
      </c>
      <c r="AT108">
        <v>9224197.9299999997</v>
      </c>
      <c r="AU108">
        <v>9323385.9499999899</v>
      </c>
      <c r="AV108">
        <v>9425589.9849999994</v>
      </c>
      <c r="AW108">
        <v>9532317.04099999</v>
      </c>
    </row>
    <row r="109" spans="2:49" x14ac:dyDescent="0.25">
      <c r="B109" t="s">
        <v>410</v>
      </c>
      <c r="C109">
        <v>11428306.3019633</v>
      </c>
      <c r="D109">
        <v>11611791.4562317</v>
      </c>
      <c r="E109">
        <v>9982935.9829999898</v>
      </c>
      <c r="F109">
        <v>10143105.699999999</v>
      </c>
      <c r="G109" s="100">
        <v>9532236.7449999899</v>
      </c>
      <c r="H109" s="100">
        <v>9670185.4600000009</v>
      </c>
      <c r="I109" s="100">
        <v>9465004.3619999997</v>
      </c>
      <c r="J109" s="100">
        <v>9138485.4000000004</v>
      </c>
      <c r="K109" s="100">
        <v>8527897.7870000005</v>
      </c>
      <c r="L109" s="100">
        <v>8287850.5319999997</v>
      </c>
      <c r="M109">
        <v>8394207.7689999994</v>
      </c>
      <c r="N109">
        <v>8547911.8430000003</v>
      </c>
      <c r="O109">
        <v>7986364.9340000004</v>
      </c>
      <c r="P109">
        <v>7370129.7549999999</v>
      </c>
      <c r="Q109">
        <v>6613771.8940000003</v>
      </c>
      <c r="R109">
        <v>6121295.3870000001</v>
      </c>
      <c r="S109">
        <v>5864884.8020000001</v>
      </c>
      <c r="T109">
        <v>5738549.9589999998</v>
      </c>
      <c r="U109">
        <v>5672767.2369999997</v>
      </c>
      <c r="V109">
        <v>5642410.9550000001</v>
      </c>
      <c r="W109">
        <v>5700666.8099999996</v>
      </c>
      <c r="X109">
        <v>5759745.3559999997</v>
      </c>
      <c r="Y109">
        <v>5793750.8820000002</v>
      </c>
      <c r="Z109">
        <v>5857811.9019999998</v>
      </c>
      <c r="AA109">
        <v>5909871.9129999997</v>
      </c>
      <c r="AB109">
        <v>5959614.926</v>
      </c>
      <c r="AC109">
        <v>6039153.5379999997</v>
      </c>
      <c r="AD109">
        <v>6075719.8320000004</v>
      </c>
      <c r="AE109">
        <v>6123173.3130000001</v>
      </c>
      <c r="AF109">
        <v>6170594.9369999999</v>
      </c>
      <c r="AG109">
        <v>6223542.5539999995</v>
      </c>
      <c r="AH109">
        <v>6297463.3830000004</v>
      </c>
      <c r="AI109">
        <v>6347867.7149999999</v>
      </c>
      <c r="AJ109">
        <v>6409652.1830000002</v>
      </c>
      <c r="AK109">
        <v>6468081.1670000004</v>
      </c>
      <c r="AL109">
        <v>6527512.3320000004</v>
      </c>
      <c r="AM109">
        <v>6588099.3260000004</v>
      </c>
      <c r="AN109">
        <v>6619408.7630000003</v>
      </c>
      <c r="AO109">
        <v>6641077.2910000002</v>
      </c>
      <c r="AP109">
        <v>6655941.6129999999</v>
      </c>
      <c r="AQ109">
        <v>6665000.6710000001</v>
      </c>
      <c r="AR109">
        <v>6679080.2800000003</v>
      </c>
      <c r="AS109">
        <v>6696212.2450000001</v>
      </c>
      <c r="AT109">
        <v>6719154.9919999996</v>
      </c>
      <c r="AU109">
        <v>6742102.4699999997</v>
      </c>
      <c r="AV109">
        <v>6764615.6279999996</v>
      </c>
      <c r="AW109">
        <v>6787107.8020000001</v>
      </c>
    </row>
    <row r="110" spans="2:49" x14ac:dyDescent="0.25">
      <c r="B110" t="s">
        <v>411</v>
      </c>
      <c r="C110">
        <v>1153294.1412084801</v>
      </c>
      <c r="D110" s="100">
        <v>1171810.6516891399</v>
      </c>
      <c r="E110" s="100">
        <v>1014014.031</v>
      </c>
      <c r="F110" s="100">
        <v>1087012.9469999999</v>
      </c>
      <c r="G110">
        <v>1011831.992</v>
      </c>
      <c r="H110">
        <v>886894.40689999994</v>
      </c>
      <c r="I110" s="100">
        <v>964276.09490000003</v>
      </c>
      <c r="J110" s="100">
        <v>930636.14549999998</v>
      </c>
      <c r="K110" s="100">
        <v>878575.64399999997</v>
      </c>
      <c r="L110" s="100">
        <v>870026.86060000001</v>
      </c>
      <c r="M110">
        <v>909155.12080000003</v>
      </c>
      <c r="N110">
        <v>998303.6017</v>
      </c>
      <c r="O110">
        <v>936107.61300000001</v>
      </c>
      <c r="P110">
        <v>857454.85800000001</v>
      </c>
      <c r="Q110">
        <v>739233.0477</v>
      </c>
      <c r="R110">
        <v>671042.30020000006</v>
      </c>
      <c r="S110">
        <v>586426.1875</v>
      </c>
      <c r="T110">
        <v>548668.09360000002</v>
      </c>
      <c r="U110">
        <v>535802.24230000004</v>
      </c>
      <c r="V110">
        <v>527998.11410000001</v>
      </c>
      <c r="W110">
        <v>534942.68550000002</v>
      </c>
      <c r="X110">
        <v>488905.28970000002</v>
      </c>
      <c r="Y110">
        <v>530569.0085</v>
      </c>
      <c r="Z110">
        <v>553266.49410000001</v>
      </c>
      <c r="AA110">
        <v>567196.39610000001</v>
      </c>
      <c r="AB110">
        <v>577435.28940000001</v>
      </c>
      <c r="AC110">
        <v>554909.35320000001</v>
      </c>
      <c r="AD110">
        <v>587844.20689999999</v>
      </c>
      <c r="AE110">
        <v>598346.23010000004</v>
      </c>
      <c r="AF110">
        <v>608392.81180000002</v>
      </c>
      <c r="AG110">
        <v>617816.67220000003</v>
      </c>
      <c r="AH110">
        <v>603182.11349999998</v>
      </c>
      <c r="AI110">
        <v>627385.17799999996</v>
      </c>
      <c r="AJ110">
        <v>642528.47510000004</v>
      </c>
      <c r="AK110">
        <v>652999.90980000002</v>
      </c>
      <c r="AL110">
        <v>662174.16189999995</v>
      </c>
      <c r="AM110">
        <v>670670.81790000002</v>
      </c>
      <c r="AN110">
        <v>670295.64240000001</v>
      </c>
      <c r="AO110">
        <v>672932.65139999997</v>
      </c>
      <c r="AP110">
        <v>675873.77579999994</v>
      </c>
      <c r="AQ110">
        <v>678632.61580000003</v>
      </c>
      <c r="AR110">
        <v>665124.0943</v>
      </c>
      <c r="AS110">
        <v>676876.66910000006</v>
      </c>
      <c r="AT110">
        <v>683998.36369999999</v>
      </c>
      <c r="AU110">
        <v>689048.14339999994</v>
      </c>
      <c r="AV110">
        <v>693146.14529999997</v>
      </c>
      <c r="AW110">
        <v>696875.24300000002</v>
      </c>
    </row>
    <row r="111" spans="2:49" x14ac:dyDescent="0.25">
      <c r="B111" t="s">
        <v>412</v>
      </c>
      <c r="C111">
        <v>6211298.5004764497</v>
      </c>
      <c r="D111">
        <v>6311022.9070030199</v>
      </c>
      <c r="E111">
        <v>5388522.5060000001</v>
      </c>
      <c r="F111">
        <v>5419613.1490000002</v>
      </c>
      <c r="G111">
        <v>4895417.517</v>
      </c>
      <c r="H111">
        <v>4387695.4419999998</v>
      </c>
      <c r="I111">
        <v>4071345.892</v>
      </c>
      <c r="J111">
        <v>4289572.477</v>
      </c>
      <c r="K111">
        <v>3828460.125</v>
      </c>
      <c r="L111">
        <v>3653617.5120000001</v>
      </c>
      <c r="M111">
        <v>3728326.9550000001</v>
      </c>
      <c r="N111">
        <v>3819698.017</v>
      </c>
      <c r="O111">
        <v>3664902.5060000001</v>
      </c>
      <c r="P111">
        <v>3399996.4470000002</v>
      </c>
      <c r="Q111">
        <v>3060669.5980000002</v>
      </c>
      <c r="R111">
        <v>2800375.8530000001</v>
      </c>
      <c r="S111" s="100">
        <v>2573459.594</v>
      </c>
      <c r="T111" s="100">
        <v>2463640.6919999998</v>
      </c>
      <c r="U111" s="100">
        <v>2366025.6850000001</v>
      </c>
      <c r="V111" s="100">
        <v>2277005.932</v>
      </c>
      <c r="W111">
        <v>2183196.7779999999</v>
      </c>
      <c r="X111">
        <v>2069413.5090000001</v>
      </c>
      <c r="Y111">
        <v>2064057.317</v>
      </c>
      <c r="Z111">
        <v>2077375.6270000001</v>
      </c>
      <c r="AA111">
        <v>2090635.676</v>
      </c>
      <c r="AB111">
        <v>2103989.0980000002</v>
      </c>
      <c r="AC111">
        <v>2115086.3539999998</v>
      </c>
      <c r="AD111">
        <v>2141304.5049999999</v>
      </c>
      <c r="AE111">
        <v>2161394.1490000002</v>
      </c>
      <c r="AF111">
        <v>2182100.1460000002</v>
      </c>
      <c r="AG111">
        <v>2203756.6209999998</v>
      </c>
      <c r="AH111">
        <v>2224164.9550000001</v>
      </c>
      <c r="AI111">
        <v>2253070.5729999999</v>
      </c>
      <c r="AJ111">
        <v>2280788.6140000001</v>
      </c>
      <c r="AK111">
        <v>2307562.2799999998</v>
      </c>
      <c r="AL111">
        <v>2334752.1239999998</v>
      </c>
      <c r="AM111">
        <v>2362368.264</v>
      </c>
      <c r="AN111">
        <v>2343259.5249999999</v>
      </c>
      <c r="AO111">
        <v>2316668.9139999999</v>
      </c>
      <c r="AP111">
        <v>2286925.0240000002</v>
      </c>
      <c r="AQ111">
        <v>2256145.44</v>
      </c>
      <c r="AR111">
        <v>2221851.4079999998</v>
      </c>
      <c r="AS111">
        <v>2215783.7230000002</v>
      </c>
      <c r="AT111">
        <v>2212561.8620000002</v>
      </c>
      <c r="AU111">
        <v>2209212.662</v>
      </c>
      <c r="AV111">
        <v>2205549.6359999999</v>
      </c>
      <c r="AW111">
        <v>2202571.3139999998</v>
      </c>
    </row>
    <row r="112" spans="2:49" x14ac:dyDescent="0.25">
      <c r="B112" t="s">
        <v>413</v>
      </c>
      <c r="C112" s="100">
        <v>19068539.7330263</v>
      </c>
      <c r="D112">
        <v>19374691.306334</v>
      </c>
      <c r="E112">
        <v>16594488.720000001</v>
      </c>
      <c r="F112">
        <v>16767737.609999999</v>
      </c>
      <c r="G112" s="100">
        <v>15202306.24</v>
      </c>
      <c r="H112">
        <v>13559459.439999999</v>
      </c>
      <c r="I112">
        <v>12960349.210000001</v>
      </c>
      <c r="J112">
        <v>13890533.26</v>
      </c>
      <c r="K112">
        <v>12407508.92</v>
      </c>
      <c r="L112">
        <v>11884068.9</v>
      </c>
      <c r="M112">
        <v>12162923.08</v>
      </c>
      <c r="N112">
        <v>12408860.960000001</v>
      </c>
      <c r="O112">
        <v>11970497</v>
      </c>
      <c r="P112">
        <v>11171731.289999999</v>
      </c>
      <c r="Q112">
        <v>10083284.59</v>
      </c>
      <c r="R112">
        <v>9285244.4499999899</v>
      </c>
      <c r="S112" s="100">
        <v>8386069.4759999998</v>
      </c>
      <c r="T112" s="100">
        <v>8257660.7209999999</v>
      </c>
      <c r="U112" s="100">
        <v>8046291.4369999999</v>
      </c>
      <c r="V112" s="100">
        <v>7949108.2589999996</v>
      </c>
      <c r="W112">
        <v>7659945.4210000001</v>
      </c>
      <c r="X112">
        <v>7344601.9170000004</v>
      </c>
      <c r="Y112">
        <v>7255724.4649999999</v>
      </c>
      <c r="Z112">
        <v>7258006.6119999997</v>
      </c>
      <c r="AA112">
        <v>7282605.3020000001</v>
      </c>
      <c r="AB112">
        <v>7312053.3650000002</v>
      </c>
      <c r="AC112">
        <v>7359635.0429999996</v>
      </c>
      <c r="AD112">
        <v>7430809.5719999997</v>
      </c>
      <c r="AE112">
        <v>7492617.1619999995</v>
      </c>
      <c r="AF112">
        <v>7561059.0219999999</v>
      </c>
      <c r="AG112">
        <v>7630071.1239999998</v>
      </c>
      <c r="AH112">
        <v>7716552.5360000003</v>
      </c>
      <c r="AI112">
        <v>7802779.4740000004</v>
      </c>
      <c r="AJ112">
        <v>7882122.1210000003</v>
      </c>
      <c r="AK112">
        <v>7968643.1469999999</v>
      </c>
      <c r="AL112">
        <v>8056628.517</v>
      </c>
      <c r="AM112">
        <v>8144060.1890000002</v>
      </c>
      <c r="AN112">
        <v>8076082.6560000004</v>
      </c>
      <c r="AO112">
        <v>7984354.8839999996</v>
      </c>
      <c r="AP112">
        <v>7878292.0489999996</v>
      </c>
      <c r="AQ112">
        <v>7773425.8389999997</v>
      </c>
      <c r="AR112">
        <v>7657671.7779999999</v>
      </c>
      <c r="AS112">
        <v>7616038.0109999999</v>
      </c>
      <c r="AT112">
        <v>7584706.6330000004</v>
      </c>
      <c r="AU112">
        <v>7548910.8320000004</v>
      </c>
      <c r="AV112">
        <v>7511641.0520000001</v>
      </c>
      <c r="AW112">
        <v>7503068.3380000005</v>
      </c>
    </row>
    <row r="113" spans="2:49" x14ac:dyDescent="0.25">
      <c r="B113" t="s">
        <v>414</v>
      </c>
      <c r="C113">
        <v>14426006.8404216</v>
      </c>
      <c r="D113">
        <v>14657621.046468699</v>
      </c>
      <c r="E113">
        <v>12566850.289999999</v>
      </c>
      <c r="F113">
        <v>12554232.859999999</v>
      </c>
      <c r="G113">
        <v>11550419.619999999</v>
      </c>
      <c r="H113">
        <v>10778167.630000001</v>
      </c>
      <c r="I113">
        <v>10030683.890000001</v>
      </c>
      <c r="J113">
        <v>9105092.3619999997</v>
      </c>
      <c r="K113">
        <v>8256920.8339999998</v>
      </c>
      <c r="L113">
        <v>8150416.3260000004</v>
      </c>
      <c r="M113">
        <v>8112444.4529999997</v>
      </c>
      <c r="N113">
        <v>8455017.81399999</v>
      </c>
      <c r="O113">
        <v>7837946.5710000005</v>
      </c>
      <c r="P113">
        <v>7020886.7779999999</v>
      </c>
      <c r="Q113">
        <v>6266799.5640000002</v>
      </c>
      <c r="R113">
        <v>5637228.648</v>
      </c>
      <c r="S113">
        <v>5210214.7189999996</v>
      </c>
      <c r="T113">
        <v>5006812.1540000001</v>
      </c>
      <c r="U113" s="100">
        <v>4792008.8470000001</v>
      </c>
      <c r="V113">
        <v>4589170.8219999997</v>
      </c>
      <c r="W113">
        <v>4409309.6040000003</v>
      </c>
      <c r="X113">
        <v>4202346.852</v>
      </c>
      <c r="Y113">
        <v>4201140.8039999995</v>
      </c>
      <c r="Z113">
        <v>4258559.477</v>
      </c>
      <c r="AA113">
        <v>4318509.43</v>
      </c>
      <c r="AB113">
        <v>4379913.5650000004</v>
      </c>
      <c r="AC113">
        <v>4449537.3509999998</v>
      </c>
      <c r="AD113">
        <v>4501806.7379999999</v>
      </c>
      <c r="AE113">
        <v>4552080.4419999998</v>
      </c>
      <c r="AF113">
        <v>4603243.0310000004</v>
      </c>
      <c r="AG113">
        <v>4657880.0060000001</v>
      </c>
      <c r="AH113">
        <v>4719418.4749999996</v>
      </c>
      <c r="AI113">
        <v>4781775.199</v>
      </c>
      <c r="AJ113">
        <v>4846229.6160000004</v>
      </c>
      <c r="AK113">
        <v>4910398.8629999999</v>
      </c>
      <c r="AL113">
        <v>4975952.1610000003</v>
      </c>
      <c r="AM113">
        <v>5042503.3849999998</v>
      </c>
      <c r="AN113">
        <v>4997912.1909999996</v>
      </c>
      <c r="AO113">
        <v>4933308.0590000004</v>
      </c>
      <c r="AP113">
        <v>4860836.2280000001</v>
      </c>
      <c r="AQ113">
        <v>4785812.8839999996</v>
      </c>
      <c r="AR113">
        <v>4709040.7410000004</v>
      </c>
      <c r="AS113">
        <v>4688894.2450000001</v>
      </c>
      <c r="AT113">
        <v>4677978.7580000004</v>
      </c>
      <c r="AU113">
        <v>4668350.5080000004</v>
      </c>
      <c r="AV113">
        <v>4658744.5039999997</v>
      </c>
      <c r="AW113">
        <v>4650117.727</v>
      </c>
    </row>
    <row r="114" spans="2:49" x14ac:dyDescent="0.25">
      <c r="B114" t="s">
        <v>415</v>
      </c>
      <c r="C114">
        <v>9279692.21316991</v>
      </c>
      <c r="D114">
        <v>9428680.6732538398</v>
      </c>
      <c r="E114">
        <v>8373820.3509999998</v>
      </c>
      <c r="F114">
        <v>8335675.4210000001</v>
      </c>
      <c r="G114">
        <v>7954968.8080000002</v>
      </c>
      <c r="H114">
        <v>7478352.4859999996</v>
      </c>
      <c r="I114">
        <v>7267001.3140000002</v>
      </c>
      <c r="J114">
        <v>7041887.8470000001</v>
      </c>
      <c r="K114">
        <v>6682012.733</v>
      </c>
      <c r="L114">
        <v>6629586.0290000001</v>
      </c>
      <c r="M114">
        <v>6594522.6919999998</v>
      </c>
      <c r="N114">
        <v>6812421.9369999999</v>
      </c>
      <c r="O114">
        <v>6626746.6770000001</v>
      </c>
      <c r="P114">
        <v>6366898.0700000003</v>
      </c>
      <c r="Q114">
        <v>6036999.6600000001</v>
      </c>
      <c r="R114">
        <v>5914918.7470000004</v>
      </c>
      <c r="S114">
        <v>5685714.0800000001</v>
      </c>
      <c r="T114">
        <v>5539266.4620000003</v>
      </c>
      <c r="U114">
        <v>5394396.125</v>
      </c>
      <c r="V114">
        <v>5275993.0420000004</v>
      </c>
      <c r="W114">
        <v>5127226.0130000003</v>
      </c>
      <c r="X114">
        <v>4953572.6979999999</v>
      </c>
      <c r="Y114">
        <v>4841061.0439999998</v>
      </c>
      <c r="Z114">
        <v>4773941.6940000001</v>
      </c>
      <c r="AA114">
        <v>4699757.1610000003</v>
      </c>
      <c r="AB114">
        <v>4625161.3099999996</v>
      </c>
      <c r="AC114">
        <v>4554749.648</v>
      </c>
      <c r="AD114">
        <v>4581727.0379999997</v>
      </c>
      <c r="AE114">
        <v>4608146.9400000004</v>
      </c>
      <c r="AF114">
        <v>4640644.432</v>
      </c>
      <c r="AG114">
        <v>4671633.1869999999</v>
      </c>
      <c r="AH114">
        <v>4708326.5279999999</v>
      </c>
      <c r="AI114">
        <v>4745740.0020000003</v>
      </c>
      <c r="AJ114">
        <v>4785595.5429999996</v>
      </c>
      <c r="AK114">
        <v>4826519.824</v>
      </c>
      <c r="AL114">
        <v>4869525.2419999996</v>
      </c>
      <c r="AM114">
        <v>4913878.7690000003</v>
      </c>
      <c r="AN114">
        <v>4917843.7060000002</v>
      </c>
      <c r="AO114">
        <v>4917081.2869999995</v>
      </c>
      <c r="AP114">
        <v>4911029.3710000003</v>
      </c>
      <c r="AQ114">
        <v>4902993.517</v>
      </c>
      <c r="AR114">
        <v>4891413.2630000003</v>
      </c>
      <c r="AS114">
        <v>4902083.6220000004</v>
      </c>
      <c r="AT114">
        <v>4915831.7659999998</v>
      </c>
      <c r="AU114">
        <v>4929791.6270000003</v>
      </c>
      <c r="AV114">
        <v>4943915.43</v>
      </c>
      <c r="AW114">
        <v>4958189.5</v>
      </c>
    </row>
    <row r="115" spans="2:49" x14ac:dyDescent="0.25">
      <c r="B115" t="s">
        <v>416</v>
      </c>
      <c r="C115">
        <v>10783636.5742715</v>
      </c>
      <c r="D115">
        <v>10956771.347537501</v>
      </c>
      <c r="E115">
        <v>9457747.6040000003</v>
      </c>
      <c r="F115">
        <v>9452424.3059999999</v>
      </c>
      <c r="G115">
        <v>9394096.9480000008</v>
      </c>
      <c r="H115">
        <v>8712896.193</v>
      </c>
      <c r="I115">
        <v>8998376.4979999997</v>
      </c>
      <c r="J115">
        <v>9049759.4399999995</v>
      </c>
      <c r="K115">
        <v>8836262.0079999994</v>
      </c>
      <c r="L115">
        <v>8788667.0460000001</v>
      </c>
      <c r="M115">
        <v>8776845.2060000002</v>
      </c>
      <c r="N115">
        <v>9015283.2109999899</v>
      </c>
      <c r="O115">
        <v>9068585.4279999901</v>
      </c>
      <c r="P115">
        <v>9181279.4079999998</v>
      </c>
      <c r="Q115">
        <v>9128990.0270000007</v>
      </c>
      <c r="R115">
        <v>9302298.9829999898</v>
      </c>
      <c r="S115">
        <v>9291824.1459999997</v>
      </c>
      <c r="T115">
        <v>9179484.0439999998</v>
      </c>
      <c r="U115">
        <v>9165773.1219999995</v>
      </c>
      <c r="V115">
        <v>9186045.24599999</v>
      </c>
      <c r="W115">
        <v>9343017.3489999995</v>
      </c>
      <c r="X115">
        <v>9475355.784</v>
      </c>
      <c r="Y115">
        <v>9584470.0309999995</v>
      </c>
      <c r="Z115">
        <v>9706157.3420000002</v>
      </c>
      <c r="AA115">
        <v>9811810.2660000008</v>
      </c>
      <c r="AB115">
        <v>9909527.068</v>
      </c>
      <c r="AC115">
        <v>10002288.08</v>
      </c>
      <c r="AD115">
        <v>10088912.42</v>
      </c>
      <c r="AE115">
        <v>10172528.439999999</v>
      </c>
      <c r="AF115">
        <v>10268923.33</v>
      </c>
      <c r="AG115">
        <v>10358042.560000001</v>
      </c>
      <c r="AH115">
        <v>10452013.6</v>
      </c>
      <c r="AI115">
        <v>10553368.140000001</v>
      </c>
      <c r="AJ115">
        <v>10664289.24</v>
      </c>
      <c r="AK115">
        <v>10778441.23</v>
      </c>
      <c r="AL115">
        <v>10898499.869999999</v>
      </c>
      <c r="AM115">
        <v>11022421.210000001</v>
      </c>
      <c r="AN115">
        <v>11152519.279999999</v>
      </c>
      <c r="AO115">
        <v>11289166.73</v>
      </c>
      <c r="AP115">
        <v>11424701.33</v>
      </c>
      <c r="AQ115">
        <v>11561381.060000001</v>
      </c>
      <c r="AR115">
        <v>11697560.779999999</v>
      </c>
      <c r="AS115">
        <v>11833348.35</v>
      </c>
      <c r="AT115">
        <v>11971024.91</v>
      </c>
      <c r="AU115">
        <v>12111074.109999999</v>
      </c>
      <c r="AV115">
        <v>12254095.710000001</v>
      </c>
      <c r="AW115">
        <v>12397915.800000001</v>
      </c>
    </row>
    <row r="116" spans="2:49" x14ac:dyDescent="0.25">
      <c r="B116" t="s">
        <v>417</v>
      </c>
      <c r="C116">
        <v>584010.86634464201</v>
      </c>
      <c r="D116">
        <v>593387.34970747295</v>
      </c>
      <c r="E116">
        <v>510539.89689999999</v>
      </c>
      <c r="F116">
        <v>524878.21849999996</v>
      </c>
      <c r="G116">
        <v>495742.02110000001</v>
      </c>
      <c r="H116">
        <v>429696.30339999998</v>
      </c>
      <c r="I116">
        <v>448626.41200000001</v>
      </c>
      <c r="J116">
        <v>448014.48220000003</v>
      </c>
      <c r="K116">
        <v>411686.63870000001</v>
      </c>
      <c r="L116">
        <v>385112.20169999998</v>
      </c>
      <c r="M116">
        <v>377247.12160000001</v>
      </c>
      <c r="N116">
        <v>396407.97230000002</v>
      </c>
      <c r="O116">
        <v>378201.87819999998</v>
      </c>
      <c r="P116">
        <v>362639.55650000001</v>
      </c>
      <c r="Q116">
        <v>335717.73080000002</v>
      </c>
      <c r="R116">
        <v>311306.37520000001</v>
      </c>
      <c r="S116">
        <v>294443.43579999998</v>
      </c>
      <c r="T116">
        <v>288940.62280000001</v>
      </c>
      <c r="U116">
        <v>285193.68839999998</v>
      </c>
      <c r="V116">
        <v>284609.78169999999</v>
      </c>
      <c r="W116">
        <v>287747.9742</v>
      </c>
      <c r="X116">
        <v>288817.60450000002</v>
      </c>
      <c r="Y116">
        <v>292556.13</v>
      </c>
      <c r="Z116">
        <v>298402.28590000002</v>
      </c>
      <c r="AA116">
        <v>304422.41210000002</v>
      </c>
      <c r="AB116">
        <v>311136.5551</v>
      </c>
      <c r="AC116">
        <v>317000.61719999998</v>
      </c>
      <c r="AD116">
        <v>319360.83630000002</v>
      </c>
      <c r="AE116">
        <v>320296.36900000001</v>
      </c>
      <c r="AF116">
        <v>321531.96179999999</v>
      </c>
      <c r="AG116">
        <v>322837.15659999999</v>
      </c>
      <c r="AH116">
        <v>322729.27269999997</v>
      </c>
      <c r="AI116">
        <v>325326.9436</v>
      </c>
      <c r="AJ116">
        <v>327530.25429999997</v>
      </c>
      <c r="AK116">
        <v>329453.60220000002</v>
      </c>
      <c r="AL116">
        <v>331411.82490000001</v>
      </c>
      <c r="AM116">
        <v>333377.21090000001</v>
      </c>
      <c r="AN116">
        <v>333887.40840000001</v>
      </c>
      <c r="AO116">
        <v>334829.37520000001</v>
      </c>
      <c r="AP116">
        <v>335705.89970000001</v>
      </c>
      <c r="AQ116">
        <v>336627.9743</v>
      </c>
      <c r="AR116">
        <v>336105.7671</v>
      </c>
      <c r="AS116">
        <v>337891.41369999998</v>
      </c>
      <c r="AT116">
        <v>339458.397</v>
      </c>
      <c r="AU116">
        <v>340872.18709999998</v>
      </c>
      <c r="AV116">
        <v>342245.56439999997</v>
      </c>
      <c r="AW116">
        <v>343865.39350000001</v>
      </c>
    </row>
    <row r="117" spans="2:49" x14ac:dyDescent="0.25">
      <c r="B117" t="s">
        <v>418</v>
      </c>
      <c r="C117">
        <v>22712835.5539211</v>
      </c>
      <c r="D117">
        <v>23077497.475414101</v>
      </c>
      <c r="E117">
        <v>23175579.43</v>
      </c>
      <c r="F117">
        <v>23253473.800000001</v>
      </c>
      <c r="G117">
        <v>19702902.02</v>
      </c>
      <c r="H117">
        <v>16418802.869999999</v>
      </c>
      <c r="I117">
        <v>17174420.859999999</v>
      </c>
      <c r="J117">
        <v>16761774.75</v>
      </c>
      <c r="K117">
        <v>15883198.300000001</v>
      </c>
      <c r="L117">
        <v>16596318.699999999</v>
      </c>
      <c r="M117">
        <v>16989046.649999999</v>
      </c>
      <c r="N117">
        <v>17343315.420000002</v>
      </c>
      <c r="O117">
        <v>14528612.720000001</v>
      </c>
      <c r="P117">
        <v>13150321.57</v>
      </c>
      <c r="Q117">
        <v>11996706.75</v>
      </c>
      <c r="R117">
        <v>11038648.77</v>
      </c>
      <c r="S117">
        <v>10271559.529999999</v>
      </c>
      <c r="T117">
        <v>10141600.869999999</v>
      </c>
      <c r="U117">
        <v>10065950.08</v>
      </c>
      <c r="V117">
        <v>10087907.08</v>
      </c>
      <c r="W117">
        <v>9916445</v>
      </c>
      <c r="X117">
        <v>9635182.7660000008</v>
      </c>
      <c r="Y117">
        <v>9585283.6579999998</v>
      </c>
      <c r="Z117">
        <v>9593147.1799999997</v>
      </c>
      <c r="AA117">
        <v>9590804.33699999</v>
      </c>
      <c r="AB117">
        <v>9584495.182</v>
      </c>
      <c r="AC117">
        <v>9554819.6099999994</v>
      </c>
      <c r="AD117">
        <v>9674152.7990000006</v>
      </c>
      <c r="AE117">
        <v>9766758.9069999997</v>
      </c>
      <c r="AF117">
        <v>9862561.6339999996</v>
      </c>
      <c r="AG117">
        <v>9963955.2550000008</v>
      </c>
      <c r="AH117">
        <v>10055344.119999999</v>
      </c>
      <c r="AI117">
        <v>10188183.949999999</v>
      </c>
      <c r="AJ117">
        <v>10311465.91</v>
      </c>
      <c r="AK117">
        <v>10432020.15</v>
      </c>
      <c r="AL117">
        <v>10553534.75</v>
      </c>
      <c r="AM117">
        <v>10674690.48</v>
      </c>
      <c r="AN117">
        <v>10697591.27</v>
      </c>
      <c r="AO117">
        <v>10713052.029999999</v>
      </c>
      <c r="AP117">
        <v>10715911.85</v>
      </c>
      <c r="AQ117">
        <v>10712641.359999999</v>
      </c>
      <c r="AR117">
        <v>10684892.4</v>
      </c>
      <c r="AS117">
        <v>10733408.43</v>
      </c>
      <c r="AT117">
        <v>10780550.710000001</v>
      </c>
      <c r="AU117">
        <v>10824269.779999999</v>
      </c>
      <c r="AV117">
        <v>10865267.48</v>
      </c>
      <c r="AW117">
        <v>10909659.689999999</v>
      </c>
    </row>
    <row r="118" spans="2:49" x14ac:dyDescent="0.25">
      <c r="B118" t="s">
        <v>419</v>
      </c>
      <c r="C118">
        <v>611949.61832884501</v>
      </c>
      <c r="D118">
        <v>621774.66739182698</v>
      </c>
      <c r="E118">
        <v>544393.97349999996</v>
      </c>
      <c r="F118">
        <v>535183.02190000005</v>
      </c>
      <c r="G118">
        <v>479562.16970000003</v>
      </c>
      <c r="H118">
        <v>403580.94549999997</v>
      </c>
      <c r="I118">
        <v>428931.79969999997</v>
      </c>
      <c r="J118">
        <v>411836.14370000002</v>
      </c>
      <c r="K118">
        <v>370328.48499999999</v>
      </c>
      <c r="L118">
        <v>351566.90500000003</v>
      </c>
      <c r="M118">
        <v>351006.80200000003</v>
      </c>
      <c r="N118">
        <v>351152.30910000001</v>
      </c>
      <c r="O118">
        <v>325457.65330000001</v>
      </c>
      <c r="P118">
        <v>314686.1704</v>
      </c>
      <c r="Q118">
        <v>280108.86369999999</v>
      </c>
      <c r="R118">
        <v>257287.50649999999</v>
      </c>
      <c r="S118">
        <v>243435.6887</v>
      </c>
      <c r="T118">
        <v>237196.43479999999</v>
      </c>
      <c r="U118">
        <v>228561.51420000001</v>
      </c>
      <c r="V118">
        <v>222449.29819999999</v>
      </c>
      <c r="W118">
        <v>222177.75090000001</v>
      </c>
      <c r="X118">
        <v>220641.67939999999</v>
      </c>
      <c r="Y118">
        <v>220088.23120000001</v>
      </c>
      <c r="Z118">
        <v>222910.12100000001</v>
      </c>
      <c r="AA118">
        <v>225104.4136</v>
      </c>
      <c r="AB118">
        <v>227255.03039999999</v>
      </c>
      <c r="AC118">
        <v>229290.08559999999</v>
      </c>
      <c r="AD118">
        <v>231512.2689</v>
      </c>
      <c r="AE118">
        <v>233402.3958</v>
      </c>
      <c r="AF118">
        <v>235552.61840000001</v>
      </c>
      <c r="AG118">
        <v>237700.3646</v>
      </c>
      <c r="AH118">
        <v>239750.73809999999</v>
      </c>
      <c r="AI118">
        <v>242084.1349</v>
      </c>
      <c r="AJ118">
        <v>244359.18969999999</v>
      </c>
      <c r="AK118">
        <v>246664.7746</v>
      </c>
      <c r="AL118">
        <v>249028.7224</v>
      </c>
      <c r="AM118">
        <v>251400.31599999999</v>
      </c>
      <c r="AN118">
        <v>251860.48879999999</v>
      </c>
      <c r="AO118">
        <v>252380.77549999999</v>
      </c>
      <c r="AP118">
        <v>252590.04060000001</v>
      </c>
      <c r="AQ118">
        <v>252707.69260000001</v>
      </c>
      <c r="AR118">
        <v>252331.9382</v>
      </c>
      <c r="AS118">
        <v>253482.65580000001</v>
      </c>
      <c r="AT118">
        <v>254697.6532</v>
      </c>
      <c r="AU118">
        <v>255901.06630000001</v>
      </c>
      <c r="AV118">
        <v>257092.68429999999</v>
      </c>
      <c r="AW118">
        <v>258369.5937</v>
      </c>
    </row>
    <row r="119" spans="2:49" x14ac:dyDescent="0.25">
      <c r="B119" t="s">
        <v>420</v>
      </c>
      <c r="C119">
        <v>18604230.451297902</v>
      </c>
      <c r="D119">
        <v>18902927.3889024</v>
      </c>
      <c r="E119">
        <v>16611231.98</v>
      </c>
      <c r="F119">
        <v>16884505.059999999</v>
      </c>
      <c r="G119">
        <v>15763286.800000001</v>
      </c>
      <c r="H119">
        <v>14527574.34</v>
      </c>
      <c r="I119">
        <v>14534092.1</v>
      </c>
      <c r="J119">
        <v>14074550.09</v>
      </c>
      <c r="K119">
        <v>13298850.23</v>
      </c>
      <c r="L119">
        <v>13051304.630000001</v>
      </c>
      <c r="M119">
        <v>13119233.130000001</v>
      </c>
      <c r="N119">
        <v>13442252.210000001</v>
      </c>
      <c r="O119">
        <v>12719870.09</v>
      </c>
      <c r="P119">
        <v>11996520.619999999</v>
      </c>
      <c r="Q119">
        <v>11105762.58</v>
      </c>
      <c r="R119">
        <v>10794524.85</v>
      </c>
      <c r="S119">
        <v>10393893.73</v>
      </c>
      <c r="T119">
        <v>10311676.220000001</v>
      </c>
      <c r="U119">
        <v>10166178.939999999</v>
      </c>
      <c r="V119">
        <v>10100121.91</v>
      </c>
      <c r="W119">
        <v>10158857.51</v>
      </c>
      <c r="X119">
        <v>10191977.359999999</v>
      </c>
      <c r="Y119">
        <v>10214804.789999999</v>
      </c>
      <c r="Z119">
        <v>10332233.73</v>
      </c>
      <c r="AA119">
        <v>10423543.9</v>
      </c>
      <c r="AB119">
        <v>10510818.33</v>
      </c>
      <c r="AC119">
        <v>10616789.810000001</v>
      </c>
      <c r="AD119">
        <v>10712627.119999999</v>
      </c>
      <c r="AE119">
        <v>10801828.42</v>
      </c>
      <c r="AF119">
        <v>10901261.02</v>
      </c>
      <c r="AG119">
        <v>11007249.140000001</v>
      </c>
      <c r="AH119">
        <v>11126527.15</v>
      </c>
      <c r="AI119">
        <v>11251672.220000001</v>
      </c>
      <c r="AJ119">
        <v>11379843.48</v>
      </c>
      <c r="AK119">
        <v>11507686.029999999</v>
      </c>
      <c r="AL119">
        <v>11640519.59</v>
      </c>
      <c r="AM119">
        <v>11777048.960000001</v>
      </c>
      <c r="AN119">
        <v>11851291.529999999</v>
      </c>
      <c r="AO119">
        <v>11932165.67</v>
      </c>
      <c r="AP119">
        <v>12004013.16</v>
      </c>
      <c r="AQ119">
        <v>12071307.49</v>
      </c>
      <c r="AR119">
        <v>12135763.27</v>
      </c>
      <c r="AS119">
        <v>12232081.43</v>
      </c>
      <c r="AT119">
        <v>12327529.9</v>
      </c>
      <c r="AU119">
        <v>12423122.07</v>
      </c>
      <c r="AV119">
        <v>12518736.18</v>
      </c>
      <c r="AW119">
        <v>12618912.17</v>
      </c>
    </row>
    <row r="120" spans="2:49" x14ac:dyDescent="0.25">
      <c r="B120" t="s">
        <v>421</v>
      </c>
      <c r="C120">
        <v>583438.22926562198</v>
      </c>
      <c r="D120">
        <v>592805.51875492395</v>
      </c>
      <c r="E120">
        <v>519029.97649999999</v>
      </c>
      <c r="F120">
        <v>540349.12730000005</v>
      </c>
      <c r="G120">
        <v>527123.00300000003</v>
      </c>
      <c r="H120">
        <v>458029.96269999997</v>
      </c>
      <c r="I120">
        <v>456522.29790000001</v>
      </c>
      <c r="J120">
        <v>463485.41440000001</v>
      </c>
      <c r="K120">
        <v>442938.72690000001</v>
      </c>
      <c r="L120">
        <v>428890.23820000002</v>
      </c>
      <c r="M120">
        <v>400962.23599999998</v>
      </c>
      <c r="N120">
        <v>368876.36469999998</v>
      </c>
      <c r="O120">
        <v>359281.0675</v>
      </c>
      <c r="P120">
        <v>362385.39620000002</v>
      </c>
      <c r="Q120">
        <v>353504.2573</v>
      </c>
      <c r="R120">
        <v>358296.0662</v>
      </c>
      <c r="S120">
        <v>345832.59820000001</v>
      </c>
      <c r="T120">
        <v>342722.60019999999</v>
      </c>
      <c r="U120">
        <v>331393</v>
      </c>
      <c r="V120">
        <v>325841.27960000001</v>
      </c>
      <c r="W120">
        <v>323937.3603</v>
      </c>
      <c r="X120">
        <v>324661.85649999999</v>
      </c>
      <c r="Y120">
        <v>318754.0122</v>
      </c>
      <c r="Z120">
        <v>317106.33740000002</v>
      </c>
      <c r="AA120">
        <v>316293.0491</v>
      </c>
      <c r="AB120">
        <v>315955.87540000002</v>
      </c>
      <c r="AC120">
        <v>317151.59820000001</v>
      </c>
      <c r="AD120">
        <v>319130.53869999998</v>
      </c>
      <c r="AE120">
        <v>320868.74239999999</v>
      </c>
      <c r="AF120">
        <v>323239.58779999998</v>
      </c>
      <c r="AG120">
        <v>325250.17879999999</v>
      </c>
      <c r="AH120">
        <v>328357.92200000002</v>
      </c>
      <c r="AI120">
        <v>330100.90539999999</v>
      </c>
      <c r="AJ120">
        <v>331618.56359999999</v>
      </c>
      <c r="AK120">
        <v>333570.70140000002</v>
      </c>
      <c r="AL120">
        <v>335588.47269999998</v>
      </c>
      <c r="AM120">
        <v>337633.9596</v>
      </c>
      <c r="AN120">
        <v>338873.80249999999</v>
      </c>
      <c r="AO120">
        <v>340848.31170000002</v>
      </c>
      <c r="AP120">
        <v>342795.53389999998</v>
      </c>
      <c r="AQ120">
        <v>345301.36589999998</v>
      </c>
      <c r="AR120">
        <v>347894.99339999998</v>
      </c>
      <c r="AS120">
        <v>350426.90980000002</v>
      </c>
      <c r="AT120">
        <v>353136.85570000001</v>
      </c>
      <c r="AU120">
        <v>355587.63709999999</v>
      </c>
      <c r="AV120">
        <v>358057.71539999999</v>
      </c>
      <c r="AW120">
        <v>363512.45270000002</v>
      </c>
    </row>
    <row r="121" spans="2:49" x14ac:dyDescent="0.25">
      <c r="B121" t="s">
        <v>422</v>
      </c>
      <c r="C121">
        <v>640997.091904014</v>
      </c>
      <c r="D121">
        <v>651288.50755091803</v>
      </c>
      <c r="E121">
        <v>552934.97519999999</v>
      </c>
      <c r="F121">
        <v>572010.4436</v>
      </c>
      <c r="G121">
        <v>543686.55940000003</v>
      </c>
      <c r="H121">
        <v>545490.77229999995</v>
      </c>
      <c r="I121">
        <v>566715.745</v>
      </c>
      <c r="J121">
        <v>549572.8811</v>
      </c>
      <c r="K121">
        <v>522192.8738</v>
      </c>
      <c r="L121">
        <v>529109.88749999995</v>
      </c>
      <c r="M121">
        <v>542730.91040000005</v>
      </c>
      <c r="N121">
        <v>576753.50569999998</v>
      </c>
      <c r="O121">
        <v>618312.2574</v>
      </c>
      <c r="P121">
        <v>634227.59979999997</v>
      </c>
      <c r="Q121">
        <v>588884.60549999995</v>
      </c>
      <c r="R121">
        <v>601206.9523</v>
      </c>
      <c r="S121">
        <v>622425.46990000003</v>
      </c>
      <c r="T121">
        <v>723896.35710000002</v>
      </c>
      <c r="U121">
        <v>813521.07830000005</v>
      </c>
      <c r="V121">
        <v>915214.16610000003</v>
      </c>
      <c r="W121">
        <v>985153.75789999997</v>
      </c>
      <c r="X121">
        <v>1207604.2760000001</v>
      </c>
      <c r="Y121">
        <v>1290734.469</v>
      </c>
      <c r="Z121">
        <v>1352295.453</v>
      </c>
      <c r="AA121">
        <v>1398515.077</v>
      </c>
      <c r="AB121">
        <v>1432691.7509999999</v>
      </c>
      <c r="AC121">
        <v>1583385.075</v>
      </c>
      <c r="AD121">
        <v>1592503.8130000001</v>
      </c>
      <c r="AE121">
        <v>1604718.6440000001</v>
      </c>
      <c r="AF121">
        <v>1616917.2990000001</v>
      </c>
      <c r="AG121">
        <v>1625794.4010000001</v>
      </c>
      <c r="AH121">
        <v>1693466.368</v>
      </c>
      <c r="AI121">
        <v>1689679.878</v>
      </c>
      <c r="AJ121">
        <v>1689194.048</v>
      </c>
      <c r="AK121">
        <v>1687300.571</v>
      </c>
      <c r="AL121">
        <v>1685058.2879999999</v>
      </c>
      <c r="AM121">
        <v>1682550.8219999999</v>
      </c>
      <c r="AN121">
        <v>1680017.334</v>
      </c>
      <c r="AO121">
        <v>1680434.6980000001</v>
      </c>
      <c r="AP121">
        <v>1680943.517</v>
      </c>
      <c r="AQ121">
        <v>1682111.1950000001</v>
      </c>
      <c r="AR121">
        <v>1751349.8330000001</v>
      </c>
      <c r="AS121">
        <v>1745630.39</v>
      </c>
      <c r="AT121">
        <v>1745149.561</v>
      </c>
      <c r="AU121">
        <v>1745838.8929999999</v>
      </c>
      <c r="AV121">
        <v>1746968.602</v>
      </c>
      <c r="AW121">
        <v>1748747.1569999999</v>
      </c>
    </row>
    <row r="122" spans="2:49" x14ac:dyDescent="0.25">
      <c r="B122" t="s">
        <v>423</v>
      </c>
      <c r="C122">
        <v>2194958.1052306499</v>
      </c>
      <c r="D122">
        <v>2230198.86758945</v>
      </c>
      <c r="E122">
        <v>1880654.692</v>
      </c>
      <c r="F122">
        <v>1871234.8840000001</v>
      </c>
      <c r="G122">
        <v>1864159.8859999999</v>
      </c>
      <c r="H122">
        <v>1861162.298</v>
      </c>
      <c r="I122">
        <v>1867066.8770000001</v>
      </c>
      <c r="J122">
        <v>1879097.4180000001</v>
      </c>
      <c r="K122">
        <v>1880911.9609999999</v>
      </c>
      <c r="L122">
        <v>1879624.4990000001</v>
      </c>
      <c r="M122">
        <v>1891977.821</v>
      </c>
      <c r="N122">
        <v>1874450.42</v>
      </c>
      <c r="O122">
        <v>1897704.5649999999</v>
      </c>
      <c r="P122">
        <v>1916465.365</v>
      </c>
      <c r="Q122">
        <v>1940717.8149999999</v>
      </c>
      <c r="R122">
        <v>1965430.6429999999</v>
      </c>
      <c r="S122">
        <v>1956980.0430000001</v>
      </c>
      <c r="T122">
        <v>1934654.568</v>
      </c>
      <c r="U122">
        <v>1925171.4750000001</v>
      </c>
      <c r="V122">
        <v>1915828.4569999999</v>
      </c>
      <c r="W122">
        <v>1886236.669</v>
      </c>
      <c r="X122">
        <v>1806179.0530000001</v>
      </c>
      <c r="Y122">
        <v>1786316.4180000001</v>
      </c>
      <c r="Z122">
        <v>1776715.139</v>
      </c>
      <c r="AA122">
        <v>1762516.1089999999</v>
      </c>
      <c r="AB122">
        <v>1745408.2120000001</v>
      </c>
      <c r="AC122">
        <v>1707756.4469999999</v>
      </c>
      <c r="AD122">
        <v>1702406.7549999999</v>
      </c>
      <c r="AE122">
        <v>1682920.97</v>
      </c>
      <c r="AF122">
        <v>1663133.254</v>
      </c>
      <c r="AG122">
        <v>1643486.683</v>
      </c>
      <c r="AH122">
        <v>1609289.176</v>
      </c>
      <c r="AI122">
        <v>1608586.142</v>
      </c>
      <c r="AJ122">
        <v>1603153.6129999999</v>
      </c>
      <c r="AK122">
        <v>1595399.763</v>
      </c>
      <c r="AL122">
        <v>1587207.4310000001</v>
      </c>
      <c r="AM122">
        <v>1579227.726</v>
      </c>
      <c r="AN122">
        <v>1580174.4639999999</v>
      </c>
      <c r="AO122">
        <v>1583557.53</v>
      </c>
      <c r="AP122">
        <v>1588150.2350000001</v>
      </c>
      <c r="AQ122">
        <v>1593297.9569999999</v>
      </c>
      <c r="AR122">
        <v>1588914.9909999999</v>
      </c>
      <c r="AS122">
        <v>1604430.888</v>
      </c>
      <c r="AT122">
        <v>1617421.7709999999</v>
      </c>
      <c r="AU122">
        <v>1629295.0989999999</v>
      </c>
      <c r="AV122">
        <v>1640772.88</v>
      </c>
      <c r="AW122">
        <v>1652286.078</v>
      </c>
    </row>
    <row r="123" spans="2:49" x14ac:dyDescent="0.25">
      <c r="B123" t="s">
        <v>424</v>
      </c>
      <c r="C123">
        <v>48301536.741083004</v>
      </c>
      <c r="D123">
        <v>49077033.537035801</v>
      </c>
      <c r="E123">
        <v>41603683.310000002</v>
      </c>
      <c r="F123">
        <v>41334315.68</v>
      </c>
      <c r="G123">
        <v>40505800.729999997</v>
      </c>
      <c r="H123">
        <v>39040608.539999999</v>
      </c>
      <c r="I123">
        <v>38695879.420000002</v>
      </c>
      <c r="J123">
        <v>38424593.450000003</v>
      </c>
      <c r="K123">
        <v>37921961.100000001</v>
      </c>
      <c r="L123">
        <v>37195236.390000001</v>
      </c>
      <c r="M123">
        <v>36791681.119999997</v>
      </c>
      <c r="N123">
        <v>36339797</v>
      </c>
      <c r="O123">
        <v>36301728.600000001</v>
      </c>
      <c r="P123">
        <v>36446282.270000003</v>
      </c>
      <c r="Q123">
        <v>35939836.100000001</v>
      </c>
      <c r="R123">
        <v>35454480.68</v>
      </c>
      <c r="S123">
        <v>34856717.539999999</v>
      </c>
      <c r="T123">
        <v>35297373.590000004</v>
      </c>
      <c r="U123">
        <v>35521832.939999998</v>
      </c>
      <c r="V123">
        <v>35970151.780000001</v>
      </c>
      <c r="W123">
        <v>36289214.399999999</v>
      </c>
      <c r="X123">
        <v>36248477.810000002</v>
      </c>
      <c r="Y123">
        <v>36174920.329999998</v>
      </c>
      <c r="Z123">
        <v>36141176.530000001</v>
      </c>
      <c r="AA123">
        <v>36015663.149999999</v>
      </c>
      <c r="AB123">
        <v>35865933.509999998</v>
      </c>
      <c r="AC123">
        <v>35663419.520000003</v>
      </c>
      <c r="AD123">
        <v>35467241.390000001</v>
      </c>
      <c r="AE123">
        <v>35181756.740000002</v>
      </c>
      <c r="AF123">
        <v>34934929.799999997</v>
      </c>
      <c r="AG123">
        <v>34667405.060000002</v>
      </c>
      <c r="AH123">
        <v>34363702.600000001</v>
      </c>
      <c r="AI123">
        <v>34290650.549999997</v>
      </c>
      <c r="AJ123">
        <v>34191225.950000003</v>
      </c>
      <c r="AK123">
        <v>34067239.060000002</v>
      </c>
      <c r="AL123">
        <v>33948837.840000004</v>
      </c>
      <c r="AM123">
        <v>33837039.810000002</v>
      </c>
      <c r="AN123">
        <v>33928158.289999999</v>
      </c>
      <c r="AO123">
        <v>34078052.420000002</v>
      </c>
      <c r="AP123">
        <v>34236988.329999998</v>
      </c>
      <c r="AQ123">
        <v>34407045.25</v>
      </c>
      <c r="AR123">
        <v>34540212.729999997</v>
      </c>
      <c r="AS123">
        <v>34887025.560000002</v>
      </c>
      <c r="AT123">
        <v>35211516.109999999</v>
      </c>
      <c r="AU123">
        <v>35528786.420000002</v>
      </c>
      <c r="AV123">
        <v>35851244.689999998</v>
      </c>
      <c r="AW123">
        <v>36189906.450000003</v>
      </c>
    </row>
    <row r="124" spans="2:49" x14ac:dyDescent="0.25">
      <c r="B124" t="s">
        <v>425</v>
      </c>
      <c r="C124">
        <v>9397840.0105028208</v>
      </c>
      <c r="D124">
        <v>9548725.3716889191</v>
      </c>
      <c r="E124">
        <v>8095813.2759999996</v>
      </c>
      <c r="F124">
        <v>9224675.1850000005</v>
      </c>
      <c r="G124">
        <v>7735860.7419999996</v>
      </c>
      <c r="H124">
        <v>5539820.5470000003</v>
      </c>
      <c r="I124">
        <v>6509946.2390000001</v>
      </c>
      <c r="J124">
        <v>5041944.2439999999</v>
      </c>
      <c r="K124">
        <v>5892061.0010000002</v>
      </c>
      <c r="L124">
        <v>5276493.8030000003</v>
      </c>
      <c r="M124">
        <v>5319222.1459999997</v>
      </c>
      <c r="N124">
        <v>5485318.2690000003</v>
      </c>
      <c r="O124">
        <v>4981297.142</v>
      </c>
      <c r="P124">
        <v>5267730.0839999998</v>
      </c>
      <c r="Q124">
        <v>5152370.25</v>
      </c>
      <c r="R124">
        <v>5206529.0240000002</v>
      </c>
      <c r="S124">
        <v>5185019.9369999999</v>
      </c>
      <c r="T124">
        <v>5071865.7829999998</v>
      </c>
      <c r="U124">
        <v>5059145.29</v>
      </c>
      <c r="V124">
        <v>5053023.1770000001</v>
      </c>
      <c r="W124">
        <v>5015860.78</v>
      </c>
      <c r="X124">
        <v>4939842.1519999998</v>
      </c>
      <c r="Y124">
        <v>4947984.8689999999</v>
      </c>
      <c r="Z124">
        <v>4975104.5729999999</v>
      </c>
      <c r="AA124">
        <v>4998955.2240000004</v>
      </c>
      <c r="AB124">
        <v>5024375.341</v>
      </c>
      <c r="AC124">
        <v>5047126.2439999999</v>
      </c>
      <c r="AD124">
        <v>5080569.6349999998</v>
      </c>
      <c r="AE124">
        <v>5108247.2819999997</v>
      </c>
      <c r="AF124">
        <v>5144217.1660000002</v>
      </c>
      <c r="AG124">
        <v>5178728.5889999997</v>
      </c>
      <c r="AH124">
        <v>5211321.068</v>
      </c>
      <c r="AI124">
        <v>5257311.0580000002</v>
      </c>
      <c r="AJ124">
        <v>5304580.4340000004</v>
      </c>
      <c r="AK124">
        <v>5351197.3020000001</v>
      </c>
      <c r="AL124">
        <v>5400773.4220000003</v>
      </c>
      <c r="AM124">
        <v>5452963.7709999997</v>
      </c>
      <c r="AN124">
        <v>5464338.6449999996</v>
      </c>
      <c r="AO124">
        <v>5468669.1840000004</v>
      </c>
      <c r="AP124">
        <v>5465135.6390000004</v>
      </c>
      <c r="AQ124">
        <v>5456296.8930000002</v>
      </c>
      <c r="AR124">
        <v>5438374.3779999996</v>
      </c>
      <c r="AS124">
        <v>5445267.79</v>
      </c>
      <c r="AT124">
        <v>5454978.0549999997</v>
      </c>
      <c r="AU124">
        <v>5465371.9139999999</v>
      </c>
      <c r="AV124">
        <v>5476771.5659999996</v>
      </c>
      <c r="AW124">
        <v>5489444.9500000002</v>
      </c>
    </row>
    <row r="125" spans="2:49" x14ac:dyDescent="0.25">
      <c r="B125" t="s">
        <v>426</v>
      </c>
      <c r="C125">
        <v>2784044.1169573502</v>
      </c>
      <c r="D125">
        <v>2828742.8457796802</v>
      </c>
      <c r="E125">
        <v>2402692.5989999999</v>
      </c>
      <c r="F125">
        <v>2492148.8530000001</v>
      </c>
      <c r="G125">
        <v>2472992.4539999999</v>
      </c>
      <c r="H125">
        <v>2031376.503</v>
      </c>
      <c r="I125">
        <v>2070276.608</v>
      </c>
      <c r="J125">
        <v>2161945.7940000002</v>
      </c>
      <c r="K125">
        <v>2107628.9509999999</v>
      </c>
      <c r="L125">
        <v>2047722.496</v>
      </c>
      <c r="M125">
        <v>2043820.8810000001</v>
      </c>
      <c r="N125">
        <v>2150840.4989999998</v>
      </c>
      <c r="O125">
        <v>2145337.9879999999</v>
      </c>
      <c r="P125">
        <v>2139026.5060000001</v>
      </c>
      <c r="Q125">
        <v>2203213.389</v>
      </c>
      <c r="R125">
        <v>2226881.1880000001</v>
      </c>
      <c r="S125">
        <v>2187720.2489999998</v>
      </c>
      <c r="T125">
        <v>2145711.4900000002</v>
      </c>
      <c r="U125">
        <v>2125017.9890000001</v>
      </c>
      <c r="V125">
        <v>2115431.9330000002</v>
      </c>
      <c r="W125">
        <v>2131973.3590000002</v>
      </c>
      <c r="X125">
        <v>2136948.1880000001</v>
      </c>
      <c r="Y125">
        <v>2155181.4509999999</v>
      </c>
      <c r="Z125">
        <v>2170546.4190000002</v>
      </c>
      <c r="AA125">
        <v>2185014.9279999998</v>
      </c>
      <c r="AB125">
        <v>2198117.3429999999</v>
      </c>
      <c r="AC125">
        <v>2209118.6469999999</v>
      </c>
      <c r="AD125">
        <v>2227063.7030000002</v>
      </c>
      <c r="AE125">
        <v>2239532.4580000001</v>
      </c>
      <c r="AF125">
        <v>2254172.8459999999</v>
      </c>
      <c r="AG125">
        <v>2269789.5320000001</v>
      </c>
      <c r="AH125">
        <v>2285153.3119999999</v>
      </c>
      <c r="AI125">
        <v>2310487.1490000002</v>
      </c>
      <c r="AJ125">
        <v>2336417.1320000002</v>
      </c>
      <c r="AK125">
        <v>2361472.693</v>
      </c>
      <c r="AL125">
        <v>2387768.92</v>
      </c>
      <c r="AM125">
        <v>2415606.1800000002</v>
      </c>
      <c r="AN125">
        <v>2440413.534</v>
      </c>
      <c r="AO125">
        <v>2466062.0359999998</v>
      </c>
      <c r="AP125">
        <v>2493184.5419999999</v>
      </c>
      <c r="AQ125">
        <v>2521770.051</v>
      </c>
      <c r="AR125">
        <v>2548928.3089999999</v>
      </c>
      <c r="AS125">
        <v>2580771.0070000002</v>
      </c>
      <c r="AT125">
        <v>2611604.3709999998</v>
      </c>
      <c r="AU125">
        <v>2641887.2790000001</v>
      </c>
      <c r="AV125">
        <v>2673119.14</v>
      </c>
      <c r="AW125">
        <v>2705077.92</v>
      </c>
    </row>
    <row r="126" spans="2:49" x14ac:dyDescent="0.25">
      <c r="B126" t="s">
        <v>427</v>
      </c>
      <c r="C126">
        <v>20640520.667746101</v>
      </c>
      <c r="D126">
        <v>20971910.903432399</v>
      </c>
      <c r="E126">
        <v>17996165.57</v>
      </c>
      <c r="F126">
        <v>18361010.640000001</v>
      </c>
      <c r="G126">
        <v>17728955.859999999</v>
      </c>
      <c r="H126">
        <v>17074584.149999999</v>
      </c>
      <c r="I126">
        <v>17334574.760000002</v>
      </c>
      <c r="J126">
        <v>17023402.629999999</v>
      </c>
      <c r="K126">
        <v>16398342.689999999</v>
      </c>
      <c r="L126">
        <v>16222702.57</v>
      </c>
      <c r="M126">
        <v>16528764.58</v>
      </c>
      <c r="N126">
        <v>17272296.43</v>
      </c>
      <c r="O126">
        <v>17128252.699999999</v>
      </c>
      <c r="P126">
        <v>16480246.27</v>
      </c>
      <c r="Q126">
        <v>15330323.98</v>
      </c>
      <c r="R126">
        <v>14459978.27</v>
      </c>
      <c r="S126">
        <v>13755700.449999999</v>
      </c>
      <c r="T126">
        <v>13370917.68</v>
      </c>
      <c r="U126" s="100">
        <v>13031119.439999999</v>
      </c>
      <c r="V126">
        <v>12696599.460000001</v>
      </c>
      <c r="W126">
        <v>12645056.119999999</v>
      </c>
      <c r="X126">
        <v>12619612.699999999</v>
      </c>
      <c r="Y126">
        <v>12553488.25</v>
      </c>
      <c r="Z126">
        <v>12473626.380000001</v>
      </c>
      <c r="AA126">
        <v>12346556.35</v>
      </c>
      <c r="AB126">
        <v>12216726.460000001</v>
      </c>
      <c r="AC126">
        <v>12079990.880000001</v>
      </c>
      <c r="AD126">
        <v>11951552.91</v>
      </c>
      <c r="AE126">
        <v>11816528.859999999</v>
      </c>
      <c r="AF126">
        <v>11686237.140000001</v>
      </c>
      <c r="AG126">
        <v>11549576.869999999</v>
      </c>
      <c r="AH126">
        <v>11411502.810000001</v>
      </c>
      <c r="AI126">
        <v>11269583.51</v>
      </c>
      <c r="AJ126">
        <v>11133794.539999999</v>
      </c>
      <c r="AK126">
        <v>11000643.09</v>
      </c>
      <c r="AL126">
        <v>10869609.310000001</v>
      </c>
      <c r="AM126">
        <v>10740455.35</v>
      </c>
      <c r="AN126">
        <v>10617089.789999999</v>
      </c>
      <c r="AO126">
        <v>10500110.59</v>
      </c>
      <c r="AP126">
        <v>10385649.380000001</v>
      </c>
      <c r="AQ126">
        <v>10275707.76</v>
      </c>
      <c r="AR126">
        <v>10165941.439999999</v>
      </c>
      <c r="AS126">
        <v>10057196.560000001</v>
      </c>
      <c r="AT126">
        <v>9950554.8430000003</v>
      </c>
      <c r="AU126">
        <v>9845389.2640000004</v>
      </c>
      <c r="AV126">
        <v>9741225.7390000001</v>
      </c>
      <c r="AW126">
        <v>9637671.9360000007</v>
      </c>
    </row>
    <row r="127" spans="2:49" x14ac:dyDescent="0.25">
      <c r="B127" t="s">
        <v>428</v>
      </c>
      <c r="C127">
        <v>261855678.291933</v>
      </c>
      <c r="D127">
        <v>266059855.90652901</v>
      </c>
      <c r="E127">
        <v>239664588.40000001</v>
      </c>
      <c r="F127">
        <v>240806942.5</v>
      </c>
      <c r="G127">
        <v>225930982.19999999</v>
      </c>
      <c r="H127">
        <v>208878608.59999999</v>
      </c>
      <c r="I127">
        <v>207605004.59999999</v>
      </c>
      <c r="J127">
        <v>201232147.69999999</v>
      </c>
      <c r="K127">
        <v>191916532.80000001</v>
      </c>
      <c r="L127">
        <v>186688169.69999999</v>
      </c>
      <c r="M127">
        <v>185609494.69999999</v>
      </c>
      <c r="N127">
        <v>186495799.09999999</v>
      </c>
      <c r="O127">
        <v>178485308.40000001</v>
      </c>
      <c r="P127">
        <v>171739027.90000001</v>
      </c>
      <c r="Q127">
        <v>162974958.90000001</v>
      </c>
      <c r="R127">
        <v>157557202.09999999</v>
      </c>
      <c r="S127">
        <v>152328749.19999999</v>
      </c>
      <c r="T127">
        <v>151517210.80000001</v>
      </c>
      <c r="U127">
        <v>150744146.5</v>
      </c>
      <c r="V127">
        <v>150785529.19999999</v>
      </c>
      <c r="W127">
        <v>151168676.80000001</v>
      </c>
      <c r="X127">
        <v>151072685.19999999</v>
      </c>
      <c r="Y127">
        <v>151423199.90000001</v>
      </c>
      <c r="Z127">
        <v>152120383.09999999</v>
      </c>
      <c r="AA127">
        <v>152573292.09999999</v>
      </c>
      <c r="AB127">
        <v>152913735.40000001</v>
      </c>
      <c r="AC127">
        <v>153336113.90000001</v>
      </c>
      <c r="AD127">
        <v>153738404.59999999</v>
      </c>
      <c r="AE127">
        <v>153955539.69999999</v>
      </c>
      <c r="AF127">
        <v>154273376.90000001</v>
      </c>
      <c r="AG127">
        <v>154575585.5</v>
      </c>
      <c r="AH127">
        <v>154941537.5</v>
      </c>
      <c r="AI127">
        <v>155582563.90000001</v>
      </c>
      <c r="AJ127">
        <v>156218342.30000001</v>
      </c>
      <c r="AK127">
        <v>156818182.09999999</v>
      </c>
      <c r="AL127">
        <v>157449501.69999999</v>
      </c>
      <c r="AM127">
        <v>158105423.09999999</v>
      </c>
      <c r="AN127">
        <v>158367141.09999999</v>
      </c>
      <c r="AO127">
        <v>158634633.09999999</v>
      </c>
      <c r="AP127">
        <v>158840941.30000001</v>
      </c>
      <c r="AQ127">
        <v>159034509.90000001</v>
      </c>
      <c r="AR127">
        <v>159186085.19999999</v>
      </c>
      <c r="AS127">
        <v>159849502.80000001</v>
      </c>
      <c r="AT127">
        <v>160526489.90000001</v>
      </c>
      <c r="AU127">
        <v>161188052.30000001</v>
      </c>
      <c r="AV127">
        <v>161854540.90000001</v>
      </c>
      <c r="AW127">
        <v>162595740.09999999</v>
      </c>
    </row>
    <row r="128" spans="2:49" x14ac:dyDescent="0.25">
      <c r="B128" t="s">
        <v>429</v>
      </c>
      <c r="C128">
        <v>5733144.4507061103</v>
      </c>
      <c r="D128">
        <v>5825191.9393003099</v>
      </c>
      <c r="E128">
        <v>5064672.3430000003</v>
      </c>
      <c r="F128">
        <v>5068434.8779999996</v>
      </c>
      <c r="G128">
        <v>4905523.2960000001</v>
      </c>
      <c r="H128">
        <v>5023154.9000000004</v>
      </c>
      <c r="I128">
        <v>5061103.9639999997</v>
      </c>
      <c r="J128">
        <v>4957280.1500000004</v>
      </c>
      <c r="K128">
        <v>4806414.8839999996</v>
      </c>
      <c r="L128">
        <v>4789416.8669999996</v>
      </c>
      <c r="M128">
        <v>4866957.5379999997</v>
      </c>
      <c r="N128">
        <v>5088282.5619999999</v>
      </c>
      <c r="O128">
        <v>5110426.7390000001</v>
      </c>
      <c r="P128">
        <v>4905187.2740000002</v>
      </c>
      <c r="Q128">
        <v>4483795.9689999996</v>
      </c>
      <c r="R128">
        <v>4182076.0980000002</v>
      </c>
      <c r="S128">
        <v>3961400.6880000001</v>
      </c>
      <c r="T128">
        <v>3796748.5090000001</v>
      </c>
      <c r="U128">
        <v>3650480.895</v>
      </c>
      <c r="V128">
        <v>3505006.5460000001</v>
      </c>
      <c r="W128">
        <v>3497123.4909999999</v>
      </c>
      <c r="X128">
        <v>3499042.7250000001</v>
      </c>
      <c r="Y128">
        <v>3481969.5290000001</v>
      </c>
      <c r="Z128">
        <v>3459163.781</v>
      </c>
      <c r="AA128">
        <v>3418109.0660000001</v>
      </c>
      <c r="AB128">
        <v>3376464.406</v>
      </c>
      <c r="AC128">
        <v>3332582.3229999999</v>
      </c>
      <c r="AD128">
        <v>3292104.7719999999</v>
      </c>
      <c r="AE128">
        <v>3249371.821</v>
      </c>
      <c r="AF128">
        <v>3208641.398</v>
      </c>
      <c r="AG128">
        <v>3165717.8990000002</v>
      </c>
      <c r="AH128">
        <v>3122456.608</v>
      </c>
      <c r="AI128">
        <v>3078076.0359999998</v>
      </c>
      <c r="AJ128">
        <v>3036150.5860000001</v>
      </c>
      <c r="AK128">
        <v>2995305.3629999999</v>
      </c>
      <c r="AL128">
        <v>2955315.1540000001</v>
      </c>
      <c r="AM128">
        <v>2916075.068</v>
      </c>
      <c r="AN128">
        <v>2879038.78</v>
      </c>
      <c r="AO128">
        <v>2844303.6129999999</v>
      </c>
      <c r="AP128">
        <v>2810473.0350000001</v>
      </c>
      <c r="AQ128">
        <v>2778250.736</v>
      </c>
      <c r="AR128">
        <v>2746063.8450000002</v>
      </c>
      <c r="AS128">
        <v>2714083.0860000001</v>
      </c>
      <c r="AT128">
        <v>2682820.8539999998</v>
      </c>
      <c r="AU128">
        <v>2652074.3709999998</v>
      </c>
      <c r="AV128">
        <v>2621681.4309999999</v>
      </c>
      <c r="AW128">
        <v>2591493.1770000001</v>
      </c>
    </row>
    <row r="129" spans="2:49" x14ac:dyDescent="0.25">
      <c r="B129" t="s">
        <v>430</v>
      </c>
      <c r="C129">
        <v>746221.21464997705</v>
      </c>
      <c r="D129">
        <v>758202.03762327298</v>
      </c>
      <c r="E129">
        <v>770375.21660000004</v>
      </c>
      <c r="F129">
        <v>786060.728</v>
      </c>
      <c r="G129">
        <v>645152.39879999997</v>
      </c>
      <c r="H129">
        <v>572918.67220000003</v>
      </c>
      <c r="I129">
        <v>402493.61680000002</v>
      </c>
      <c r="J129">
        <v>409695.95329999999</v>
      </c>
      <c r="K129">
        <v>379166.95270000002</v>
      </c>
      <c r="L129">
        <v>377243.70990000002</v>
      </c>
      <c r="M129">
        <v>382255.74550000002</v>
      </c>
      <c r="N129">
        <v>370546.67109999998</v>
      </c>
      <c r="O129">
        <v>310555.22039999999</v>
      </c>
      <c r="P129">
        <v>263007.23469999997</v>
      </c>
      <c r="Q129">
        <v>228899.52350000001</v>
      </c>
      <c r="R129">
        <v>203194.90779999999</v>
      </c>
      <c r="S129">
        <v>174690.2329</v>
      </c>
      <c r="T129">
        <v>165502.26680000001</v>
      </c>
      <c r="U129">
        <v>154964.158</v>
      </c>
      <c r="V129">
        <v>147008.128</v>
      </c>
      <c r="W129">
        <v>134930.4878</v>
      </c>
      <c r="X129">
        <v>123441.7879</v>
      </c>
      <c r="Y129">
        <v>120957.1734</v>
      </c>
      <c r="Z129">
        <v>120797.5852</v>
      </c>
      <c r="AA129">
        <v>121262.67819999999</v>
      </c>
      <c r="AB129">
        <v>121842.7543</v>
      </c>
      <c r="AC129">
        <v>122747.0667</v>
      </c>
      <c r="AD129">
        <v>123958.24860000001</v>
      </c>
      <c r="AE129">
        <v>125016.67690000001</v>
      </c>
      <c r="AF129">
        <v>126179.8496</v>
      </c>
      <c r="AG129">
        <v>127362.8073</v>
      </c>
      <c r="AH129">
        <v>128834.31</v>
      </c>
      <c r="AI129">
        <v>130201.0123</v>
      </c>
      <c r="AJ129">
        <v>131398.28719999999</v>
      </c>
      <c r="AK129">
        <v>132695.16</v>
      </c>
      <c r="AL129">
        <v>134006.6133</v>
      </c>
      <c r="AM129">
        <v>135309.32459999999</v>
      </c>
      <c r="AN129">
        <v>132727.88949999999</v>
      </c>
      <c r="AO129">
        <v>129579.1922</v>
      </c>
      <c r="AP129">
        <v>126261.79489999999</v>
      </c>
      <c r="AQ129">
        <v>123068.4654</v>
      </c>
      <c r="AR129">
        <v>119826.75629999999</v>
      </c>
      <c r="AS129">
        <v>118430.3658</v>
      </c>
      <c r="AT129">
        <v>117342.9592</v>
      </c>
      <c r="AU129">
        <v>116232.86040000001</v>
      </c>
      <c r="AV129">
        <v>115128.8101</v>
      </c>
      <c r="AW129">
        <v>114484.9895</v>
      </c>
    </row>
    <row r="130" spans="2:49" x14ac:dyDescent="0.25">
      <c r="B130" t="s">
        <v>431</v>
      </c>
      <c r="C130">
        <v>480333.66960581898</v>
      </c>
      <c r="D130">
        <v>488045.58203966799</v>
      </c>
      <c r="E130">
        <v>495881.31170000002</v>
      </c>
      <c r="F130">
        <v>501263.97460000002</v>
      </c>
      <c r="G130">
        <v>416902.13050000003</v>
      </c>
      <c r="H130">
        <v>385318.80560000002</v>
      </c>
      <c r="I130">
        <v>361169.77100000001</v>
      </c>
      <c r="J130">
        <v>324294.06890000001</v>
      </c>
      <c r="K130">
        <v>313029.53810000001</v>
      </c>
      <c r="L130">
        <v>337441.5319</v>
      </c>
      <c r="M130">
        <v>339278.16090000002</v>
      </c>
      <c r="N130">
        <v>340049.663</v>
      </c>
      <c r="O130">
        <v>252551.84940000001</v>
      </c>
      <c r="P130">
        <v>192505.92879999999</v>
      </c>
      <c r="Q130">
        <v>161953.068</v>
      </c>
      <c r="R130">
        <v>142420.38620000001</v>
      </c>
      <c r="S130">
        <v>125601.336</v>
      </c>
      <c r="T130">
        <v>122873.3285</v>
      </c>
      <c r="U130">
        <v>121122.3328</v>
      </c>
      <c r="V130">
        <v>120050.5085</v>
      </c>
      <c r="W130">
        <v>117838.01270000001</v>
      </c>
      <c r="X130">
        <v>114705.11659999999</v>
      </c>
      <c r="Y130">
        <v>115867.6557</v>
      </c>
      <c r="Z130">
        <v>118182.425</v>
      </c>
      <c r="AA130">
        <v>120732.7037</v>
      </c>
      <c r="AB130">
        <v>123347.7634</v>
      </c>
      <c r="AC130">
        <v>126256.1449</v>
      </c>
      <c r="AD130">
        <v>128736.38890000001</v>
      </c>
      <c r="AE130">
        <v>131246.8223</v>
      </c>
      <c r="AF130">
        <v>133759.72260000001</v>
      </c>
      <c r="AG130">
        <v>136451.0232</v>
      </c>
      <c r="AH130">
        <v>139394.43160000001</v>
      </c>
      <c r="AI130">
        <v>142329.3866</v>
      </c>
      <c r="AJ130">
        <v>145290.96189999999</v>
      </c>
      <c r="AK130">
        <v>148251.7316</v>
      </c>
      <c r="AL130">
        <v>151261.09469999999</v>
      </c>
      <c r="AM130">
        <v>154310.53450000001</v>
      </c>
      <c r="AN130">
        <v>154692.43599999999</v>
      </c>
      <c r="AO130">
        <v>154467.63449999999</v>
      </c>
      <c r="AP130">
        <v>153883.37299999999</v>
      </c>
      <c r="AQ130">
        <v>153066.6202</v>
      </c>
      <c r="AR130">
        <v>152068.68950000001</v>
      </c>
      <c r="AS130">
        <v>152540.37530000001</v>
      </c>
      <c r="AT130">
        <v>153205.81570000001</v>
      </c>
      <c r="AU130">
        <v>153854.58119999999</v>
      </c>
      <c r="AV130">
        <v>154454.01060000001</v>
      </c>
      <c r="AW130">
        <v>155042.9761</v>
      </c>
    </row>
    <row r="131" spans="2:49" x14ac:dyDescent="0.25">
      <c r="B131" t="s">
        <v>432</v>
      </c>
      <c r="C131">
        <v>1469582.3108926199</v>
      </c>
      <c r="D131">
        <v>1493176.93024387</v>
      </c>
      <c r="E131">
        <v>1517150.3689999999</v>
      </c>
      <c r="F131">
        <v>1535020.372</v>
      </c>
      <c r="G131">
        <v>1321629.702</v>
      </c>
      <c r="H131">
        <v>1268549.5730000001</v>
      </c>
      <c r="I131">
        <v>1036820.534</v>
      </c>
      <c r="J131">
        <v>961460.85950000002</v>
      </c>
      <c r="K131">
        <v>960578.59389999998</v>
      </c>
      <c r="L131">
        <v>1029423.4669999999</v>
      </c>
      <c r="M131">
        <v>1034963.772</v>
      </c>
      <c r="N131">
        <v>1041728.078</v>
      </c>
      <c r="O131">
        <v>788361.05110000004</v>
      </c>
      <c r="P131">
        <v>608712.81480000005</v>
      </c>
      <c r="Q131">
        <v>512654.91800000001</v>
      </c>
      <c r="R131">
        <v>460196.1201</v>
      </c>
      <c r="S131">
        <v>399086.2353</v>
      </c>
      <c r="T131">
        <v>383260.72009999998</v>
      </c>
      <c r="U131">
        <v>370188.54969999997</v>
      </c>
      <c r="V131">
        <v>358741.09240000002</v>
      </c>
      <c r="W131">
        <v>335197.5821</v>
      </c>
      <c r="X131">
        <v>310495.86060000001</v>
      </c>
      <c r="Y131">
        <v>303343.96980000002</v>
      </c>
      <c r="Z131">
        <v>300242.60029999999</v>
      </c>
      <c r="AA131">
        <v>297726.83299999998</v>
      </c>
      <c r="AB131">
        <v>295249.31949999998</v>
      </c>
      <c r="AC131">
        <v>293060.97369999997</v>
      </c>
      <c r="AD131">
        <v>296873.2598</v>
      </c>
      <c r="AE131">
        <v>300717.00890000002</v>
      </c>
      <c r="AF131">
        <v>304781.62180000002</v>
      </c>
      <c r="AG131">
        <v>308948.57250000001</v>
      </c>
      <c r="AH131">
        <v>313541.90649999998</v>
      </c>
      <c r="AI131">
        <v>318146.02710000001</v>
      </c>
      <c r="AJ131">
        <v>322705.63880000002</v>
      </c>
      <c r="AK131">
        <v>327274.78139999998</v>
      </c>
      <c r="AL131">
        <v>331944.10749999998</v>
      </c>
      <c r="AM131">
        <v>336668.65230000002</v>
      </c>
      <c r="AN131">
        <v>334015.46269999997</v>
      </c>
      <c r="AO131">
        <v>329889.57209999999</v>
      </c>
      <c r="AP131">
        <v>325121.02149999997</v>
      </c>
      <c r="AQ131">
        <v>320123.13400000002</v>
      </c>
      <c r="AR131">
        <v>314910.90700000001</v>
      </c>
      <c r="AS131">
        <v>313479.38329999999</v>
      </c>
      <c r="AT131">
        <v>312641.23710000003</v>
      </c>
      <c r="AU131">
        <v>311863.68119999999</v>
      </c>
      <c r="AV131">
        <v>311083.3688</v>
      </c>
      <c r="AW131">
        <v>310301.28749999998</v>
      </c>
    </row>
    <row r="132" spans="2:49" x14ac:dyDescent="0.25">
      <c r="B132" t="s">
        <v>433</v>
      </c>
      <c r="C132">
        <v>225722.47732836599</v>
      </c>
      <c r="D132">
        <v>229346.52471387701</v>
      </c>
      <c r="E132">
        <v>233028.7574</v>
      </c>
      <c r="F132">
        <v>236352.56460000001</v>
      </c>
      <c r="G132">
        <v>213683.4234</v>
      </c>
      <c r="H132">
        <v>203612.54459999999</v>
      </c>
      <c r="I132">
        <v>192549.46739999999</v>
      </c>
      <c r="J132">
        <v>186529.5569</v>
      </c>
      <c r="K132">
        <v>188872.71460000001</v>
      </c>
      <c r="L132">
        <v>202208.98180000001</v>
      </c>
      <c r="M132">
        <v>206272.72700000001</v>
      </c>
      <c r="N132">
        <v>210927.0148</v>
      </c>
      <c r="O132">
        <v>175860.2071</v>
      </c>
      <c r="P132">
        <v>152353.87179999999</v>
      </c>
      <c r="Q132">
        <v>139658.65109999999</v>
      </c>
      <c r="R132">
        <v>135662.8284</v>
      </c>
      <c r="S132">
        <v>127826.53720000001</v>
      </c>
      <c r="T132">
        <v>124726.6891</v>
      </c>
      <c r="U132">
        <v>123252.4244</v>
      </c>
      <c r="V132">
        <v>121858.1081</v>
      </c>
      <c r="W132">
        <v>119505.84699999999</v>
      </c>
      <c r="X132">
        <v>116151.6958</v>
      </c>
      <c r="Y132">
        <v>116894.3587</v>
      </c>
      <c r="Z132">
        <v>118591.9817</v>
      </c>
      <c r="AA132">
        <v>120247.6333</v>
      </c>
      <c r="AB132">
        <v>121877.1014</v>
      </c>
      <c r="AC132">
        <v>123455.6678</v>
      </c>
      <c r="AD132">
        <v>124937.70450000001</v>
      </c>
      <c r="AE132">
        <v>126361.2935</v>
      </c>
      <c r="AF132">
        <v>127922.3339</v>
      </c>
      <c r="AG132">
        <v>129414.44</v>
      </c>
      <c r="AH132">
        <v>130968.24950000001</v>
      </c>
      <c r="AI132">
        <v>132541.63620000001</v>
      </c>
      <c r="AJ132">
        <v>134192.26579999999</v>
      </c>
      <c r="AK132">
        <v>135870.27840000001</v>
      </c>
      <c r="AL132">
        <v>137614.03140000001</v>
      </c>
      <c r="AM132">
        <v>139402.82</v>
      </c>
      <c r="AN132">
        <v>139161.83749999999</v>
      </c>
      <c r="AO132">
        <v>138409.633</v>
      </c>
      <c r="AP132">
        <v>137372.70670000001</v>
      </c>
      <c r="AQ132">
        <v>136172.15520000001</v>
      </c>
      <c r="AR132">
        <v>134788.3395</v>
      </c>
      <c r="AS132">
        <v>134680.30489999999</v>
      </c>
      <c r="AT132">
        <v>134793.50510000001</v>
      </c>
      <c r="AU132">
        <v>134925.0894</v>
      </c>
      <c r="AV132">
        <v>135042.20790000001</v>
      </c>
      <c r="AW132">
        <v>135113.99830000001</v>
      </c>
    </row>
    <row r="133" spans="2:49" x14ac:dyDescent="0.25">
      <c r="B133" t="s">
        <v>434</v>
      </c>
      <c r="C133">
        <v>20679763.666016001</v>
      </c>
      <c r="D133">
        <v>21011783.9607329</v>
      </c>
      <c r="E133">
        <v>21366946.739999998</v>
      </c>
      <c r="F133">
        <v>21487980.09</v>
      </c>
      <c r="G133">
        <v>18146700.93</v>
      </c>
      <c r="H133">
        <v>15167549.619999999</v>
      </c>
      <c r="I133">
        <v>15851091.27</v>
      </c>
      <c r="J133">
        <v>15470457.689999999</v>
      </c>
      <c r="K133">
        <v>14717218.85</v>
      </c>
      <c r="L133">
        <v>15462674.18</v>
      </c>
      <c r="M133">
        <v>15865214.49</v>
      </c>
      <c r="N133">
        <v>16212773.109999999</v>
      </c>
      <c r="O133">
        <v>13419360.289999999</v>
      </c>
      <c r="P133">
        <v>12003150.470000001</v>
      </c>
      <c r="Q133">
        <v>10880497.77</v>
      </c>
      <c r="R133">
        <v>9970321.88199999</v>
      </c>
      <c r="S133">
        <v>9226551.6710000001</v>
      </c>
      <c r="T133">
        <v>9141755.318</v>
      </c>
      <c r="U133">
        <v>9112810.1520000007</v>
      </c>
      <c r="V133">
        <v>9174572.7070000004</v>
      </c>
      <c r="W133">
        <v>9020629.4120000005</v>
      </c>
      <c r="X133">
        <v>8766860.2579999994</v>
      </c>
      <c r="Y133">
        <v>8726559.6750000007</v>
      </c>
      <c r="Z133">
        <v>8736685.8530000001</v>
      </c>
      <c r="AA133">
        <v>8739154.3680000007</v>
      </c>
      <c r="AB133">
        <v>8738014.6950000003</v>
      </c>
      <c r="AC133">
        <v>8715772.0850000009</v>
      </c>
      <c r="AD133">
        <v>8829279.7620000001</v>
      </c>
      <c r="AE133">
        <v>8918778.4639999997</v>
      </c>
      <c r="AF133">
        <v>9010893.5620000008</v>
      </c>
      <c r="AG133">
        <v>9108568.4370000008</v>
      </c>
      <c r="AH133">
        <v>9197254.8489999995</v>
      </c>
      <c r="AI133">
        <v>9324056.2980000004</v>
      </c>
      <c r="AJ133">
        <v>9441845.7709999997</v>
      </c>
      <c r="AK133">
        <v>9557082.59799999</v>
      </c>
      <c r="AL133">
        <v>9673153.0519999899</v>
      </c>
      <c r="AM133">
        <v>9788845.12099999</v>
      </c>
      <c r="AN133">
        <v>9814174.2479999997</v>
      </c>
      <c r="AO133">
        <v>9832327.2919999994</v>
      </c>
      <c r="AP133">
        <v>9838778.9149999898</v>
      </c>
      <c r="AQ133">
        <v>9839421.9149999898</v>
      </c>
      <c r="AR133">
        <v>9817628.62099999</v>
      </c>
      <c r="AS133">
        <v>9865412.2809999995</v>
      </c>
      <c r="AT133">
        <v>9911722.18899999</v>
      </c>
      <c r="AU133">
        <v>9954792.398</v>
      </c>
      <c r="AV133">
        <v>9995305.0460000001</v>
      </c>
      <c r="AW133">
        <v>10038924.67</v>
      </c>
    </row>
    <row r="134" spans="2:49" x14ac:dyDescent="0.25">
      <c r="B134" t="s">
        <v>435</v>
      </c>
      <c r="C134">
        <v>2009388.6600685499</v>
      </c>
      <c r="D134">
        <v>2041650.04496113</v>
      </c>
      <c r="E134">
        <v>2074429.3970000001</v>
      </c>
      <c r="F134">
        <v>2145816.077</v>
      </c>
      <c r="G134">
        <v>1714146.85</v>
      </c>
      <c r="H134">
        <v>1629943.703</v>
      </c>
      <c r="I134">
        <v>1632609.449</v>
      </c>
      <c r="J134">
        <v>1504209.203</v>
      </c>
      <c r="K134">
        <v>1537213.3589999999</v>
      </c>
      <c r="L134">
        <v>1760976.88</v>
      </c>
      <c r="M134">
        <v>1836190.8770000001</v>
      </c>
      <c r="N134">
        <v>1846369.9480000001</v>
      </c>
      <c r="O134">
        <v>1203296.3759999999</v>
      </c>
      <c r="P134">
        <v>837724.68649999995</v>
      </c>
      <c r="Q134">
        <v>675728.51950000005</v>
      </c>
      <c r="R134">
        <v>610686.8321</v>
      </c>
      <c r="S134">
        <v>529113.97530000005</v>
      </c>
      <c r="T134">
        <v>527220.95279999997</v>
      </c>
      <c r="U134">
        <v>530543.02159999998</v>
      </c>
      <c r="V134">
        <v>540674.96250000002</v>
      </c>
      <c r="W134">
        <v>546059.00040000002</v>
      </c>
      <c r="X134">
        <v>551037.80519999994</v>
      </c>
      <c r="Y134">
        <v>559167.29909999995</v>
      </c>
      <c r="Z134">
        <v>571997.48529999994</v>
      </c>
      <c r="AA134">
        <v>584546.86129999999</v>
      </c>
      <c r="AB134">
        <v>597373.34470000002</v>
      </c>
      <c r="AC134">
        <v>611717.93689999997</v>
      </c>
      <c r="AD134">
        <v>626337.82250000001</v>
      </c>
      <c r="AE134">
        <v>641220.06660000002</v>
      </c>
      <c r="AF134">
        <v>656668.10270000005</v>
      </c>
      <c r="AG134">
        <v>673292.68940000003</v>
      </c>
      <c r="AH134">
        <v>691298.17810000002</v>
      </c>
      <c r="AI134">
        <v>709358.84400000004</v>
      </c>
      <c r="AJ134">
        <v>727528.73129999998</v>
      </c>
      <c r="AK134">
        <v>745959.30949999997</v>
      </c>
      <c r="AL134">
        <v>764980.07720000006</v>
      </c>
      <c r="AM134">
        <v>784547.41610000003</v>
      </c>
      <c r="AN134">
        <v>802182.59519999998</v>
      </c>
      <c r="AO134">
        <v>820798.69770000002</v>
      </c>
      <c r="AP134">
        <v>839097.46770000004</v>
      </c>
      <c r="AQ134">
        <v>857447.52419999999</v>
      </c>
      <c r="AR134">
        <v>875999.92790000001</v>
      </c>
      <c r="AS134">
        <v>896107.29559999995</v>
      </c>
      <c r="AT134">
        <v>916322.44909999997</v>
      </c>
      <c r="AU134">
        <v>936854.60549999995</v>
      </c>
      <c r="AV134">
        <v>957664.67790000001</v>
      </c>
      <c r="AW134">
        <v>979154.4351</v>
      </c>
    </row>
    <row r="135" spans="2:49" x14ac:dyDescent="0.25">
      <c r="B135" t="s">
        <v>436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>
        <v>0</v>
      </c>
      <c r="AI135">
        <v>0</v>
      </c>
      <c r="AJ135">
        <v>0</v>
      </c>
      <c r="AK135">
        <v>0</v>
      </c>
      <c r="AL135">
        <v>0</v>
      </c>
      <c r="AM135">
        <v>0</v>
      </c>
      <c r="AN135">
        <v>0</v>
      </c>
      <c r="AO135">
        <v>0</v>
      </c>
      <c r="AP135">
        <v>0</v>
      </c>
      <c r="AQ135">
        <v>0</v>
      </c>
      <c r="AR135">
        <v>0</v>
      </c>
      <c r="AS135">
        <v>0</v>
      </c>
      <c r="AT135">
        <v>0</v>
      </c>
      <c r="AU135">
        <v>0</v>
      </c>
      <c r="AV135">
        <v>0</v>
      </c>
      <c r="AW135">
        <v>0</v>
      </c>
    </row>
    <row r="136" spans="2:49" x14ac:dyDescent="0.25">
      <c r="B136" t="s">
        <v>437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0</v>
      </c>
      <c r="AI136">
        <v>0</v>
      </c>
      <c r="AJ136">
        <v>0</v>
      </c>
      <c r="AK136">
        <v>0</v>
      </c>
      <c r="AL136">
        <v>0</v>
      </c>
      <c r="AM136">
        <v>0</v>
      </c>
      <c r="AN136">
        <v>0</v>
      </c>
      <c r="AO136">
        <v>0</v>
      </c>
      <c r="AP136">
        <v>0</v>
      </c>
      <c r="AQ136">
        <v>0</v>
      </c>
      <c r="AR136">
        <v>0</v>
      </c>
      <c r="AS136">
        <v>0</v>
      </c>
      <c r="AT136">
        <v>0</v>
      </c>
      <c r="AU136">
        <v>0</v>
      </c>
      <c r="AV136">
        <v>0</v>
      </c>
      <c r="AW136">
        <v>0</v>
      </c>
    </row>
    <row r="137" spans="2:49" x14ac:dyDescent="0.25">
      <c r="B137" t="s">
        <v>438</v>
      </c>
      <c r="C137">
        <v>20174774.421468802</v>
      </c>
      <c r="D137">
        <v>20498686.950521201</v>
      </c>
      <c r="E137">
        <v>20827800</v>
      </c>
      <c r="F137">
        <v>19626701.530000001</v>
      </c>
      <c r="G137">
        <v>18314286.030000001</v>
      </c>
      <c r="H137">
        <v>15978024.779999999</v>
      </c>
      <c r="I137">
        <v>14865728.58</v>
      </c>
      <c r="J137">
        <v>13982857.82</v>
      </c>
      <c r="K137">
        <v>13019117.789999999</v>
      </c>
      <c r="L137">
        <v>11933951.109999999</v>
      </c>
      <c r="M137">
        <v>10889886.369999999</v>
      </c>
      <c r="N137">
        <v>9799422.068</v>
      </c>
      <c r="O137">
        <v>8289525.6490000002</v>
      </c>
      <c r="P137">
        <v>7000217.5920000002</v>
      </c>
      <c r="Q137">
        <v>6548893.7470000004</v>
      </c>
      <c r="R137">
        <v>6443565.0779999997</v>
      </c>
      <c r="S137">
        <v>6336764.1960000005</v>
      </c>
      <c r="T137">
        <v>6305049.2340000002</v>
      </c>
      <c r="U137">
        <v>6291213.4270000001</v>
      </c>
      <c r="V137">
        <v>6291983.3799999999</v>
      </c>
      <c r="W137">
        <v>6496745.8499999996</v>
      </c>
      <c r="X137">
        <v>6743669.9019999998</v>
      </c>
      <c r="Y137">
        <v>6882937.8799999999</v>
      </c>
      <c r="Z137">
        <v>6995166.1210000003</v>
      </c>
      <c r="AA137">
        <v>7113037.4780000001</v>
      </c>
      <c r="AB137">
        <v>7214639.0769999996</v>
      </c>
      <c r="AC137">
        <v>7322187.7869999995</v>
      </c>
      <c r="AD137">
        <v>7375893.4610000001</v>
      </c>
      <c r="AE137">
        <v>7423024.9210000001</v>
      </c>
      <c r="AF137">
        <v>7469308.2400000002</v>
      </c>
      <c r="AG137">
        <v>7515468.1030000001</v>
      </c>
      <c r="AH137">
        <v>7562472.301</v>
      </c>
      <c r="AI137">
        <v>7607469.5319999997</v>
      </c>
      <c r="AJ137">
        <v>7649697.0539999995</v>
      </c>
      <c r="AK137">
        <v>7689372.2259999998</v>
      </c>
      <c r="AL137">
        <v>7727874.4050000003</v>
      </c>
      <c r="AM137">
        <v>7765208.6509999996</v>
      </c>
      <c r="AN137">
        <v>7795636.5279999999</v>
      </c>
      <c r="AO137">
        <v>7823153.6370000001</v>
      </c>
      <c r="AP137">
        <v>7848605.0470000003</v>
      </c>
      <c r="AQ137">
        <v>7871284.6940000001</v>
      </c>
      <c r="AR137">
        <v>7893285.7149999999</v>
      </c>
      <c r="AS137">
        <v>7921659.54</v>
      </c>
      <c r="AT137">
        <v>7949863.8250000002</v>
      </c>
      <c r="AU137">
        <v>7976311.4939999999</v>
      </c>
      <c r="AV137">
        <v>8001276.5389999999</v>
      </c>
      <c r="AW137">
        <v>8028186.8020000001</v>
      </c>
    </row>
    <row r="138" spans="2:49" x14ac:dyDescent="0.25">
      <c r="B138" t="s">
        <v>439</v>
      </c>
      <c r="C138">
        <v>16278956.881142</v>
      </c>
      <c r="D138">
        <v>16540320.799446501</v>
      </c>
      <c r="E138">
        <v>16805881</v>
      </c>
      <c r="F138">
        <v>16816549.370000001</v>
      </c>
      <c r="G138">
        <v>15834381.439999999</v>
      </c>
      <c r="H138">
        <v>15173989.359999999</v>
      </c>
      <c r="I138">
        <v>14788043.09</v>
      </c>
      <c r="J138">
        <v>12914559.609999999</v>
      </c>
      <c r="K138">
        <v>11219320.82</v>
      </c>
      <c r="L138">
        <v>9843113.2339999899</v>
      </c>
      <c r="M138">
        <v>8816255.5529999901</v>
      </c>
      <c r="N138">
        <v>7977165.3799999999</v>
      </c>
      <c r="O138">
        <v>7258242.8619999997</v>
      </c>
      <c r="P138">
        <v>6500949.9170000004</v>
      </c>
      <c r="Q138">
        <v>5700035.5410000002</v>
      </c>
      <c r="R138">
        <v>5027403.375</v>
      </c>
      <c r="S138">
        <v>4393158.807</v>
      </c>
      <c r="T138">
        <v>5193137.8640000001</v>
      </c>
      <c r="U138">
        <v>5972802.9340000004</v>
      </c>
      <c r="V138">
        <v>6757260.1270000003</v>
      </c>
      <c r="W138">
        <v>6713414.1629999997</v>
      </c>
      <c r="X138">
        <v>6611949.7790000001</v>
      </c>
      <c r="Y138">
        <v>6545416.5870000003</v>
      </c>
      <c r="Z138">
        <v>6507872.0609999998</v>
      </c>
      <c r="AA138">
        <v>6468013.1950000003</v>
      </c>
      <c r="AB138">
        <v>6426701.602</v>
      </c>
      <c r="AC138">
        <v>6367894.4029999999</v>
      </c>
      <c r="AD138">
        <v>6317296.4589999998</v>
      </c>
      <c r="AE138">
        <v>6273918.4170000004</v>
      </c>
      <c r="AF138">
        <v>6231404.7359999996</v>
      </c>
      <c r="AG138">
        <v>6188156.3660000004</v>
      </c>
      <c r="AH138">
        <v>6145743.7189999996</v>
      </c>
      <c r="AI138">
        <v>6112096.3109999998</v>
      </c>
      <c r="AJ138">
        <v>6080545.5010000002</v>
      </c>
      <c r="AK138">
        <v>6048445.591</v>
      </c>
      <c r="AL138">
        <v>6017373.3779999996</v>
      </c>
      <c r="AM138">
        <v>5987005.659</v>
      </c>
      <c r="AN138">
        <v>5952796.108</v>
      </c>
      <c r="AO138">
        <v>5917211.7439999999</v>
      </c>
      <c r="AP138">
        <v>5879257.5480000004</v>
      </c>
      <c r="AQ138">
        <v>5840740.4680000003</v>
      </c>
      <c r="AR138">
        <v>5795681.8849999998</v>
      </c>
      <c r="AS138">
        <v>5769251.6059999997</v>
      </c>
      <c r="AT138">
        <v>5743862.3590000002</v>
      </c>
      <c r="AU138">
        <v>5718418.9570000004</v>
      </c>
      <c r="AV138">
        <v>5693383.2479999997</v>
      </c>
      <c r="AW138">
        <v>5670849.5089999996</v>
      </c>
    </row>
    <row r="139" spans="2:49" x14ac:dyDescent="0.25">
      <c r="B139" t="s">
        <v>440</v>
      </c>
      <c r="C139">
        <v>6501803.9853722304</v>
      </c>
      <c r="D139">
        <v>6606192.55142547</v>
      </c>
      <c r="E139">
        <v>5596698.8099999996</v>
      </c>
      <c r="F139">
        <v>5790082.4019999998</v>
      </c>
      <c r="G139">
        <v>5486017.3640000001</v>
      </c>
      <c r="H139">
        <v>5806042.7800000003</v>
      </c>
      <c r="I139">
        <v>6015779.8380000005</v>
      </c>
      <c r="J139">
        <v>5636914.3420000002</v>
      </c>
      <c r="K139">
        <v>5379977.5580000002</v>
      </c>
      <c r="L139">
        <v>5239500.74</v>
      </c>
      <c r="M139">
        <v>5623477.7960000001</v>
      </c>
      <c r="N139">
        <v>6024000.9850000003</v>
      </c>
      <c r="O139">
        <v>6271705.0599999996</v>
      </c>
      <c r="P139">
        <v>6298826.4929999998</v>
      </c>
      <c r="Q139">
        <v>5822571.2060000002</v>
      </c>
      <c r="R139">
        <v>5765435.8760000002</v>
      </c>
      <c r="S139">
        <v>5804926.6189999999</v>
      </c>
      <c r="T139">
        <v>5933813.9340000004</v>
      </c>
      <c r="U139">
        <v>6049911.5080000004</v>
      </c>
      <c r="V139">
        <v>6221374.7630000003</v>
      </c>
      <c r="W139">
        <v>6364724.2280000001</v>
      </c>
      <c r="X139">
        <v>6546451.352</v>
      </c>
      <c r="Y139">
        <v>6670991.7709999997</v>
      </c>
      <c r="Z139">
        <v>6768629.1799999997</v>
      </c>
      <c r="AA139">
        <v>6848356.3569999998</v>
      </c>
      <c r="AB139">
        <v>6922040.6500000004</v>
      </c>
      <c r="AC139">
        <v>7029553.0999999996</v>
      </c>
      <c r="AD139">
        <v>7081249.7790000001</v>
      </c>
      <c r="AE139">
        <v>7147321.4550000001</v>
      </c>
      <c r="AF139">
        <v>7217689.3849999998</v>
      </c>
      <c r="AG139">
        <v>7293518.5209999997</v>
      </c>
      <c r="AH139">
        <v>7390400.6239999998</v>
      </c>
      <c r="AI139">
        <v>7469962.4380000001</v>
      </c>
      <c r="AJ139">
        <v>7565038.9330000002</v>
      </c>
      <c r="AK139">
        <v>7658836.29</v>
      </c>
      <c r="AL139">
        <v>7756961.8049999997</v>
      </c>
      <c r="AM139">
        <v>7858537.2489999998</v>
      </c>
      <c r="AN139">
        <v>7964049.7750000004</v>
      </c>
      <c r="AO139">
        <v>8073227.7019999996</v>
      </c>
      <c r="AP139">
        <v>8182403.6449999996</v>
      </c>
      <c r="AQ139">
        <v>8292018.5640000002</v>
      </c>
      <c r="AR139">
        <v>8416399.9189999998</v>
      </c>
      <c r="AS139">
        <v>8506040.0720000006</v>
      </c>
      <c r="AT139">
        <v>8596795.898</v>
      </c>
      <c r="AU139">
        <v>8688627.8059999999</v>
      </c>
      <c r="AV139">
        <v>8783227.1539999899</v>
      </c>
      <c r="AW139">
        <v>8882060.7060000002</v>
      </c>
    </row>
    <row r="140" spans="2:49" x14ac:dyDescent="0.25">
      <c r="B140" t="s">
        <v>441</v>
      </c>
      <c r="C140">
        <v>6377150.6112568304</v>
      </c>
      <c r="D140">
        <v>6479537.8270683698</v>
      </c>
      <c r="E140">
        <v>5489398.2220000001</v>
      </c>
      <c r="F140">
        <v>5625672.1500000004</v>
      </c>
      <c r="G140">
        <v>5294853.58</v>
      </c>
      <c r="H140">
        <v>5546588.4630000005</v>
      </c>
      <c r="I140">
        <v>5406173.335</v>
      </c>
      <c r="J140">
        <v>5179518.8569999998</v>
      </c>
      <c r="K140">
        <v>4836839.0319999997</v>
      </c>
      <c r="L140">
        <v>4765650.6459999997</v>
      </c>
      <c r="M140">
        <v>4889262.307</v>
      </c>
      <c r="N140">
        <v>5096636.6279999996</v>
      </c>
      <c r="O140">
        <v>4571546.82</v>
      </c>
      <c r="P140">
        <v>3966159.4759999998</v>
      </c>
      <c r="Q140">
        <v>3367866.9580000001</v>
      </c>
      <c r="R140">
        <v>2990287.8280000002</v>
      </c>
      <c r="S140">
        <v>2749650.9010000001</v>
      </c>
      <c r="T140">
        <v>2737290.8769999999</v>
      </c>
      <c r="U140">
        <v>2769241.2009999999</v>
      </c>
      <c r="V140">
        <v>2824987.577</v>
      </c>
      <c r="W140">
        <v>2865160.2650000001</v>
      </c>
      <c r="X140">
        <v>2904640.1159999999</v>
      </c>
      <c r="Y140">
        <v>2941696.1809999999</v>
      </c>
      <c r="Z140">
        <v>2986646.7140000002</v>
      </c>
      <c r="AA140">
        <v>3029896.7220000001</v>
      </c>
      <c r="AB140">
        <v>3072632.3489999999</v>
      </c>
      <c r="AC140">
        <v>3131484.1869999999</v>
      </c>
      <c r="AD140">
        <v>3167822.9019999998</v>
      </c>
      <c r="AE140">
        <v>3210609.4019999998</v>
      </c>
      <c r="AF140">
        <v>3251633.7540000002</v>
      </c>
      <c r="AG140">
        <v>3297393.048</v>
      </c>
      <c r="AH140">
        <v>3354797.963</v>
      </c>
      <c r="AI140">
        <v>3402467.8820000002</v>
      </c>
      <c r="AJ140">
        <v>3455903.1680000001</v>
      </c>
      <c r="AK140">
        <v>3507450.0959999999</v>
      </c>
      <c r="AL140">
        <v>3559427.3190000001</v>
      </c>
      <c r="AM140">
        <v>3611619.301</v>
      </c>
      <c r="AN140">
        <v>3642523.2620000001</v>
      </c>
      <c r="AO140">
        <v>3665461.4610000001</v>
      </c>
      <c r="AP140">
        <v>3683337.108</v>
      </c>
      <c r="AQ140">
        <v>3696772.24</v>
      </c>
      <c r="AR140">
        <v>3711964.0630000001</v>
      </c>
      <c r="AS140">
        <v>3728504.483</v>
      </c>
      <c r="AT140">
        <v>3747542.469</v>
      </c>
      <c r="AU140">
        <v>3766093.4810000001</v>
      </c>
      <c r="AV140">
        <v>3783894.9759999998</v>
      </c>
      <c r="AW140">
        <v>3801338.3250000002</v>
      </c>
    </row>
    <row r="141" spans="2:49" x14ac:dyDescent="0.25">
      <c r="B141" t="s">
        <v>442</v>
      </c>
      <c r="C141">
        <v>415184.68418409303</v>
      </c>
      <c r="D141">
        <v>421850.60858395998</v>
      </c>
      <c r="E141">
        <v>357387.52399999998</v>
      </c>
      <c r="F141">
        <v>387897.614</v>
      </c>
      <c r="G141">
        <v>361875.17009999999</v>
      </c>
      <c r="H141">
        <v>332322.64390000002</v>
      </c>
      <c r="I141">
        <v>361879.34879999998</v>
      </c>
      <c r="J141">
        <v>345664.85460000002</v>
      </c>
      <c r="K141">
        <v>326577.4448</v>
      </c>
      <c r="L141">
        <v>329992.2243</v>
      </c>
      <c r="M141">
        <v>354544.20500000002</v>
      </c>
      <c r="N141">
        <v>408275.48820000002</v>
      </c>
      <c r="O141">
        <v>364933.64720000001</v>
      </c>
      <c r="P141">
        <v>307866.71600000001</v>
      </c>
      <c r="Q141">
        <v>247139.28630000001</v>
      </c>
      <c r="R141">
        <v>211539.6635</v>
      </c>
      <c r="S141">
        <v>174081.70929999999</v>
      </c>
      <c r="T141">
        <v>166971.40599999999</v>
      </c>
      <c r="U141">
        <v>168948.26579999999</v>
      </c>
      <c r="V141">
        <v>173351.25200000001</v>
      </c>
      <c r="W141">
        <v>177909.30929999999</v>
      </c>
      <c r="X141">
        <v>164473.0729</v>
      </c>
      <c r="Y141">
        <v>181155.44089999999</v>
      </c>
      <c r="Z141">
        <v>190082.13500000001</v>
      </c>
      <c r="AA141">
        <v>196410.35060000001</v>
      </c>
      <c r="AB141">
        <v>201598.2922</v>
      </c>
      <c r="AC141">
        <v>195132.89120000001</v>
      </c>
      <c r="AD141">
        <v>208806.18960000001</v>
      </c>
      <c r="AE141">
        <v>214280.0233</v>
      </c>
      <c r="AF141">
        <v>219511.15729999999</v>
      </c>
      <c r="AG141">
        <v>224747.1796</v>
      </c>
      <c r="AH141">
        <v>221089.69769999999</v>
      </c>
      <c r="AI141">
        <v>232393.31280000001</v>
      </c>
      <c r="AJ141">
        <v>240224.47380000001</v>
      </c>
      <c r="AK141">
        <v>246346.90109999999</v>
      </c>
      <c r="AL141">
        <v>252018.80009999999</v>
      </c>
      <c r="AM141">
        <v>257424.3805</v>
      </c>
      <c r="AN141">
        <v>259736.17</v>
      </c>
      <c r="AO141">
        <v>263246.54479999997</v>
      </c>
      <c r="AP141">
        <v>266917.26449999999</v>
      </c>
      <c r="AQ141">
        <v>270548.13270000002</v>
      </c>
      <c r="AR141">
        <v>267637.66629999998</v>
      </c>
      <c r="AS141">
        <v>274266.3885</v>
      </c>
      <c r="AT141">
        <v>278807.22210000001</v>
      </c>
      <c r="AU141">
        <v>282480.4866</v>
      </c>
      <c r="AV141">
        <v>285763.40879999998</v>
      </c>
      <c r="AW141">
        <v>288914.4019</v>
      </c>
    </row>
    <row r="142" spans="2:49" x14ac:dyDescent="0.25">
      <c r="B142" t="s">
        <v>443</v>
      </c>
      <c r="C142">
        <v>4757556.1935294</v>
      </c>
      <c r="D142">
        <v>4833940.2970916703</v>
      </c>
      <c r="E142">
        <v>4095264.8139999998</v>
      </c>
      <c r="F142">
        <v>4137800.463</v>
      </c>
      <c r="G142">
        <v>3740696.58</v>
      </c>
      <c r="H142">
        <v>3409655.395</v>
      </c>
      <c r="I142">
        <v>3079503.5109999999</v>
      </c>
      <c r="J142">
        <v>3220087.2239999999</v>
      </c>
      <c r="K142">
        <v>2877343.7560000001</v>
      </c>
      <c r="L142">
        <v>2766075.5639999998</v>
      </c>
      <c r="M142">
        <v>2842684.5329999998</v>
      </c>
      <c r="N142">
        <v>2947277.2609999999</v>
      </c>
      <c r="O142">
        <v>2752125.64</v>
      </c>
      <c r="P142">
        <v>2452212.0610000002</v>
      </c>
      <c r="Q142">
        <v>2125665.122</v>
      </c>
      <c r="R142">
        <v>1878496.9620000001</v>
      </c>
      <c r="S142">
        <v>1665586.9609999999</v>
      </c>
      <c r="T142">
        <v>1591618.5759999999</v>
      </c>
      <c r="U142">
        <v>1526959.1470000001</v>
      </c>
      <c r="V142">
        <v>1466013.8529999999</v>
      </c>
      <c r="W142">
        <v>1375634.382</v>
      </c>
      <c r="X142">
        <v>1271153.2150000001</v>
      </c>
      <c r="Y142">
        <v>1266583.784</v>
      </c>
      <c r="Z142">
        <v>1276181.811</v>
      </c>
      <c r="AA142">
        <v>1288163.024</v>
      </c>
      <c r="AB142">
        <v>1300589.605</v>
      </c>
      <c r="AC142">
        <v>1311786.2709999999</v>
      </c>
      <c r="AD142">
        <v>1331882.1240000001</v>
      </c>
      <c r="AE142">
        <v>1348154.8940000001</v>
      </c>
      <c r="AF142">
        <v>1364332.06</v>
      </c>
      <c r="AG142">
        <v>1381603.8970000001</v>
      </c>
      <c r="AH142">
        <v>1398127.7549999999</v>
      </c>
      <c r="AI142">
        <v>1420585.669</v>
      </c>
      <c r="AJ142">
        <v>1441962.193</v>
      </c>
      <c r="AK142">
        <v>1462631.598</v>
      </c>
      <c r="AL142">
        <v>1483491.237</v>
      </c>
      <c r="AM142">
        <v>1504517.493</v>
      </c>
      <c r="AN142">
        <v>1483026.406</v>
      </c>
      <c r="AO142">
        <v>1453732.7549999999</v>
      </c>
      <c r="AP142">
        <v>1421706.3419999999</v>
      </c>
      <c r="AQ142">
        <v>1388790.0279999999</v>
      </c>
      <c r="AR142">
        <v>1353672.183</v>
      </c>
      <c r="AS142">
        <v>1342088.682</v>
      </c>
      <c r="AT142">
        <v>1333282.304</v>
      </c>
      <c r="AU142">
        <v>1324551.2220000001</v>
      </c>
      <c r="AV142">
        <v>1315621.3400000001</v>
      </c>
      <c r="AW142">
        <v>1307092.4350000001</v>
      </c>
    </row>
    <row r="143" spans="2:49" x14ac:dyDescent="0.25">
      <c r="B143" t="s">
        <v>444</v>
      </c>
      <c r="C143">
        <v>16503281.675133999</v>
      </c>
      <c r="D143">
        <v>16768247.200565999</v>
      </c>
      <c r="E143">
        <v>14205887.65</v>
      </c>
      <c r="F143">
        <v>14375330.27</v>
      </c>
      <c r="G143">
        <v>13098327.119999999</v>
      </c>
      <c r="H143">
        <v>11768723.15</v>
      </c>
      <c r="I143">
        <v>11303499.279999999</v>
      </c>
      <c r="J143">
        <v>12103599.130000001</v>
      </c>
      <c r="K143">
        <v>10803451.949999999</v>
      </c>
      <c r="L143">
        <v>10367094.01</v>
      </c>
      <c r="M143">
        <v>10647560.99</v>
      </c>
      <c r="N143">
        <v>10939914.65</v>
      </c>
      <c r="O143">
        <v>10488111.300000001</v>
      </c>
      <c r="P143">
        <v>9653702.5280000009</v>
      </c>
      <c r="Q143">
        <v>8583872.8420000002</v>
      </c>
      <c r="R143">
        <v>7800995.8650000002</v>
      </c>
      <c r="S143">
        <v>6950294.4369999999</v>
      </c>
      <c r="T143">
        <v>6860099.4939999999</v>
      </c>
      <c r="U143">
        <v>6705726.9790000003</v>
      </c>
      <c r="V143">
        <v>6643934.2290000003</v>
      </c>
      <c r="W143">
        <v>6370875.4749999996</v>
      </c>
      <c r="X143">
        <v>6069067.9359999998</v>
      </c>
      <c r="Y143">
        <v>5998771.2220000001</v>
      </c>
      <c r="Z143">
        <v>6005386.2529999996</v>
      </c>
      <c r="AA143">
        <v>6034501.7019999996</v>
      </c>
      <c r="AB143">
        <v>6068128.6869999999</v>
      </c>
      <c r="AC143">
        <v>6117046.6380000003</v>
      </c>
      <c r="AD143">
        <v>6184825.1660000002</v>
      </c>
      <c r="AE143">
        <v>6244843.6689999998</v>
      </c>
      <c r="AF143">
        <v>6309353.7810000004</v>
      </c>
      <c r="AG143">
        <v>6375292.7520000003</v>
      </c>
      <c r="AH143">
        <v>6455955.7759999996</v>
      </c>
      <c r="AI143">
        <v>6537768.8949999996</v>
      </c>
      <c r="AJ143">
        <v>6613269.2920000004</v>
      </c>
      <c r="AK143">
        <v>6694603.9840000002</v>
      </c>
      <c r="AL143">
        <v>6777016.9210000001</v>
      </c>
      <c r="AM143">
        <v>6858709.3899999997</v>
      </c>
      <c r="AN143">
        <v>6791849.716</v>
      </c>
      <c r="AO143">
        <v>6700077.9929999998</v>
      </c>
      <c r="AP143">
        <v>6594483.949</v>
      </c>
      <c r="AQ143">
        <v>6488767.7989999996</v>
      </c>
      <c r="AR143">
        <v>6373108.9129999997</v>
      </c>
      <c r="AS143">
        <v>6327845.5810000002</v>
      </c>
      <c r="AT143">
        <v>6292416.8020000001</v>
      </c>
      <c r="AU143">
        <v>6253323.6229999997</v>
      </c>
      <c r="AV143">
        <v>6212828.6339999996</v>
      </c>
      <c r="AW143">
        <v>6195920.7860000003</v>
      </c>
    </row>
    <row r="144" spans="2:49" x14ac:dyDescent="0.25">
      <c r="B144" t="s">
        <v>445</v>
      </c>
      <c r="C144">
        <v>11632594.838881901</v>
      </c>
      <c r="D144">
        <v>11819359.911689499</v>
      </c>
      <c r="E144">
        <v>10013240.92</v>
      </c>
      <c r="F144">
        <v>10030889.050000001</v>
      </c>
      <c r="G144">
        <v>9270377.8469999898</v>
      </c>
      <c r="H144">
        <v>8757417.8900000006</v>
      </c>
      <c r="I144">
        <v>7968262.6090000002</v>
      </c>
      <c r="J144">
        <v>7193011.7470000004</v>
      </c>
      <c r="K144">
        <v>6513847.9589999998</v>
      </c>
      <c r="L144">
        <v>6440810.5149999997</v>
      </c>
      <c r="M144">
        <v>6439923.068</v>
      </c>
      <c r="N144">
        <v>6778708.0930000003</v>
      </c>
      <c r="O144">
        <v>6207587.1160000004</v>
      </c>
      <c r="P144">
        <v>5420955.1670000004</v>
      </c>
      <c r="Q144">
        <v>4709606.0319999997</v>
      </c>
      <c r="R144">
        <v>4124397.9530000002</v>
      </c>
      <c r="S144">
        <v>3708211.233</v>
      </c>
      <c r="T144">
        <v>3549292.0839999998</v>
      </c>
      <c r="U144">
        <v>3382976.91</v>
      </c>
      <c r="V144">
        <v>3221384.273</v>
      </c>
      <c r="W144">
        <v>3029758.7319999998</v>
      </c>
      <c r="X144">
        <v>2814949.335</v>
      </c>
      <c r="Y144">
        <v>2808789.7259999998</v>
      </c>
      <c r="Z144">
        <v>2848896.6869999999</v>
      </c>
      <c r="AA144">
        <v>2895559.1189999999</v>
      </c>
      <c r="AB144">
        <v>2944076.9509999999</v>
      </c>
      <c r="AC144">
        <v>2998568.8930000002</v>
      </c>
      <c r="AD144">
        <v>3040117.91</v>
      </c>
      <c r="AE144">
        <v>3080264.1850000001</v>
      </c>
      <c r="AF144">
        <v>3120096.2340000002</v>
      </c>
      <c r="AG144">
        <v>3163202.0419999999</v>
      </c>
      <c r="AH144">
        <v>3211064.5809999998</v>
      </c>
      <c r="AI144">
        <v>3260448.943</v>
      </c>
      <c r="AJ144">
        <v>3310612.1630000002</v>
      </c>
      <c r="AK144">
        <v>3360342.9670000002</v>
      </c>
      <c r="AL144">
        <v>3410869.9419999998</v>
      </c>
      <c r="AM144">
        <v>3461878.2740000002</v>
      </c>
      <c r="AN144">
        <v>3408589.7540000002</v>
      </c>
      <c r="AO144">
        <v>3335054.8470000001</v>
      </c>
      <c r="AP144">
        <v>3254643.6370000001</v>
      </c>
      <c r="AQ144">
        <v>3172081.1850000001</v>
      </c>
      <c r="AR144">
        <v>3088295.99</v>
      </c>
      <c r="AS144">
        <v>3056190.5819999999</v>
      </c>
      <c r="AT144">
        <v>3032612.21</v>
      </c>
      <c r="AU144">
        <v>3010255.33</v>
      </c>
      <c r="AV144">
        <v>2987911.3539999998</v>
      </c>
      <c r="AW144">
        <v>2966182.5389999999</v>
      </c>
    </row>
    <row r="145" spans="2:49" x14ac:dyDescent="0.25">
      <c r="B145" t="s">
        <v>446</v>
      </c>
      <c r="C145">
        <v>3166830.51938263</v>
      </c>
      <c r="D145">
        <v>3217675.0077116699</v>
      </c>
      <c r="E145">
        <v>2725981.38</v>
      </c>
      <c r="F145">
        <v>2740722.88</v>
      </c>
      <c r="G145">
        <v>2687362.8369999998</v>
      </c>
      <c r="H145">
        <v>2607800.7740000002</v>
      </c>
      <c r="I145">
        <v>2582972.0929999999</v>
      </c>
      <c r="J145">
        <v>2510444.0449999999</v>
      </c>
      <c r="K145">
        <v>2380151.855</v>
      </c>
      <c r="L145">
        <v>2372940.102</v>
      </c>
      <c r="M145">
        <v>2398279.213</v>
      </c>
      <c r="N145">
        <v>2562658.1869999999</v>
      </c>
      <c r="O145">
        <v>2522449.3840000001</v>
      </c>
      <c r="P145">
        <v>2377568.16</v>
      </c>
      <c r="Q145">
        <v>2193339.1189999999</v>
      </c>
      <c r="R145">
        <v>2107672.0469999998</v>
      </c>
      <c r="S145">
        <v>1989867.7420000001</v>
      </c>
      <c r="T145">
        <v>1976956.496</v>
      </c>
      <c r="U145">
        <v>1968541.0889999999</v>
      </c>
      <c r="V145">
        <v>1970533.0660000001</v>
      </c>
      <c r="W145">
        <v>1909245.4739999999</v>
      </c>
      <c r="X145">
        <v>1836277.03</v>
      </c>
      <c r="Y145">
        <v>1797307.61</v>
      </c>
      <c r="Z145">
        <v>1774251.216</v>
      </c>
      <c r="AA145">
        <v>1749816.054</v>
      </c>
      <c r="AB145">
        <v>1725310.7209999999</v>
      </c>
      <c r="AC145">
        <v>1702381.719</v>
      </c>
      <c r="AD145">
        <v>1715995.4410000001</v>
      </c>
      <c r="AE145">
        <v>1729589.9639999999</v>
      </c>
      <c r="AF145">
        <v>1745118.4650000001</v>
      </c>
      <c r="AG145">
        <v>1760499.155</v>
      </c>
      <c r="AH145">
        <v>1778108.1839999999</v>
      </c>
      <c r="AI145">
        <v>1797230.453</v>
      </c>
      <c r="AJ145">
        <v>1817300.2990000001</v>
      </c>
      <c r="AK145">
        <v>1837769.34</v>
      </c>
      <c r="AL145">
        <v>1858994.4069999999</v>
      </c>
      <c r="AM145">
        <v>1880661.1640000001</v>
      </c>
      <c r="AN145">
        <v>1881220.4809999999</v>
      </c>
      <c r="AO145">
        <v>1878163.6969999999</v>
      </c>
      <c r="AP145">
        <v>1872314.493</v>
      </c>
      <c r="AQ145">
        <v>1865149.5759999999</v>
      </c>
      <c r="AR145">
        <v>1856161.763</v>
      </c>
      <c r="AS145">
        <v>1857500.9820000001</v>
      </c>
      <c r="AT145">
        <v>1860166.058</v>
      </c>
      <c r="AU145">
        <v>1862835.4480000001</v>
      </c>
      <c r="AV145">
        <v>1865444.8149999999</v>
      </c>
      <c r="AW145">
        <v>1868009.5689999999</v>
      </c>
    </row>
    <row r="146" spans="2:49" x14ac:dyDescent="0.25">
      <c r="B146" t="s">
        <v>447</v>
      </c>
      <c r="C146">
        <v>6723975.7599636996</v>
      </c>
      <c r="D146">
        <v>6831931.3657214995</v>
      </c>
      <c r="E146">
        <v>5798504.8339999998</v>
      </c>
      <c r="F146">
        <v>5844720.2230000002</v>
      </c>
      <c r="G146">
        <v>5863796.1529999999</v>
      </c>
      <c r="H146">
        <v>5514642.324</v>
      </c>
      <c r="I146">
        <v>5736416.0460000001</v>
      </c>
      <c r="J146">
        <v>5791952.7769999998</v>
      </c>
      <c r="K146">
        <v>5685499.6330000004</v>
      </c>
      <c r="L146">
        <v>5696817.068</v>
      </c>
      <c r="M146">
        <v>5740305.0209999997</v>
      </c>
      <c r="N146">
        <v>5982706.1220000004</v>
      </c>
      <c r="O146">
        <v>5992755.9819999998</v>
      </c>
      <c r="P146">
        <v>5997786.6129999999</v>
      </c>
      <c r="Q146">
        <v>5891171.2079999996</v>
      </c>
      <c r="R146">
        <v>5939919.4380000001</v>
      </c>
      <c r="S146">
        <v>5882368.0429999996</v>
      </c>
      <c r="T146">
        <v>5892298.7170000002</v>
      </c>
      <c r="U146">
        <v>5977622.8859999999</v>
      </c>
      <c r="V146">
        <v>6093237.5839999998</v>
      </c>
      <c r="W146">
        <v>6210127.1100000003</v>
      </c>
      <c r="X146">
        <v>6310736.0140000004</v>
      </c>
      <c r="Y146">
        <v>6394377.7539999997</v>
      </c>
      <c r="Z146">
        <v>6481653.4289999995</v>
      </c>
      <c r="AA146">
        <v>6559943.8669999996</v>
      </c>
      <c r="AB146">
        <v>6633242.0949999997</v>
      </c>
      <c r="AC146">
        <v>6703432.9869999997</v>
      </c>
      <c r="AD146">
        <v>6769384.2060000002</v>
      </c>
      <c r="AE146">
        <v>6833615.3940000003</v>
      </c>
      <c r="AF146">
        <v>6905606.1140000001</v>
      </c>
      <c r="AG146">
        <v>6973567.2680000002</v>
      </c>
      <c r="AH146">
        <v>7045058.7350000003</v>
      </c>
      <c r="AI146">
        <v>7124733.6330000004</v>
      </c>
      <c r="AJ146">
        <v>7211191.9199999999</v>
      </c>
      <c r="AK146">
        <v>7299972.7549999999</v>
      </c>
      <c r="AL146">
        <v>7392777.2340000002</v>
      </c>
      <c r="AM146">
        <v>7488040.1699999999</v>
      </c>
      <c r="AN146">
        <v>7586439.7029999997</v>
      </c>
      <c r="AO146">
        <v>7688393.9040000001</v>
      </c>
      <c r="AP146">
        <v>7789424.3700000001</v>
      </c>
      <c r="AQ146">
        <v>7891186.0530000003</v>
      </c>
      <c r="AR146">
        <v>7992611.0769999996</v>
      </c>
      <c r="AS146">
        <v>8091915.5539999995</v>
      </c>
      <c r="AT146">
        <v>8191803.108</v>
      </c>
      <c r="AU146">
        <v>8293154.3269999996</v>
      </c>
      <c r="AV146">
        <v>8396450.7449999899</v>
      </c>
      <c r="AW146">
        <v>8500299.5620000008</v>
      </c>
    </row>
    <row r="147" spans="2:49" x14ac:dyDescent="0.25">
      <c r="B147" t="s">
        <v>448</v>
      </c>
      <c r="C147">
        <v>312332.22295347298</v>
      </c>
      <c r="D147">
        <v>317346.817819711</v>
      </c>
      <c r="E147">
        <v>268852.98060000001</v>
      </c>
      <c r="F147">
        <v>279471.4241</v>
      </c>
      <c r="G147">
        <v>268192.01449999999</v>
      </c>
      <c r="H147">
        <v>234603.0393</v>
      </c>
      <c r="I147">
        <v>246896.2225</v>
      </c>
      <c r="J147">
        <v>249493.26130000001</v>
      </c>
      <c r="K147">
        <v>233093.83869999999</v>
      </c>
      <c r="L147">
        <v>220985.44529999999</v>
      </c>
      <c r="M147">
        <v>217994.34909999999</v>
      </c>
      <c r="N147">
        <v>230153.21710000001</v>
      </c>
      <c r="O147">
        <v>212321.81839999999</v>
      </c>
      <c r="P147">
        <v>196903.51240000001</v>
      </c>
      <c r="Q147">
        <v>178693.74239999999</v>
      </c>
      <c r="R147">
        <v>162417.2205</v>
      </c>
      <c r="S147">
        <v>150267.8989</v>
      </c>
      <c r="T147">
        <v>150389.10999999999</v>
      </c>
      <c r="U147">
        <v>151962.5252</v>
      </c>
      <c r="V147">
        <v>155545.11869999999</v>
      </c>
      <c r="W147">
        <v>157953.68669999999</v>
      </c>
      <c r="X147">
        <v>159232.4002</v>
      </c>
      <c r="Y147">
        <v>162022.55840000001</v>
      </c>
      <c r="Z147">
        <v>165558.54070000001</v>
      </c>
      <c r="AA147">
        <v>169463.87220000001</v>
      </c>
      <c r="AB147">
        <v>173770.0361</v>
      </c>
      <c r="AC147">
        <v>177658.9798</v>
      </c>
      <c r="AD147">
        <v>179540.16390000001</v>
      </c>
      <c r="AE147">
        <v>180667.35990000001</v>
      </c>
      <c r="AF147">
        <v>181906.03289999999</v>
      </c>
      <c r="AG147">
        <v>183248.58480000001</v>
      </c>
      <c r="AH147">
        <v>183800.266</v>
      </c>
      <c r="AI147">
        <v>185971.54240000001</v>
      </c>
      <c r="AJ147">
        <v>187876.64660000001</v>
      </c>
      <c r="AK147">
        <v>189607.71660000001</v>
      </c>
      <c r="AL147">
        <v>191347.5263</v>
      </c>
      <c r="AM147">
        <v>193077.06690000001</v>
      </c>
      <c r="AN147">
        <v>194136.85010000001</v>
      </c>
      <c r="AO147">
        <v>195453.5729</v>
      </c>
      <c r="AP147">
        <v>196746.07889999999</v>
      </c>
      <c r="AQ147">
        <v>198055.8885</v>
      </c>
      <c r="AR147">
        <v>198541.45600000001</v>
      </c>
      <c r="AS147">
        <v>200173.5148</v>
      </c>
      <c r="AT147">
        <v>201620.68780000001</v>
      </c>
      <c r="AU147">
        <v>202964.16930000001</v>
      </c>
      <c r="AV147">
        <v>204280.6697</v>
      </c>
      <c r="AW147">
        <v>205748.6819</v>
      </c>
    </row>
    <row r="148" spans="2:49" x14ac:dyDescent="0.25">
      <c r="B148" t="s">
        <v>449</v>
      </c>
      <c r="C148">
        <v>7845653.0561234802</v>
      </c>
      <c r="D148">
        <v>7971617.5536879301</v>
      </c>
      <c r="E148">
        <v>6753472.9170000004</v>
      </c>
      <c r="F148">
        <v>6917734.8729999997</v>
      </c>
      <c r="G148">
        <v>6604952.0990000004</v>
      </c>
      <c r="H148">
        <v>6302575.9160000002</v>
      </c>
      <c r="I148">
        <v>6324453.6840000004</v>
      </c>
      <c r="J148">
        <v>6111102.977</v>
      </c>
      <c r="K148">
        <v>5720710.5559999999</v>
      </c>
      <c r="L148">
        <v>5582470.8200000003</v>
      </c>
      <c r="M148">
        <v>5717504.9510000004</v>
      </c>
      <c r="N148">
        <v>6116612.9230000004</v>
      </c>
      <c r="O148">
        <v>5875304.3470000001</v>
      </c>
      <c r="P148">
        <v>5364072.1409999998</v>
      </c>
      <c r="Q148">
        <v>4771300.3739999998</v>
      </c>
      <c r="R148">
        <v>4462520.9220000003</v>
      </c>
      <c r="S148">
        <v>4137920.932</v>
      </c>
      <c r="T148">
        <v>4194675.9680000003</v>
      </c>
      <c r="U148">
        <v>4254888.2510000002</v>
      </c>
      <c r="V148">
        <v>4363749.9249999998</v>
      </c>
      <c r="W148">
        <v>4444837.6349999998</v>
      </c>
      <c r="X148">
        <v>4523780.6969999997</v>
      </c>
      <c r="Y148">
        <v>4570619.4570000004</v>
      </c>
      <c r="Z148">
        <v>4640821.0530000003</v>
      </c>
      <c r="AA148">
        <v>4703957.68</v>
      </c>
      <c r="AB148">
        <v>4765712.5659999996</v>
      </c>
      <c r="AC148">
        <v>4836535.0199999996</v>
      </c>
      <c r="AD148">
        <v>4903195.1730000004</v>
      </c>
      <c r="AE148">
        <v>4967680.7070000004</v>
      </c>
      <c r="AF148">
        <v>5034341.443</v>
      </c>
      <c r="AG148">
        <v>5106537.3439999996</v>
      </c>
      <c r="AH148">
        <v>5185405.4330000002</v>
      </c>
      <c r="AI148">
        <v>5272843.1210000003</v>
      </c>
      <c r="AJ148">
        <v>5361654.8250000002</v>
      </c>
      <c r="AK148">
        <v>5450359.0389999999</v>
      </c>
      <c r="AL148">
        <v>5541364.6129999999</v>
      </c>
      <c r="AM148">
        <v>5633466.642</v>
      </c>
      <c r="AN148">
        <v>5705506.3569999998</v>
      </c>
      <c r="AO148">
        <v>5782063.3339999998</v>
      </c>
      <c r="AP148">
        <v>5855079.966</v>
      </c>
      <c r="AQ148">
        <v>5926263.8820000002</v>
      </c>
      <c r="AR148">
        <v>5996655.773</v>
      </c>
      <c r="AS148">
        <v>6069448.1869999999</v>
      </c>
      <c r="AT148">
        <v>6138529.642</v>
      </c>
      <c r="AU148">
        <v>6206998.0199999996</v>
      </c>
      <c r="AV148">
        <v>6275172.1960000005</v>
      </c>
      <c r="AW148">
        <v>6345675.5350000001</v>
      </c>
    </row>
    <row r="149" spans="2:49" x14ac:dyDescent="0.25">
      <c r="B149" t="s">
        <v>450</v>
      </c>
      <c r="C149">
        <v>3.3990718667427999</v>
      </c>
      <c r="D149">
        <v>3.4536450650243098</v>
      </c>
      <c r="E149">
        <v>2.9258928009999998</v>
      </c>
      <c r="F149">
        <v>3.1051400610000002</v>
      </c>
      <c r="G149">
        <v>3.0381859410000001</v>
      </c>
      <c r="H149">
        <v>2.8441321450000001</v>
      </c>
      <c r="I149">
        <v>2.819475234</v>
      </c>
      <c r="J149">
        <v>2.8105009480000001</v>
      </c>
      <c r="K149">
        <v>2.6891929010000002</v>
      </c>
      <c r="L149">
        <v>2.6907089420000001</v>
      </c>
      <c r="M149">
        <v>2.7015147179999999</v>
      </c>
      <c r="N149">
        <v>2.7796178889999998</v>
      </c>
      <c r="O149">
        <v>2.9402260039999999</v>
      </c>
      <c r="P149">
        <v>3.0503540070000001</v>
      </c>
      <c r="Q149">
        <v>3.0368973810000002</v>
      </c>
      <c r="R149">
        <v>3.126814827</v>
      </c>
      <c r="S149">
        <v>3.0447425890000002</v>
      </c>
      <c r="T149">
        <v>3.1475779890000002</v>
      </c>
      <c r="U149">
        <v>3.1682762769999999</v>
      </c>
      <c r="V149">
        <v>3.253442953</v>
      </c>
      <c r="W149">
        <v>3.2416727829999998</v>
      </c>
      <c r="X149">
        <v>3.2584776940000002</v>
      </c>
      <c r="Y149">
        <v>3.2071709450000001</v>
      </c>
      <c r="Z149">
        <v>3.1830237029999999</v>
      </c>
      <c r="AA149">
        <v>3.174537334</v>
      </c>
      <c r="AB149">
        <v>3.1700612459999999</v>
      </c>
      <c r="AC149">
        <v>3.180972809</v>
      </c>
      <c r="AD149">
        <v>3.199214972</v>
      </c>
      <c r="AE149">
        <v>3.215186772</v>
      </c>
      <c r="AF149">
        <v>3.2353035060000002</v>
      </c>
      <c r="AG149">
        <v>3.2541665759999998</v>
      </c>
      <c r="AH149">
        <v>3.2842513050000002</v>
      </c>
      <c r="AI149">
        <v>3.310279875</v>
      </c>
      <c r="AJ149">
        <v>3.3344723740000002</v>
      </c>
      <c r="AK149">
        <v>3.3632816820000002</v>
      </c>
      <c r="AL149">
        <v>3.393125827</v>
      </c>
      <c r="AM149">
        <v>3.42272095</v>
      </c>
      <c r="AN149">
        <v>3.4365284580000002</v>
      </c>
      <c r="AO149">
        <v>3.4555176520000002</v>
      </c>
      <c r="AP149">
        <v>3.4738092190000001</v>
      </c>
      <c r="AQ149">
        <v>3.4975999010000001</v>
      </c>
      <c r="AR149">
        <v>3.5222695329999998</v>
      </c>
      <c r="AS149">
        <v>3.5386384980000001</v>
      </c>
      <c r="AT149">
        <v>3.5543501009999998</v>
      </c>
      <c r="AU149">
        <v>3.566855189</v>
      </c>
      <c r="AV149">
        <v>3.5794069400000001</v>
      </c>
      <c r="AW149">
        <v>3.6226287849999999</v>
      </c>
    </row>
    <row r="150" spans="2:49" x14ac:dyDescent="0.25">
      <c r="B150" t="s">
        <v>451</v>
      </c>
      <c r="C150">
        <v>600391.80946004798</v>
      </c>
      <c r="D150">
        <v>610031.29416316305</v>
      </c>
      <c r="E150">
        <v>516812.27750000003</v>
      </c>
      <c r="F150">
        <v>535307.35869999998</v>
      </c>
      <c r="G150">
        <v>508915.60800000001</v>
      </c>
      <c r="H150">
        <v>512926.33870000002</v>
      </c>
      <c r="I150">
        <v>532738.49820000003</v>
      </c>
      <c r="J150">
        <v>516109.23220000003</v>
      </c>
      <c r="K150">
        <v>490443.78529999999</v>
      </c>
      <c r="L150">
        <v>497907.52399999998</v>
      </c>
      <c r="M150">
        <v>511466.54710000003</v>
      </c>
      <c r="N150">
        <v>545091.75809999998</v>
      </c>
      <c r="O150">
        <v>584648.54460000002</v>
      </c>
      <c r="P150">
        <v>598605.42000000004</v>
      </c>
      <c r="Q150">
        <v>554258.93290000001</v>
      </c>
      <c r="R150">
        <v>566305.98300000001</v>
      </c>
      <c r="S150">
        <v>586722.21200000006</v>
      </c>
      <c r="T150">
        <v>684569.80189999996</v>
      </c>
      <c r="U150">
        <v>771573.54209999996</v>
      </c>
      <c r="V150">
        <v>870525.89839999995</v>
      </c>
      <c r="W150">
        <v>937459.97580000001</v>
      </c>
      <c r="X150">
        <v>1149665.7609999999</v>
      </c>
      <c r="Y150">
        <v>1228776</v>
      </c>
      <c r="Z150">
        <v>1287436.034</v>
      </c>
      <c r="AA150">
        <v>1331766.227</v>
      </c>
      <c r="AB150">
        <v>1364659.0560000001</v>
      </c>
      <c r="AC150">
        <v>1508666.6259999999</v>
      </c>
      <c r="AD150">
        <v>1517631.703</v>
      </c>
      <c r="AE150">
        <v>1529623.6510000001</v>
      </c>
      <c r="AF150">
        <v>1541528.6780000001</v>
      </c>
      <c r="AG150">
        <v>1550334.9990000001</v>
      </c>
      <c r="AH150">
        <v>1615260.2290000001</v>
      </c>
      <c r="AI150">
        <v>1612104.7890000001</v>
      </c>
      <c r="AJ150">
        <v>1612093.5449999999</v>
      </c>
      <c r="AK150">
        <v>1610726.9669999999</v>
      </c>
      <c r="AL150">
        <v>1609017.696</v>
      </c>
      <c r="AM150">
        <v>1607023.0279999999</v>
      </c>
      <c r="AN150">
        <v>1604916.84</v>
      </c>
      <c r="AO150">
        <v>1605572.635</v>
      </c>
      <c r="AP150">
        <v>1606299.0209999999</v>
      </c>
      <c r="AQ150">
        <v>1607639.645</v>
      </c>
      <c r="AR150">
        <v>1674059.827</v>
      </c>
      <c r="AS150">
        <v>1668710.923</v>
      </c>
      <c r="AT150">
        <v>1668344.6769999999</v>
      </c>
      <c r="AU150">
        <v>1669088.1740000001</v>
      </c>
      <c r="AV150">
        <v>1670244.94</v>
      </c>
      <c r="AW150">
        <v>1672022.868</v>
      </c>
    </row>
    <row r="151" spans="2:49" x14ac:dyDescent="0.25">
      <c r="B151" t="s">
        <v>452</v>
      </c>
      <c r="C151">
        <v>2139866.37253871</v>
      </c>
      <c r="D151">
        <v>2174222.6193092102</v>
      </c>
      <c r="E151">
        <v>1831643.385</v>
      </c>
      <c r="F151">
        <v>1819646.571</v>
      </c>
      <c r="G151">
        <v>1811495.382</v>
      </c>
      <c r="H151">
        <v>1808224.2290000001</v>
      </c>
      <c r="I151">
        <v>1811615.3259999999</v>
      </c>
      <c r="J151">
        <v>1821812.1580000001</v>
      </c>
      <c r="K151">
        <v>1822406.345</v>
      </c>
      <c r="L151">
        <v>1819601.6370000001</v>
      </c>
      <c r="M151">
        <v>1830361.7080000001</v>
      </c>
      <c r="N151">
        <v>1812035.68</v>
      </c>
      <c r="O151">
        <v>1835764.2339999999</v>
      </c>
      <c r="P151">
        <v>1852132.362</v>
      </c>
      <c r="Q151">
        <v>1874635.9990000001</v>
      </c>
      <c r="R151">
        <v>1893314.2069999999</v>
      </c>
      <c r="S151">
        <v>1871623.6540000001</v>
      </c>
      <c r="T151">
        <v>1840301.176</v>
      </c>
      <c r="U151">
        <v>1824799.57</v>
      </c>
      <c r="V151">
        <v>1812276.3910000001</v>
      </c>
      <c r="W151">
        <v>1778068.676</v>
      </c>
      <c r="X151">
        <v>1678323.203</v>
      </c>
      <c r="Y151">
        <v>1640698.058</v>
      </c>
      <c r="Z151">
        <v>1612277.324</v>
      </c>
      <c r="AA151">
        <v>1579391.8230000001</v>
      </c>
      <c r="AB151">
        <v>1543681.3259999999</v>
      </c>
      <c r="AC151">
        <v>1489854.7409999999</v>
      </c>
      <c r="AD151">
        <v>1462377.301</v>
      </c>
      <c r="AE151">
        <v>1422367.9979999999</v>
      </c>
      <c r="AF151">
        <v>1381898.62</v>
      </c>
      <c r="AG151">
        <v>1341333.77</v>
      </c>
      <c r="AH151">
        <v>1288889.395</v>
      </c>
      <c r="AI151">
        <v>1270742.9569999999</v>
      </c>
      <c r="AJ151">
        <v>1248547.517</v>
      </c>
      <c r="AK151">
        <v>1224301.003</v>
      </c>
      <c r="AL151">
        <v>1199498.6029999999</v>
      </c>
      <c r="AM151">
        <v>1174632.76</v>
      </c>
      <c r="AN151">
        <v>1166340.787</v>
      </c>
      <c r="AO151">
        <v>1159756.324</v>
      </c>
      <c r="AP151">
        <v>1153944.9909999999</v>
      </c>
      <c r="AQ151">
        <v>1148412.6580000001</v>
      </c>
      <c r="AR151">
        <v>1135937.804</v>
      </c>
      <c r="AS151">
        <v>1147030.3389999999</v>
      </c>
      <c r="AT151">
        <v>1156317.7050000001</v>
      </c>
      <c r="AU151">
        <v>1164806.115</v>
      </c>
      <c r="AV151">
        <v>1173011.743</v>
      </c>
      <c r="AW151">
        <v>1181242.6910000001</v>
      </c>
    </row>
    <row r="152" spans="2:49" x14ac:dyDescent="0.25">
      <c r="B152" t="s">
        <v>453</v>
      </c>
      <c r="C152">
        <v>48247577.676067904</v>
      </c>
      <c r="D152">
        <v>49022208.141778298</v>
      </c>
      <c r="E152">
        <v>41555596.969999999</v>
      </c>
      <c r="F152">
        <v>41279352.509999998</v>
      </c>
      <c r="G152">
        <v>40445283.170000002</v>
      </c>
      <c r="H152">
        <v>38975650.659999996</v>
      </c>
      <c r="I152">
        <v>38624816.170000002</v>
      </c>
      <c r="J152">
        <v>38348357.130000003</v>
      </c>
      <c r="K152">
        <v>37841533</v>
      </c>
      <c r="L152">
        <v>37111238.880000003</v>
      </c>
      <c r="M152">
        <v>36705541.329999998</v>
      </c>
      <c r="N152">
        <v>36253573.380000003</v>
      </c>
      <c r="O152">
        <v>36207024.090000004</v>
      </c>
      <c r="P152">
        <v>36341479.159999996</v>
      </c>
      <c r="Q152">
        <v>35824335.829999998</v>
      </c>
      <c r="R152">
        <v>35326502.549999997</v>
      </c>
      <c r="S152">
        <v>34714266.009999998</v>
      </c>
      <c r="T152">
        <v>35087619.439999998</v>
      </c>
      <c r="U152">
        <v>35264151.109999999</v>
      </c>
      <c r="V152">
        <v>35677633.399999999</v>
      </c>
      <c r="W152">
        <v>35959321.159999996</v>
      </c>
      <c r="X152">
        <v>35778813.82</v>
      </c>
      <c r="Y152">
        <v>35549596.219999999</v>
      </c>
      <c r="Z152">
        <v>35357181.090000004</v>
      </c>
      <c r="AA152">
        <v>35072836.090000004</v>
      </c>
      <c r="AB152">
        <v>34763225.219999999</v>
      </c>
      <c r="AC152">
        <v>34401080.200000003</v>
      </c>
      <c r="AD152">
        <v>34004278.280000001</v>
      </c>
      <c r="AE152">
        <v>33519375.039999999</v>
      </c>
      <c r="AF152">
        <v>33069032.43</v>
      </c>
      <c r="AG152">
        <v>32596626.690000001</v>
      </c>
      <c r="AH152">
        <v>32088001.690000001</v>
      </c>
      <c r="AI152">
        <v>31852115.609999999</v>
      </c>
      <c r="AJ152">
        <v>31588926.579999998</v>
      </c>
      <c r="AK152">
        <v>31300404.59</v>
      </c>
      <c r="AL152">
        <v>31014383.84</v>
      </c>
      <c r="AM152">
        <v>30731610.949999999</v>
      </c>
      <c r="AN152">
        <v>30747172.039999999</v>
      </c>
      <c r="AO152">
        <v>30814911.149999999</v>
      </c>
      <c r="AP152">
        <v>30889588.199999999</v>
      </c>
      <c r="AQ152">
        <v>30973003.010000002</v>
      </c>
      <c r="AR152">
        <v>31021949.48</v>
      </c>
      <c r="AS152">
        <v>31329918.390000001</v>
      </c>
      <c r="AT152">
        <v>31617772.879999999</v>
      </c>
      <c r="AU152">
        <v>31899078.859999999</v>
      </c>
      <c r="AV152">
        <v>32184977.809999999</v>
      </c>
      <c r="AW152">
        <v>32485356.07</v>
      </c>
    </row>
    <row r="153" spans="2:49" x14ac:dyDescent="0.25">
      <c r="B153" t="s">
        <v>454</v>
      </c>
      <c r="C153">
        <v>9181601.5739378203</v>
      </c>
      <c r="D153">
        <v>9329015.1570805702</v>
      </c>
      <c r="E153">
        <v>7903446.2929999996</v>
      </c>
      <c r="F153">
        <v>9009559.9189999998</v>
      </c>
      <c r="G153">
        <v>7556061.6600000001</v>
      </c>
      <c r="H153">
        <v>5420007.8540000003</v>
      </c>
      <c r="I153">
        <v>6387593.5329999998</v>
      </c>
      <c r="J153">
        <v>4947772.7920000004</v>
      </c>
      <c r="K153">
        <v>5781803.0669999998</v>
      </c>
      <c r="L153">
        <v>5180560.7779999999</v>
      </c>
      <c r="M153">
        <v>5236642.9119999995</v>
      </c>
      <c r="N153">
        <v>5414848.1430000002</v>
      </c>
      <c r="O153">
        <v>4926864.7180000003</v>
      </c>
      <c r="P153">
        <v>5215070.449</v>
      </c>
      <c r="Q153">
        <v>5104345.6639999999</v>
      </c>
      <c r="R153">
        <v>5159443.3459999999</v>
      </c>
      <c r="S153">
        <v>5139103.79</v>
      </c>
      <c r="T153">
        <v>5028970.4419999998</v>
      </c>
      <c r="U153">
        <v>5018369.5109999999</v>
      </c>
      <c r="V153">
        <v>5014400.8590000002</v>
      </c>
      <c r="W153">
        <v>4978787.8559999997</v>
      </c>
      <c r="X153">
        <v>4904821.43</v>
      </c>
      <c r="Y153">
        <v>4913269.199</v>
      </c>
      <c r="Z153">
        <v>4940208.5140000004</v>
      </c>
      <c r="AA153">
        <v>4963862.733</v>
      </c>
      <c r="AB153">
        <v>4989059.4040000001</v>
      </c>
      <c r="AC153">
        <v>5011598.8279999997</v>
      </c>
      <c r="AD153">
        <v>5044779.6090000002</v>
      </c>
      <c r="AE153">
        <v>5072239.3169999998</v>
      </c>
      <c r="AF153">
        <v>5107926.57</v>
      </c>
      <c r="AG153">
        <v>5142172.9970000004</v>
      </c>
      <c r="AH153">
        <v>5174512.642</v>
      </c>
      <c r="AI153">
        <v>5220225.67</v>
      </c>
      <c r="AJ153">
        <v>5267222.9400000004</v>
      </c>
      <c r="AK153">
        <v>5313576.9790000003</v>
      </c>
      <c r="AL153">
        <v>5362873.3640000001</v>
      </c>
      <c r="AM153">
        <v>5414763.6629999997</v>
      </c>
      <c r="AN153">
        <v>5426571.2659999998</v>
      </c>
      <c r="AO153">
        <v>5431478.0499999998</v>
      </c>
      <c r="AP153">
        <v>5428596.7980000004</v>
      </c>
      <c r="AQ153">
        <v>5420449.1430000002</v>
      </c>
      <c r="AR153">
        <v>5403273.9900000002</v>
      </c>
      <c r="AS153">
        <v>5410449.6679999996</v>
      </c>
      <c r="AT153">
        <v>5420363.8159999996</v>
      </c>
      <c r="AU153">
        <v>5430947.0750000002</v>
      </c>
      <c r="AV153">
        <v>5442528.5389999999</v>
      </c>
      <c r="AW153">
        <v>5455376.7939999998</v>
      </c>
    </row>
    <row r="154" spans="2:49" x14ac:dyDescent="0.25">
      <c r="B154" t="s">
        <v>455</v>
      </c>
      <c r="C154">
        <v>2568505.4482754301</v>
      </c>
      <c r="D154">
        <v>2609743.6340541099</v>
      </c>
      <c r="E154">
        <v>2210948.1340000001</v>
      </c>
      <c r="F154">
        <v>2296753.071</v>
      </c>
      <c r="G154">
        <v>2279665.5129999998</v>
      </c>
      <c r="H154">
        <v>1883087.767</v>
      </c>
      <c r="I154">
        <v>1947658.27</v>
      </c>
      <c r="J154">
        <v>2036029.7890000001</v>
      </c>
      <c r="K154">
        <v>1984446.1880000001</v>
      </c>
      <c r="L154">
        <v>1931292.736</v>
      </c>
      <c r="M154">
        <v>1932197.1669999999</v>
      </c>
      <c r="N154">
        <v>2042191.216</v>
      </c>
      <c r="O154">
        <v>2045602.611</v>
      </c>
      <c r="P154">
        <v>2043130.899</v>
      </c>
      <c r="Q154">
        <v>2105592.477</v>
      </c>
      <c r="R154">
        <v>2135234.6179999998</v>
      </c>
      <c r="S154">
        <v>2104286.1469999999</v>
      </c>
      <c r="T154">
        <v>2073513.365</v>
      </c>
      <c r="U154">
        <v>2062485.507</v>
      </c>
      <c r="V154">
        <v>2061511.02</v>
      </c>
      <c r="W154">
        <v>2084099.355</v>
      </c>
      <c r="X154">
        <v>2095190.648</v>
      </c>
      <c r="Y154">
        <v>2114564.8659999999</v>
      </c>
      <c r="Z154">
        <v>2129954.92</v>
      </c>
      <c r="AA154">
        <v>2144296.4380000001</v>
      </c>
      <c r="AB154">
        <v>2157252.392</v>
      </c>
      <c r="AC154">
        <v>2168132.3820000002</v>
      </c>
      <c r="AD154">
        <v>2185912.1379999998</v>
      </c>
      <c r="AE154">
        <v>2198331.4670000002</v>
      </c>
      <c r="AF154">
        <v>2212864.7949999999</v>
      </c>
      <c r="AG154">
        <v>2228373.3110000002</v>
      </c>
      <c r="AH154">
        <v>2243635.3330000001</v>
      </c>
      <c r="AI154">
        <v>2268820.352</v>
      </c>
      <c r="AJ154">
        <v>2294620.841</v>
      </c>
      <c r="AK154">
        <v>2319571.585</v>
      </c>
      <c r="AL154">
        <v>2345744.6260000002</v>
      </c>
      <c r="AM154">
        <v>2373423.344</v>
      </c>
      <c r="AN154">
        <v>2399551.429</v>
      </c>
      <c r="AO154">
        <v>2426759.7969999998</v>
      </c>
      <c r="AP154">
        <v>2455440.7140000002</v>
      </c>
      <c r="AQ154">
        <v>2485535.84</v>
      </c>
      <c r="AR154">
        <v>2514188.3459999999</v>
      </c>
      <c r="AS154">
        <v>2546646.0189999999</v>
      </c>
      <c r="AT154">
        <v>2577947.551</v>
      </c>
      <c r="AU154">
        <v>2608674.4670000002</v>
      </c>
      <c r="AV154">
        <v>2640330.202</v>
      </c>
      <c r="AW154">
        <v>2672701.963</v>
      </c>
    </row>
    <row r="155" spans="2:49" x14ac:dyDescent="0.25">
      <c r="B155" t="s">
        <v>456</v>
      </c>
      <c r="C155">
        <v>12693844.6626458</v>
      </c>
      <c r="D155">
        <v>12897648.444645001</v>
      </c>
      <c r="E155">
        <v>10926755.939999999</v>
      </c>
      <c r="F155">
        <v>10946622.970000001</v>
      </c>
      <c r="G155">
        <v>10277123.32</v>
      </c>
      <c r="H155">
        <v>9838641.4149999898</v>
      </c>
      <c r="I155">
        <v>9624429.6339999996</v>
      </c>
      <c r="J155">
        <v>9126046.8460000008</v>
      </c>
      <c r="K155">
        <v>8598235.0209999997</v>
      </c>
      <c r="L155">
        <v>8364250.267</v>
      </c>
      <c r="M155">
        <v>8326808.0810000002</v>
      </c>
      <c r="N155">
        <v>8464529.6439999994</v>
      </c>
      <c r="O155">
        <v>7999183.1720000003</v>
      </c>
      <c r="P155">
        <v>7451269.2379999999</v>
      </c>
      <c r="Q155">
        <v>6937155.6050000004</v>
      </c>
      <c r="R155">
        <v>6535518.71</v>
      </c>
      <c r="S155">
        <v>6119666.926</v>
      </c>
      <c r="T155">
        <v>6124455.5080000004</v>
      </c>
      <c r="U155">
        <v>6139634.3260000004</v>
      </c>
      <c r="V155">
        <v>6161739.5389999999</v>
      </c>
      <c r="W155">
        <v>5994950.1399999997</v>
      </c>
      <c r="X155">
        <v>5813649.1600000001</v>
      </c>
      <c r="Y155">
        <v>5588714.7309999997</v>
      </c>
      <c r="Z155">
        <v>5420903.9220000003</v>
      </c>
      <c r="AA155">
        <v>5274637.1730000004</v>
      </c>
      <c r="AB155">
        <v>5144841.352</v>
      </c>
      <c r="AC155">
        <v>5025275.3990000002</v>
      </c>
      <c r="AD155">
        <v>4918708.3250000002</v>
      </c>
      <c r="AE155">
        <v>4819471.193</v>
      </c>
      <c r="AF155">
        <v>4724080.8739999998</v>
      </c>
      <c r="AG155">
        <v>4637496.0360000003</v>
      </c>
      <c r="AH155">
        <v>4557323.6349999998</v>
      </c>
      <c r="AI155">
        <v>4485092.7920000004</v>
      </c>
      <c r="AJ155">
        <v>4417592.1610000003</v>
      </c>
      <c r="AK155">
        <v>4354379.352</v>
      </c>
      <c r="AL155">
        <v>4294535.1059999997</v>
      </c>
      <c r="AM155">
        <v>4237215.3830000004</v>
      </c>
      <c r="AN155">
        <v>4231413.8269999996</v>
      </c>
      <c r="AO155">
        <v>4233890.8870000001</v>
      </c>
      <c r="AP155">
        <v>4236787.82</v>
      </c>
      <c r="AQ155">
        <v>4239388.7209999999</v>
      </c>
      <c r="AR155">
        <v>4240157.534</v>
      </c>
      <c r="AS155">
        <v>4237860.3530000001</v>
      </c>
      <c r="AT155">
        <v>4233882.7879999997</v>
      </c>
      <c r="AU155">
        <v>4228866.57</v>
      </c>
      <c r="AV155">
        <v>4222524.2920000004</v>
      </c>
      <c r="AW155">
        <v>4215132.2759999996</v>
      </c>
    </row>
    <row r="156" spans="2:49" x14ac:dyDescent="0.25">
      <c r="B156" t="s">
        <v>457</v>
      </c>
      <c r="C156">
        <v>1234344.16589374</v>
      </c>
      <c r="D156">
        <v>1254161.9607370901</v>
      </c>
      <c r="E156">
        <v>1062513.1950000001</v>
      </c>
      <c r="F156">
        <v>1025191.1310000001</v>
      </c>
      <c r="G156">
        <v>941837.37170000002</v>
      </c>
      <c r="H156">
        <v>949713.09239999996</v>
      </c>
      <c r="I156">
        <v>894663.63650000002</v>
      </c>
      <c r="J156">
        <v>824256.91740000003</v>
      </c>
      <c r="K156">
        <v>768396.52159999998</v>
      </c>
      <c r="L156">
        <v>741988.21089999995</v>
      </c>
      <c r="M156">
        <v>723617.7267</v>
      </c>
      <c r="N156">
        <v>720162.75699999998</v>
      </c>
      <c r="O156">
        <v>667129.10400000005</v>
      </c>
      <c r="P156">
        <v>608837.27309999999</v>
      </c>
      <c r="Q156">
        <v>557986.34250000003</v>
      </c>
      <c r="R156">
        <v>518355.52130000002</v>
      </c>
      <c r="S156">
        <v>478674.41220000002</v>
      </c>
      <c r="T156">
        <v>480824.34759999998</v>
      </c>
      <c r="U156">
        <v>484266.29080000002</v>
      </c>
      <c r="V156">
        <v>488648.35930000001</v>
      </c>
      <c r="W156">
        <v>469013.21380000003</v>
      </c>
      <c r="X156">
        <v>447843.80570000003</v>
      </c>
      <c r="Y156">
        <v>421842.13290000003</v>
      </c>
      <c r="Z156">
        <v>403377.49489999999</v>
      </c>
      <c r="AA156">
        <v>388009.97560000001</v>
      </c>
      <c r="AB156">
        <v>374787.9436</v>
      </c>
      <c r="AC156">
        <v>362930.89760000003</v>
      </c>
      <c r="AD156">
        <v>352600.60430000001</v>
      </c>
      <c r="AE156">
        <v>343199.28200000001</v>
      </c>
      <c r="AF156">
        <v>334276.3322</v>
      </c>
      <c r="AG156">
        <v>326390.6678</v>
      </c>
      <c r="AH156">
        <v>319244.2794</v>
      </c>
      <c r="AI156">
        <v>312982.53840000002</v>
      </c>
      <c r="AJ156">
        <v>307219.33270000003</v>
      </c>
      <c r="AK156">
        <v>301913.2684</v>
      </c>
      <c r="AL156">
        <v>296964.5834</v>
      </c>
      <c r="AM156">
        <v>292280.1018</v>
      </c>
      <c r="AN156">
        <v>292981.86070000002</v>
      </c>
      <c r="AO156">
        <v>294565.36310000002</v>
      </c>
      <c r="AP156">
        <v>296232.81479999999</v>
      </c>
      <c r="AQ156">
        <v>297893.50520000001</v>
      </c>
      <c r="AR156">
        <v>299402.8173</v>
      </c>
      <c r="AS156">
        <v>300626.15279999998</v>
      </c>
      <c r="AT156">
        <v>301696.68</v>
      </c>
      <c r="AU156">
        <v>302683.41950000002</v>
      </c>
      <c r="AV156">
        <v>303554.25309999997</v>
      </c>
      <c r="AW156">
        <v>304339.50809999998</v>
      </c>
    </row>
    <row r="157" spans="2:49" x14ac:dyDescent="0.25">
      <c r="B157" t="s">
        <v>458</v>
      </c>
      <c r="C157">
        <v>16278955.912495499</v>
      </c>
      <c r="D157">
        <v>16540319.8152481</v>
      </c>
      <c r="E157">
        <v>16805880</v>
      </c>
      <c r="F157">
        <v>16816548.390000001</v>
      </c>
      <c r="G157">
        <v>15834380.52</v>
      </c>
      <c r="H157">
        <v>15173988.49</v>
      </c>
      <c r="I157">
        <v>14788042.25</v>
      </c>
      <c r="J157">
        <v>12914558.810000001</v>
      </c>
      <c r="K157">
        <v>11219320.07</v>
      </c>
      <c r="L157">
        <v>9843112.5160000008</v>
      </c>
      <c r="M157">
        <v>8816254.8609999996</v>
      </c>
      <c r="N157">
        <v>7977164.7050000001</v>
      </c>
      <c r="O157">
        <v>7258242.1979999999</v>
      </c>
      <c r="P157">
        <v>6500949.2690000003</v>
      </c>
      <c r="Q157">
        <v>5700034.915</v>
      </c>
      <c r="R157">
        <v>5027402.7630000003</v>
      </c>
      <c r="S157">
        <v>4393158.2189999996</v>
      </c>
      <c r="T157">
        <v>5193137.3039999995</v>
      </c>
      <c r="U157">
        <v>5972802.4019999998</v>
      </c>
      <c r="V157">
        <v>6757259.6220000004</v>
      </c>
      <c r="W157">
        <v>6713413.6619999995</v>
      </c>
      <c r="X157">
        <v>6611949.2829999998</v>
      </c>
      <c r="Y157">
        <v>6545416.0949999997</v>
      </c>
      <c r="Z157">
        <v>6507871.5729999999</v>
      </c>
      <c r="AA157">
        <v>6468012.7120000003</v>
      </c>
      <c r="AB157">
        <v>6426701.1229999997</v>
      </c>
      <c r="AC157">
        <v>6367893.9289999995</v>
      </c>
      <c r="AD157">
        <v>6317295.9890000001</v>
      </c>
      <c r="AE157">
        <v>6273917.9510000004</v>
      </c>
      <c r="AF157">
        <v>6231404.2740000002</v>
      </c>
      <c r="AG157">
        <v>6188155.909</v>
      </c>
      <c r="AH157">
        <v>6145743.267</v>
      </c>
      <c r="AI157">
        <v>6112095.8619999997</v>
      </c>
      <c r="AJ157">
        <v>6080545.057</v>
      </c>
      <c r="AK157">
        <v>6048445.1519999998</v>
      </c>
      <c r="AL157">
        <v>6017372.9419999998</v>
      </c>
      <c r="AM157">
        <v>5987005.2280000001</v>
      </c>
      <c r="AN157">
        <v>5952795.6799999997</v>
      </c>
      <c r="AO157">
        <v>5917211.3210000005</v>
      </c>
      <c r="AP157">
        <v>5879257.1279999996</v>
      </c>
      <c r="AQ157">
        <v>5840740.051</v>
      </c>
      <c r="AR157">
        <v>5795681.4730000002</v>
      </c>
      <c r="AS157">
        <v>5769251.1979999999</v>
      </c>
      <c r="AT157">
        <v>5743861.9550000001</v>
      </c>
      <c r="AU157">
        <v>5718418.5559999999</v>
      </c>
      <c r="AV157">
        <v>5693382.8509999998</v>
      </c>
      <c r="AW157">
        <v>5670849.1160000004</v>
      </c>
    </row>
    <row r="158" spans="2:49" x14ac:dyDescent="0.25">
      <c r="B158" t="s">
        <v>459</v>
      </c>
      <c r="C158">
        <v>4315668.6239754204</v>
      </c>
      <c r="D158">
        <v>4384958.0796759203</v>
      </c>
      <c r="E158">
        <v>4455360</v>
      </c>
      <c r="F158">
        <v>4620962.2130000005</v>
      </c>
      <c r="G158">
        <v>4688433.9220000003</v>
      </c>
      <c r="H158">
        <v>4441489.824</v>
      </c>
      <c r="I158">
        <v>4486157.6310000001</v>
      </c>
      <c r="J158">
        <v>4580755.7819999997</v>
      </c>
      <c r="K158">
        <v>4629708.6919999998</v>
      </c>
      <c r="L158">
        <v>4606467.9189999998</v>
      </c>
      <c r="M158">
        <v>4562486.5539999995</v>
      </c>
      <c r="N158">
        <v>4456128.1140000001</v>
      </c>
      <c r="O158">
        <v>4306217.1210000003</v>
      </c>
      <c r="P158">
        <v>4284438.909</v>
      </c>
      <c r="Q158">
        <v>4329437.7910000002</v>
      </c>
      <c r="R158">
        <v>4287562.0319999997</v>
      </c>
      <c r="S158">
        <v>4212546.784</v>
      </c>
      <c r="T158">
        <v>4524603.0640000002</v>
      </c>
      <c r="U158">
        <v>4885111.7750000004</v>
      </c>
      <c r="V158">
        <v>5261008.767</v>
      </c>
      <c r="W158">
        <v>5472343.2240000004</v>
      </c>
      <c r="X158">
        <v>5681041.3739999998</v>
      </c>
      <c r="Y158">
        <v>5795038.7989999996</v>
      </c>
      <c r="Z158">
        <v>5886064.0779999997</v>
      </c>
      <c r="AA158">
        <v>5982034.2699999996</v>
      </c>
      <c r="AB158">
        <v>6064547.0130000003</v>
      </c>
      <c r="AC158">
        <v>6152274.1129999999</v>
      </c>
      <c r="AD158">
        <v>6194974.3949999996</v>
      </c>
      <c r="AE158">
        <v>6232366.227</v>
      </c>
      <c r="AF158">
        <v>6269241.1370000001</v>
      </c>
      <c r="AG158">
        <v>6306189.3420000002</v>
      </c>
      <c r="AH158">
        <v>6344006</v>
      </c>
      <c r="AI158">
        <v>6380284.0760000004</v>
      </c>
      <c r="AJ158">
        <v>6414371.3430000003</v>
      </c>
      <c r="AK158">
        <v>6446438.8150000004</v>
      </c>
      <c r="AL158">
        <v>6477632.3130000001</v>
      </c>
      <c r="AM158">
        <v>6507946.0559999999</v>
      </c>
      <c r="AN158">
        <v>6532562.2560000001</v>
      </c>
      <c r="AO158">
        <v>6554822.2079999996</v>
      </c>
      <c r="AP158">
        <v>6575426.676</v>
      </c>
      <c r="AQ158">
        <v>6593777.3830000004</v>
      </c>
      <c r="AR158">
        <v>6611621.5520000001</v>
      </c>
      <c r="AS158">
        <v>6634859.2439999999</v>
      </c>
      <c r="AT158">
        <v>6658004.6119999997</v>
      </c>
      <c r="AU158">
        <v>6679723.7620000001</v>
      </c>
      <c r="AV158">
        <v>6700242.0259999996</v>
      </c>
      <c r="AW158">
        <v>6722425.943</v>
      </c>
    </row>
    <row r="159" spans="2:49" x14ac:dyDescent="0.25">
      <c r="B159" t="s">
        <v>460</v>
      </c>
      <c r="C159">
        <v>4315668.6239754204</v>
      </c>
      <c r="D159">
        <v>4384958.0796759203</v>
      </c>
      <c r="E159">
        <v>4455360</v>
      </c>
      <c r="F159">
        <v>4620962.2130000005</v>
      </c>
      <c r="G159">
        <v>4688433.9220000003</v>
      </c>
      <c r="H159">
        <v>4441489.824</v>
      </c>
      <c r="I159">
        <v>4486157.6310000001</v>
      </c>
      <c r="J159">
        <v>4580755.7819999997</v>
      </c>
      <c r="K159">
        <v>4629708.6919999998</v>
      </c>
      <c r="L159">
        <v>4606467.9189999998</v>
      </c>
      <c r="M159">
        <v>4562486.5539999995</v>
      </c>
      <c r="N159">
        <v>4456128.1140000001</v>
      </c>
      <c r="O159">
        <v>4306217.1210000003</v>
      </c>
      <c r="P159">
        <v>4284438.909</v>
      </c>
      <c r="Q159">
        <v>4329437.7910000002</v>
      </c>
      <c r="R159">
        <v>4287562.0319999997</v>
      </c>
      <c r="S159">
        <v>4212546.784</v>
      </c>
      <c r="T159">
        <v>4524603.0640000002</v>
      </c>
      <c r="U159">
        <v>4885111.7750000004</v>
      </c>
      <c r="V159">
        <v>5261008.767</v>
      </c>
      <c r="W159">
        <v>5472343.2240000004</v>
      </c>
      <c r="X159">
        <v>5681041.3739999998</v>
      </c>
      <c r="Y159">
        <v>5795038.7989999996</v>
      </c>
      <c r="Z159">
        <v>5886064.0779999997</v>
      </c>
      <c r="AA159">
        <v>5982034.2699999996</v>
      </c>
      <c r="AB159">
        <v>6064547.0130000003</v>
      </c>
      <c r="AC159">
        <v>6152274.1129999999</v>
      </c>
      <c r="AD159">
        <v>6194974.3949999996</v>
      </c>
      <c r="AE159">
        <v>6232366.227</v>
      </c>
      <c r="AF159">
        <v>6269241.1370000001</v>
      </c>
      <c r="AG159">
        <v>6306189.3420000002</v>
      </c>
      <c r="AH159">
        <v>6344006</v>
      </c>
      <c r="AI159">
        <v>6380284.0760000004</v>
      </c>
      <c r="AJ159">
        <v>6414371.3430000003</v>
      </c>
      <c r="AK159">
        <v>6446438.8150000004</v>
      </c>
      <c r="AL159">
        <v>6477632.3130000001</v>
      </c>
      <c r="AM159">
        <v>6507946.0559999999</v>
      </c>
      <c r="AN159">
        <v>6532562.2560000001</v>
      </c>
      <c r="AO159">
        <v>6554822.2079999996</v>
      </c>
      <c r="AP159">
        <v>6575426.676</v>
      </c>
      <c r="AQ159">
        <v>6593777.3830000004</v>
      </c>
      <c r="AR159">
        <v>6611621.5520000001</v>
      </c>
      <c r="AS159">
        <v>6634859.2439999999</v>
      </c>
      <c r="AT159">
        <v>6658004.6119999997</v>
      </c>
      <c r="AU159">
        <v>6679723.7620000001</v>
      </c>
      <c r="AV159">
        <v>6700242.0259999996</v>
      </c>
      <c r="AW159">
        <v>6722425.943</v>
      </c>
    </row>
    <row r="160" spans="2:49" x14ac:dyDescent="0.25">
      <c r="B160" t="s">
        <v>461</v>
      </c>
      <c r="C160">
        <v>8232235.5397947598</v>
      </c>
      <c r="D160">
        <v>8364406.7441781899</v>
      </c>
      <c r="E160">
        <v>8498700</v>
      </c>
      <c r="F160">
        <v>8378894.5810000002</v>
      </c>
      <c r="G160">
        <v>8245431.2439999999</v>
      </c>
      <c r="H160">
        <v>7592183.2419999996</v>
      </c>
      <c r="I160">
        <v>7455213.1639999999</v>
      </c>
      <c r="J160">
        <v>7400796.9560000002</v>
      </c>
      <c r="K160">
        <v>7271940.9890000001</v>
      </c>
      <c r="L160">
        <v>7033033.4189999998</v>
      </c>
      <c r="M160">
        <v>6769905.6229999997</v>
      </c>
      <c r="N160">
        <v>6426124.5710000005</v>
      </c>
      <c r="O160">
        <v>6733345.8130000001</v>
      </c>
      <c r="P160">
        <v>7296481.1150000002</v>
      </c>
      <c r="Q160">
        <v>8002345.2010000004</v>
      </c>
      <c r="R160">
        <v>8568756.9110000003</v>
      </c>
      <c r="S160">
        <v>9072249.0390000008</v>
      </c>
      <c r="T160">
        <v>8364580.6380000003</v>
      </c>
      <c r="U160">
        <v>7603692.4289999995</v>
      </c>
      <c r="V160">
        <v>6878725.3130000001</v>
      </c>
      <c r="W160">
        <v>7058917.5630000001</v>
      </c>
      <c r="X160">
        <v>7318708.7989999996</v>
      </c>
      <c r="Y160">
        <v>7465516.3470000001</v>
      </c>
      <c r="Z160">
        <v>7583653.75</v>
      </c>
      <c r="AA160">
        <v>7708199.5810000002</v>
      </c>
      <c r="AB160">
        <v>7815350.6320000002</v>
      </c>
      <c r="AC160">
        <v>7929161.2819999997</v>
      </c>
      <c r="AD160">
        <v>7984880.0719999997</v>
      </c>
      <c r="AE160">
        <v>8033696.1409999998</v>
      </c>
      <c r="AF160">
        <v>8081790.4960000003</v>
      </c>
      <c r="AG160">
        <v>8129929.1399999997</v>
      </c>
      <c r="AH160">
        <v>8179142.0099999998</v>
      </c>
      <c r="AI160">
        <v>8226330.1009999998</v>
      </c>
      <c r="AJ160">
        <v>8270656.0389999999</v>
      </c>
      <c r="AK160">
        <v>8312343.5300000003</v>
      </c>
      <c r="AL160">
        <v>8352873.0599999996</v>
      </c>
      <c r="AM160">
        <v>8392240.0219999999</v>
      </c>
      <c r="AN160">
        <v>8424234.1060000006</v>
      </c>
      <c r="AO160">
        <v>8453166.1309999898</v>
      </c>
      <c r="AP160">
        <v>8479941.8859999999</v>
      </c>
      <c r="AQ160">
        <v>8503791.7210000008</v>
      </c>
      <c r="AR160">
        <v>8526970.7379999999</v>
      </c>
      <c r="AS160">
        <v>8557090.0270000007</v>
      </c>
      <c r="AT160">
        <v>8587076.1689999998</v>
      </c>
      <c r="AU160">
        <v>8615210.13199999</v>
      </c>
      <c r="AV160">
        <v>8641783.7060000002</v>
      </c>
      <c r="AW160">
        <v>8670495.1870000008</v>
      </c>
    </row>
    <row r="161" spans="2:49" x14ac:dyDescent="0.25">
      <c r="B161" t="s">
        <v>462</v>
      </c>
      <c r="C161">
        <v>20174774.421468802</v>
      </c>
      <c r="D161">
        <v>20498686.950521201</v>
      </c>
      <c r="E161">
        <v>20827800</v>
      </c>
      <c r="F161">
        <v>19626701.530000001</v>
      </c>
      <c r="G161">
        <v>18314286.030000001</v>
      </c>
      <c r="H161">
        <v>15978024.779999999</v>
      </c>
      <c r="I161">
        <v>14865728.58</v>
      </c>
      <c r="J161">
        <v>13982857.82</v>
      </c>
      <c r="K161">
        <v>13019117.789999999</v>
      </c>
      <c r="L161">
        <v>11933951.109999999</v>
      </c>
      <c r="M161">
        <v>10889886.369999999</v>
      </c>
      <c r="N161">
        <v>9799422.068</v>
      </c>
      <c r="O161">
        <v>8289525.6490000002</v>
      </c>
      <c r="P161">
        <v>7000217.5920000002</v>
      </c>
      <c r="Q161">
        <v>6548893.7470000004</v>
      </c>
      <c r="R161">
        <v>6443565.0779999997</v>
      </c>
      <c r="S161">
        <v>6336764.1960000005</v>
      </c>
      <c r="T161">
        <v>6305049.2340000002</v>
      </c>
      <c r="U161">
        <v>6291213.4270000001</v>
      </c>
      <c r="V161">
        <v>6291983.3799999999</v>
      </c>
      <c r="W161">
        <v>6496745.8499999996</v>
      </c>
      <c r="X161">
        <v>6743669.9019999998</v>
      </c>
      <c r="Y161">
        <v>6882937.8799999999</v>
      </c>
      <c r="Z161">
        <v>6995166.1210000003</v>
      </c>
      <c r="AA161">
        <v>7113037.4780000001</v>
      </c>
      <c r="AB161">
        <v>7214639.0769999996</v>
      </c>
      <c r="AC161">
        <v>7322187.7869999995</v>
      </c>
      <c r="AD161">
        <v>7375893.4610000001</v>
      </c>
      <c r="AE161">
        <v>7423024.9210000001</v>
      </c>
      <c r="AF161">
        <v>7469308.2400000002</v>
      </c>
      <c r="AG161">
        <v>7515468.1030000001</v>
      </c>
      <c r="AH161">
        <v>7562472.301</v>
      </c>
      <c r="AI161">
        <v>7607469.5319999997</v>
      </c>
      <c r="AJ161">
        <v>7649697.0539999995</v>
      </c>
      <c r="AK161">
        <v>7689372.2259999998</v>
      </c>
      <c r="AL161">
        <v>7727874.4050000003</v>
      </c>
      <c r="AM161">
        <v>7765208.6509999996</v>
      </c>
      <c r="AN161">
        <v>7795636.5279999999</v>
      </c>
      <c r="AO161">
        <v>7823153.6370000001</v>
      </c>
      <c r="AP161">
        <v>7848605.0470000003</v>
      </c>
      <c r="AQ161">
        <v>7871284.6940000001</v>
      </c>
      <c r="AR161">
        <v>7893285.7149999999</v>
      </c>
      <c r="AS161">
        <v>7921659.54</v>
      </c>
      <c r="AT161">
        <v>7949863.8250000002</v>
      </c>
      <c r="AU161">
        <v>7976311.4939999999</v>
      </c>
      <c r="AV161">
        <v>8001276.5389999999</v>
      </c>
      <c r="AW161">
        <v>8028186.8020000001</v>
      </c>
    </row>
    <row r="162" spans="2:49" x14ac:dyDescent="0.25">
      <c r="B162" t="s">
        <v>463</v>
      </c>
      <c r="C162">
        <v>463787.91773491597</v>
      </c>
      <c r="D162">
        <v>471234.182770602</v>
      </c>
      <c r="E162">
        <v>478800</v>
      </c>
      <c r="F162">
        <v>476253.54379999998</v>
      </c>
      <c r="G162">
        <v>457446.47649999999</v>
      </c>
      <c r="H162">
        <v>432519.72769999999</v>
      </c>
      <c r="I162">
        <v>435872.7145</v>
      </c>
      <c r="J162">
        <v>450229.92129999999</v>
      </c>
      <c r="K162">
        <v>448917.29029999999</v>
      </c>
      <c r="L162">
        <v>455105.76280000003</v>
      </c>
      <c r="M162">
        <v>472354.79119999998</v>
      </c>
      <c r="N162">
        <v>497007.93170000002</v>
      </c>
      <c r="O162">
        <v>473003.29070000001</v>
      </c>
      <c r="P162">
        <v>440730.28129999997</v>
      </c>
      <c r="Q162">
        <v>391569.47810000001</v>
      </c>
      <c r="R162">
        <v>350075.25890000002</v>
      </c>
      <c r="S162">
        <v>312401.38130000001</v>
      </c>
      <c r="T162">
        <v>290076.55459999997</v>
      </c>
      <c r="U162">
        <v>270172.4999</v>
      </c>
      <c r="V162">
        <v>251445.78520000001</v>
      </c>
      <c r="W162">
        <v>251870.86230000001</v>
      </c>
      <c r="X162">
        <v>253253.61300000001</v>
      </c>
      <c r="Y162">
        <v>255018.29579999999</v>
      </c>
      <c r="Z162">
        <v>257828.7684</v>
      </c>
      <c r="AA162">
        <v>259398.42910000001</v>
      </c>
      <c r="AB162">
        <v>260905.10320000001</v>
      </c>
      <c r="AC162">
        <v>262208.91249999998</v>
      </c>
      <c r="AD162">
        <v>264175.39270000003</v>
      </c>
      <c r="AE162">
        <v>265702.2648</v>
      </c>
      <c r="AF162">
        <v>267351.65210000001</v>
      </c>
      <c r="AG162">
        <v>268704.65110000002</v>
      </c>
      <c r="AH162">
        <v>269965.89620000002</v>
      </c>
      <c r="AI162">
        <v>270709.03879999998</v>
      </c>
      <c r="AJ162">
        <v>271495.17849999998</v>
      </c>
      <c r="AK162">
        <v>272211.38030000002</v>
      </c>
      <c r="AL162">
        <v>272920.87780000002</v>
      </c>
      <c r="AM162">
        <v>273631.61719999998</v>
      </c>
      <c r="AN162">
        <v>272995.45990000002</v>
      </c>
      <c r="AO162">
        <v>272402.79220000003</v>
      </c>
      <c r="AP162">
        <v>271694.74979999999</v>
      </c>
      <c r="AQ162">
        <v>270982.92129999999</v>
      </c>
      <c r="AR162">
        <v>270084.14929999999</v>
      </c>
      <c r="AS162">
        <v>269445.71360000002</v>
      </c>
      <c r="AT162">
        <v>268808.68400000001</v>
      </c>
      <c r="AU162">
        <v>268115.62319999997</v>
      </c>
      <c r="AV162">
        <v>267373.59899999999</v>
      </c>
      <c r="AW162">
        <v>266672.94819999998</v>
      </c>
    </row>
    <row r="163" spans="2:49" x14ac:dyDescent="0.25">
      <c r="B163" t="s">
        <v>464</v>
      </c>
      <c r="C163">
        <v>748170.71461916296</v>
      </c>
      <c r="D163">
        <v>760182.83744504896</v>
      </c>
      <c r="E163">
        <v>665577.06059999997</v>
      </c>
      <c r="F163">
        <v>675477.10950000002</v>
      </c>
      <c r="G163">
        <v>638112.36589999998</v>
      </c>
      <c r="H163">
        <v>626825.6997</v>
      </c>
      <c r="I163">
        <v>653015.26980000001</v>
      </c>
      <c r="J163">
        <v>622568.94010000001</v>
      </c>
      <c r="K163">
        <v>593395.74129999999</v>
      </c>
      <c r="L163">
        <v>559265.13950000005</v>
      </c>
      <c r="M163">
        <v>574051.75650000002</v>
      </c>
      <c r="N163">
        <v>568709.74490000005</v>
      </c>
      <c r="O163">
        <v>567634.4325</v>
      </c>
      <c r="P163">
        <v>573288.31960000005</v>
      </c>
      <c r="Q163">
        <v>539415.30319999997</v>
      </c>
      <c r="R163">
        <v>525352.82070000004</v>
      </c>
      <c r="S163">
        <v>522979.97220000002</v>
      </c>
      <c r="T163">
        <v>508562.64730000001</v>
      </c>
      <c r="U163">
        <v>494610.87119999999</v>
      </c>
      <c r="V163">
        <v>483813.84519999998</v>
      </c>
      <c r="W163">
        <v>492572.03889999999</v>
      </c>
      <c r="X163">
        <v>504680.77789999999</v>
      </c>
      <c r="Y163">
        <v>515424.55</v>
      </c>
      <c r="Z163">
        <v>523622.03340000001</v>
      </c>
      <c r="AA163">
        <v>528368.58559999999</v>
      </c>
      <c r="AB163">
        <v>532478.70959999994</v>
      </c>
      <c r="AC163">
        <v>539044.08790000004</v>
      </c>
      <c r="AD163">
        <v>541584.15430000005</v>
      </c>
      <c r="AE163">
        <v>544991.94310000003</v>
      </c>
      <c r="AF163">
        <v>549237.84779999999</v>
      </c>
      <c r="AG163">
        <v>553385.52320000005</v>
      </c>
      <c r="AH163">
        <v>559084.20330000005</v>
      </c>
      <c r="AI163">
        <v>561983.68339999998</v>
      </c>
      <c r="AJ163">
        <v>565998.70600000001</v>
      </c>
      <c r="AK163">
        <v>569934.74899999995</v>
      </c>
      <c r="AL163">
        <v>574167.68740000005</v>
      </c>
      <c r="AM163">
        <v>578782.20530000003</v>
      </c>
      <c r="AN163">
        <v>584809.82909999997</v>
      </c>
      <c r="AO163">
        <v>591592.81339999998</v>
      </c>
      <c r="AP163">
        <v>598471.15359999996</v>
      </c>
      <c r="AQ163">
        <v>605456.39379999996</v>
      </c>
      <c r="AR163">
        <v>613524.99829999998</v>
      </c>
      <c r="AS163">
        <v>620223.59840000002</v>
      </c>
      <c r="AT163">
        <v>627402.03159999999</v>
      </c>
      <c r="AU163">
        <v>634758.14359999995</v>
      </c>
      <c r="AV163">
        <v>642362.8308</v>
      </c>
      <c r="AW163">
        <v>650256.33570000005</v>
      </c>
    </row>
    <row r="164" spans="2:49" x14ac:dyDescent="0.25">
      <c r="B164" s="245" t="s">
        <v>465</v>
      </c>
      <c r="C164">
        <v>5051155.6907064496</v>
      </c>
      <c r="D164">
        <v>5132253.62916335</v>
      </c>
      <c r="E164">
        <v>4493537.76</v>
      </c>
      <c r="F164">
        <v>4517433.5460000001</v>
      </c>
      <c r="G164">
        <v>4237383.165</v>
      </c>
      <c r="H164">
        <v>4123596.997</v>
      </c>
      <c r="I164">
        <v>4058831.0260000001</v>
      </c>
      <c r="J164">
        <v>3958966.5430000001</v>
      </c>
      <c r="K164">
        <v>3691058.7549999999</v>
      </c>
      <c r="L164">
        <v>3522199.8859999999</v>
      </c>
      <c r="M164">
        <v>3504945.463</v>
      </c>
      <c r="N164">
        <v>3451275.2149999999</v>
      </c>
      <c r="O164">
        <v>3414818.1140000001</v>
      </c>
      <c r="P164">
        <v>3403970.2790000001</v>
      </c>
      <c r="Q164">
        <v>3245904.9350000001</v>
      </c>
      <c r="R164">
        <v>3131007.5580000002</v>
      </c>
      <c r="S164">
        <v>3115233.9</v>
      </c>
      <c r="T164">
        <v>3001259.0819999999</v>
      </c>
      <c r="U164">
        <v>2903526.0350000001</v>
      </c>
      <c r="V164">
        <v>2817423.378</v>
      </c>
      <c r="W164">
        <v>2835506.5449999999</v>
      </c>
      <c r="X164">
        <v>2855105.24</v>
      </c>
      <c r="Y164">
        <v>2852054.702</v>
      </c>
      <c r="Z164">
        <v>2871165.1880000001</v>
      </c>
      <c r="AA164">
        <v>2879975.1910000001</v>
      </c>
      <c r="AB164">
        <v>2886982.577</v>
      </c>
      <c r="AC164">
        <v>2907669.35</v>
      </c>
      <c r="AD164">
        <v>2907896.93</v>
      </c>
      <c r="AE164">
        <v>2912563.9109999998</v>
      </c>
      <c r="AF164">
        <v>2918961.1830000002</v>
      </c>
      <c r="AG164">
        <v>2926149.5060000001</v>
      </c>
      <c r="AH164">
        <v>2942665.42</v>
      </c>
      <c r="AI164">
        <v>2945399.8330000001</v>
      </c>
      <c r="AJ164">
        <v>2953749.014</v>
      </c>
      <c r="AK164">
        <v>2960631.071</v>
      </c>
      <c r="AL164">
        <v>2968085.0120000001</v>
      </c>
      <c r="AM164">
        <v>2976480.0249999999</v>
      </c>
      <c r="AN164">
        <v>2976885.5010000002</v>
      </c>
      <c r="AO164">
        <v>2975615.8289999999</v>
      </c>
      <c r="AP164">
        <v>2972604.5049999999</v>
      </c>
      <c r="AQ164">
        <v>2968228.4309999999</v>
      </c>
      <c r="AR164">
        <v>2967116.216</v>
      </c>
      <c r="AS164">
        <v>2967707.7620000001</v>
      </c>
      <c r="AT164">
        <v>2971612.523</v>
      </c>
      <c r="AU164">
        <v>2976008.9890000001</v>
      </c>
      <c r="AV164">
        <v>2980720.6519999998</v>
      </c>
      <c r="AW164">
        <v>2985769.477</v>
      </c>
    </row>
    <row r="165" spans="2:49" x14ac:dyDescent="0.25">
      <c r="B165" s="245" t="s">
        <v>466</v>
      </c>
      <c r="C165">
        <v>738109.45702439197</v>
      </c>
      <c r="D165">
        <v>749960.04310518701</v>
      </c>
      <c r="E165">
        <v>656626.50679999997</v>
      </c>
      <c r="F165">
        <v>699115.33259999997</v>
      </c>
      <c r="G165">
        <v>649956.82149999996</v>
      </c>
      <c r="H165">
        <v>554571.76300000004</v>
      </c>
      <c r="I165">
        <v>602396.74609999999</v>
      </c>
      <c r="J165">
        <v>584971.29090000002</v>
      </c>
      <c r="K165">
        <v>551998.19920000003</v>
      </c>
      <c r="L165">
        <v>540034.63619999995</v>
      </c>
      <c r="M165">
        <v>554610.91579999996</v>
      </c>
      <c r="N165">
        <v>590028.11360000004</v>
      </c>
      <c r="O165">
        <v>571173.96569999994</v>
      </c>
      <c r="P165">
        <v>549588.14199999999</v>
      </c>
      <c r="Q165">
        <v>492093.76140000002</v>
      </c>
      <c r="R165">
        <v>459502.63669999997</v>
      </c>
      <c r="S165">
        <v>412344.47820000001</v>
      </c>
      <c r="T165">
        <v>381696.6876</v>
      </c>
      <c r="U165">
        <v>366853.97649999999</v>
      </c>
      <c r="V165">
        <v>354646.86210000003</v>
      </c>
      <c r="W165">
        <v>357033.3762</v>
      </c>
      <c r="X165">
        <v>324432.2169</v>
      </c>
      <c r="Y165">
        <v>349413.56760000001</v>
      </c>
      <c r="Z165">
        <v>363184.3591</v>
      </c>
      <c r="AA165">
        <v>370786.04550000001</v>
      </c>
      <c r="AB165">
        <v>375836.99709999998</v>
      </c>
      <c r="AC165">
        <v>359776.462</v>
      </c>
      <c r="AD165">
        <v>379038.0172</v>
      </c>
      <c r="AE165">
        <v>384066.20679999999</v>
      </c>
      <c r="AF165">
        <v>388881.65460000001</v>
      </c>
      <c r="AG165">
        <v>393069.4927</v>
      </c>
      <c r="AH165">
        <v>382092.41580000002</v>
      </c>
      <c r="AI165">
        <v>394991.8652</v>
      </c>
      <c r="AJ165">
        <v>402304.0013</v>
      </c>
      <c r="AK165">
        <v>406653.00880000001</v>
      </c>
      <c r="AL165">
        <v>410155.36170000001</v>
      </c>
      <c r="AM165">
        <v>413246.4374</v>
      </c>
      <c r="AN165">
        <v>410559.47240000003</v>
      </c>
      <c r="AO165">
        <v>409686.1066</v>
      </c>
      <c r="AP165">
        <v>408956.51130000001</v>
      </c>
      <c r="AQ165">
        <v>408084.48310000001</v>
      </c>
      <c r="AR165">
        <v>397486.42800000001</v>
      </c>
      <c r="AS165">
        <v>402610.2806</v>
      </c>
      <c r="AT165">
        <v>405191.14159999997</v>
      </c>
      <c r="AU165">
        <v>406567.6569</v>
      </c>
      <c r="AV165">
        <v>407382.7365</v>
      </c>
      <c r="AW165">
        <v>407960.84110000002</v>
      </c>
    </row>
    <row r="166" spans="2:49" x14ac:dyDescent="0.25">
      <c r="B166" s="245" t="s">
        <v>467</v>
      </c>
      <c r="C166">
        <v>1453742.3069470399</v>
      </c>
      <c r="D166">
        <v>1477082.6099113501</v>
      </c>
      <c r="E166">
        <v>1293257.692</v>
      </c>
      <c r="F166">
        <v>1281812.6869999999</v>
      </c>
      <c r="G166">
        <v>1154720.936</v>
      </c>
      <c r="H166">
        <v>978040.04760000005</v>
      </c>
      <c r="I166">
        <v>991842.38190000004</v>
      </c>
      <c r="J166">
        <v>1069485.2520000001</v>
      </c>
      <c r="K166">
        <v>951116.36860000005</v>
      </c>
      <c r="L166">
        <v>887541.94779999997</v>
      </c>
      <c r="M166">
        <v>885642.42249999999</v>
      </c>
      <c r="N166">
        <v>872420.75589999999</v>
      </c>
      <c r="O166">
        <v>912776.86529999995</v>
      </c>
      <c r="P166">
        <v>947784.38560000004</v>
      </c>
      <c r="Q166">
        <v>935004.47649999999</v>
      </c>
      <c r="R166">
        <v>921878.89080000005</v>
      </c>
      <c r="S166">
        <v>907872.63329999999</v>
      </c>
      <c r="T166">
        <v>872022.11609999998</v>
      </c>
      <c r="U166">
        <v>839066.53879999998</v>
      </c>
      <c r="V166">
        <v>810992.0784</v>
      </c>
      <c r="W166">
        <v>807562.39619999996</v>
      </c>
      <c r="X166">
        <v>798260.29429999995</v>
      </c>
      <c r="Y166">
        <v>797473.53280000004</v>
      </c>
      <c r="Z166">
        <v>801193.81510000001</v>
      </c>
      <c r="AA166">
        <v>802472.65119999996</v>
      </c>
      <c r="AB166">
        <v>803399.49300000002</v>
      </c>
      <c r="AC166">
        <v>803300.08299999998</v>
      </c>
      <c r="AD166">
        <v>809422.38130000001</v>
      </c>
      <c r="AE166">
        <v>813239.25450000004</v>
      </c>
      <c r="AF166">
        <v>817768.08530000004</v>
      </c>
      <c r="AG166">
        <v>822152.72349999996</v>
      </c>
      <c r="AH166">
        <v>826037.2</v>
      </c>
      <c r="AI166">
        <v>832484.90379999997</v>
      </c>
      <c r="AJ166">
        <v>838826.42050000001</v>
      </c>
      <c r="AK166">
        <v>844930.6814</v>
      </c>
      <c r="AL166">
        <v>851260.88639999996</v>
      </c>
      <c r="AM166">
        <v>857850.77099999995</v>
      </c>
      <c r="AN166">
        <v>860233.11880000005</v>
      </c>
      <c r="AO166">
        <v>862936.15850000002</v>
      </c>
      <c r="AP166">
        <v>865218.68200000003</v>
      </c>
      <c r="AQ166">
        <v>867355.41159999999</v>
      </c>
      <c r="AR166">
        <v>868179.22580000001</v>
      </c>
      <c r="AS166">
        <v>873695.04110000003</v>
      </c>
      <c r="AT166">
        <v>879279.55810000002</v>
      </c>
      <c r="AU166">
        <v>884661.44059999997</v>
      </c>
      <c r="AV166">
        <v>889928.29669999995</v>
      </c>
      <c r="AW166">
        <v>895478.87919999997</v>
      </c>
    </row>
    <row r="167" spans="2:49" x14ac:dyDescent="0.25">
      <c r="B167" s="245" t="s">
        <v>468</v>
      </c>
      <c r="C167">
        <v>1819036.8432423901</v>
      </c>
      <c r="D167">
        <v>1848242.0681447799</v>
      </c>
      <c r="E167">
        <v>1618225.8559999999</v>
      </c>
      <c r="F167">
        <v>1606346.615</v>
      </c>
      <c r="G167">
        <v>1458826.72</v>
      </c>
      <c r="H167">
        <v>1217817.6170000001</v>
      </c>
      <c r="I167">
        <v>1254356.3149999999</v>
      </c>
      <c r="J167">
        <v>1377238.1710000001</v>
      </c>
      <c r="K167">
        <v>1224890.014</v>
      </c>
      <c r="L167">
        <v>1139731.1839999999</v>
      </c>
      <c r="M167">
        <v>1133106.3359999999</v>
      </c>
      <c r="N167">
        <v>1098399.642</v>
      </c>
      <c r="O167">
        <v>1171830.4720000001</v>
      </c>
      <c r="P167">
        <v>1255021.53</v>
      </c>
      <c r="Q167">
        <v>1270512.2239999999</v>
      </c>
      <c r="R167">
        <v>1281053.6769999999</v>
      </c>
      <c r="S167">
        <v>1261084.8060000001</v>
      </c>
      <c r="T167">
        <v>1232058.96</v>
      </c>
      <c r="U167">
        <v>1185600.2990000001</v>
      </c>
      <c r="V167">
        <v>1158165.9010000001</v>
      </c>
      <c r="W167">
        <v>1154139.4580000001</v>
      </c>
      <c r="X167">
        <v>1152092.193</v>
      </c>
      <c r="Y167">
        <v>1135996.07</v>
      </c>
      <c r="Z167">
        <v>1131822.774</v>
      </c>
      <c r="AA167">
        <v>1126840.922</v>
      </c>
      <c r="AB167">
        <v>1122081.9240000001</v>
      </c>
      <c r="AC167">
        <v>1119841.338</v>
      </c>
      <c r="AD167">
        <v>1122026.1569999999</v>
      </c>
      <c r="AE167">
        <v>1122756.8160000001</v>
      </c>
      <c r="AF167">
        <v>1125525.392</v>
      </c>
      <c r="AG167">
        <v>1127415.5649999999</v>
      </c>
      <c r="AH167">
        <v>1131762.45</v>
      </c>
      <c r="AI167">
        <v>1134809.5660000001</v>
      </c>
      <c r="AJ167">
        <v>1137454.5419999999</v>
      </c>
      <c r="AK167">
        <v>1141344.003</v>
      </c>
      <c r="AL167">
        <v>1145604.983</v>
      </c>
      <c r="AM167">
        <v>1150041.4750000001</v>
      </c>
      <c r="AN167">
        <v>1151505.05</v>
      </c>
      <c r="AO167">
        <v>1154697.6980000001</v>
      </c>
      <c r="AP167">
        <v>1157546.3049999999</v>
      </c>
      <c r="AQ167">
        <v>1161589.575</v>
      </c>
      <c r="AR167">
        <v>1164736.1089999999</v>
      </c>
      <c r="AS167">
        <v>1169762.064</v>
      </c>
      <c r="AT167">
        <v>1174946.8729999999</v>
      </c>
      <c r="AU167">
        <v>1179354.3489999999</v>
      </c>
      <c r="AV167">
        <v>1183683.608</v>
      </c>
      <c r="AW167">
        <v>1192662.5619999999</v>
      </c>
    </row>
    <row r="168" spans="2:49" x14ac:dyDescent="0.25">
      <c r="B168" s="245" t="s">
        <v>469</v>
      </c>
      <c r="C168">
        <v>2313078.33193391</v>
      </c>
      <c r="D168">
        <v>2350215.5527395001</v>
      </c>
      <c r="E168">
        <v>2057728.0649999999</v>
      </c>
      <c r="F168">
        <v>2022079.8430000001</v>
      </c>
      <c r="G168">
        <v>1863139.64</v>
      </c>
      <c r="H168">
        <v>1635430.939</v>
      </c>
      <c r="I168">
        <v>1701251.51</v>
      </c>
      <c r="J168">
        <v>1587786.5460000001</v>
      </c>
      <c r="K168">
        <v>1430043.3370000001</v>
      </c>
      <c r="L168">
        <v>1372164.2790000001</v>
      </c>
      <c r="M168">
        <v>1333243.2239999999</v>
      </c>
      <c r="N168">
        <v>1336260.058</v>
      </c>
      <c r="O168">
        <v>1377807.6059999999</v>
      </c>
      <c r="P168">
        <v>1407425.683</v>
      </c>
      <c r="Q168">
        <v>1395240.4639999999</v>
      </c>
      <c r="R168">
        <v>1370410.3089999999</v>
      </c>
      <c r="S168">
        <v>1376402.1510000001</v>
      </c>
      <c r="T168">
        <v>1334646.7420000001</v>
      </c>
      <c r="U168">
        <v>1287909.6040000001</v>
      </c>
      <c r="V168">
        <v>1247736.04</v>
      </c>
      <c r="W168">
        <v>1261712.8589999999</v>
      </c>
      <c r="X168">
        <v>1272692.3999999999</v>
      </c>
      <c r="Y168">
        <v>1276483.423</v>
      </c>
      <c r="Z168">
        <v>1291480.365</v>
      </c>
      <c r="AA168">
        <v>1302217.6070000001</v>
      </c>
      <c r="AB168">
        <v>1312488.851</v>
      </c>
      <c r="AC168">
        <v>1324712.3119999999</v>
      </c>
      <c r="AD168">
        <v>1332952.439</v>
      </c>
      <c r="AE168">
        <v>1340569.4350000001</v>
      </c>
      <c r="AF168">
        <v>1349387.074</v>
      </c>
      <c r="AG168">
        <v>1358226.9410000001</v>
      </c>
      <c r="AH168">
        <v>1368959.463</v>
      </c>
      <c r="AI168">
        <v>1378996.8689999999</v>
      </c>
      <c r="AJ168">
        <v>1390326.4909999999</v>
      </c>
      <c r="AK168">
        <v>1401804.165</v>
      </c>
      <c r="AL168">
        <v>1413821.1240000001</v>
      </c>
      <c r="AM168">
        <v>1426314.577</v>
      </c>
      <c r="AN168">
        <v>1434630.0009999999</v>
      </c>
      <c r="AO168">
        <v>1443785.578</v>
      </c>
      <c r="AP168">
        <v>1452309.2180000001</v>
      </c>
      <c r="AQ168">
        <v>1460665.078</v>
      </c>
      <c r="AR168">
        <v>1468676.0619999999</v>
      </c>
      <c r="AS168">
        <v>1480163.2879999999</v>
      </c>
      <c r="AT168">
        <v>1492160.7320000001</v>
      </c>
      <c r="AU168">
        <v>1504240.5970000001</v>
      </c>
      <c r="AV168">
        <v>1516379.139</v>
      </c>
      <c r="AW168">
        <v>1528892.2109999999</v>
      </c>
    </row>
    <row r="169" spans="2:49" x14ac:dyDescent="0.25">
      <c r="B169" s="245" t="s">
        <v>470</v>
      </c>
      <c r="C169">
        <v>4643279.3828946501</v>
      </c>
      <c r="D169">
        <v>4717828.7352982899</v>
      </c>
      <c r="E169">
        <v>4130688.602</v>
      </c>
      <c r="F169">
        <v>4059932.17</v>
      </c>
      <c r="G169">
        <v>3945976.2689999999</v>
      </c>
      <c r="H169">
        <v>3602002.139</v>
      </c>
      <c r="I169">
        <v>3647208.6869999999</v>
      </c>
      <c r="J169">
        <v>3569982.943</v>
      </c>
      <c r="K169">
        <v>3341282.2829999998</v>
      </c>
      <c r="L169">
        <v>3227222.4589999998</v>
      </c>
      <c r="M169">
        <v>3161279.7069999999</v>
      </c>
      <c r="N169">
        <v>3208035.673</v>
      </c>
      <c r="O169">
        <v>3315936.2409999999</v>
      </c>
      <c r="P169">
        <v>3380617.0950000002</v>
      </c>
      <c r="Q169">
        <v>3331005.6239999998</v>
      </c>
      <c r="R169">
        <v>3347050.58</v>
      </c>
      <c r="S169">
        <v>3296760.1030000001</v>
      </c>
      <c r="T169">
        <v>3179049.2450000001</v>
      </c>
      <c r="U169">
        <v>3055666.4849999999</v>
      </c>
      <c r="V169">
        <v>2946718.8829999999</v>
      </c>
      <c r="W169">
        <v>2882782.9559999998</v>
      </c>
      <c r="X169">
        <v>2806799.807</v>
      </c>
      <c r="Y169">
        <v>2740409.4640000002</v>
      </c>
      <c r="Z169">
        <v>2699447.878</v>
      </c>
      <c r="AA169">
        <v>2652214.2740000002</v>
      </c>
      <c r="AB169">
        <v>2604601.27</v>
      </c>
      <c r="AC169">
        <v>2559306.9559999998</v>
      </c>
      <c r="AD169">
        <v>2568858.3360000001</v>
      </c>
      <c r="AE169">
        <v>2577839.966</v>
      </c>
      <c r="AF169">
        <v>2590744.3450000002</v>
      </c>
      <c r="AG169">
        <v>2602185.46</v>
      </c>
      <c r="AH169">
        <v>2616676.4380000001</v>
      </c>
      <c r="AI169">
        <v>2630363.5210000002</v>
      </c>
      <c r="AJ169">
        <v>2645589.605</v>
      </c>
      <c r="AK169">
        <v>2661475.702</v>
      </c>
      <c r="AL169">
        <v>2678586.7280000001</v>
      </c>
      <c r="AM169">
        <v>2696548.952</v>
      </c>
      <c r="AN169">
        <v>2702607.7629999998</v>
      </c>
      <c r="AO169">
        <v>2709028.0180000002</v>
      </c>
      <c r="AP169">
        <v>2713593.8569999998</v>
      </c>
      <c r="AQ169">
        <v>2717720.807</v>
      </c>
      <c r="AR169">
        <v>2720340.5929999999</v>
      </c>
      <c r="AS169">
        <v>2731103.2570000002</v>
      </c>
      <c r="AT169">
        <v>2743024.4709999999</v>
      </c>
      <c r="AU169">
        <v>2755092.4980000001</v>
      </c>
      <c r="AV169">
        <v>2767387.2459999998</v>
      </c>
      <c r="AW169">
        <v>2779878.6439999999</v>
      </c>
    </row>
    <row r="170" spans="2:49" x14ac:dyDescent="0.25">
      <c r="B170" s="245" t="s">
        <v>471</v>
      </c>
      <c r="C170">
        <v>3833938.33697946</v>
      </c>
      <c r="D170">
        <v>3895493.45710216</v>
      </c>
      <c r="E170">
        <v>3426214.0129999998</v>
      </c>
      <c r="F170">
        <v>3371351.5189999999</v>
      </c>
      <c r="G170">
        <v>3316617.3709999998</v>
      </c>
      <c r="H170">
        <v>2994641.3250000002</v>
      </c>
      <c r="I170">
        <v>3069410.9849999999</v>
      </c>
      <c r="J170">
        <v>3071277.1060000001</v>
      </c>
      <c r="K170">
        <v>2961889.66</v>
      </c>
      <c r="L170">
        <v>2889640.9959999998</v>
      </c>
      <c r="M170">
        <v>2830267.4580000001</v>
      </c>
      <c r="N170">
        <v>2821650.074</v>
      </c>
      <c r="O170">
        <v>2899969.2390000001</v>
      </c>
      <c r="P170">
        <v>3031138.923</v>
      </c>
      <c r="Q170">
        <v>3098160.1680000001</v>
      </c>
      <c r="R170">
        <v>3226716.7170000002</v>
      </c>
      <c r="S170">
        <v>3281629.5649999999</v>
      </c>
      <c r="T170">
        <v>3162458.6379999998</v>
      </c>
      <c r="U170">
        <v>3064897.8119999999</v>
      </c>
      <c r="V170">
        <v>2970949.554</v>
      </c>
      <c r="W170">
        <v>3013384.392</v>
      </c>
      <c r="X170">
        <v>3048468.074</v>
      </c>
      <c r="Y170">
        <v>3073197.9180000001</v>
      </c>
      <c r="Z170">
        <v>3105911.932</v>
      </c>
      <c r="AA170">
        <v>3131618.7659999998</v>
      </c>
      <c r="AB170">
        <v>3154407.872</v>
      </c>
      <c r="AC170">
        <v>3175399.423</v>
      </c>
      <c r="AD170">
        <v>3194590.5070000002</v>
      </c>
      <c r="AE170">
        <v>3212551.7510000002</v>
      </c>
      <c r="AF170">
        <v>3235394.8870000001</v>
      </c>
      <c r="AG170">
        <v>3255060.8539999998</v>
      </c>
      <c r="AH170">
        <v>3275986.611</v>
      </c>
      <c r="AI170">
        <v>3296092.8679999998</v>
      </c>
      <c r="AJ170">
        <v>3318905.0580000002</v>
      </c>
      <c r="AK170">
        <v>3342598.1949999998</v>
      </c>
      <c r="AL170">
        <v>3368108.6030000001</v>
      </c>
      <c r="AM170">
        <v>3394978.2220000001</v>
      </c>
      <c r="AN170">
        <v>3426917.7349999999</v>
      </c>
      <c r="AO170">
        <v>3462363.1910000001</v>
      </c>
      <c r="AP170">
        <v>3497904.2560000001</v>
      </c>
      <c r="AQ170">
        <v>3534022.8480000002</v>
      </c>
      <c r="AR170">
        <v>3570161.361</v>
      </c>
      <c r="AS170">
        <v>3606752.486</v>
      </c>
      <c r="AT170">
        <v>3644428.2949999999</v>
      </c>
      <c r="AU170">
        <v>3682994.6919999998</v>
      </c>
      <c r="AV170">
        <v>3722602.753</v>
      </c>
      <c r="AW170">
        <v>3762502.236</v>
      </c>
    </row>
    <row r="171" spans="2:49" x14ac:dyDescent="0.25">
      <c r="B171" s="245" t="s">
        <v>472</v>
      </c>
      <c r="C171">
        <v>271678.64339116903</v>
      </c>
      <c r="D171">
        <v>276040.53188776103</v>
      </c>
      <c r="E171">
        <v>241686.91630000001</v>
      </c>
      <c r="F171">
        <v>245406.79440000001</v>
      </c>
      <c r="G171">
        <v>227550.00659999999</v>
      </c>
      <c r="H171">
        <v>195093.264</v>
      </c>
      <c r="I171">
        <v>201730.18950000001</v>
      </c>
      <c r="J171">
        <v>198521.22089999999</v>
      </c>
      <c r="K171">
        <v>178592.8</v>
      </c>
      <c r="L171">
        <v>164126.75649999999</v>
      </c>
      <c r="M171">
        <v>159252.77249999999</v>
      </c>
      <c r="N171">
        <v>166254.75520000001</v>
      </c>
      <c r="O171">
        <v>165880.05979999999</v>
      </c>
      <c r="P171">
        <v>165736.0441</v>
      </c>
      <c r="Q171">
        <v>157023.9884</v>
      </c>
      <c r="R171">
        <v>148889.15460000001</v>
      </c>
      <c r="S171">
        <v>144175.53700000001</v>
      </c>
      <c r="T171">
        <v>138551.5128</v>
      </c>
      <c r="U171">
        <v>133231.16310000001</v>
      </c>
      <c r="V171">
        <v>129064.66310000001</v>
      </c>
      <c r="W171">
        <v>129794.2874</v>
      </c>
      <c r="X171">
        <v>129585.2043</v>
      </c>
      <c r="Y171">
        <v>130533.5716</v>
      </c>
      <c r="Z171">
        <v>132843.7452</v>
      </c>
      <c r="AA171">
        <v>134958.54</v>
      </c>
      <c r="AB171">
        <v>137366.519</v>
      </c>
      <c r="AC171">
        <v>139341.63750000001</v>
      </c>
      <c r="AD171">
        <v>139820.67240000001</v>
      </c>
      <c r="AE171">
        <v>139629.0091</v>
      </c>
      <c r="AF171">
        <v>139625.9289</v>
      </c>
      <c r="AG171">
        <v>139588.5717</v>
      </c>
      <c r="AH171">
        <v>138929.0068</v>
      </c>
      <c r="AI171">
        <v>139355.40109999999</v>
      </c>
      <c r="AJ171">
        <v>139653.60769999999</v>
      </c>
      <c r="AK171">
        <v>139845.88560000001</v>
      </c>
      <c r="AL171">
        <v>140064.29870000001</v>
      </c>
      <c r="AM171">
        <v>140300.144</v>
      </c>
      <c r="AN171">
        <v>139750.55840000001</v>
      </c>
      <c r="AO171">
        <v>139375.80230000001</v>
      </c>
      <c r="AP171">
        <v>138959.82089999999</v>
      </c>
      <c r="AQ171">
        <v>138572.0858</v>
      </c>
      <c r="AR171">
        <v>137564.31109999999</v>
      </c>
      <c r="AS171">
        <v>137717.8989</v>
      </c>
      <c r="AT171">
        <v>137837.70920000001</v>
      </c>
      <c r="AU171">
        <v>137908.0178</v>
      </c>
      <c r="AV171">
        <v>137964.8947</v>
      </c>
      <c r="AW171">
        <v>138116.71160000001</v>
      </c>
    </row>
    <row r="172" spans="2:49" x14ac:dyDescent="0.25">
      <c r="B172" s="245" t="s">
        <v>473</v>
      </c>
      <c r="C172">
        <v>2033071.8879050901</v>
      </c>
      <c r="D172">
        <v>2065713.51468114</v>
      </c>
      <c r="E172">
        <v>1808632.689</v>
      </c>
      <c r="F172">
        <v>1765493.7109999999</v>
      </c>
      <c r="G172">
        <v>1556201.085</v>
      </c>
      <c r="H172">
        <v>1251253.2590000001</v>
      </c>
      <c r="I172">
        <v>1323329.585</v>
      </c>
      <c r="J172">
        <v>1291317.0589999999</v>
      </c>
      <c r="K172">
        <v>1165979.4450000001</v>
      </c>
      <c r="L172">
        <v>1133644.514</v>
      </c>
      <c r="M172">
        <v>1123832.162</v>
      </c>
      <c r="N172">
        <v>1130542.3130000001</v>
      </c>
      <c r="O172">
        <v>1109252.4339999999</v>
      </c>
      <c r="P172">
        <v>1147171.102</v>
      </c>
      <c r="Q172">
        <v>1116208.9750000001</v>
      </c>
      <c r="R172">
        <v>1068326.8870000001</v>
      </c>
      <c r="S172">
        <v>1045007.86</v>
      </c>
      <c r="T172">
        <v>999845.54669999995</v>
      </c>
      <c r="U172">
        <v>953139.92790000001</v>
      </c>
      <c r="V172">
        <v>913334.36869999999</v>
      </c>
      <c r="W172">
        <v>895815.58840000001</v>
      </c>
      <c r="X172">
        <v>868322.50760000001</v>
      </c>
      <c r="Y172">
        <v>858723.98309999995</v>
      </c>
      <c r="Z172">
        <v>856461.32779999997</v>
      </c>
      <c r="AA172">
        <v>851649.96909999999</v>
      </c>
      <c r="AB172">
        <v>846480.48679999996</v>
      </c>
      <c r="AC172">
        <v>839047.52489999996</v>
      </c>
      <c r="AD172">
        <v>844873.03760000004</v>
      </c>
      <c r="AE172">
        <v>847980.44279999996</v>
      </c>
      <c r="AF172">
        <v>851668.07239999995</v>
      </c>
      <c r="AG172">
        <v>855386.81839999999</v>
      </c>
      <c r="AH172">
        <v>858089.26899999997</v>
      </c>
      <c r="AI172">
        <v>864127.6496</v>
      </c>
      <c r="AJ172">
        <v>869620.14410000003</v>
      </c>
      <c r="AK172">
        <v>874937.54819999996</v>
      </c>
      <c r="AL172">
        <v>880381.70079999999</v>
      </c>
      <c r="AM172">
        <v>885845.35569999996</v>
      </c>
      <c r="AN172">
        <v>883417.01890000002</v>
      </c>
      <c r="AO172">
        <v>880724.73400000005</v>
      </c>
      <c r="AP172">
        <v>877132.93160000001</v>
      </c>
      <c r="AQ172">
        <v>873219.44050000003</v>
      </c>
      <c r="AR172">
        <v>867263.78269999998</v>
      </c>
      <c r="AS172">
        <v>867996.14890000003</v>
      </c>
      <c r="AT172">
        <v>868828.51859999995</v>
      </c>
      <c r="AU172">
        <v>869477.3872</v>
      </c>
      <c r="AV172">
        <v>869962.43689999997</v>
      </c>
      <c r="AW172">
        <v>870735.022</v>
      </c>
    </row>
    <row r="173" spans="2:49" x14ac:dyDescent="0.25">
      <c r="B173" s="245" t="s">
        <v>474</v>
      </c>
      <c r="C173">
        <v>611949.61832884501</v>
      </c>
      <c r="D173">
        <v>621774.66739182698</v>
      </c>
      <c r="E173">
        <v>544393.97349999996</v>
      </c>
      <c r="F173">
        <v>535183.02190000005</v>
      </c>
      <c r="G173">
        <v>479562.16970000003</v>
      </c>
      <c r="H173">
        <v>403580.94549999997</v>
      </c>
      <c r="I173">
        <v>428931.79969999997</v>
      </c>
      <c r="J173">
        <v>411836.14370000002</v>
      </c>
      <c r="K173">
        <v>370328.48499999999</v>
      </c>
      <c r="L173">
        <v>351566.90500000003</v>
      </c>
      <c r="M173">
        <v>351006.80200000003</v>
      </c>
      <c r="N173">
        <v>351152.30910000001</v>
      </c>
      <c r="O173">
        <v>325457.65330000001</v>
      </c>
      <c r="P173">
        <v>314686.1704</v>
      </c>
      <c r="Q173">
        <v>280108.86369999999</v>
      </c>
      <c r="R173">
        <v>257287.50649999999</v>
      </c>
      <c r="S173">
        <v>243435.6887</v>
      </c>
      <c r="T173">
        <v>237196.43479999999</v>
      </c>
      <c r="U173">
        <v>228561.51420000001</v>
      </c>
      <c r="V173">
        <v>222449.29819999999</v>
      </c>
      <c r="W173">
        <v>222177.75090000001</v>
      </c>
      <c r="X173">
        <v>220641.67939999999</v>
      </c>
      <c r="Y173">
        <v>220088.23120000001</v>
      </c>
      <c r="Z173">
        <v>222910.12100000001</v>
      </c>
      <c r="AA173">
        <v>225104.4136</v>
      </c>
      <c r="AB173">
        <v>227255.03039999999</v>
      </c>
      <c r="AC173">
        <v>229290.08559999999</v>
      </c>
      <c r="AD173">
        <v>231512.2689</v>
      </c>
      <c r="AE173">
        <v>233402.3958</v>
      </c>
      <c r="AF173">
        <v>235552.61840000001</v>
      </c>
      <c r="AG173">
        <v>237700.3646</v>
      </c>
      <c r="AH173">
        <v>239750.73809999999</v>
      </c>
      <c r="AI173">
        <v>242084.1349</v>
      </c>
      <c r="AJ173">
        <v>244359.18969999999</v>
      </c>
      <c r="AK173">
        <v>246664.7746</v>
      </c>
      <c r="AL173">
        <v>249028.7224</v>
      </c>
      <c r="AM173">
        <v>251400.31599999999</v>
      </c>
      <c r="AN173">
        <v>251860.48879999999</v>
      </c>
      <c r="AO173">
        <v>252380.77549999999</v>
      </c>
      <c r="AP173">
        <v>252590.04060000001</v>
      </c>
      <c r="AQ173">
        <v>252707.69260000001</v>
      </c>
      <c r="AR173">
        <v>252331.9382</v>
      </c>
      <c r="AS173">
        <v>253482.65580000001</v>
      </c>
      <c r="AT173">
        <v>254697.6532</v>
      </c>
      <c r="AU173">
        <v>255901.06630000001</v>
      </c>
      <c r="AV173">
        <v>257092.68429999999</v>
      </c>
      <c r="AW173">
        <v>258369.5937</v>
      </c>
    </row>
    <row r="174" spans="2:49" x14ac:dyDescent="0.25">
      <c r="B174" s="245" t="s">
        <v>475</v>
      </c>
      <c r="C174">
        <v>8749188.7351059392</v>
      </c>
      <c r="D174">
        <v>8889659.7902533505</v>
      </c>
      <c r="E174">
        <v>7783329.6699999999</v>
      </c>
      <c r="F174">
        <v>7820954.1129999999</v>
      </c>
      <c r="G174">
        <v>7444187.8470000001</v>
      </c>
      <c r="H174">
        <v>6595054.7209999999</v>
      </c>
      <c r="I174">
        <v>6577028.9699999997</v>
      </c>
      <c r="J174">
        <v>6459237.9050000003</v>
      </c>
      <c r="K174">
        <v>6040926.318</v>
      </c>
      <c r="L174">
        <v>5707856.9299999997</v>
      </c>
      <c r="M174">
        <v>5565537.3049999997</v>
      </c>
      <c r="N174">
        <v>5479269.335</v>
      </c>
      <c r="O174">
        <v>5641269.3710000003</v>
      </c>
      <c r="P174">
        <v>5794723.7960000001</v>
      </c>
      <c r="Q174">
        <v>5658733.6900000004</v>
      </c>
      <c r="R174">
        <v>5721317.0980000002</v>
      </c>
      <c r="S174">
        <v>5726858.8200000003</v>
      </c>
      <c r="T174">
        <v>5589779.2999999998</v>
      </c>
      <c r="U174">
        <v>5380747.6710000001</v>
      </c>
      <c r="V174">
        <v>5195697.0219999999</v>
      </c>
      <c r="W174">
        <v>5167960.8789999997</v>
      </c>
      <c r="X174">
        <v>5117158.858</v>
      </c>
      <c r="Y174">
        <v>5085018.034</v>
      </c>
      <c r="Z174">
        <v>5119415.193</v>
      </c>
      <c r="AA174">
        <v>5135039.3609999996</v>
      </c>
      <c r="AB174">
        <v>5147732.42</v>
      </c>
      <c r="AC174">
        <v>5168536.8569999998</v>
      </c>
      <c r="AD174">
        <v>5183094.1270000003</v>
      </c>
      <c r="AE174">
        <v>5192927.6459999997</v>
      </c>
      <c r="AF174">
        <v>5210251.4730000002</v>
      </c>
      <c r="AG174">
        <v>5227419.1069999998</v>
      </c>
      <c r="AH174">
        <v>5249823.5360000003</v>
      </c>
      <c r="AI174">
        <v>5269470.2520000003</v>
      </c>
      <c r="AJ174">
        <v>5290659.9220000003</v>
      </c>
      <c r="AK174">
        <v>5311367.6830000002</v>
      </c>
      <c r="AL174">
        <v>5334174.898</v>
      </c>
      <c r="AM174">
        <v>5359034.9060000004</v>
      </c>
      <c r="AN174">
        <v>5343602.5750000002</v>
      </c>
      <c r="AO174">
        <v>5329303.642</v>
      </c>
      <c r="AP174">
        <v>5309835.7220000001</v>
      </c>
      <c r="AQ174">
        <v>5287596.0889999997</v>
      </c>
      <c r="AR174">
        <v>5263107.5729999999</v>
      </c>
      <c r="AS174">
        <v>5266525.9479999999</v>
      </c>
      <c r="AT174">
        <v>5272677.8080000002</v>
      </c>
      <c r="AU174">
        <v>5279269.4469999997</v>
      </c>
      <c r="AV174">
        <v>5285899.307</v>
      </c>
      <c r="AW174">
        <v>5294082.2050000001</v>
      </c>
    </row>
    <row r="175" spans="2:49" x14ac:dyDescent="0.25">
      <c r="B175" s="245" t="s">
        <v>476</v>
      </c>
      <c r="C175">
        <v>583434.83019375498</v>
      </c>
      <c r="D175">
        <v>592802.06510985899</v>
      </c>
      <c r="E175">
        <v>519027.05060000002</v>
      </c>
      <c r="F175">
        <v>540346.02220000001</v>
      </c>
      <c r="G175">
        <v>527119.96490000002</v>
      </c>
      <c r="H175">
        <v>458027.11859999999</v>
      </c>
      <c r="I175">
        <v>456519.47840000002</v>
      </c>
      <c r="J175">
        <v>463482.60389999999</v>
      </c>
      <c r="K175">
        <v>442936.03769999999</v>
      </c>
      <c r="L175">
        <v>428887.54749999999</v>
      </c>
      <c r="M175">
        <v>400959.5344</v>
      </c>
      <c r="N175">
        <v>368873.58510000003</v>
      </c>
      <c r="O175">
        <v>359278.12729999999</v>
      </c>
      <c r="P175">
        <v>362382.34580000001</v>
      </c>
      <c r="Q175">
        <v>353501.22039999999</v>
      </c>
      <c r="R175">
        <v>358292.93939999997</v>
      </c>
      <c r="S175">
        <v>345829.55349999998</v>
      </c>
      <c r="T175">
        <v>342719.45270000002</v>
      </c>
      <c r="U175">
        <v>331389.83169999998</v>
      </c>
      <c r="V175">
        <v>325838.02620000002</v>
      </c>
      <c r="W175">
        <v>323934.11859999999</v>
      </c>
      <c r="X175">
        <v>324658.598</v>
      </c>
      <c r="Y175">
        <v>318750.80499999999</v>
      </c>
      <c r="Z175">
        <v>317103.15429999999</v>
      </c>
      <c r="AA175">
        <v>316289.87459999998</v>
      </c>
      <c r="AB175">
        <v>315952.70529999997</v>
      </c>
      <c r="AC175">
        <v>317148.41720000003</v>
      </c>
      <c r="AD175">
        <v>319127.3395</v>
      </c>
      <c r="AE175">
        <v>320865.52720000001</v>
      </c>
      <c r="AF175">
        <v>323236.35249999998</v>
      </c>
      <c r="AG175">
        <v>325246.92460000003</v>
      </c>
      <c r="AH175">
        <v>328354.63780000003</v>
      </c>
      <c r="AI175">
        <v>330097.59509999998</v>
      </c>
      <c r="AJ175">
        <v>331615.2291</v>
      </c>
      <c r="AK175">
        <v>333567.33809999999</v>
      </c>
      <c r="AL175">
        <v>335585.0796</v>
      </c>
      <c r="AM175">
        <v>337630.53690000001</v>
      </c>
      <c r="AN175">
        <v>338870.36599999998</v>
      </c>
      <c r="AO175">
        <v>340844.85619999998</v>
      </c>
      <c r="AP175">
        <v>342792.0601</v>
      </c>
      <c r="AQ175">
        <v>345297.86829999997</v>
      </c>
      <c r="AR175">
        <v>347891.47110000002</v>
      </c>
      <c r="AS175">
        <v>350423.37119999999</v>
      </c>
      <c r="AT175">
        <v>353133.30129999999</v>
      </c>
      <c r="AU175">
        <v>355584.07020000002</v>
      </c>
      <c r="AV175">
        <v>358054.136</v>
      </c>
      <c r="AW175">
        <v>363508.83</v>
      </c>
    </row>
    <row r="176" spans="2:49" x14ac:dyDescent="0.25">
      <c r="B176" s="245" t="s">
        <v>477</v>
      </c>
      <c r="C176">
        <v>40605.282443966003</v>
      </c>
      <c r="D176">
        <v>41257.2133877546</v>
      </c>
      <c r="E176">
        <v>36122.697679999997</v>
      </c>
      <c r="F176">
        <v>36703.084860000003</v>
      </c>
      <c r="G176">
        <v>34770.951309999997</v>
      </c>
      <c r="H176">
        <v>32564.433649999999</v>
      </c>
      <c r="I176">
        <v>33977.24682</v>
      </c>
      <c r="J176">
        <v>33463.648950000003</v>
      </c>
      <c r="K176">
        <v>31749.088530000001</v>
      </c>
      <c r="L176">
        <v>31202.36346</v>
      </c>
      <c r="M176">
        <v>31264.36332</v>
      </c>
      <c r="N176">
        <v>31661.747630000002</v>
      </c>
      <c r="O176">
        <v>33663.712749999999</v>
      </c>
      <c r="P176">
        <v>35622.179779999999</v>
      </c>
      <c r="Q176">
        <v>34625.672680000003</v>
      </c>
      <c r="R176">
        <v>34900.969290000001</v>
      </c>
      <c r="S176">
        <v>35703.25791</v>
      </c>
      <c r="T176">
        <v>39326.555119999997</v>
      </c>
      <c r="U176">
        <v>41947.536249999997</v>
      </c>
      <c r="V176">
        <v>44688.267769999999</v>
      </c>
      <c r="W176">
        <v>47693.78211</v>
      </c>
      <c r="X176">
        <v>57938.515189999998</v>
      </c>
      <c r="Y176">
        <v>61958.469069999999</v>
      </c>
      <c r="Z176">
        <v>64859.419379999999</v>
      </c>
      <c r="AA176">
        <v>66748.850229999996</v>
      </c>
      <c r="AB176">
        <v>68032.695829999997</v>
      </c>
      <c r="AC176">
        <v>74718.449059999999</v>
      </c>
      <c r="AD176">
        <v>74872.109589999905</v>
      </c>
      <c r="AE176">
        <v>75094.993279999995</v>
      </c>
      <c r="AF176">
        <v>75388.620559999996</v>
      </c>
      <c r="AG176">
        <v>75459.401559999998</v>
      </c>
      <c r="AH176">
        <v>78206.138569999996</v>
      </c>
      <c r="AI176">
        <v>77575.088369999998</v>
      </c>
      <c r="AJ176">
        <v>77100.502189999999</v>
      </c>
      <c r="AK176">
        <v>76573.603870000006</v>
      </c>
      <c r="AL176">
        <v>76040.591790000006</v>
      </c>
      <c r="AM176">
        <v>75527.793810000003</v>
      </c>
      <c r="AN176">
        <v>75100.493470000001</v>
      </c>
      <c r="AO176">
        <v>74862.062749999997</v>
      </c>
      <c r="AP176">
        <v>74644.495999999999</v>
      </c>
      <c r="AQ176">
        <v>74471.550109999996</v>
      </c>
      <c r="AR176">
        <v>77290.005770000003</v>
      </c>
      <c r="AS176">
        <v>76919.466899999999</v>
      </c>
      <c r="AT176">
        <v>76804.883960000006</v>
      </c>
      <c r="AU176">
        <v>76750.718829999998</v>
      </c>
      <c r="AV176">
        <v>76723.661429999906</v>
      </c>
      <c r="AW176">
        <v>76724.289080000002</v>
      </c>
    </row>
    <row r="177" spans="2:49" x14ac:dyDescent="0.25">
      <c r="B177" s="245" t="s">
        <v>478</v>
      </c>
      <c r="C177">
        <v>55091.732691944802</v>
      </c>
      <c r="D177">
        <v>55976.248280239903</v>
      </c>
      <c r="E177">
        <v>49011.306629999999</v>
      </c>
      <c r="F177">
        <v>51588.313370000003</v>
      </c>
      <c r="G177">
        <v>52664.504500000003</v>
      </c>
      <c r="H177">
        <v>52938.068919999998</v>
      </c>
      <c r="I177">
        <v>55451.55083</v>
      </c>
      <c r="J177">
        <v>57285.260589999998</v>
      </c>
      <c r="K177">
        <v>58505.61608</v>
      </c>
      <c r="L177">
        <v>60022.862730000001</v>
      </c>
      <c r="M177">
        <v>61616.113219999999</v>
      </c>
      <c r="N177">
        <v>62414.739849999998</v>
      </c>
      <c r="O177">
        <v>61940.330860000002</v>
      </c>
      <c r="P177">
        <v>64333.003129999997</v>
      </c>
      <c r="Q177">
        <v>66081.815839999996</v>
      </c>
      <c r="R177">
        <v>72116.43651</v>
      </c>
      <c r="S177">
        <v>85356.3891</v>
      </c>
      <c r="T177">
        <v>94353.392229999998</v>
      </c>
      <c r="U177">
        <v>100371.9047</v>
      </c>
      <c r="V177">
        <v>103552.0661</v>
      </c>
      <c r="W177">
        <v>108167.9933</v>
      </c>
      <c r="X177">
        <v>127855.8502</v>
      </c>
      <c r="Y177">
        <v>145618.36009999999</v>
      </c>
      <c r="Z177">
        <v>164437.815</v>
      </c>
      <c r="AA177">
        <v>183124.28580000001</v>
      </c>
      <c r="AB177">
        <v>201726.8861</v>
      </c>
      <c r="AC177">
        <v>217901.70540000001</v>
      </c>
      <c r="AD177">
        <v>240029.45370000001</v>
      </c>
      <c r="AE177">
        <v>260552.9718</v>
      </c>
      <c r="AF177">
        <v>281234.63339999999</v>
      </c>
      <c r="AG177">
        <v>302152.91220000002</v>
      </c>
      <c r="AH177">
        <v>320399.78200000001</v>
      </c>
      <c r="AI177">
        <v>337843.185</v>
      </c>
      <c r="AJ177">
        <v>354606.09610000002</v>
      </c>
      <c r="AK177">
        <v>371098.76049999997</v>
      </c>
      <c r="AL177">
        <v>387708.82740000001</v>
      </c>
      <c r="AM177">
        <v>404594.96649999998</v>
      </c>
      <c r="AN177">
        <v>413833.67739999999</v>
      </c>
      <c r="AO177">
        <v>423801.2059</v>
      </c>
      <c r="AP177">
        <v>434205.24449999997</v>
      </c>
      <c r="AQ177">
        <v>444885.29889999999</v>
      </c>
      <c r="AR177">
        <v>452977.18609999999</v>
      </c>
      <c r="AS177">
        <v>457400.54889999999</v>
      </c>
      <c r="AT177">
        <v>461104.0661</v>
      </c>
      <c r="AU177">
        <v>464488.98369999998</v>
      </c>
      <c r="AV177">
        <v>467761.13679999998</v>
      </c>
      <c r="AW177">
        <v>471043.38660000003</v>
      </c>
    </row>
    <row r="178" spans="2:49" x14ac:dyDescent="0.25">
      <c r="B178" s="245" t="s">
        <v>479</v>
      </c>
      <c r="C178">
        <v>53959.065015136701</v>
      </c>
      <c r="D178">
        <v>54825.395257508797</v>
      </c>
      <c r="E178">
        <v>48086.344689999998</v>
      </c>
      <c r="F178">
        <v>54963.171159999998</v>
      </c>
      <c r="G178">
        <v>60517.554689999997</v>
      </c>
      <c r="H178">
        <v>64957.887170000002</v>
      </c>
      <c r="I178">
        <v>71063.250929999995</v>
      </c>
      <c r="J178">
        <v>76236.311060000007</v>
      </c>
      <c r="K178">
        <v>80428.092720000001</v>
      </c>
      <c r="L178">
        <v>83997.509510000004</v>
      </c>
      <c r="M178">
        <v>86139.784729999999</v>
      </c>
      <c r="N178">
        <v>86223.619290000002</v>
      </c>
      <c r="O178">
        <v>94704.506890000004</v>
      </c>
      <c r="P178">
        <v>104803.11440000001</v>
      </c>
      <c r="Q178">
        <v>115500.2733</v>
      </c>
      <c r="R178">
        <v>127978.1299</v>
      </c>
      <c r="S178">
        <v>142451.52900000001</v>
      </c>
      <c r="T178">
        <v>209754.1513</v>
      </c>
      <c r="U178">
        <v>257681.8248</v>
      </c>
      <c r="V178">
        <v>292518.37689999997</v>
      </c>
      <c r="W178">
        <v>329893.24109999998</v>
      </c>
      <c r="X178">
        <v>469663.99190000002</v>
      </c>
      <c r="Y178">
        <v>625324.10840000003</v>
      </c>
      <c r="Z178">
        <v>783995.446</v>
      </c>
      <c r="AA178">
        <v>942827.06370000006</v>
      </c>
      <c r="AB178">
        <v>1102708.2879999999</v>
      </c>
      <c r="AC178">
        <v>1262339.324</v>
      </c>
      <c r="AD178">
        <v>1462963.108</v>
      </c>
      <c r="AE178">
        <v>1662381.6950000001</v>
      </c>
      <c r="AF178">
        <v>1865897.3729999999</v>
      </c>
      <c r="AG178">
        <v>2070778.37</v>
      </c>
      <c r="AH178">
        <v>2275700.915</v>
      </c>
      <c r="AI178">
        <v>2438534.9380000001</v>
      </c>
      <c r="AJ178">
        <v>2602299.378</v>
      </c>
      <c r="AK178">
        <v>2766834.4670000002</v>
      </c>
      <c r="AL178">
        <v>2934453.9939999999</v>
      </c>
      <c r="AM178">
        <v>3105428.8640000001</v>
      </c>
      <c r="AN178">
        <v>3180986.253</v>
      </c>
      <c r="AO178">
        <v>3263141.2719999999</v>
      </c>
      <c r="AP178">
        <v>3347400.1359999999</v>
      </c>
      <c r="AQ178">
        <v>3434042.2420000001</v>
      </c>
      <c r="AR178">
        <v>3518263.2549999999</v>
      </c>
      <c r="AS178">
        <v>3557107.1669999999</v>
      </c>
      <c r="AT178">
        <v>3593743.2259999998</v>
      </c>
      <c r="AU178">
        <v>3629707.5529999998</v>
      </c>
      <c r="AV178">
        <v>3666266.8790000002</v>
      </c>
      <c r="AW178">
        <v>3704550.3829999999</v>
      </c>
    </row>
    <row r="179" spans="2:49" x14ac:dyDescent="0.25">
      <c r="B179" s="245" t="s">
        <v>480</v>
      </c>
      <c r="C179">
        <v>216238.436565001</v>
      </c>
      <c r="D179">
        <v>219710.21460835601</v>
      </c>
      <c r="E179">
        <v>192366.9828</v>
      </c>
      <c r="F179">
        <v>215115.2665</v>
      </c>
      <c r="G179">
        <v>179799.0816</v>
      </c>
      <c r="H179">
        <v>119812.69289999999</v>
      </c>
      <c r="I179">
        <v>122352.7062</v>
      </c>
      <c r="J179">
        <v>94171.452260000005</v>
      </c>
      <c r="K179">
        <v>110257.9338</v>
      </c>
      <c r="L179">
        <v>95933.024709999998</v>
      </c>
      <c r="M179">
        <v>82579.233689999906</v>
      </c>
      <c r="N179">
        <v>70470.125530000005</v>
      </c>
      <c r="O179">
        <v>54432.424489999998</v>
      </c>
      <c r="P179">
        <v>52659.635240000003</v>
      </c>
      <c r="Q179">
        <v>48024.586130000003</v>
      </c>
      <c r="R179">
        <v>47085.678399999997</v>
      </c>
      <c r="S179">
        <v>45916.147010000001</v>
      </c>
      <c r="T179">
        <v>42895.340880000003</v>
      </c>
      <c r="U179">
        <v>40775.779820000003</v>
      </c>
      <c r="V179">
        <v>38622.318070000001</v>
      </c>
      <c r="W179">
        <v>37072.923699999999</v>
      </c>
      <c r="X179">
        <v>35020.721810000003</v>
      </c>
      <c r="Y179">
        <v>34715.670420000002</v>
      </c>
      <c r="Z179">
        <v>34896.059009999997</v>
      </c>
      <c r="AA179">
        <v>35092.490599999997</v>
      </c>
      <c r="AB179">
        <v>35315.936840000002</v>
      </c>
      <c r="AC179">
        <v>35527.416449999997</v>
      </c>
      <c r="AD179">
        <v>35790.026389999999</v>
      </c>
      <c r="AE179">
        <v>36007.964619999999</v>
      </c>
      <c r="AF179">
        <v>36290.595860000001</v>
      </c>
      <c r="AG179">
        <v>36555.592499999999</v>
      </c>
      <c r="AH179">
        <v>36808.42585</v>
      </c>
      <c r="AI179">
        <v>37085.388879999999</v>
      </c>
      <c r="AJ179">
        <v>37357.494050000001</v>
      </c>
      <c r="AK179">
        <v>37620.323069999999</v>
      </c>
      <c r="AL179">
        <v>37900.0579</v>
      </c>
      <c r="AM179">
        <v>38200.107900000003</v>
      </c>
      <c r="AN179">
        <v>37767.379280000001</v>
      </c>
      <c r="AO179">
        <v>37191.133820000003</v>
      </c>
      <c r="AP179">
        <v>36538.841</v>
      </c>
      <c r="AQ179">
        <v>35847.7497</v>
      </c>
      <c r="AR179">
        <v>35100.387849999999</v>
      </c>
      <c r="AS179">
        <v>34818.122130000003</v>
      </c>
      <c r="AT179">
        <v>34614.238230000003</v>
      </c>
      <c r="AU179">
        <v>34424.839310000003</v>
      </c>
      <c r="AV179">
        <v>34243.026510000003</v>
      </c>
      <c r="AW179">
        <v>34068.155830000003</v>
      </c>
    </row>
    <row r="180" spans="2:49" x14ac:dyDescent="0.25">
      <c r="B180" s="245" t="s">
        <v>481</v>
      </c>
      <c r="C180">
        <v>215538.66868192199</v>
      </c>
      <c r="D180">
        <v>218999.21172556799</v>
      </c>
      <c r="E180">
        <v>191744.46520000001</v>
      </c>
      <c r="F180">
        <v>195395.78099999999</v>
      </c>
      <c r="G180">
        <v>193326.94029999999</v>
      </c>
      <c r="H180">
        <v>148288.73540000001</v>
      </c>
      <c r="I180">
        <v>122618.3386</v>
      </c>
      <c r="J180">
        <v>125916.0053</v>
      </c>
      <c r="K180">
        <v>123182.7625</v>
      </c>
      <c r="L180">
        <v>116429.7599</v>
      </c>
      <c r="M180">
        <v>111623.7145</v>
      </c>
      <c r="N180">
        <v>108649.28320000001</v>
      </c>
      <c r="O180">
        <v>99735.376279999997</v>
      </c>
      <c r="P180">
        <v>95895.60643</v>
      </c>
      <c r="Q180">
        <v>97620.911840000001</v>
      </c>
      <c r="R180">
        <v>91646.570900000006</v>
      </c>
      <c r="S180">
        <v>83434.102280000006</v>
      </c>
      <c r="T180">
        <v>72198.125289999996</v>
      </c>
      <c r="U180">
        <v>62532.481670000001</v>
      </c>
      <c r="V180">
        <v>53920.913430000001</v>
      </c>
      <c r="W180">
        <v>47874.004390000002</v>
      </c>
      <c r="X180">
        <v>41757.540639999999</v>
      </c>
      <c r="Y180">
        <v>40616.584569999999</v>
      </c>
      <c r="Z180">
        <v>40591.499280000004</v>
      </c>
      <c r="AA180">
        <v>40718.490689999999</v>
      </c>
      <c r="AB180">
        <v>40864.951419999998</v>
      </c>
      <c r="AC180">
        <v>40986.265019999999</v>
      </c>
      <c r="AD180">
        <v>41151.565410000003</v>
      </c>
      <c r="AE180">
        <v>41200.991419999998</v>
      </c>
      <c r="AF180">
        <v>41308.050990000003</v>
      </c>
      <c r="AG180">
        <v>41416.221469999997</v>
      </c>
      <c r="AH180">
        <v>41517.978799999997</v>
      </c>
      <c r="AI180">
        <v>41666.797480000001</v>
      </c>
      <c r="AJ180">
        <v>41796.291129999998</v>
      </c>
      <c r="AK180">
        <v>41901.108160000003</v>
      </c>
      <c r="AL180">
        <v>42024.294240000003</v>
      </c>
      <c r="AM180">
        <v>42182.836139999999</v>
      </c>
      <c r="AN180">
        <v>40862.104829999997</v>
      </c>
      <c r="AO180">
        <v>39302.238389999999</v>
      </c>
      <c r="AP180">
        <v>37743.827420000001</v>
      </c>
      <c r="AQ180">
        <v>36234.211519999997</v>
      </c>
      <c r="AR180">
        <v>34739.96243</v>
      </c>
      <c r="AS180">
        <v>34124.988230000003</v>
      </c>
      <c r="AT180">
        <v>33656.819909999998</v>
      </c>
      <c r="AU180">
        <v>33212.81222</v>
      </c>
      <c r="AV180">
        <v>32788.938370000003</v>
      </c>
      <c r="AW180">
        <v>32375.956399999999</v>
      </c>
    </row>
    <row r="181" spans="2:49" x14ac:dyDescent="0.25">
      <c r="B181" s="245" t="s">
        <v>482</v>
      </c>
      <c r="C181">
        <v>7946676.0051002903</v>
      </c>
      <c r="D181">
        <v>8074262.4587873695</v>
      </c>
      <c r="E181">
        <v>7069409.6330000004</v>
      </c>
      <c r="F181">
        <v>7414387.6689999998</v>
      </c>
      <c r="G181">
        <v>7451832.5350000001</v>
      </c>
      <c r="H181">
        <v>7235942.733</v>
      </c>
      <c r="I181">
        <v>7710145.1270000003</v>
      </c>
      <c r="J181">
        <v>7897355.7829999998</v>
      </c>
      <c r="K181">
        <v>7800107.6710000001</v>
      </c>
      <c r="L181">
        <v>7858452.2989999996</v>
      </c>
      <c r="M181">
        <v>8201956.4989999998</v>
      </c>
      <c r="N181">
        <v>8807766.7860000003</v>
      </c>
      <c r="O181">
        <v>9129069.5289999899</v>
      </c>
      <c r="P181">
        <v>9028977.0319999997</v>
      </c>
      <c r="Q181">
        <v>8393168.3790000007</v>
      </c>
      <c r="R181">
        <v>7924459.5549999997</v>
      </c>
      <c r="S181">
        <v>7636033.5219999999</v>
      </c>
      <c r="T181">
        <v>7246462.1710000001</v>
      </c>
      <c r="U181">
        <v>6891485.1090000002</v>
      </c>
      <c r="V181">
        <v>6534859.9179999996</v>
      </c>
      <c r="W181">
        <v>6650105.9790000003</v>
      </c>
      <c r="X181">
        <v>6805963.5420000004</v>
      </c>
      <c r="Y181">
        <v>6964773.5149999997</v>
      </c>
      <c r="Z181">
        <v>7052722.4620000003</v>
      </c>
      <c r="AA181">
        <v>7071919.1799999997</v>
      </c>
      <c r="AB181">
        <v>7071885.1119999997</v>
      </c>
      <c r="AC181">
        <v>7054715.483</v>
      </c>
      <c r="AD181">
        <v>7032844.5870000003</v>
      </c>
      <c r="AE181">
        <v>6997057.6689999998</v>
      </c>
      <c r="AF181">
        <v>6962156.2680000002</v>
      </c>
      <c r="AG181">
        <v>6912080.8300000001</v>
      </c>
      <c r="AH181">
        <v>6854179.176</v>
      </c>
      <c r="AI181">
        <v>6784490.7189999996</v>
      </c>
      <c r="AJ181">
        <v>6716202.3760000002</v>
      </c>
      <c r="AK181">
        <v>6646263.7390000001</v>
      </c>
      <c r="AL181">
        <v>6575074.2039999999</v>
      </c>
      <c r="AM181">
        <v>6503239.9649999999</v>
      </c>
      <c r="AN181">
        <v>6385675.9579999996</v>
      </c>
      <c r="AO181">
        <v>6266219.7000000002</v>
      </c>
      <c r="AP181">
        <v>6148861.5559999999</v>
      </c>
      <c r="AQ181">
        <v>6036319.0369999995</v>
      </c>
      <c r="AR181">
        <v>5925783.9079999998</v>
      </c>
      <c r="AS181">
        <v>5819336.2060000002</v>
      </c>
      <c r="AT181">
        <v>5716672.0539999995</v>
      </c>
      <c r="AU181">
        <v>5616522.6940000001</v>
      </c>
      <c r="AV181">
        <v>5518701.4469999997</v>
      </c>
      <c r="AW181">
        <v>5422539.6600000001</v>
      </c>
    </row>
    <row r="182" spans="2:49" x14ac:dyDescent="0.25">
      <c r="B182" s="245" t="s">
        <v>483</v>
      </c>
      <c r="C182">
        <v>4498800.2848123703</v>
      </c>
      <c r="D182">
        <v>4571029.97856321</v>
      </c>
      <c r="E182">
        <v>4002159.148</v>
      </c>
      <c r="F182">
        <v>4043243.747</v>
      </c>
      <c r="G182">
        <v>3963685.9240000001</v>
      </c>
      <c r="H182">
        <v>4073441.8080000002</v>
      </c>
      <c r="I182">
        <v>4166440.327</v>
      </c>
      <c r="J182">
        <v>4133023.233</v>
      </c>
      <c r="K182">
        <v>4038018.3620000002</v>
      </c>
      <c r="L182">
        <v>4047428.656</v>
      </c>
      <c r="M182">
        <v>4143339.8119999999</v>
      </c>
      <c r="N182">
        <v>4368119.8049999997</v>
      </c>
      <c r="O182">
        <v>4443297.6349999998</v>
      </c>
      <c r="P182">
        <v>4296350.0010000002</v>
      </c>
      <c r="Q182">
        <v>3925809.6260000002</v>
      </c>
      <c r="R182">
        <v>3663720.577</v>
      </c>
      <c r="S182">
        <v>3482726.2760000001</v>
      </c>
      <c r="T182">
        <v>3315924.162</v>
      </c>
      <c r="U182">
        <v>3166214.6039999998</v>
      </c>
      <c r="V182">
        <v>3016358.1869999999</v>
      </c>
      <c r="W182">
        <v>3028110.2769999998</v>
      </c>
      <c r="X182">
        <v>3051198.9190000002</v>
      </c>
      <c r="Y182">
        <v>3060127.3960000002</v>
      </c>
      <c r="Z182">
        <v>3055786.2859999998</v>
      </c>
      <c r="AA182">
        <v>3030099.09</v>
      </c>
      <c r="AB182">
        <v>3001676.4619999998</v>
      </c>
      <c r="AC182">
        <v>2969651.4249999998</v>
      </c>
      <c r="AD182">
        <v>2939504.1680000001</v>
      </c>
      <c r="AE182">
        <v>2906172.5389999999</v>
      </c>
      <c r="AF182">
        <v>2874365.0660000001</v>
      </c>
      <c r="AG182">
        <v>2839327.2310000001</v>
      </c>
      <c r="AH182">
        <v>2803212.3280000002</v>
      </c>
      <c r="AI182">
        <v>2765093.497</v>
      </c>
      <c r="AJ182">
        <v>2728931.253</v>
      </c>
      <c r="AK182">
        <v>2693392.0950000002</v>
      </c>
      <c r="AL182">
        <v>2658350.571</v>
      </c>
      <c r="AM182">
        <v>2623794.966</v>
      </c>
      <c r="AN182">
        <v>2586056.9190000002</v>
      </c>
      <c r="AO182">
        <v>2549738.25</v>
      </c>
      <c r="AP182">
        <v>2514240.2200000002</v>
      </c>
      <c r="AQ182">
        <v>2480357.2310000001</v>
      </c>
      <c r="AR182">
        <v>2446661.0279999999</v>
      </c>
      <c r="AS182">
        <v>2413456.9330000002</v>
      </c>
      <c r="AT182">
        <v>2381124.1740000001</v>
      </c>
      <c r="AU182">
        <v>2349390.952</v>
      </c>
      <c r="AV182">
        <v>2318127.1779999998</v>
      </c>
      <c r="AW182">
        <v>2287153.6690000002</v>
      </c>
    </row>
    <row r="183" spans="2:49" x14ac:dyDescent="0.25">
      <c r="B183" t="s">
        <v>484</v>
      </c>
      <c r="C183">
        <v>0.96864644472622397</v>
      </c>
      <c r="D183">
        <v>0.984198376713873</v>
      </c>
      <c r="E183">
        <v>1</v>
      </c>
      <c r="F183">
        <v>0.97937183100000003</v>
      </c>
      <c r="G183">
        <v>0.92194940599999997</v>
      </c>
      <c r="H183">
        <v>0.87184969069999996</v>
      </c>
      <c r="I183">
        <v>0.84040607199999995</v>
      </c>
      <c r="J183">
        <v>0.79770229770000001</v>
      </c>
      <c r="K183">
        <v>0.75241377840000001</v>
      </c>
      <c r="L183">
        <v>0.71731396680000004</v>
      </c>
      <c r="M183">
        <v>0.69193541400000003</v>
      </c>
      <c r="N183">
        <v>0.67518842999999995</v>
      </c>
      <c r="O183">
        <v>0.6643900116</v>
      </c>
      <c r="P183">
        <v>0.64822348269999996</v>
      </c>
      <c r="Q183">
        <v>0.62609578809999999</v>
      </c>
      <c r="R183">
        <v>0.61233227059999995</v>
      </c>
      <c r="S183">
        <v>0.58835333180000005</v>
      </c>
      <c r="T183">
        <v>0.55974168930000001</v>
      </c>
      <c r="U183">
        <v>0.5322521509</v>
      </c>
      <c r="V183">
        <v>0.50525887540000003</v>
      </c>
      <c r="W183">
        <v>0.50126585130000001</v>
      </c>
      <c r="X183">
        <v>0.49563801400000002</v>
      </c>
      <c r="Y183">
        <v>0.49193157799999998</v>
      </c>
      <c r="Z183">
        <v>0.48776057249999999</v>
      </c>
      <c r="AA183">
        <v>0.48355691550000002</v>
      </c>
      <c r="AB183">
        <v>0.4793017134</v>
      </c>
      <c r="AC183">
        <v>0.4742091719</v>
      </c>
      <c r="AD183">
        <v>0.46970496760000002</v>
      </c>
      <c r="AE183">
        <v>0.4655349117</v>
      </c>
      <c r="AF183">
        <v>0.46131458130000003</v>
      </c>
      <c r="AG183">
        <v>0.4569537098</v>
      </c>
      <c r="AH183">
        <v>0.45252459340000001</v>
      </c>
      <c r="AI183">
        <v>0.44828684060000001</v>
      </c>
      <c r="AJ183">
        <v>0.4440274166</v>
      </c>
      <c r="AK183">
        <v>0.43976958900000002</v>
      </c>
      <c r="AL183">
        <v>0.43551538820000002</v>
      </c>
      <c r="AM183">
        <v>0.43126043949999998</v>
      </c>
      <c r="AN183">
        <v>0.42742514539999998</v>
      </c>
      <c r="AO183">
        <v>0.42369703460000002</v>
      </c>
      <c r="AP183">
        <v>0.41995786289999998</v>
      </c>
      <c r="AQ183">
        <v>0.41631206570000001</v>
      </c>
      <c r="AR183">
        <v>0.41241556229999998</v>
      </c>
      <c r="AS183">
        <v>0.40859410499999999</v>
      </c>
      <c r="AT183">
        <v>0.40477803309999999</v>
      </c>
      <c r="AU183">
        <v>0.4009275947</v>
      </c>
      <c r="AV183">
        <v>0.39709324680000002</v>
      </c>
      <c r="AW183">
        <v>0.39348485010000001</v>
      </c>
    </row>
    <row r="184" spans="2:49" x14ac:dyDescent="0.25">
      <c r="B184" t="s">
        <v>485</v>
      </c>
      <c r="C184">
        <v>8232235.5397947598</v>
      </c>
      <c r="D184">
        <v>8364406.7441781899</v>
      </c>
      <c r="E184">
        <v>8498700</v>
      </c>
      <c r="F184">
        <v>8378894.5810000002</v>
      </c>
      <c r="G184">
        <v>8245431.2439999999</v>
      </c>
      <c r="H184">
        <v>7592183.2419999996</v>
      </c>
      <c r="I184">
        <v>7455213.1639999999</v>
      </c>
      <c r="J184">
        <v>7400796.9560000002</v>
      </c>
      <c r="K184">
        <v>7271940.9890000001</v>
      </c>
      <c r="L184">
        <v>7033033.4189999998</v>
      </c>
      <c r="M184">
        <v>6769905.6229999997</v>
      </c>
      <c r="N184">
        <v>6426124.5710000005</v>
      </c>
      <c r="O184">
        <v>6733345.8130000001</v>
      </c>
      <c r="P184">
        <v>7296481.1150000002</v>
      </c>
      <c r="Q184">
        <v>8002345.2010000004</v>
      </c>
      <c r="R184">
        <v>8568756.9110000003</v>
      </c>
      <c r="S184">
        <v>9072249.0390000008</v>
      </c>
      <c r="T184">
        <v>8364580.6380000003</v>
      </c>
      <c r="U184">
        <v>7603692.4289999995</v>
      </c>
      <c r="V184">
        <v>6878725.3130000001</v>
      </c>
      <c r="W184">
        <v>7058917.5630000001</v>
      </c>
      <c r="X184">
        <v>7318708.7989999996</v>
      </c>
      <c r="Y184">
        <v>7465516.3470000001</v>
      </c>
      <c r="Z184">
        <v>7583653.75</v>
      </c>
      <c r="AA184">
        <v>7708199.5810000002</v>
      </c>
      <c r="AB184">
        <v>7815350.6320000002</v>
      </c>
      <c r="AC184">
        <v>7929161.2819999997</v>
      </c>
      <c r="AD184">
        <v>7984880.0719999997</v>
      </c>
      <c r="AE184">
        <v>8033696.1409999998</v>
      </c>
      <c r="AF184">
        <v>8081790.4960000003</v>
      </c>
      <c r="AG184">
        <v>8129929.1399999997</v>
      </c>
      <c r="AH184">
        <v>8179142.0099999998</v>
      </c>
      <c r="AI184">
        <v>8226330.1009999998</v>
      </c>
      <c r="AJ184">
        <v>8270656.0389999999</v>
      </c>
      <c r="AK184">
        <v>8312343.5300000003</v>
      </c>
      <c r="AL184">
        <v>8352873.0599999996</v>
      </c>
      <c r="AM184">
        <v>8392240.0219999999</v>
      </c>
      <c r="AN184">
        <v>8424234.1060000006</v>
      </c>
      <c r="AO184">
        <v>8453166.1309999898</v>
      </c>
      <c r="AP184">
        <v>8479941.8859999999</v>
      </c>
      <c r="AQ184">
        <v>8503791.7210000008</v>
      </c>
      <c r="AR184">
        <v>8526970.7379999999</v>
      </c>
      <c r="AS184">
        <v>8557090.0270000007</v>
      </c>
      <c r="AT184">
        <v>8587076.1689999998</v>
      </c>
      <c r="AU184">
        <v>8615210.13199999</v>
      </c>
      <c r="AV184">
        <v>8641783.7060000002</v>
      </c>
      <c r="AW184">
        <v>8670495.1870000008</v>
      </c>
    </row>
    <row r="185" spans="2:49" x14ac:dyDescent="0.25">
      <c r="B185" t="s">
        <v>486</v>
      </c>
      <c r="C185">
        <v>463787.91773491597</v>
      </c>
      <c r="D185">
        <v>471234.182770602</v>
      </c>
      <c r="E185">
        <v>478800</v>
      </c>
      <c r="F185">
        <v>476253.54379999998</v>
      </c>
      <c r="G185">
        <v>457446.47649999999</v>
      </c>
      <c r="H185">
        <v>432519.72769999999</v>
      </c>
      <c r="I185">
        <v>435872.7145</v>
      </c>
      <c r="J185">
        <v>450229.92129999999</v>
      </c>
      <c r="K185">
        <v>448917.29029999999</v>
      </c>
      <c r="L185">
        <v>455105.76280000003</v>
      </c>
      <c r="M185">
        <v>472354.79119999998</v>
      </c>
      <c r="N185">
        <v>497007.93170000002</v>
      </c>
      <c r="O185">
        <v>473003.29070000001</v>
      </c>
      <c r="P185">
        <v>440730.28129999997</v>
      </c>
      <c r="Q185">
        <v>391569.47810000001</v>
      </c>
      <c r="R185">
        <v>350075.25890000002</v>
      </c>
      <c r="S185">
        <v>312401.38130000001</v>
      </c>
      <c r="T185">
        <v>290076.55459999997</v>
      </c>
      <c r="U185">
        <v>270172.4999</v>
      </c>
      <c r="V185">
        <v>251445.78520000001</v>
      </c>
      <c r="W185">
        <v>251870.86230000001</v>
      </c>
      <c r="X185">
        <v>253253.61300000001</v>
      </c>
      <c r="Y185">
        <v>255018.29579999999</v>
      </c>
      <c r="Z185">
        <v>257828.7684</v>
      </c>
      <c r="AA185">
        <v>259398.42910000001</v>
      </c>
      <c r="AB185">
        <v>260905.10320000001</v>
      </c>
      <c r="AC185">
        <v>262208.91249999998</v>
      </c>
      <c r="AD185">
        <v>264175.39270000003</v>
      </c>
      <c r="AE185">
        <v>265702.2648</v>
      </c>
      <c r="AF185">
        <v>267351.65210000001</v>
      </c>
      <c r="AG185">
        <v>268704.65110000002</v>
      </c>
      <c r="AH185">
        <v>269965.89620000002</v>
      </c>
      <c r="AI185">
        <v>270709.03879999998</v>
      </c>
      <c r="AJ185">
        <v>271495.17849999998</v>
      </c>
      <c r="AK185">
        <v>272211.38030000002</v>
      </c>
      <c r="AL185">
        <v>272920.87780000002</v>
      </c>
      <c r="AM185">
        <v>273631.61719999998</v>
      </c>
      <c r="AN185">
        <v>272995.45990000002</v>
      </c>
      <c r="AO185">
        <v>272402.79220000003</v>
      </c>
      <c r="AP185">
        <v>271694.74979999999</v>
      </c>
      <c r="AQ185">
        <v>270982.92129999999</v>
      </c>
      <c r="AR185">
        <v>270084.14929999999</v>
      </c>
      <c r="AS185">
        <v>269445.71360000002</v>
      </c>
      <c r="AT185">
        <v>268808.68400000001</v>
      </c>
      <c r="AU185">
        <v>268115.62319999997</v>
      </c>
      <c r="AV185">
        <v>267373.59899999999</v>
      </c>
      <c r="AW185">
        <v>266672.94819999998</v>
      </c>
    </row>
    <row r="186" spans="2:49" x14ac:dyDescent="0.25">
      <c r="B186" t="s">
        <v>487</v>
      </c>
      <c r="C186">
        <v>247860837.32111701</v>
      </c>
      <c r="D186">
        <v>251840323.237167</v>
      </c>
      <c r="E186">
        <v>226648707.09999999</v>
      </c>
      <c r="F186">
        <v>227780317.30000001</v>
      </c>
      <c r="G186">
        <v>213311088.90000001</v>
      </c>
      <c r="H186">
        <v>197743587.30000001</v>
      </c>
      <c r="I186">
        <v>195860879</v>
      </c>
      <c r="J186">
        <v>189331821.30000001</v>
      </c>
      <c r="K186">
        <v>180422315.19999999</v>
      </c>
      <c r="L186">
        <v>175263406.59999999</v>
      </c>
      <c r="M186">
        <v>174189216.69999999</v>
      </c>
      <c r="N186">
        <v>174868748.5</v>
      </c>
      <c r="O186">
        <v>167000093.59999999</v>
      </c>
      <c r="P186">
        <v>160047152.69999999</v>
      </c>
      <c r="Q186">
        <v>151361610.80000001</v>
      </c>
      <c r="R186">
        <v>145964588.80000001</v>
      </c>
      <c r="S186">
        <v>140854017.09999999</v>
      </c>
      <c r="T186">
        <v>140137636.59999999</v>
      </c>
      <c r="U186">
        <v>139369843.19999999</v>
      </c>
      <c r="V186">
        <v>139351607.59999999</v>
      </c>
      <c r="W186">
        <v>139620563.59999999</v>
      </c>
      <c r="X186">
        <v>139465173.40000001</v>
      </c>
      <c r="Y186">
        <v>139743487.40000001</v>
      </c>
      <c r="Z186">
        <v>140348633.40000001</v>
      </c>
      <c r="AA186">
        <v>140724114.09999999</v>
      </c>
      <c r="AB186">
        <v>140996937.30000001</v>
      </c>
      <c r="AC186">
        <v>141363332.09999999</v>
      </c>
      <c r="AD186">
        <v>141664264.09999999</v>
      </c>
      <c r="AE186">
        <v>141791056.90000001</v>
      </c>
      <c r="AF186">
        <v>142005840.40000001</v>
      </c>
      <c r="AG186">
        <v>142209635.40000001</v>
      </c>
      <c r="AH186">
        <v>142476536.19999999</v>
      </c>
      <c r="AI186">
        <v>142997231.09999999</v>
      </c>
      <c r="AJ186">
        <v>143508113.09999999</v>
      </c>
      <c r="AK186">
        <v>143981519</v>
      </c>
      <c r="AL186">
        <v>144481169.80000001</v>
      </c>
      <c r="AM186">
        <v>145002195.59999999</v>
      </c>
      <c r="AN186">
        <v>145131822</v>
      </c>
      <c r="AO186">
        <v>145256952.59999999</v>
      </c>
      <c r="AP186">
        <v>145322191.5</v>
      </c>
      <c r="AQ186">
        <v>145373546.80000001</v>
      </c>
      <c r="AR186">
        <v>145388357.19999999</v>
      </c>
      <c r="AS186">
        <v>145903999.69999999</v>
      </c>
      <c r="AT186">
        <v>146434213.19999999</v>
      </c>
      <c r="AU186">
        <v>146947846.80000001</v>
      </c>
      <c r="AV186">
        <v>147463845.19999999</v>
      </c>
      <c r="AW186">
        <v>148051596.69999999</v>
      </c>
    </row>
    <row r="187" spans="2:49" x14ac:dyDescent="0.25">
      <c r="B187" t="s">
        <v>488</v>
      </c>
      <c r="C187">
        <v>41023493.601484403</v>
      </c>
      <c r="D187">
        <v>41682139.060681202</v>
      </c>
      <c r="E187">
        <v>42351359.289999999</v>
      </c>
      <c r="F187">
        <v>41358703.909999996</v>
      </c>
      <c r="G187">
        <v>36192350.490000002</v>
      </c>
      <c r="H187">
        <v>31491683.989999998</v>
      </c>
      <c r="I187">
        <v>30275867.100000001</v>
      </c>
      <c r="J187">
        <v>28677010.109999999</v>
      </c>
      <c r="K187">
        <v>27178527.489999998</v>
      </c>
      <c r="L187">
        <v>27174940.699999999</v>
      </c>
      <c r="M187">
        <v>26597428.809999999</v>
      </c>
      <c r="N187">
        <v>25825849.489999998</v>
      </c>
      <c r="O187">
        <v>20658514.41</v>
      </c>
      <c r="P187">
        <v>17209779.780000001</v>
      </c>
      <c r="Q187">
        <v>15375475.439999999</v>
      </c>
      <c r="R187">
        <v>14384460.949999999</v>
      </c>
      <c r="S187">
        <v>13465185.109999999</v>
      </c>
      <c r="T187">
        <v>13302335.539999999</v>
      </c>
      <c r="U187">
        <v>13214350.83</v>
      </c>
      <c r="V187">
        <v>13206401.449999999</v>
      </c>
      <c r="W187">
        <v>13242780.9</v>
      </c>
      <c r="X187">
        <v>13252195.16</v>
      </c>
      <c r="Y187">
        <v>13370538.92</v>
      </c>
      <c r="Z187">
        <v>13516041.98</v>
      </c>
      <c r="AA187">
        <v>13662130.699999999</v>
      </c>
      <c r="AB187">
        <v>13791555.810000001</v>
      </c>
      <c r="AC187">
        <v>13915762.359999999</v>
      </c>
      <c r="AD187">
        <v>14076842.68</v>
      </c>
      <c r="AE187">
        <v>14216105.949999999</v>
      </c>
      <c r="AF187">
        <v>14356623.390000001</v>
      </c>
      <c r="AG187">
        <v>14502282.77</v>
      </c>
      <c r="AH187">
        <v>14645730.199999999</v>
      </c>
      <c r="AI187">
        <v>14809689.960000001</v>
      </c>
      <c r="AJ187">
        <v>14965285.119999999</v>
      </c>
      <c r="AK187">
        <v>15117312.24</v>
      </c>
      <c r="AL187">
        <v>15269596.789999999</v>
      </c>
      <c r="AM187">
        <v>15421134.560000001</v>
      </c>
      <c r="AN187">
        <v>15467938.619999999</v>
      </c>
      <c r="AO187">
        <v>15498433.970000001</v>
      </c>
      <c r="AP187">
        <v>15514009.050000001</v>
      </c>
      <c r="AQ187">
        <v>15520411.6</v>
      </c>
      <c r="AR187">
        <v>15508565.189999999</v>
      </c>
      <c r="AS187">
        <v>15570638.960000001</v>
      </c>
      <c r="AT187">
        <v>15635079.57</v>
      </c>
      <c r="AU187">
        <v>15695770.85</v>
      </c>
      <c r="AV187">
        <v>15752688.35</v>
      </c>
      <c r="AW187">
        <v>15813520.27</v>
      </c>
    </row>
    <row r="188" spans="2:49" x14ac:dyDescent="0.25">
      <c r="B188" t="s">
        <v>489</v>
      </c>
      <c r="C188">
        <v>156021257.172526</v>
      </c>
      <c r="D188">
        <v>158526228.92293701</v>
      </c>
      <c r="E188">
        <v>137849506.80000001</v>
      </c>
      <c r="F188">
        <v>139717902.19999999</v>
      </c>
      <c r="G188">
        <v>132230839.40000001</v>
      </c>
      <c r="H188">
        <v>124797447.90000001</v>
      </c>
      <c r="I188">
        <v>123453612.2</v>
      </c>
      <c r="J188">
        <v>118729932.90000001</v>
      </c>
      <c r="K188">
        <v>113240173.09999999</v>
      </c>
      <c r="L188">
        <v>109216061</v>
      </c>
      <c r="M188">
        <v>108827573.7</v>
      </c>
      <c r="N188">
        <v>109906163.8</v>
      </c>
      <c r="O188">
        <v>106225910.8</v>
      </c>
      <c r="P188">
        <v>102057527.40000001</v>
      </c>
      <c r="Q188">
        <v>96074801.109999999</v>
      </c>
      <c r="R188">
        <v>92044929.840000004</v>
      </c>
      <c r="S188">
        <v>88029559.040000007</v>
      </c>
      <c r="T188">
        <v>89279683.459999904</v>
      </c>
      <c r="U188">
        <v>90499525.489999995</v>
      </c>
      <c r="V188">
        <v>92265623.829999998</v>
      </c>
      <c r="W188">
        <v>92227085.120000005</v>
      </c>
      <c r="X188">
        <v>91616305.989999995</v>
      </c>
      <c r="Y188">
        <v>91377460.870000005</v>
      </c>
      <c r="Z188">
        <v>91400972.790000007</v>
      </c>
      <c r="AA188">
        <v>91335195.849999994</v>
      </c>
      <c r="AB188">
        <v>91231021.159999996</v>
      </c>
      <c r="AC188">
        <v>91229661.430000007</v>
      </c>
      <c r="AD188">
        <v>91066884.049999997</v>
      </c>
      <c r="AE188">
        <v>90801731.049999997</v>
      </c>
      <c r="AF188">
        <v>90597580.810000002</v>
      </c>
      <c r="AG188">
        <v>90397581.709999904</v>
      </c>
      <c r="AH188">
        <v>90263560.519999996</v>
      </c>
      <c r="AI188">
        <v>90417718.959999904</v>
      </c>
      <c r="AJ188">
        <v>90565393.140000001</v>
      </c>
      <c r="AK188">
        <v>90685451.040000007</v>
      </c>
      <c r="AL188">
        <v>90825384.670000002</v>
      </c>
      <c r="AM188">
        <v>90980227.430000007</v>
      </c>
      <c r="AN188">
        <v>91098434.840000004</v>
      </c>
      <c r="AO188">
        <v>91218753.5</v>
      </c>
      <c r="AP188">
        <v>91302166.069999903</v>
      </c>
      <c r="AQ188">
        <v>91378188.620000005</v>
      </c>
      <c r="AR188">
        <v>91451400.049999997</v>
      </c>
      <c r="AS188">
        <v>91919175.799999997</v>
      </c>
      <c r="AT188">
        <v>92390871.340000004</v>
      </c>
      <c r="AU188">
        <v>92850752.340000004</v>
      </c>
      <c r="AV188">
        <v>93315062.930000007</v>
      </c>
      <c r="AW188">
        <v>93830398.849999994</v>
      </c>
    </row>
    <row r="189" spans="2:49" x14ac:dyDescent="0.25">
      <c r="B189" t="s">
        <v>490</v>
      </c>
      <c r="C189">
        <v>50816086.547106199</v>
      </c>
      <c r="D189">
        <v>51631955.253548898</v>
      </c>
      <c r="E189">
        <v>46447840.990000002</v>
      </c>
      <c r="F189">
        <v>46703711.240000002</v>
      </c>
      <c r="G189">
        <v>44887898.93</v>
      </c>
      <c r="H189">
        <v>41454455.439999998</v>
      </c>
      <c r="I189">
        <v>42131399.689999998</v>
      </c>
      <c r="J189">
        <v>41924878.270000003</v>
      </c>
      <c r="K189">
        <v>40003614.619999997</v>
      </c>
      <c r="L189">
        <v>38872404.869999997</v>
      </c>
      <c r="M189">
        <v>38764214.219999999</v>
      </c>
      <c r="N189">
        <v>39136735.170000002</v>
      </c>
      <c r="O189">
        <v>40115668.390000001</v>
      </c>
      <c r="P189">
        <v>40779845.5</v>
      </c>
      <c r="Q189">
        <v>39911334.280000001</v>
      </c>
      <c r="R189">
        <v>39535198.030000001</v>
      </c>
      <c r="S189">
        <v>39359272.990000002</v>
      </c>
      <c r="T189">
        <v>37555617.630000003</v>
      </c>
      <c r="U189">
        <v>35655966.869999997</v>
      </c>
      <c r="V189">
        <v>33879582.299999997</v>
      </c>
      <c r="W189">
        <v>34150697.579999998</v>
      </c>
      <c r="X189">
        <v>34596672.289999999</v>
      </c>
      <c r="Y189">
        <v>34995487.590000004</v>
      </c>
      <c r="Z189">
        <v>35431618.609999999</v>
      </c>
      <c r="AA189">
        <v>35726787.520000003</v>
      </c>
      <c r="AB189">
        <v>35974360.369999997</v>
      </c>
      <c r="AC189">
        <v>36217908.270000003</v>
      </c>
      <c r="AD189">
        <v>36520537.380000003</v>
      </c>
      <c r="AE189">
        <v>36773219.869999997</v>
      </c>
      <c r="AF189">
        <v>37051636.159999996</v>
      </c>
      <c r="AG189">
        <v>37309770.93</v>
      </c>
      <c r="AH189">
        <v>37567245.439999998</v>
      </c>
      <c r="AI189">
        <v>37769822.210000001</v>
      </c>
      <c r="AJ189">
        <v>37977434.799999997</v>
      </c>
      <c r="AK189">
        <v>38178755.670000002</v>
      </c>
      <c r="AL189">
        <v>38386188.350000001</v>
      </c>
      <c r="AM189">
        <v>38600833.659999996</v>
      </c>
      <c r="AN189">
        <v>38565448.530000001</v>
      </c>
      <c r="AO189">
        <v>38539765.109999999</v>
      </c>
      <c r="AP189">
        <v>38506016.420000002</v>
      </c>
      <c r="AQ189">
        <v>38474946.530000001</v>
      </c>
      <c r="AR189">
        <v>38428391.909999996</v>
      </c>
      <c r="AS189">
        <v>38414184.939999998</v>
      </c>
      <c r="AT189">
        <v>38408262.25</v>
      </c>
      <c r="AU189">
        <v>38401323.659999996</v>
      </c>
      <c r="AV189">
        <v>38396093.869999997</v>
      </c>
      <c r="AW189">
        <v>38407677.600000001</v>
      </c>
    </row>
    <row r="190" spans="2:49" x14ac:dyDescent="0.25">
      <c r="B190" t="s">
        <v>491</v>
      </c>
      <c r="C190">
        <v>392773953.478827</v>
      </c>
      <c r="D190">
        <v>399080066.34826499</v>
      </c>
      <c r="E190">
        <v>376252431.89999998</v>
      </c>
      <c r="F190">
        <v>377607183</v>
      </c>
      <c r="G190">
        <v>357876348.5</v>
      </c>
      <c r="H190">
        <v>341953362.19999999</v>
      </c>
      <c r="I190">
        <v>337673257.10000002</v>
      </c>
      <c r="J190">
        <v>327414981.60000002</v>
      </c>
      <c r="K190">
        <v>314284128.69999999</v>
      </c>
      <c r="L190">
        <v>306003702.60000002</v>
      </c>
      <c r="M190">
        <v>302641555.60000002</v>
      </c>
      <c r="N190">
        <v>301840367.80000001</v>
      </c>
      <c r="O190">
        <v>294030971.89999998</v>
      </c>
      <c r="P190">
        <v>285516164.69999999</v>
      </c>
      <c r="Q190">
        <v>274052629.60000002</v>
      </c>
      <c r="R190">
        <v>266887275.40000001</v>
      </c>
      <c r="S190">
        <v>260567381.30000001</v>
      </c>
      <c r="T190">
        <v>257322514.59999999</v>
      </c>
      <c r="U190">
        <v>254022282.90000001</v>
      </c>
      <c r="V190">
        <v>251209691.09999999</v>
      </c>
      <c r="W190">
        <v>250490694</v>
      </c>
      <c r="X190">
        <v>248489407.19999999</v>
      </c>
      <c r="Y190">
        <v>247362508.09999999</v>
      </c>
      <c r="Z190">
        <v>247202973.80000001</v>
      </c>
      <c r="AA190">
        <v>246765116.09999999</v>
      </c>
      <c r="AB190">
        <v>246234945.40000001</v>
      </c>
      <c r="AC190">
        <v>245133239.90000001</v>
      </c>
      <c r="AD190">
        <v>244359958.59999999</v>
      </c>
      <c r="AE190">
        <v>243697731.59999999</v>
      </c>
      <c r="AF190">
        <v>243066503.59999999</v>
      </c>
      <c r="AG190">
        <v>242355632</v>
      </c>
      <c r="AH190">
        <v>241631443.30000001</v>
      </c>
      <c r="AI190">
        <v>240998537.80000001</v>
      </c>
      <c r="AJ190">
        <v>240422030.80000001</v>
      </c>
      <c r="AK190">
        <v>239812865.69999999</v>
      </c>
      <c r="AL190">
        <v>239223539.59999999</v>
      </c>
      <c r="AM190">
        <v>238646524</v>
      </c>
      <c r="AN190">
        <v>237591844.09999999</v>
      </c>
      <c r="AO190">
        <v>236481325.59999999</v>
      </c>
      <c r="AP190">
        <v>235267469.90000001</v>
      </c>
      <c r="AQ190">
        <v>234022111.19999999</v>
      </c>
      <c r="AR190">
        <v>232528523.69999999</v>
      </c>
      <c r="AS190">
        <v>231615283.30000001</v>
      </c>
      <c r="AT190">
        <v>230732092.30000001</v>
      </c>
      <c r="AU190">
        <v>229830277.30000001</v>
      </c>
      <c r="AV190">
        <v>228920782.90000001</v>
      </c>
      <c r="AW190">
        <v>228085599.09999999</v>
      </c>
    </row>
    <row r="191" spans="2:49" x14ac:dyDescent="0.25">
      <c r="B191" t="s">
        <v>492</v>
      </c>
      <c r="C191">
        <v>42122345.501310699</v>
      </c>
      <c r="D191">
        <v>42798633.383193001</v>
      </c>
      <c r="E191">
        <v>43485779.289999999</v>
      </c>
      <c r="F191">
        <v>42483849.840000004</v>
      </c>
      <c r="G191">
        <v>37305071.5</v>
      </c>
      <c r="H191">
        <v>32590356.010000002</v>
      </c>
      <c r="I191">
        <v>31366657.890000001</v>
      </c>
      <c r="J191">
        <v>29759105.690000001</v>
      </c>
      <c r="K191">
        <v>28246717.940000001</v>
      </c>
      <c r="L191">
        <v>28223981.309999999</v>
      </c>
      <c r="M191">
        <v>27627578.75</v>
      </c>
      <c r="N191">
        <v>26841926.550000001</v>
      </c>
      <c r="O191">
        <v>21670208.800000001</v>
      </c>
      <c r="P191">
        <v>18221474.899999999</v>
      </c>
      <c r="Q191">
        <v>16384367.039999999</v>
      </c>
      <c r="R191">
        <v>15379472.83</v>
      </c>
      <c r="S191">
        <v>14442488.810000001</v>
      </c>
      <c r="T191">
        <v>14258450.26</v>
      </c>
      <c r="U191">
        <v>14150088.439999999</v>
      </c>
      <c r="V191">
        <v>14122962.65</v>
      </c>
      <c r="W191">
        <v>14145836.439999999</v>
      </c>
      <c r="X191">
        <v>14144520.050000001</v>
      </c>
      <c r="Y191">
        <v>14256319.880000001</v>
      </c>
      <c r="Z191">
        <v>14398253.15</v>
      </c>
      <c r="AA191">
        <v>14541715.130000001</v>
      </c>
      <c r="AB191">
        <v>14668377.210000001</v>
      </c>
      <c r="AC191">
        <v>14789180.32</v>
      </c>
      <c r="AD191">
        <v>14946072.220000001</v>
      </c>
      <c r="AE191">
        <v>15080303.029999999</v>
      </c>
      <c r="AF191">
        <v>15215032.289999999</v>
      </c>
      <c r="AG191">
        <v>15354221.9</v>
      </c>
      <c r="AH191">
        <v>15490598.439999999</v>
      </c>
      <c r="AI191">
        <v>15646924.880000001</v>
      </c>
      <c r="AJ191">
        <v>15794403.039999999</v>
      </c>
      <c r="AK191">
        <v>15937990.189999999</v>
      </c>
      <c r="AL191">
        <v>16081590.66</v>
      </c>
      <c r="AM191">
        <v>16224245.720000001</v>
      </c>
      <c r="AN191">
        <v>16261938.539999999</v>
      </c>
      <c r="AO191">
        <v>16282956.91</v>
      </c>
      <c r="AP191">
        <v>16288677.16</v>
      </c>
      <c r="AQ191">
        <v>16284890.800000001</v>
      </c>
      <c r="AR191">
        <v>16262547.939999999</v>
      </c>
      <c r="AS191">
        <v>16313853.26</v>
      </c>
      <c r="AT191">
        <v>16367250.5</v>
      </c>
      <c r="AU191">
        <v>16416635.57</v>
      </c>
      <c r="AV191">
        <v>16461996.949999999</v>
      </c>
      <c r="AW191">
        <v>16511170.380000001</v>
      </c>
    </row>
    <row r="192" spans="2:49" x14ac:dyDescent="0.25">
      <c r="B192" t="s">
        <v>493</v>
      </c>
      <c r="C192">
        <v>261896523.70399499</v>
      </c>
      <c r="D192">
        <v>266101357.10489401</v>
      </c>
      <c r="E192">
        <v>247151788.5</v>
      </c>
      <c r="F192">
        <v>250134130.90000001</v>
      </c>
      <c r="G192">
        <v>238712851.59999999</v>
      </c>
      <c r="H192">
        <v>232039214.09999999</v>
      </c>
      <c r="I192">
        <v>228670604.69999999</v>
      </c>
      <c r="J192">
        <v>221275259.5</v>
      </c>
      <c r="K192">
        <v>213244869.09999999</v>
      </c>
      <c r="L192">
        <v>207515846.59999999</v>
      </c>
      <c r="M192">
        <v>205817889.90000001</v>
      </c>
      <c r="N192">
        <v>206111708.19999999</v>
      </c>
      <c r="O192">
        <v>202023424.69999999</v>
      </c>
      <c r="P192">
        <v>196260719.69999999</v>
      </c>
      <c r="Q192">
        <v>188358454.40000001</v>
      </c>
      <c r="R192">
        <v>183219368</v>
      </c>
      <c r="S192">
        <v>178522007.80000001</v>
      </c>
      <c r="T192">
        <v>179028027.80000001</v>
      </c>
      <c r="U192">
        <v>179089250</v>
      </c>
      <c r="V192">
        <v>179419956.69999999</v>
      </c>
      <c r="W192">
        <v>178419539.5</v>
      </c>
      <c r="X192">
        <v>175886733</v>
      </c>
      <c r="Y192">
        <v>174155150</v>
      </c>
      <c r="Z192">
        <v>173170559.09999999</v>
      </c>
      <c r="AA192">
        <v>172147990.19999999</v>
      </c>
      <c r="AB192">
        <v>171076140.30000001</v>
      </c>
      <c r="AC192">
        <v>169474770.19999999</v>
      </c>
      <c r="AD192">
        <v>168097605.30000001</v>
      </c>
      <c r="AE192">
        <v>166950542.19999999</v>
      </c>
      <c r="AF192">
        <v>165812159.59999999</v>
      </c>
      <c r="AG192">
        <v>164651400.59999999</v>
      </c>
      <c r="AH192">
        <v>163498941.90000001</v>
      </c>
      <c r="AI192">
        <v>162524947.59999999</v>
      </c>
      <c r="AJ192">
        <v>161610921.30000001</v>
      </c>
      <c r="AK192">
        <v>160685531.90000001</v>
      </c>
      <c r="AL192">
        <v>159783804.59999999</v>
      </c>
      <c r="AM192">
        <v>158897611.09999999</v>
      </c>
      <c r="AN192">
        <v>157901892.59999999</v>
      </c>
      <c r="AO192">
        <v>156862629.30000001</v>
      </c>
      <c r="AP192">
        <v>155761861.09999999</v>
      </c>
      <c r="AQ192">
        <v>154643783.5</v>
      </c>
      <c r="AR192">
        <v>153335336</v>
      </c>
      <c r="AS192">
        <v>152473641.09999999</v>
      </c>
      <c r="AT192">
        <v>151641123</v>
      </c>
      <c r="AU192">
        <v>150808298.30000001</v>
      </c>
      <c r="AV192">
        <v>149984681.59999999</v>
      </c>
      <c r="AW192">
        <v>149222764.90000001</v>
      </c>
    </row>
    <row r="193" spans="2:49" x14ac:dyDescent="0.25">
      <c r="B193" t="s">
        <v>494</v>
      </c>
      <c r="C193">
        <v>88755084.273521304</v>
      </c>
      <c r="D193">
        <v>90180075.860178098</v>
      </c>
      <c r="E193">
        <v>85614864.150000006</v>
      </c>
      <c r="F193">
        <v>84989202.260000005</v>
      </c>
      <c r="G193">
        <v>81858425.329999998</v>
      </c>
      <c r="H193">
        <v>77323792.150000006</v>
      </c>
      <c r="I193">
        <v>77635994.519999996</v>
      </c>
      <c r="J193">
        <v>76380616.359999999</v>
      </c>
      <c r="K193">
        <v>72792541.609999999</v>
      </c>
      <c r="L193">
        <v>70263874.620000005</v>
      </c>
      <c r="M193">
        <v>69196086.950000003</v>
      </c>
      <c r="N193">
        <v>68886733.140000001</v>
      </c>
      <c r="O193">
        <v>70337338.469999999</v>
      </c>
      <c r="P193">
        <v>71033970.150000006</v>
      </c>
      <c r="Q193">
        <v>69309808.140000001</v>
      </c>
      <c r="R193">
        <v>68288434.579999998</v>
      </c>
      <c r="S193">
        <v>67602884.680000007</v>
      </c>
      <c r="T193">
        <v>64036036.5</v>
      </c>
      <c r="U193">
        <v>60782944.380000003</v>
      </c>
      <c r="V193">
        <v>57666771.719999999</v>
      </c>
      <c r="W193">
        <v>57925318.060000002</v>
      </c>
      <c r="X193">
        <v>58458154.100000001</v>
      </c>
      <c r="Y193">
        <v>58951038.219999999</v>
      </c>
      <c r="Z193">
        <v>59634161.479999997</v>
      </c>
      <c r="AA193">
        <v>60075410.82</v>
      </c>
      <c r="AB193">
        <v>60490427.850000001</v>
      </c>
      <c r="AC193">
        <v>60869289.299999997</v>
      </c>
      <c r="AD193">
        <v>61316281.090000004</v>
      </c>
      <c r="AE193">
        <v>61666886.43</v>
      </c>
      <c r="AF193">
        <v>62039311.799999997</v>
      </c>
      <c r="AG193">
        <v>62350009.439999998</v>
      </c>
      <c r="AH193">
        <v>62641902.890000001</v>
      </c>
      <c r="AI193">
        <v>62826665.280000001</v>
      </c>
      <c r="AJ193">
        <v>63016706.460000001</v>
      </c>
      <c r="AK193">
        <v>63189343.579999998</v>
      </c>
      <c r="AL193">
        <v>63358144.270000003</v>
      </c>
      <c r="AM193">
        <v>63524667.189999998</v>
      </c>
      <c r="AN193">
        <v>63428012.990000002</v>
      </c>
      <c r="AO193">
        <v>63335739.409999996</v>
      </c>
      <c r="AP193">
        <v>63216931.630000003</v>
      </c>
      <c r="AQ193">
        <v>63093436.82</v>
      </c>
      <c r="AR193">
        <v>62930639.670000002</v>
      </c>
      <c r="AS193">
        <v>62827788.909999996</v>
      </c>
      <c r="AT193">
        <v>62723718.880000003</v>
      </c>
      <c r="AU193">
        <v>62605343.359999999</v>
      </c>
      <c r="AV193">
        <v>62474104.299999997</v>
      </c>
      <c r="AW193">
        <v>62351663.829999998</v>
      </c>
    </row>
    <row r="194" spans="2:49" x14ac:dyDescent="0.25">
      <c r="B194" t="s">
        <v>495</v>
      </c>
      <c r="C194">
        <v>419119515.24800497</v>
      </c>
      <c r="D194">
        <v>425848614.63336003</v>
      </c>
      <c r="E194">
        <v>402018807.30000001</v>
      </c>
      <c r="F194">
        <v>403718941.10000002</v>
      </c>
      <c r="G194">
        <v>383305759.60000002</v>
      </c>
      <c r="H194">
        <v>364726037.5</v>
      </c>
      <c r="I194">
        <v>361287365.69999999</v>
      </c>
      <c r="J194">
        <v>351625822.60000002</v>
      </c>
      <c r="K194">
        <v>337869753.5</v>
      </c>
      <c r="L194">
        <v>329329266.60000002</v>
      </c>
      <c r="M194">
        <v>326002985.10000002</v>
      </c>
      <c r="N194">
        <v>325526236.39999998</v>
      </c>
      <c r="O194">
        <v>317795362.80000001</v>
      </c>
      <c r="P194">
        <v>310031832.80000001</v>
      </c>
      <c r="Q194">
        <v>298728571.60000002</v>
      </c>
      <c r="R194">
        <v>291835089.89999998</v>
      </c>
      <c r="S194">
        <v>285106492.89999998</v>
      </c>
      <c r="T194">
        <v>282098542</v>
      </c>
      <c r="U194">
        <v>278869719.30000001</v>
      </c>
      <c r="V194">
        <v>276428854.89999998</v>
      </c>
      <c r="W194">
        <v>275769724.60000002</v>
      </c>
      <c r="X194">
        <v>273794809</v>
      </c>
      <c r="Y194">
        <v>272592002.19999999</v>
      </c>
      <c r="Z194">
        <v>272464862</v>
      </c>
      <c r="AA194">
        <v>272066792.10000002</v>
      </c>
      <c r="AB194">
        <v>271573471.39999998</v>
      </c>
      <c r="AC194">
        <v>270530247.30000001</v>
      </c>
      <c r="AD194">
        <v>269918168.30000001</v>
      </c>
      <c r="AE194">
        <v>269393419.69999999</v>
      </c>
      <c r="AF194">
        <v>268933892.30000001</v>
      </c>
      <c r="AG194">
        <v>268382125.5</v>
      </c>
      <c r="AH194">
        <v>267851646.19999999</v>
      </c>
      <c r="AI194">
        <v>267435383.90000001</v>
      </c>
      <c r="AJ194">
        <v>267069736.69999999</v>
      </c>
      <c r="AK194">
        <v>266686304.09999999</v>
      </c>
      <c r="AL194">
        <v>266332308.09999999</v>
      </c>
      <c r="AM194">
        <v>265995503</v>
      </c>
      <c r="AN194">
        <v>265152234.40000001</v>
      </c>
      <c r="AO194">
        <v>264284147.09999999</v>
      </c>
      <c r="AP194">
        <v>263312192.19999999</v>
      </c>
      <c r="AQ194">
        <v>262328650.80000001</v>
      </c>
      <c r="AR194">
        <v>261088272.40000001</v>
      </c>
      <c r="AS194">
        <v>260438309.59999999</v>
      </c>
      <c r="AT194">
        <v>259814611.90000001</v>
      </c>
      <c r="AU194">
        <v>259164003.30000001</v>
      </c>
      <c r="AV194">
        <v>258509132.80000001</v>
      </c>
      <c r="AW194">
        <v>257989638.30000001</v>
      </c>
    </row>
    <row r="195" spans="2:49" x14ac:dyDescent="0.25">
      <c r="B195" t="s">
        <v>496</v>
      </c>
      <c r="C195">
        <v>255.88316116441601</v>
      </c>
      <c r="D195">
        <v>259.991448084664</v>
      </c>
      <c r="E195">
        <v>230.85787869999999</v>
      </c>
      <c r="F195">
        <v>238.17865620000001</v>
      </c>
      <c r="G195">
        <v>238.4189992</v>
      </c>
      <c r="H195">
        <v>228.92589090000001</v>
      </c>
      <c r="I195">
        <v>236.28520270000001</v>
      </c>
      <c r="J195">
        <v>237.17127809999999</v>
      </c>
      <c r="K195">
        <v>234.3841572</v>
      </c>
      <c r="L195">
        <v>231.52802439999999</v>
      </c>
      <c r="M195">
        <v>230.60786479999999</v>
      </c>
      <c r="N195">
        <v>229.13562329999999</v>
      </c>
      <c r="O195">
        <v>221.1971471</v>
      </c>
      <c r="P195">
        <v>216.9361419</v>
      </c>
      <c r="Q195">
        <v>212.10844890000001</v>
      </c>
      <c r="R195">
        <v>205.874898</v>
      </c>
      <c r="S195">
        <v>199.62575409999999</v>
      </c>
      <c r="T195">
        <v>197.9659399</v>
      </c>
      <c r="U195">
        <v>196.63405710000001</v>
      </c>
      <c r="V195">
        <v>195.8115876</v>
      </c>
      <c r="W195">
        <v>201.33172479999999</v>
      </c>
      <c r="X195">
        <v>206.91303880000001</v>
      </c>
      <c r="Y195">
        <v>209.18349789999999</v>
      </c>
      <c r="Z195">
        <v>211.32468890000001</v>
      </c>
      <c r="AA195">
        <v>213.39747550000001</v>
      </c>
      <c r="AB195">
        <v>214.96064250000001</v>
      </c>
      <c r="AC195">
        <v>216.64277630000001</v>
      </c>
      <c r="AD195">
        <v>216.83918059999999</v>
      </c>
      <c r="AE195">
        <v>217.02955320000001</v>
      </c>
      <c r="AF195">
        <v>217.24113299999999</v>
      </c>
      <c r="AG195">
        <v>217.4001835</v>
      </c>
      <c r="AH195">
        <v>217.6398475</v>
      </c>
      <c r="AI195">
        <v>217.82310190000001</v>
      </c>
      <c r="AJ195">
        <v>217.97328630000001</v>
      </c>
      <c r="AK195">
        <v>218.05751029999999</v>
      </c>
      <c r="AL195">
        <v>218.1365054</v>
      </c>
      <c r="AM195">
        <v>218.2020876</v>
      </c>
      <c r="AN195">
        <v>217.96105259999999</v>
      </c>
      <c r="AO195">
        <v>217.6879921</v>
      </c>
      <c r="AP195">
        <v>217.3580991</v>
      </c>
      <c r="AQ195">
        <v>216.9851755</v>
      </c>
      <c r="AR195">
        <v>216.63409619999999</v>
      </c>
      <c r="AS195">
        <v>216.69620639999999</v>
      </c>
      <c r="AT195">
        <v>216.74858639999999</v>
      </c>
      <c r="AU195">
        <v>216.76875430000001</v>
      </c>
      <c r="AV195">
        <v>216.77261050000001</v>
      </c>
      <c r="AW195">
        <v>216.8364244</v>
      </c>
    </row>
    <row r="196" spans="2:49" x14ac:dyDescent="0.25">
      <c r="B196" t="s">
        <v>497</v>
      </c>
      <c r="C196">
        <v>5.5705789795526002</v>
      </c>
      <c r="D196">
        <v>5.6600164269241402</v>
      </c>
      <c r="E196">
        <v>4.7606703819999998</v>
      </c>
      <c r="F196">
        <v>4.8013044579999997</v>
      </c>
      <c r="G196">
        <v>4.0003632610000004</v>
      </c>
      <c r="H196">
        <v>3.5072477809999998</v>
      </c>
      <c r="I196">
        <v>3.4836958779999998</v>
      </c>
      <c r="J196">
        <v>3.3331722269999999</v>
      </c>
      <c r="K196">
        <v>3.2187509410000001</v>
      </c>
      <c r="L196">
        <v>3.4374174150000001</v>
      </c>
      <c r="M196">
        <v>3.5288717809999999</v>
      </c>
      <c r="N196">
        <v>3.5910665370000001</v>
      </c>
      <c r="O196">
        <v>2.8329629700000001</v>
      </c>
      <c r="P196">
        <v>2.3860619719999998</v>
      </c>
      <c r="Q196">
        <v>2.0990921760000001</v>
      </c>
      <c r="R196">
        <v>1.912048771</v>
      </c>
      <c r="S196">
        <v>1.739122941</v>
      </c>
      <c r="T196">
        <v>1.7062631690000001</v>
      </c>
      <c r="U196">
        <v>1.6854159989999999</v>
      </c>
      <c r="V196">
        <v>1.678433906</v>
      </c>
      <c r="W196">
        <v>1.6399399219999999</v>
      </c>
      <c r="X196">
        <v>1.5878891479999999</v>
      </c>
      <c r="Y196">
        <v>1.5817919540000001</v>
      </c>
      <c r="Z196">
        <v>1.587714463</v>
      </c>
      <c r="AA196">
        <v>1.5928449360000001</v>
      </c>
      <c r="AB196">
        <v>1.5978570990000001</v>
      </c>
      <c r="AC196">
        <v>1.6003855769999999</v>
      </c>
      <c r="AD196">
        <v>1.6214762840000001</v>
      </c>
      <c r="AE196">
        <v>1.639184542</v>
      </c>
      <c r="AF196">
        <v>1.657123839</v>
      </c>
      <c r="AG196">
        <v>1.675968801</v>
      </c>
      <c r="AH196">
        <v>1.6940189510000001</v>
      </c>
      <c r="AI196">
        <v>1.716577695</v>
      </c>
      <c r="AJ196">
        <v>1.7378479650000001</v>
      </c>
      <c r="AK196">
        <v>1.7588208350000001</v>
      </c>
      <c r="AL196">
        <v>1.7800238230000001</v>
      </c>
      <c r="AM196">
        <v>1.801260343</v>
      </c>
      <c r="AN196">
        <v>1.8021894350000001</v>
      </c>
      <c r="AO196">
        <v>1.8002470269999999</v>
      </c>
      <c r="AP196">
        <v>1.795542295</v>
      </c>
      <c r="AQ196">
        <v>1.7894227030000001</v>
      </c>
      <c r="AR196">
        <v>1.7795838319999999</v>
      </c>
      <c r="AS196">
        <v>1.783650696</v>
      </c>
      <c r="AT196">
        <v>1.788168245</v>
      </c>
      <c r="AU196">
        <v>1.7922024299999999</v>
      </c>
      <c r="AV196">
        <v>1.7956949740000001</v>
      </c>
      <c r="AW196">
        <v>1.7995674129999999</v>
      </c>
    </row>
    <row r="197" spans="2:49" x14ac:dyDescent="0.25">
      <c r="B197" t="s">
        <v>498</v>
      </c>
      <c r="C197">
        <v>5.5705789795526002</v>
      </c>
      <c r="D197">
        <v>5.6600164269241402</v>
      </c>
      <c r="E197">
        <v>4.7606703819999998</v>
      </c>
      <c r="F197">
        <v>4.8013044579999997</v>
      </c>
      <c r="G197">
        <v>4.0003632610000004</v>
      </c>
      <c r="H197">
        <v>3.5072477809999998</v>
      </c>
      <c r="I197">
        <v>3.4836958779999998</v>
      </c>
      <c r="J197">
        <v>3.3331722269999999</v>
      </c>
      <c r="K197">
        <v>3.2187509410000001</v>
      </c>
      <c r="L197">
        <v>3.4374174150000001</v>
      </c>
      <c r="M197">
        <v>3.5288717809999999</v>
      </c>
      <c r="N197">
        <v>3.5910665370000001</v>
      </c>
      <c r="O197">
        <v>2.8329629700000001</v>
      </c>
      <c r="P197">
        <v>2.3860619719999998</v>
      </c>
      <c r="Q197">
        <v>2.0990921760000001</v>
      </c>
      <c r="R197">
        <v>1.912048771</v>
      </c>
      <c r="S197">
        <v>1.739122941</v>
      </c>
      <c r="T197">
        <v>1.7062631690000001</v>
      </c>
      <c r="U197">
        <v>1.6854159989999999</v>
      </c>
      <c r="V197">
        <v>1.678433906</v>
      </c>
      <c r="W197">
        <v>1.6399399219999999</v>
      </c>
      <c r="X197">
        <v>1.5878891479999999</v>
      </c>
      <c r="Y197">
        <v>1.5817919540000001</v>
      </c>
      <c r="Z197">
        <v>1.587714463</v>
      </c>
      <c r="AA197">
        <v>1.5928449360000001</v>
      </c>
      <c r="AB197">
        <v>1.5978570990000001</v>
      </c>
      <c r="AC197">
        <v>1.6003855769999999</v>
      </c>
      <c r="AD197">
        <v>1.6214762840000001</v>
      </c>
      <c r="AE197">
        <v>1.639184542</v>
      </c>
      <c r="AF197">
        <v>1.657123839</v>
      </c>
      <c r="AG197">
        <v>1.675968801</v>
      </c>
      <c r="AH197">
        <v>1.6940189510000001</v>
      </c>
      <c r="AI197">
        <v>1.716577695</v>
      </c>
      <c r="AJ197">
        <v>1.7378479650000001</v>
      </c>
      <c r="AK197">
        <v>1.7588208350000001</v>
      </c>
      <c r="AL197">
        <v>1.7800238230000001</v>
      </c>
      <c r="AM197">
        <v>1.801260343</v>
      </c>
      <c r="AN197">
        <v>1.8021894350000001</v>
      </c>
      <c r="AO197">
        <v>1.8002470269999999</v>
      </c>
      <c r="AP197">
        <v>1.795542295</v>
      </c>
      <c r="AQ197">
        <v>1.7894227030000001</v>
      </c>
      <c r="AR197">
        <v>1.7795838319999999</v>
      </c>
      <c r="AS197">
        <v>1.783650696</v>
      </c>
      <c r="AT197">
        <v>1.788168245</v>
      </c>
      <c r="AU197">
        <v>1.7922024299999999</v>
      </c>
      <c r="AV197">
        <v>1.7956949740000001</v>
      </c>
      <c r="AW197">
        <v>1.7995674129999999</v>
      </c>
    </row>
    <row r="198" spans="2:49" x14ac:dyDescent="0.25">
      <c r="B198" t="s">
        <v>499</v>
      </c>
      <c r="C198">
        <v>82.165927612137295</v>
      </c>
      <c r="D198">
        <v>83.485128157272499</v>
      </c>
      <c r="E198">
        <v>70.711797430000004</v>
      </c>
      <c r="F198">
        <v>71.559114660000006</v>
      </c>
      <c r="G198">
        <v>68.144366480000002</v>
      </c>
      <c r="H198">
        <v>66.043895919999997</v>
      </c>
      <c r="I198">
        <v>65.095490620000007</v>
      </c>
      <c r="J198">
        <v>62.984761020000001</v>
      </c>
      <c r="K198">
        <v>60.656291250000002</v>
      </c>
      <c r="L198">
        <v>59.021561689999999</v>
      </c>
      <c r="M198">
        <v>58.657903679999997</v>
      </c>
      <c r="N198">
        <v>58.915800670000003</v>
      </c>
      <c r="O198">
        <v>57.715216869999999</v>
      </c>
      <c r="P198">
        <v>56.007156049999999</v>
      </c>
      <c r="Q198">
        <v>53.60150994</v>
      </c>
      <c r="R198">
        <v>52.064293149999997</v>
      </c>
      <c r="S198">
        <v>50.65053297</v>
      </c>
      <c r="T198">
        <v>50.694173450000001</v>
      </c>
      <c r="U198">
        <v>50.605884099999997</v>
      </c>
      <c r="V198">
        <v>50.619185190000003</v>
      </c>
      <c r="W198">
        <v>50.290731520000001</v>
      </c>
      <c r="X198">
        <v>49.530653549999997</v>
      </c>
      <c r="Y198">
        <v>49.032247980000001</v>
      </c>
      <c r="Z198">
        <v>48.750998899999999</v>
      </c>
      <c r="AA198">
        <v>48.452412899999999</v>
      </c>
      <c r="AB198">
        <v>48.142944409999998</v>
      </c>
      <c r="AC198">
        <v>47.702414900000001</v>
      </c>
      <c r="AD198">
        <v>47.323381589999997</v>
      </c>
      <c r="AE198">
        <v>46.998433159999998</v>
      </c>
      <c r="AF198">
        <v>46.679959719999999</v>
      </c>
      <c r="AG198">
        <v>46.355982670000003</v>
      </c>
      <c r="AH198">
        <v>46.038266100000001</v>
      </c>
      <c r="AI198">
        <v>45.78621064</v>
      </c>
      <c r="AJ198">
        <v>45.549860969999997</v>
      </c>
      <c r="AK198">
        <v>45.309397949999997</v>
      </c>
      <c r="AL198">
        <v>45.076633489999999</v>
      </c>
      <c r="AM198">
        <v>44.849146449999999</v>
      </c>
      <c r="AN198">
        <v>44.592879930000002</v>
      </c>
      <c r="AO198">
        <v>44.326314570000001</v>
      </c>
      <c r="AP198">
        <v>44.041996609999998</v>
      </c>
      <c r="AQ198">
        <v>43.753462040000002</v>
      </c>
      <c r="AR198">
        <v>43.415924529999998</v>
      </c>
      <c r="AS198">
        <v>43.217933180000003</v>
      </c>
      <c r="AT198">
        <v>43.027740280000003</v>
      </c>
      <c r="AU198">
        <v>42.837141699999997</v>
      </c>
      <c r="AV198">
        <v>42.649597180000001</v>
      </c>
      <c r="AW198">
        <v>42.480795129999997</v>
      </c>
    </row>
    <row r="199" spans="2:49" x14ac:dyDescent="0.25">
      <c r="B199" t="s">
        <v>500</v>
      </c>
      <c r="C199">
        <v>0.67805251130835598</v>
      </c>
      <c r="D199">
        <v>0.68893886369971102</v>
      </c>
      <c r="E199">
        <v>0.8743882194</v>
      </c>
      <c r="F199">
        <v>1.167557188</v>
      </c>
      <c r="G199">
        <v>1.382507216</v>
      </c>
      <c r="H199">
        <v>1.6036344709999999</v>
      </c>
      <c r="I199">
        <v>1.8419600709999999</v>
      </c>
      <c r="J199">
        <v>2.0465872169999999</v>
      </c>
      <c r="K199">
        <v>2.2281109670000001</v>
      </c>
      <c r="L199">
        <v>2.4205979279999998</v>
      </c>
      <c r="M199">
        <v>2.6587170059999998</v>
      </c>
      <c r="N199">
        <v>2.9264260929999999</v>
      </c>
      <c r="O199">
        <v>2.917608049</v>
      </c>
      <c r="P199">
        <v>2.8835991189999999</v>
      </c>
      <c r="Q199">
        <v>2.8130152690000001</v>
      </c>
      <c r="R199">
        <v>2.7875041</v>
      </c>
      <c r="S199">
        <v>2.7691583560000002</v>
      </c>
      <c r="T199">
        <v>2.9012879649999999</v>
      </c>
      <c r="U199">
        <v>3.020947005</v>
      </c>
      <c r="V199">
        <v>3.141887256</v>
      </c>
      <c r="W199">
        <v>3.1215004309999999</v>
      </c>
      <c r="X199">
        <v>3.0743230760000002</v>
      </c>
      <c r="Y199">
        <v>3.0433874919999999</v>
      </c>
      <c r="Z199">
        <v>3.025930614</v>
      </c>
      <c r="AA199">
        <v>3.0073976500000001</v>
      </c>
      <c r="AB199">
        <v>2.9881892190000001</v>
      </c>
      <c r="AC199">
        <v>2.9608459489999999</v>
      </c>
      <c r="AD199">
        <v>2.9373196930000001</v>
      </c>
      <c r="AE199">
        <v>2.917150436</v>
      </c>
      <c r="AF199">
        <v>2.8973830770000002</v>
      </c>
      <c r="AG199">
        <v>2.8772741129999999</v>
      </c>
      <c r="AH199">
        <v>2.8575537309999999</v>
      </c>
      <c r="AI199">
        <v>2.8419088760000002</v>
      </c>
      <c r="AJ199">
        <v>2.827238865</v>
      </c>
      <c r="AK199">
        <v>2.812313541</v>
      </c>
      <c r="AL199">
        <v>2.7978660610000001</v>
      </c>
      <c r="AM199">
        <v>2.7837461449999998</v>
      </c>
      <c r="AN199">
        <v>2.767839913</v>
      </c>
      <c r="AO199">
        <v>2.7512944410000002</v>
      </c>
      <c r="AP199">
        <v>2.733647081</v>
      </c>
      <c r="AQ199">
        <v>2.715738</v>
      </c>
      <c r="AR199">
        <v>2.694787351</v>
      </c>
      <c r="AS199">
        <v>2.682498206</v>
      </c>
      <c r="AT199">
        <v>2.6706931040000002</v>
      </c>
      <c r="AU199">
        <v>2.658862821</v>
      </c>
      <c r="AV199">
        <v>2.6472221020000002</v>
      </c>
      <c r="AW199">
        <v>2.636744711</v>
      </c>
    </row>
    <row r="200" spans="2:49" x14ac:dyDescent="0.25">
      <c r="B200" t="s">
        <v>501</v>
      </c>
      <c r="C200">
        <v>82.165927612137295</v>
      </c>
      <c r="D200">
        <v>83.485128157272499</v>
      </c>
      <c r="E200">
        <v>70.711797430000004</v>
      </c>
      <c r="F200">
        <v>71.559114660000006</v>
      </c>
      <c r="G200">
        <v>68.144366480000002</v>
      </c>
      <c r="H200">
        <v>66.043895919999997</v>
      </c>
      <c r="I200">
        <v>65.095490620000007</v>
      </c>
      <c r="J200">
        <v>62.984761020000001</v>
      </c>
      <c r="K200">
        <v>60.656291250000002</v>
      </c>
      <c r="L200">
        <v>59.021561689999999</v>
      </c>
      <c r="M200">
        <v>58.657903679999997</v>
      </c>
      <c r="N200">
        <v>58.915800670000003</v>
      </c>
      <c r="O200">
        <v>57.715216869999999</v>
      </c>
      <c r="P200">
        <v>56.007156049999999</v>
      </c>
      <c r="Q200">
        <v>53.60150994</v>
      </c>
      <c r="R200">
        <v>52.064293149999997</v>
      </c>
      <c r="S200">
        <v>50.65053297</v>
      </c>
      <c r="T200">
        <v>50.694173450000001</v>
      </c>
      <c r="U200">
        <v>50.605884099999997</v>
      </c>
      <c r="V200">
        <v>50.619185190000003</v>
      </c>
      <c r="W200">
        <v>50.290731520000001</v>
      </c>
      <c r="X200">
        <v>49.530653549999997</v>
      </c>
      <c r="Y200">
        <v>49.032247980000001</v>
      </c>
      <c r="Z200">
        <v>48.750998899999999</v>
      </c>
      <c r="AA200">
        <v>48.452412899999999</v>
      </c>
      <c r="AB200">
        <v>48.142944409999998</v>
      </c>
      <c r="AC200">
        <v>47.702414900000001</v>
      </c>
      <c r="AD200">
        <v>47.323381589999997</v>
      </c>
      <c r="AE200">
        <v>46.998433159999998</v>
      </c>
      <c r="AF200">
        <v>46.679959719999999</v>
      </c>
      <c r="AG200">
        <v>46.355982670000003</v>
      </c>
      <c r="AH200">
        <v>46.038266100000001</v>
      </c>
      <c r="AI200">
        <v>45.78621064</v>
      </c>
      <c r="AJ200">
        <v>45.549860969999997</v>
      </c>
      <c r="AK200">
        <v>45.309397949999997</v>
      </c>
      <c r="AL200">
        <v>45.076633489999999</v>
      </c>
      <c r="AM200">
        <v>44.849146449999999</v>
      </c>
      <c r="AN200">
        <v>44.592879930000002</v>
      </c>
      <c r="AO200">
        <v>44.326314570000001</v>
      </c>
      <c r="AP200">
        <v>44.041996609999998</v>
      </c>
      <c r="AQ200">
        <v>43.753462040000002</v>
      </c>
      <c r="AR200">
        <v>43.415924529999998</v>
      </c>
      <c r="AS200">
        <v>43.217933180000003</v>
      </c>
      <c r="AT200">
        <v>43.027740280000003</v>
      </c>
      <c r="AU200">
        <v>42.837141699999997</v>
      </c>
      <c r="AV200">
        <v>42.649597180000001</v>
      </c>
      <c r="AW200">
        <v>42.480795129999997</v>
      </c>
    </row>
    <row r="201" spans="2:49" x14ac:dyDescent="0.25">
      <c r="B201" t="s">
        <v>502</v>
      </c>
      <c r="C201">
        <v>0.67805251130835598</v>
      </c>
      <c r="D201">
        <v>0.68893886369971102</v>
      </c>
      <c r="E201">
        <v>0.8743882194</v>
      </c>
      <c r="F201">
        <v>1.167557188</v>
      </c>
      <c r="G201">
        <v>1.382507216</v>
      </c>
      <c r="H201">
        <v>1.6036344709999999</v>
      </c>
      <c r="I201">
        <v>1.8419600709999999</v>
      </c>
      <c r="J201">
        <v>2.0465872169999999</v>
      </c>
      <c r="K201">
        <v>2.2281109670000001</v>
      </c>
      <c r="L201">
        <v>2.4205979279999998</v>
      </c>
      <c r="M201">
        <v>2.6587170059999998</v>
      </c>
      <c r="N201">
        <v>2.9264260929999999</v>
      </c>
      <c r="O201">
        <v>2.917608049</v>
      </c>
      <c r="P201">
        <v>2.8835991189999999</v>
      </c>
      <c r="Q201">
        <v>2.8130152690000001</v>
      </c>
      <c r="R201">
        <v>2.7875041</v>
      </c>
      <c r="S201">
        <v>2.7691583560000002</v>
      </c>
      <c r="T201">
        <v>2.9012879649999999</v>
      </c>
      <c r="U201">
        <v>3.020947005</v>
      </c>
      <c r="V201">
        <v>3.141887256</v>
      </c>
      <c r="W201">
        <v>3.1215004309999999</v>
      </c>
      <c r="X201">
        <v>3.0743230760000002</v>
      </c>
      <c r="Y201">
        <v>3.0433874919999999</v>
      </c>
      <c r="Z201">
        <v>3.025930614</v>
      </c>
      <c r="AA201">
        <v>3.0073976500000001</v>
      </c>
      <c r="AB201">
        <v>2.9881892190000001</v>
      </c>
      <c r="AC201">
        <v>2.9608459489999999</v>
      </c>
      <c r="AD201">
        <v>2.9373196930000001</v>
      </c>
      <c r="AE201">
        <v>2.917150436</v>
      </c>
      <c r="AF201">
        <v>2.8973830770000002</v>
      </c>
      <c r="AG201">
        <v>2.8772741129999999</v>
      </c>
      <c r="AH201">
        <v>2.8575537309999999</v>
      </c>
      <c r="AI201">
        <v>2.8419088760000002</v>
      </c>
      <c r="AJ201">
        <v>2.827238865</v>
      </c>
      <c r="AK201">
        <v>2.812313541</v>
      </c>
      <c r="AL201">
        <v>2.7978660610000001</v>
      </c>
      <c r="AM201">
        <v>2.7837461449999998</v>
      </c>
      <c r="AN201">
        <v>2.767839913</v>
      </c>
      <c r="AO201">
        <v>2.7512944410000002</v>
      </c>
      <c r="AP201">
        <v>2.733647081</v>
      </c>
      <c r="AQ201">
        <v>2.715738</v>
      </c>
      <c r="AR201">
        <v>2.694787351</v>
      </c>
      <c r="AS201">
        <v>2.682498206</v>
      </c>
      <c r="AT201">
        <v>2.6706931040000002</v>
      </c>
      <c r="AU201">
        <v>2.658862821</v>
      </c>
      <c r="AV201">
        <v>2.6472221020000002</v>
      </c>
      <c r="AW201">
        <v>2.636744711</v>
      </c>
    </row>
    <row r="202" spans="2:49" x14ac:dyDescent="0.25">
      <c r="B202" t="s">
        <v>503</v>
      </c>
      <c r="C202">
        <v>114.221490567207</v>
      </c>
      <c r="D202">
        <v>116.055353544252</v>
      </c>
      <c r="E202">
        <v>103.6846785</v>
      </c>
      <c r="F202">
        <v>108.3166131</v>
      </c>
      <c r="G202">
        <v>112.3264422</v>
      </c>
      <c r="H202">
        <v>106.99338059999999</v>
      </c>
      <c r="I202">
        <v>112.85490950000001</v>
      </c>
      <c r="J202">
        <v>114.7054852</v>
      </c>
      <c r="K202">
        <v>114.59975369999999</v>
      </c>
      <c r="L202">
        <v>113.0159893</v>
      </c>
      <c r="M202">
        <v>111.3464027</v>
      </c>
      <c r="N202">
        <v>108.23158429999999</v>
      </c>
      <c r="O202">
        <v>101.8171846</v>
      </c>
      <c r="P202">
        <v>99.200635790000007</v>
      </c>
      <c r="Q202">
        <v>97.646812460000007</v>
      </c>
      <c r="R202">
        <v>93.544277019999996</v>
      </c>
      <c r="S202">
        <v>89.132121889999894</v>
      </c>
      <c r="T202">
        <v>87.34968112</v>
      </c>
      <c r="U202">
        <v>85.758793760000003</v>
      </c>
      <c r="V202">
        <v>84.396164859999999</v>
      </c>
      <c r="W202">
        <v>89.041221449999995</v>
      </c>
      <c r="X202">
        <v>94.006538129999996</v>
      </c>
      <c r="Y202">
        <v>96.044601060000005</v>
      </c>
      <c r="Z202">
        <v>97.674769620000006</v>
      </c>
      <c r="AA202">
        <v>99.399433880000004</v>
      </c>
      <c r="AB202">
        <v>100.7354875</v>
      </c>
      <c r="AC202">
        <v>102.30034329999999</v>
      </c>
      <c r="AD202">
        <v>102.5475278</v>
      </c>
      <c r="AE202">
        <v>102.7943169</v>
      </c>
      <c r="AF202">
        <v>103.0391139</v>
      </c>
      <c r="AG202">
        <v>103.2780259</v>
      </c>
      <c r="AH202">
        <v>103.5861769</v>
      </c>
      <c r="AI202">
        <v>103.8463509</v>
      </c>
      <c r="AJ202">
        <v>104.0634153</v>
      </c>
      <c r="AK202">
        <v>104.2393374</v>
      </c>
      <c r="AL202">
        <v>104.4051539</v>
      </c>
      <c r="AM202">
        <v>104.55570899999999</v>
      </c>
      <c r="AN202">
        <v>104.6481728</v>
      </c>
      <c r="AO202">
        <v>104.721491</v>
      </c>
      <c r="AP202">
        <v>104.7792654</v>
      </c>
      <c r="AQ202">
        <v>104.8079585</v>
      </c>
      <c r="AR202">
        <v>104.9183989</v>
      </c>
      <c r="AS202">
        <v>105.2001827</v>
      </c>
      <c r="AT202">
        <v>105.4671543</v>
      </c>
      <c r="AU202">
        <v>105.7153053</v>
      </c>
      <c r="AV202">
        <v>105.9536289</v>
      </c>
      <c r="AW202">
        <v>106.21900050000001</v>
      </c>
    </row>
    <row r="203" spans="2:49" x14ac:dyDescent="0.25">
      <c r="B203" t="s">
        <v>504</v>
      </c>
      <c r="C203">
        <v>1.2736350545564401</v>
      </c>
      <c r="D203">
        <v>1.2940836773262701</v>
      </c>
      <c r="E203">
        <v>1.4657924280000001</v>
      </c>
      <c r="F203">
        <v>1.5339597389999999</v>
      </c>
      <c r="G203">
        <v>1.5935679439999999</v>
      </c>
      <c r="H203">
        <v>1.5206317899999999</v>
      </c>
      <c r="I203">
        <v>1.606849658</v>
      </c>
      <c r="J203">
        <v>1.600212532</v>
      </c>
      <c r="K203">
        <v>1.566730886</v>
      </c>
      <c r="L203">
        <v>1.5144891359999999</v>
      </c>
      <c r="M203">
        <v>1.462960883</v>
      </c>
      <c r="N203">
        <v>1.394662061</v>
      </c>
      <c r="O203">
        <v>1.333907781</v>
      </c>
      <c r="P203">
        <v>1.3228170269999999</v>
      </c>
      <c r="Q203">
        <v>1.326969356</v>
      </c>
      <c r="R203">
        <v>1.2972589800000001</v>
      </c>
      <c r="S203">
        <v>1.2632782410000001</v>
      </c>
      <c r="T203">
        <v>1.38760489</v>
      </c>
      <c r="U203">
        <v>1.516877421</v>
      </c>
      <c r="V203">
        <v>1.652789192</v>
      </c>
      <c r="W203">
        <v>1.7437565880000001</v>
      </c>
      <c r="X203">
        <v>1.8409958609999999</v>
      </c>
      <c r="Y203">
        <v>1.8809086749999999</v>
      </c>
      <c r="Z203">
        <v>1.9128334069999999</v>
      </c>
      <c r="AA203">
        <v>1.946608715</v>
      </c>
      <c r="AB203">
        <v>1.9727735900000001</v>
      </c>
      <c r="AC203">
        <v>2.0034192559999999</v>
      </c>
      <c r="AD203">
        <v>2.0082600419999999</v>
      </c>
      <c r="AE203">
        <v>2.0130930870000001</v>
      </c>
      <c r="AF203">
        <v>2.017887118</v>
      </c>
      <c r="AG203">
        <v>2.0225658989999999</v>
      </c>
      <c r="AH203">
        <v>2.0286006350000001</v>
      </c>
      <c r="AI203">
        <v>2.0336958040000002</v>
      </c>
      <c r="AJ203">
        <v>2.0379467280000001</v>
      </c>
      <c r="AK203">
        <v>2.041391934</v>
      </c>
      <c r="AL203">
        <v>2.0446392360000001</v>
      </c>
      <c r="AM203">
        <v>2.0475876610000001</v>
      </c>
      <c r="AN203">
        <v>2.049398445</v>
      </c>
      <c r="AO203">
        <v>2.0508342869999998</v>
      </c>
      <c r="AP203">
        <v>2.0519657229999999</v>
      </c>
      <c r="AQ203">
        <v>2.0525276400000001</v>
      </c>
      <c r="AR203">
        <v>2.0546904719999999</v>
      </c>
      <c r="AS203">
        <v>2.0602088420000002</v>
      </c>
      <c r="AT203">
        <v>2.0654371340000002</v>
      </c>
      <c r="AU203">
        <v>2.0702968469999998</v>
      </c>
      <c r="AV203">
        <v>2.0749641049999998</v>
      </c>
      <c r="AW203">
        <v>2.0801610629999998</v>
      </c>
    </row>
    <row r="204" spans="2:49" x14ac:dyDescent="0.25">
      <c r="B204" t="s">
        <v>505</v>
      </c>
      <c r="C204">
        <v>3.4574974609126801</v>
      </c>
      <c r="D204">
        <v>3.51300870100687</v>
      </c>
      <c r="E204">
        <v>3.1385469659999998</v>
      </c>
      <c r="F204">
        <v>3.2612013809999998</v>
      </c>
      <c r="G204">
        <v>3.3640114689999998</v>
      </c>
      <c r="H204">
        <v>3.187506333</v>
      </c>
      <c r="I204">
        <v>3.3447244309999999</v>
      </c>
      <c r="J204">
        <v>3.4643394829999998</v>
      </c>
      <c r="K204">
        <v>3.5324865000000001</v>
      </c>
      <c r="L204">
        <v>3.5603235660000001</v>
      </c>
      <c r="M204">
        <v>3.5892773299999998</v>
      </c>
      <c r="N204">
        <v>3.5738707110000001</v>
      </c>
      <c r="O204">
        <v>3.7561110480000002</v>
      </c>
      <c r="P204">
        <v>4.072568317</v>
      </c>
      <c r="Q204">
        <v>4.4474422799999997</v>
      </c>
      <c r="R204">
        <v>4.7155978489999999</v>
      </c>
      <c r="S204">
        <v>4.9643363569999996</v>
      </c>
      <c r="T204">
        <v>4.7125721169999997</v>
      </c>
      <c r="U204">
        <v>4.4711744409999996</v>
      </c>
      <c r="V204">
        <v>4.2409885349999996</v>
      </c>
      <c r="W204">
        <v>4.4744071009999997</v>
      </c>
      <c r="X204">
        <v>4.7239190439999996</v>
      </c>
      <c r="Y204">
        <v>4.8263336690000003</v>
      </c>
      <c r="Z204">
        <v>4.9082512080000003</v>
      </c>
      <c r="AA204">
        <v>4.9949172470000001</v>
      </c>
      <c r="AB204">
        <v>5.0620552300000003</v>
      </c>
      <c r="AC204">
        <v>5.1406907400000001</v>
      </c>
      <c r="AD204">
        <v>5.1531119949999997</v>
      </c>
      <c r="AE204">
        <v>5.1655133900000001</v>
      </c>
      <c r="AF204">
        <v>5.1778146740000004</v>
      </c>
      <c r="AG204">
        <v>5.1898202319999998</v>
      </c>
      <c r="AH204">
        <v>5.2053051139999997</v>
      </c>
      <c r="AI204">
        <v>5.2183791069999996</v>
      </c>
      <c r="AJ204">
        <v>5.2292868019999998</v>
      </c>
      <c r="AK204">
        <v>5.2381270569999998</v>
      </c>
      <c r="AL204">
        <v>5.2464594980000001</v>
      </c>
      <c r="AM204">
        <v>5.2540250339999996</v>
      </c>
      <c r="AN204">
        <v>5.2586714319999999</v>
      </c>
      <c r="AO204">
        <v>5.2623557439999997</v>
      </c>
      <c r="AP204">
        <v>5.2652589619999999</v>
      </c>
      <c r="AQ204">
        <v>5.2667008170000003</v>
      </c>
      <c r="AR204">
        <v>5.2722505530000001</v>
      </c>
      <c r="AS204">
        <v>5.2864104620000001</v>
      </c>
      <c r="AT204">
        <v>5.2998260420000003</v>
      </c>
      <c r="AU204">
        <v>5.3122958660000004</v>
      </c>
      <c r="AV204">
        <v>5.3242718560000002</v>
      </c>
      <c r="AW204">
        <v>5.3376070349999996</v>
      </c>
    </row>
    <row r="205" spans="2:49" x14ac:dyDescent="0.25">
      <c r="B205" t="s">
        <v>506</v>
      </c>
      <c r="C205">
        <v>5.0750954082325404</v>
      </c>
      <c r="D205">
        <v>5.1565777065978304</v>
      </c>
      <c r="E205">
        <v>4.6069232089999996</v>
      </c>
      <c r="F205">
        <v>4.4251166980000001</v>
      </c>
      <c r="G205">
        <v>4.2194283810000002</v>
      </c>
      <c r="H205">
        <v>3.6955524300000002</v>
      </c>
      <c r="I205">
        <v>3.584287314</v>
      </c>
      <c r="J205">
        <v>3.4991864989999999</v>
      </c>
      <c r="K205">
        <v>3.363120882</v>
      </c>
      <c r="L205">
        <v>3.19504111</v>
      </c>
      <c r="M205">
        <v>3.0361918769999998</v>
      </c>
      <c r="N205">
        <v>2.8497590119999998</v>
      </c>
      <c r="O205">
        <v>2.3702351209999999</v>
      </c>
      <c r="P205">
        <v>1.986256961</v>
      </c>
      <c r="Q205">
        <v>1.859735143</v>
      </c>
      <c r="R205">
        <v>1.8160311179999999</v>
      </c>
      <c r="S205">
        <v>1.7664383610000001</v>
      </c>
      <c r="T205">
        <v>1.758189008</v>
      </c>
      <c r="U205">
        <v>1.7535741419999999</v>
      </c>
      <c r="V205">
        <v>1.75353446</v>
      </c>
      <c r="W205">
        <v>1.8500467460000001</v>
      </c>
      <c r="X205">
        <v>1.9532132099999999</v>
      </c>
      <c r="Y205">
        <v>1.995558897</v>
      </c>
      <c r="Z205">
        <v>2.0294295920000001</v>
      </c>
      <c r="AA205">
        <v>2.0652636630000001</v>
      </c>
      <c r="AB205">
        <v>2.0930234099999998</v>
      </c>
      <c r="AC205">
        <v>2.1255370739999999</v>
      </c>
      <c r="AD205">
        <v>2.1306729280000001</v>
      </c>
      <c r="AE205">
        <v>2.1358005709999999</v>
      </c>
      <c r="AF205">
        <v>2.14088682</v>
      </c>
      <c r="AG205">
        <v>2.1458507949999999</v>
      </c>
      <c r="AH205">
        <v>2.152253376</v>
      </c>
      <c r="AI205">
        <v>2.1576591199999999</v>
      </c>
      <c r="AJ205">
        <v>2.1621691580000002</v>
      </c>
      <c r="AK205">
        <v>2.1658243650000002</v>
      </c>
      <c r="AL205">
        <v>2.1692696050000002</v>
      </c>
      <c r="AM205">
        <v>2.17239775</v>
      </c>
      <c r="AN205">
        <v>2.1743189100000002</v>
      </c>
      <c r="AO205">
        <v>2.1758422739999999</v>
      </c>
      <c r="AP205">
        <v>2.1770426760000001</v>
      </c>
      <c r="AQ205">
        <v>2.1776388450000002</v>
      </c>
      <c r="AR205">
        <v>2.1799335110000002</v>
      </c>
      <c r="AS205">
        <v>2.185788252</v>
      </c>
      <c r="AT205">
        <v>2.1913352320000001</v>
      </c>
      <c r="AU205">
        <v>2.1964911680000001</v>
      </c>
      <c r="AV205">
        <v>2.2014429170000001</v>
      </c>
      <c r="AW205">
        <v>2.2069566549999999</v>
      </c>
    </row>
    <row r="206" spans="2:49" x14ac:dyDescent="0.25">
      <c r="B206" t="s">
        <v>507</v>
      </c>
      <c r="C206">
        <v>0.35516190417563898</v>
      </c>
      <c r="D206">
        <v>0.36086414342755202</v>
      </c>
      <c r="E206">
        <v>0.50773300079999995</v>
      </c>
      <c r="F206">
        <v>0.87309624330000002</v>
      </c>
      <c r="G206">
        <v>1.216610207</v>
      </c>
      <c r="H206">
        <v>1.4134331170000001</v>
      </c>
      <c r="I206">
        <v>1.7146940449999999</v>
      </c>
      <c r="J206">
        <v>1.997314531</v>
      </c>
      <c r="K206">
        <v>2.211966673</v>
      </c>
      <c r="L206">
        <v>2.347646949</v>
      </c>
      <c r="M206">
        <v>2.4171445</v>
      </c>
      <c r="N206">
        <v>2.3758845609999999</v>
      </c>
      <c r="O206">
        <v>2.5043835059999999</v>
      </c>
      <c r="P206">
        <v>2.7235743569999999</v>
      </c>
      <c r="Q206">
        <v>2.9834324209999998</v>
      </c>
      <c r="R206">
        <v>3.1732166450000001</v>
      </c>
      <c r="S206">
        <v>3.3511956839999999</v>
      </c>
      <c r="T206">
        <v>3.4809093930000001</v>
      </c>
      <c r="U206">
        <v>3.6168196940000001</v>
      </c>
      <c r="V206">
        <v>3.76185597</v>
      </c>
      <c r="W206">
        <v>3.9689036940000002</v>
      </c>
      <c r="X206">
        <v>4.1902266199999998</v>
      </c>
      <c r="Y206">
        <v>4.281070787</v>
      </c>
      <c r="Z206">
        <v>4.3537335590000001</v>
      </c>
      <c r="AA206">
        <v>4.4306083620000001</v>
      </c>
      <c r="AB206">
        <v>4.4901613219999996</v>
      </c>
      <c r="AC206">
        <v>4.5599128569999996</v>
      </c>
      <c r="AD206">
        <v>4.5709308010000003</v>
      </c>
      <c r="AE206">
        <v>4.5819311279999999</v>
      </c>
      <c r="AF206">
        <v>4.5928426550000001</v>
      </c>
      <c r="AG206">
        <v>4.6034918649999996</v>
      </c>
      <c r="AH206">
        <v>4.6172273170000002</v>
      </c>
      <c r="AI206">
        <v>4.6288242549999996</v>
      </c>
      <c r="AJ206">
        <v>4.6384996349999996</v>
      </c>
      <c r="AK206">
        <v>4.6463411480000003</v>
      </c>
      <c r="AL206">
        <v>4.653732218</v>
      </c>
      <c r="AM206">
        <v>4.6604430260000003</v>
      </c>
      <c r="AN206">
        <v>4.664564489</v>
      </c>
      <c r="AO206">
        <v>4.6678325599999999</v>
      </c>
      <c r="AP206">
        <v>4.6704077819999998</v>
      </c>
      <c r="AQ206">
        <v>4.6716867410000003</v>
      </c>
      <c r="AR206">
        <v>4.6766094870000003</v>
      </c>
      <c r="AS206">
        <v>4.689169658</v>
      </c>
      <c r="AT206">
        <v>4.7010695910000004</v>
      </c>
      <c r="AU206">
        <v>4.7121306159999996</v>
      </c>
      <c r="AV206">
        <v>4.7227535979999997</v>
      </c>
      <c r="AW206">
        <v>4.7345822139999996</v>
      </c>
    </row>
    <row r="207" spans="2:49" x14ac:dyDescent="0.25">
      <c r="B207" t="s">
        <v>508</v>
      </c>
      <c r="C207">
        <v>7.99114284395189E-2</v>
      </c>
      <c r="D207">
        <v>8.1194432271199296E-2</v>
      </c>
      <c r="E207">
        <v>0.50773300079999995</v>
      </c>
      <c r="F207">
        <v>0.54423823179999997</v>
      </c>
      <c r="G207">
        <v>0.58586969919999998</v>
      </c>
      <c r="H207">
        <v>0.58733358769999999</v>
      </c>
      <c r="I207">
        <v>0.66243695290000004</v>
      </c>
      <c r="J207">
        <v>0.76100656720000004</v>
      </c>
      <c r="K207">
        <v>0.87543952810000003</v>
      </c>
      <c r="L207">
        <v>1.0135053469999999</v>
      </c>
      <c r="M207">
        <v>1.19514356</v>
      </c>
      <c r="N207">
        <v>1.4166029499999999</v>
      </c>
      <c r="O207">
        <v>1.458649541</v>
      </c>
      <c r="P207">
        <v>1.5538074180000001</v>
      </c>
      <c r="Q207">
        <v>1.670962265</v>
      </c>
      <c r="R207">
        <v>1.748126267</v>
      </c>
      <c r="S207">
        <v>1.8188717430000001</v>
      </c>
      <c r="T207">
        <v>1.8533494880000001</v>
      </c>
      <c r="U207">
        <v>1.8913821390000001</v>
      </c>
      <c r="V207">
        <v>1.9342766899999999</v>
      </c>
      <c r="W207">
        <v>2.040736796</v>
      </c>
      <c r="X207">
        <v>2.154536947</v>
      </c>
      <c r="Y207">
        <v>2.2012473360000002</v>
      </c>
      <c r="Z207">
        <v>2.2386091879999999</v>
      </c>
      <c r="AA207">
        <v>2.2781367879999999</v>
      </c>
      <c r="AB207">
        <v>2.3087578180000001</v>
      </c>
      <c r="AC207">
        <v>2.3446227660000001</v>
      </c>
      <c r="AD207">
        <v>2.3502879889999999</v>
      </c>
      <c r="AE207">
        <v>2.3559441529999998</v>
      </c>
      <c r="AF207">
        <v>2.3615546580000002</v>
      </c>
      <c r="AG207">
        <v>2.3670302849999998</v>
      </c>
      <c r="AH207">
        <v>2.3740928000000001</v>
      </c>
      <c r="AI207">
        <v>2.3800557310000001</v>
      </c>
      <c r="AJ207">
        <v>2.3850306319999999</v>
      </c>
      <c r="AK207">
        <v>2.3890625929999998</v>
      </c>
      <c r="AL207">
        <v>2.392862944</v>
      </c>
      <c r="AM207">
        <v>2.3963135169999998</v>
      </c>
      <c r="AN207">
        <v>2.3984326970000001</v>
      </c>
      <c r="AO207">
        <v>2.400113079</v>
      </c>
      <c r="AP207">
        <v>2.4014372100000001</v>
      </c>
      <c r="AQ207">
        <v>2.402094827</v>
      </c>
      <c r="AR207">
        <v>2.404626012</v>
      </c>
      <c r="AS207">
        <v>2.4110842190000001</v>
      </c>
      <c r="AT207">
        <v>2.4172029450000001</v>
      </c>
      <c r="AU207">
        <v>2.422890319</v>
      </c>
      <c r="AV207">
        <v>2.4283524600000002</v>
      </c>
      <c r="AW207">
        <v>2.434434515</v>
      </c>
    </row>
    <row r="208" spans="2:49" x14ac:dyDescent="0.25">
      <c r="B208" t="s">
        <v>509</v>
      </c>
      <c r="C208">
        <v>4.4799793836545803</v>
      </c>
      <c r="D208">
        <v>4.5519069017495504</v>
      </c>
      <c r="E208">
        <v>4.0667060099999999</v>
      </c>
      <c r="F208">
        <v>4.0198502420000004</v>
      </c>
      <c r="G208">
        <v>3.9440833099999999</v>
      </c>
      <c r="H208">
        <v>3.554152717</v>
      </c>
      <c r="I208">
        <v>3.5463676359999998</v>
      </c>
      <c r="J208">
        <v>3.4697651199999999</v>
      </c>
      <c r="K208">
        <v>3.3413432240000001</v>
      </c>
      <c r="L208">
        <v>3.1801489510000001</v>
      </c>
      <c r="M208">
        <v>3.0274902419999998</v>
      </c>
      <c r="N208">
        <v>2.8468841899999999</v>
      </c>
      <c r="O208">
        <v>3.0285406109999999</v>
      </c>
      <c r="P208">
        <v>3.3202813309999999</v>
      </c>
      <c r="Q208">
        <v>3.6632431510000001</v>
      </c>
      <c r="R208">
        <v>3.9214439319999999</v>
      </c>
      <c r="S208">
        <v>4.1656316799999997</v>
      </c>
      <c r="T208">
        <v>4.3201311660000004</v>
      </c>
      <c r="U208">
        <v>4.4825823099999997</v>
      </c>
      <c r="V208">
        <v>4.6565729940000002</v>
      </c>
      <c r="W208">
        <v>4.912864795</v>
      </c>
      <c r="X208">
        <v>5.1868270010000002</v>
      </c>
      <c r="Y208">
        <v>5.2992774760000003</v>
      </c>
      <c r="Z208">
        <v>5.3892223079999999</v>
      </c>
      <c r="AA208">
        <v>5.4843809569999999</v>
      </c>
      <c r="AB208">
        <v>5.5580979490000004</v>
      </c>
      <c r="AC208">
        <v>5.6444391380000001</v>
      </c>
      <c r="AD208">
        <v>5.6580775809999997</v>
      </c>
      <c r="AE208">
        <v>5.6716942179999998</v>
      </c>
      <c r="AF208">
        <v>5.685200934</v>
      </c>
      <c r="AG208">
        <v>5.6983829439999996</v>
      </c>
      <c r="AH208">
        <v>5.7153852260000004</v>
      </c>
      <c r="AI208">
        <v>5.7297403710000001</v>
      </c>
      <c r="AJ208">
        <v>5.7417169360000004</v>
      </c>
      <c r="AK208">
        <v>5.7514234689999997</v>
      </c>
      <c r="AL208">
        <v>5.7605724250000003</v>
      </c>
      <c r="AM208">
        <v>5.7688793269999996</v>
      </c>
      <c r="AN208">
        <v>5.7739810360000003</v>
      </c>
      <c r="AO208">
        <v>5.7780263820000002</v>
      </c>
      <c r="AP208">
        <v>5.7812140940000001</v>
      </c>
      <c r="AQ208">
        <v>5.7827972389999998</v>
      </c>
      <c r="AR208">
        <v>5.7888908069999996</v>
      </c>
      <c r="AS208">
        <v>5.8044382790000002</v>
      </c>
      <c r="AT208">
        <v>5.8191684830000003</v>
      </c>
      <c r="AU208">
        <v>5.8328602549999999</v>
      </c>
      <c r="AV208">
        <v>5.8460098</v>
      </c>
      <c r="AW208">
        <v>5.8606517250000003</v>
      </c>
    </row>
    <row r="209" spans="2:49" x14ac:dyDescent="0.25">
      <c r="B209" t="s">
        <v>510</v>
      </c>
      <c r="C209">
        <v>1.4169855567767899</v>
      </c>
      <c r="D209">
        <v>1.4397357182278101</v>
      </c>
      <c r="E209">
        <v>2.7801289140000001</v>
      </c>
      <c r="F209">
        <v>3.0837312790000002</v>
      </c>
      <c r="G209">
        <v>3.4056353110000002</v>
      </c>
      <c r="H209">
        <v>3.4650539980000001</v>
      </c>
      <c r="I209">
        <v>3.915645681</v>
      </c>
      <c r="J209">
        <v>4.1645491979999996</v>
      </c>
      <c r="K209">
        <v>4.3650389970000001</v>
      </c>
      <c r="L209">
        <v>4.5278265690000001</v>
      </c>
      <c r="M209">
        <v>4.7042507990000004</v>
      </c>
      <c r="N209">
        <v>4.8343282390000004</v>
      </c>
      <c r="O209">
        <v>4.4632455550000003</v>
      </c>
      <c r="P209">
        <v>4.2620633359999998</v>
      </c>
      <c r="Q209">
        <v>4.1056568899999997</v>
      </c>
      <c r="R209">
        <v>3.8423899920000002</v>
      </c>
      <c r="S209">
        <v>3.569377003</v>
      </c>
      <c r="T209">
        <v>3.6677612530000001</v>
      </c>
      <c r="U209">
        <v>3.7736582699999999</v>
      </c>
      <c r="V209">
        <v>3.8898737369999998</v>
      </c>
      <c r="W209">
        <v>4.1039673949999997</v>
      </c>
      <c r="X209">
        <v>4.3328220460000004</v>
      </c>
      <c r="Y209">
        <v>4.4267576829999999</v>
      </c>
      <c r="Z209">
        <v>4.501893205</v>
      </c>
      <c r="AA209">
        <v>4.5813840939999997</v>
      </c>
      <c r="AB209">
        <v>4.6429636700000003</v>
      </c>
      <c r="AC209">
        <v>4.715088884</v>
      </c>
      <c r="AD209">
        <v>4.7264817729999997</v>
      </c>
      <c r="AE209">
        <v>4.7378564470000004</v>
      </c>
      <c r="AF209">
        <v>4.7491392980000002</v>
      </c>
      <c r="AG209">
        <v>4.7601509059999998</v>
      </c>
      <c r="AH209">
        <v>4.7743537820000004</v>
      </c>
      <c r="AI209">
        <v>4.7863453700000003</v>
      </c>
      <c r="AJ209">
        <v>4.796350007</v>
      </c>
      <c r="AK209">
        <v>4.8044583709999999</v>
      </c>
      <c r="AL209">
        <v>4.8121009619999997</v>
      </c>
      <c r="AM209">
        <v>4.8190401420000004</v>
      </c>
      <c r="AN209">
        <v>4.823301861</v>
      </c>
      <c r="AO209">
        <v>4.8266811450000002</v>
      </c>
      <c r="AP209">
        <v>4.8293440040000002</v>
      </c>
      <c r="AQ209">
        <v>4.8306664870000002</v>
      </c>
      <c r="AR209">
        <v>4.8357567560000003</v>
      </c>
      <c r="AS209">
        <v>4.848744355</v>
      </c>
      <c r="AT209">
        <v>4.8610492479999996</v>
      </c>
      <c r="AU209">
        <v>4.8724866860000002</v>
      </c>
      <c r="AV209">
        <v>4.8834711730000002</v>
      </c>
      <c r="AW209">
        <v>4.8957023230000001</v>
      </c>
    </row>
    <row r="210" spans="2:49" x14ac:dyDescent="0.25">
      <c r="B210" t="s">
        <v>511</v>
      </c>
      <c r="C210">
        <v>114.221490567207</v>
      </c>
      <c r="D210">
        <v>116.055353544252</v>
      </c>
      <c r="E210">
        <v>103.6846785</v>
      </c>
      <c r="F210">
        <v>108.3166131</v>
      </c>
      <c r="G210">
        <v>112.3264422</v>
      </c>
      <c r="H210">
        <v>106.99338059999999</v>
      </c>
      <c r="I210">
        <v>112.85490950000001</v>
      </c>
      <c r="J210">
        <v>114.7054852</v>
      </c>
      <c r="K210">
        <v>114.59975369999999</v>
      </c>
      <c r="L210">
        <v>113.0159893</v>
      </c>
      <c r="M210">
        <v>111.3464027</v>
      </c>
      <c r="N210">
        <v>108.23158429999999</v>
      </c>
      <c r="O210">
        <v>101.8171846</v>
      </c>
      <c r="P210">
        <v>99.200635790000007</v>
      </c>
      <c r="Q210">
        <v>97.646812460000007</v>
      </c>
      <c r="R210">
        <v>93.544277019999996</v>
      </c>
      <c r="S210">
        <v>89.132121889999894</v>
      </c>
      <c r="T210">
        <v>87.34968112</v>
      </c>
      <c r="U210">
        <v>85.758793760000003</v>
      </c>
      <c r="V210">
        <v>84.396164859999999</v>
      </c>
      <c r="W210">
        <v>89.041221449999995</v>
      </c>
      <c r="X210">
        <v>94.006538129999996</v>
      </c>
      <c r="Y210">
        <v>96.044601060000005</v>
      </c>
      <c r="Z210">
        <v>97.674769620000006</v>
      </c>
      <c r="AA210">
        <v>99.399433880000004</v>
      </c>
      <c r="AB210">
        <v>100.7354875</v>
      </c>
      <c r="AC210">
        <v>102.30034329999999</v>
      </c>
      <c r="AD210">
        <v>102.5475278</v>
      </c>
      <c r="AE210">
        <v>102.7943169</v>
      </c>
      <c r="AF210">
        <v>103.0391139</v>
      </c>
      <c r="AG210">
        <v>103.2780259</v>
      </c>
      <c r="AH210">
        <v>103.5861769</v>
      </c>
      <c r="AI210">
        <v>103.8463509</v>
      </c>
      <c r="AJ210">
        <v>104.0634153</v>
      </c>
      <c r="AK210">
        <v>104.2393374</v>
      </c>
      <c r="AL210">
        <v>104.4051539</v>
      </c>
      <c r="AM210">
        <v>104.55570899999999</v>
      </c>
      <c r="AN210">
        <v>104.6481728</v>
      </c>
      <c r="AO210">
        <v>104.721491</v>
      </c>
      <c r="AP210">
        <v>104.7792654</v>
      </c>
      <c r="AQ210">
        <v>104.8079585</v>
      </c>
      <c r="AR210">
        <v>104.9183989</v>
      </c>
      <c r="AS210">
        <v>105.2001827</v>
      </c>
      <c r="AT210">
        <v>105.4671543</v>
      </c>
      <c r="AU210">
        <v>105.7153053</v>
      </c>
      <c r="AV210">
        <v>105.9536289</v>
      </c>
      <c r="AW210">
        <v>106.21900050000001</v>
      </c>
    </row>
    <row r="211" spans="2:49" x14ac:dyDescent="0.25">
      <c r="B211" t="s">
        <v>512</v>
      </c>
      <c r="C211">
        <v>1.2736350545564401</v>
      </c>
      <c r="D211">
        <v>1.2940836773262701</v>
      </c>
      <c r="E211">
        <v>1.4657924280000001</v>
      </c>
      <c r="F211">
        <v>1.5339597389999999</v>
      </c>
      <c r="G211">
        <v>1.5935679439999999</v>
      </c>
      <c r="H211">
        <v>1.5206317899999999</v>
      </c>
      <c r="I211">
        <v>1.606849658</v>
      </c>
      <c r="J211">
        <v>1.600212532</v>
      </c>
      <c r="K211">
        <v>1.566730886</v>
      </c>
      <c r="L211">
        <v>1.5144891359999999</v>
      </c>
      <c r="M211">
        <v>1.462960883</v>
      </c>
      <c r="N211">
        <v>1.394662061</v>
      </c>
      <c r="O211">
        <v>1.333907781</v>
      </c>
      <c r="P211">
        <v>1.3228170269999999</v>
      </c>
      <c r="Q211">
        <v>1.326969356</v>
      </c>
      <c r="R211">
        <v>1.2972589800000001</v>
      </c>
      <c r="S211">
        <v>1.2632782410000001</v>
      </c>
      <c r="T211">
        <v>1.38760489</v>
      </c>
      <c r="U211">
        <v>1.516877421</v>
      </c>
      <c r="V211">
        <v>1.652789192</v>
      </c>
      <c r="W211">
        <v>1.7437565880000001</v>
      </c>
      <c r="X211">
        <v>1.8409958609999999</v>
      </c>
      <c r="Y211">
        <v>1.8809086749999999</v>
      </c>
      <c r="Z211">
        <v>1.9128334069999999</v>
      </c>
      <c r="AA211">
        <v>1.946608715</v>
      </c>
      <c r="AB211">
        <v>1.9727735900000001</v>
      </c>
      <c r="AC211">
        <v>2.0034192559999999</v>
      </c>
      <c r="AD211">
        <v>2.0082600419999999</v>
      </c>
      <c r="AE211">
        <v>2.0130930870000001</v>
      </c>
      <c r="AF211">
        <v>2.017887118</v>
      </c>
      <c r="AG211">
        <v>2.0225658989999999</v>
      </c>
      <c r="AH211">
        <v>2.0286006350000001</v>
      </c>
      <c r="AI211">
        <v>2.0336958040000002</v>
      </c>
      <c r="AJ211">
        <v>2.0379467280000001</v>
      </c>
      <c r="AK211">
        <v>2.041391934</v>
      </c>
      <c r="AL211">
        <v>2.0446392360000001</v>
      </c>
      <c r="AM211">
        <v>2.0475876610000001</v>
      </c>
      <c r="AN211">
        <v>2.049398445</v>
      </c>
      <c r="AO211">
        <v>2.0508342869999998</v>
      </c>
      <c r="AP211">
        <v>2.0519657229999999</v>
      </c>
      <c r="AQ211">
        <v>2.0525276400000001</v>
      </c>
      <c r="AR211">
        <v>2.0546904719999999</v>
      </c>
      <c r="AS211">
        <v>2.0602088420000002</v>
      </c>
      <c r="AT211">
        <v>2.0654371340000002</v>
      </c>
      <c r="AU211">
        <v>2.0702968469999998</v>
      </c>
      <c r="AV211">
        <v>2.0749641049999998</v>
      </c>
      <c r="AW211">
        <v>2.0801610629999998</v>
      </c>
    </row>
    <row r="212" spans="2:49" x14ac:dyDescent="0.25">
      <c r="B212" t="s">
        <v>513</v>
      </c>
      <c r="C212">
        <v>3.4574974609126801</v>
      </c>
      <c r="D212">
        <v>3.51300870100687</v>
      </c>
      <c r="E212">
        <v>3.1385469659999998</v>
      </c>
      <c r="F212">
        <v>3.2612013809999998</v>
      </c>
      <c r="G212">
        <v>3.3640114689999998</v>
      </c>
      <c r="H212">
        <v>3.187506333</v>
      </c>
      <c r="I212">
        <v>3.3447244309999999</v>
      </c>
      <c r="J212">
        <v>3.4643394829999998</v>
      </c>
      <c r="K212">
        <v>3.5324865000000001</v>
      </c>
      <c r="L212">
        <v>3.5603235660000001</v>
      </c>
      <c r="M212">
        <v>3.5892773299999998</v>
      </c>
      <c r="N212">
        <v>3.5738707110000001</v>
      </c>
      <c r="O212">
        <v>3.7561110480000002</v>
      </c>
      <c r="P212">
        <v>4.072568317</v>
      </c>
      <c r="Q212">
        <v>4.4474422799999997</v>
      </c>
      <c r="R212">
        <v>4.7155978489999999</v>
      </c>
      <c r="S212">
        <v>4.9643363569999996</v>
      </c>
      <c r="T212">
        <v>4.7125721169999997</v>
      </c>
      <c r="U212">
        <v>4.4711744409999996</v>
      </c>
      <c r="V212">
        <v>4.2409885349999996</v>
      </c>
      <c r="W212">
        <v>4.4744071009999997</v>
      </c>
      <c r="X212">
        <v>4.7239190439999996</v>
      </c>
      <c r="Y212">
        <v>4.8263336690000003</v>
      </c>
      <c r="Z212">
        <v>4.9082512080000003</v>
      </c>
      <c r="AA212">
        <v>4.9949172470000001</v>
      </c>
      <c r="AB212">
        <v>5.0620552300000003</v>
      </c>
      <c r="AC212">
        <v>5.1406907400000001</v>
      </c>
      <c r="AD212">
        <v>5.1531119949999997</v>
      </c>
      <c r="AE212">
        <v>5.1655133900000001</v>
      </c>
      <c r="AF212">
        <v>5.1778146740000004</v>
      </c>
      <c r="AG212">
        <v>5.1898202319999998</v>
      </c>
      <c r="AH212">
        <v>5.2053051139999997</v>
      </c>
      <c r="AI212">
        <v>5.2183791069999996</v>
      </c>
      <c r="AJ212">
        <v>5.2292868019999998</v>
      </c>
      <c r="AK212">
        <v>5.2381270569999998</v>
      </c>
      <c r="AL212">
        <v>5.2464594980000001</v>
      </c>
      <c r="AM212">
        <v>5.2540250339999996</v>
      </c>
      <c r="AN212">
        <v>5.2586714319999999</v>
      </c>
      <c r="AO212">
        <v>5.2623557439999997</v>
      </c>
      <c r="AP212">
        <v>5.2652589619999999</v>
      </c>
      <c r="AQ212">
        <v>5.2667008170000003</v>
      </c>
      <c r="AR212">
        <v>5.2722505530000001</v>
      </c>
      <c r="AS212">
        <v>5.2864104620000001</v>
      </c>
      <c r="AT212">
        <v>5.2998260420000003</v>
      </c>
      <c r="AU212">
        <v>5.3122958660000004</v>
      </c>
      <c r="AV212">
        <v>5.3242718560000002</v>
      </c>
      <c r="AW212">
        <v>5.3376070349999996</v>
      </c>
    </row>
    <row r="213" spans="2:49" x14ac:dyDescent="0.25">
      <c r="B213" t="s">
        <v>514</v>
      </c>
      <c r="C213">
        <v>5.0750954082325404</v>
      </c>
      <c r="D213">
        <v>5.1565777065978304</v>
      </c>
      <c r="E213">
        <v>4.6069232089999996</v>
      </c>
      <c r="F213">
        <v>4.4251166980000001</v>
      </c>
      <c r="G213">
        <v>4.2194283810000002</v>
      </c>
      <c r="H213">
        <v>3.6955524300000002</v>
      </c>
      <c r="I213">
        <v>3.584287314</v>
      </c>
      <c r="J213">
        <v>3.4991864989999999</v>
      </c>
      <c r="K213">
        <v>3.363120882</v>
      </c>
      <c r="L213">
        <v>3.19504111</v>
      </c>
      <c r="M213">
        <v>3.0361918769999998</v>
      </c>
      <c r="N213">
        <v>2.8497590119999998</v>
      </c>
      <c r="O213">
        <v>2.3702351209999999</v>
      </c>
      <c r="P213">
        <v>1.986256961</v>
      </c>
      <c r="Q213">
        <v>1.859735143</v>
      </c>
      <c r="R213">
        <v>1.8160311179999999</v>
      </c>
      <c r="S213">
        <v>1.7664383610000001</v>
      </c>
      <c r="T213">
        <v>1.758189008</v>
      </c>
      <c r="U213">
        <v>1.7535741419999999</v>
      </c>
      <c r="V213">
        <v>1.75353446</v>
      </c>
      <c r="W213">
        <v>1.8500467460000001</v>
      </c>
      <c r="X213">
        <v>1.9532132099999999</v>
      </c>
      <c r="Y213">
        <v>1.995558897</v>
      </c>
      <c r="Z213">
        <v>2.0294295920000001</v>
      </c>
      <c r="AA213">
        <v>2.0652636630000001</v>
      </c>
      <c r="AB213">
        <v>2.0930234099999998</v>
      </c>
      <c r="AC213">
        <v>2.1255370739999999</v>
      </c>
      <c r="AD213">
        <v>2.1306729280000001</v>
      </c>
      <c r="AE213">
        <v>2.1358005709999999</v>
      </c>
      <c r="AF213">
        <v>2.14088682</v>
      </c>
      <c r="AG213">
        <v>2.1458507949999999</v>
      </c>
      <c r="AH213">
        <v>2.152253376</v>
      </c>
      <c r="AI213">
        <v>2.1576591199999999</v>
      </c>
      <c r="AJ213">
        <v>2.1621691580000002</v>
      </c>
      <c r="AK213">
        <v>2.1658243650000002</v>
      </c>
      <c r="AL213">
        <v>2.1692696050000002</v>
      </c>
      <c r="AM213">
        <v>2.17239775</v>
      </c>
      <c r="AN213">
        <v>2.1743189100000002</v>
      </c>
      <c r="AO213">
        <v>2.1758422739999999</v>
      </c>
      <c r="AP213">
        <v>2.1770426760000001</v>
      </c>
      <c r="AQ213">
        <v>2.1776388450000002</v>
      </c>
      <c r="AR213">
        <v>2.1799335110000002</v>
      </c>
      <c r="AS213">
        <v>2.185788252</v>
      </c>
      <c r="AT213">
        <v>2.1913352320000001</v>
      </c>
      <c r="AU213">
        <v>2.1964911680000001</v>
      </c>
      <c r="AV213">
        <v>2.2014429170000001</v>
      </c>
      <c r="AW213">
        <v>2.2069566549999999</v>
      </c>
    </row>
    <row r="214" spans="2:49" x14ac:dyDescent="0.25">
      <c r="B214" t="s">
        <v>515</v>
      </c>
      <c r="C214">
        <v>0.35516190417563898</v>
      </c>
      <c r="D214">
        <v>0.36086414342755202</v>
      </c>
      <c r="E214">
        <v>0.50773300079999995</v>
      </c>
      <c r="F214">
        <v>0.87309624330000002</v>
      </c>
      <c r="G214">
        <v>1.216610207</v>
      </c>
      <c r="H214">
        <v>1.4134331170000001</v>
      </c>
      <c r="I214">
        <v>1.7146940449999999</v>
      </c>
      <c r="J214">
        <v>1.997314531</v>
      </c>
      <c r="K214">
        <v>2.211966673</v>
      </c>
      <c r="L214">
        <v>2.347646949</v>
      </c>
      <c r="M214">
        <v>2.4171445</v>
      </c>
      <c r="N214">
        <v>2.3758845609999999</v>
      </c>
      <c r="O214">
        <v>2.5043835059999999</v>
      </c>
      <c r="P214">
        <v>2.7235743569999999</v>
      </c>
      <c r="Q214">
        <v>2.9834324209999998</v>
      </c>
      <c r="R214">
        <v>3.1732166450000001</v>
      </c>
      <c r="S214">
        <v>3.3511956839999999</v>
      </c>
      <c r="T214">
        <v>3.4809093930000001</v>
      </c>
      <c r="U214">
        <v>3.6168196940000001</v>
      </c>
      <c r="V214">
        <v>3.76185597</v>
      </c>
      <c r="W214">
        <v>3.9689036940000002</v>
      </c>
      <c r="X214">
        <v>4.1902266199999998</v>
      </c>
      <c r="Y214">
        <v>4.281070787</v>
      </c>
      <c r="Z214">
        <v>4.3537335590000001</v>
      </c>
      <c r="AA214">
        <v>4.4306083620000001</v>
      </c>
      <c r="AB214">
        <v>4.4901613219999996</v>
      </c>
      <c r="AC214">
        <v>4.5599128569999996</v>
      </c>
      <c r="AD214">
        <v>4.5709308010000003</v>
      </c>
      <c r="AE214">
        <v>4.5819311279999999</v>
      </c>
      <c r="AF214">
        <v>4.5928426550000001</v>
      </c>
      <c r="AG214">
        <v>4.6034918649999996</v>
      </c>
      <c r="AH214">
        <v>4.6172273170000002</v>
      </c>
      <c r="AI214">
        <v>4.6288242549999996</v>
      </c>
      <c r="AJ214">
        <v>4.6384996349999996</v>
      </c>
      <c r="AK214">
        <v>4.6463411480000003</v>
      </c>
      <c r="AL214">
        <v>4.653732218</v>
      </c>
      <c r="AM214">
        <v>4.6604430260000003</v>
      </c>
      <c r="AN214">
        <v>4.664564489</v>
      </c>
      <c r="AO214">
        <v>4.6678325599999999</v>
      </c>
      <c r="AP214">
        <v>4.6704077819999998</v>
      </c>
      <c r="AQ214">
        <v>4.6716867410000003</v>
      </c>
      <c r="AR214">
        <v>4.6766094870000003</v>
      </c>
      <c r="AS214">
        <v>4.689169658</v>
      </c>
      <c r="AT214">
        <v>4.7010695910000004</v>
      </c>
      <c r="AU214">
        <v>4.7121306159999996</v>
      </c>
      <c r="AV214">
        <v>4.7227535979999997</v>
      </c>
      <c r="AW214">
        <v>4.7345822139999996</v>
      </c>
    </row>
    <row r="215" spans="2:49" x14ac:dyDescent="0.25">
      <c r="B215" t="s">
        <v>516</v>
      </c>
      <c r="C215">
        <v>7.99114284395189E-2</v>
      </c>
      <c r="D215">
        <v>8.1194432271199296E-2</v>
      </c>
      <c r="E215">
        <v>0.50773300079999995</v>
      </c>
      <c r="F215">
        <v>0.54423823179999997</v>
      </c>
      <c r="G215">
        <v>0.58586969919999998</v>
      </c>
      <c r="H215">
        <v>0.58733358769999999</v>
      </c>
      <c r="I215">
        <v>0.66243695290000004</v>
      </c>
      <c r="J215">
        <v>0.76100656720000004</v>
      </c>
      <c r="K215">
        <v>0.87543952810000003</v>
      </c>
      <c r="L215">
        <v>1.0135053469999999</v>
      </c>
      <c r="M215">
        <v>1.19514356</v>
      </c>
      <c r="N215">
        <v>1.4166029499999999</v>
      </c>
      <c r="O215">
        <v>1.458649541</v>
      </c>
      <c r="P215">
        <v>1.5538074180000001</v>
      </c>
      <c r="Q215">
        <v>1.670962265</v>
      </c>
      <c r="R215">
        <v>1.748126267</v>
      </c>
      <c r="S215">
        <v>1.8188717430000001</v>
      </c>
      <c r="T215">
        <v>1.8533494880000001</v>
      </c>
      <c r="U215">
        <v>1.8913821390000001</v>
      </c>
      <c r="V215">
        <v>1.9342766899999999</v>
      </c>
      <c r="W215">
        <v>2.040736796</v>
      </c>
      <c r="X215">
        <v>2.154536947</v>
      </c>
      <c r="Y215">
        <v>2.2012473360000002</v>
      </c>
      <c r="Z215">
        <v>2.2386091879999999</v>
      </c>
      <c r="AA215">
        <v>2.2781367879999999</v>
      </c>
      <c r="AB215">
        <v>2.3087578180000001</v>
      </c>
      <c r="AC215">
        <v>2.3446227660000001</v>
      </c>
      <c r="AD215">
        <v>2.3502879889999999</v>
      </c>
      <c r="AE215">
        <v>2.3559441529999998</v>
      </c>
      <c r="AF215">
        <v>2.3615546580000002</v>
      </c>
      <c r="AG215">
        <v>2.3670302849999998</v>
      </c>
      <c r="AH215">
        <v>2.3740928000000001</v>
      </c>
      <c r="AI215">
        <v>2.3800557310000001</v>
      </c>
      <c r="AJ215">
        <v>2.3850306319999999</v>
      </c>
      <c r="AK215">
        <v>2.3890625929999998</v>
      </c>
      <c r="AL215">
        <v>2.392862944</v>
      </c>
      <c r="AM215">
        <v>2.3963135169999998</v>
      </c>
      <c r="AN215">
        <v>2.3984326970000001</v>
      </c>
      <c r="AO215">
        <v>2.400113079</v>
      </c>
      <c r="AP215">
        <v>2.4014372100000001</v>
      </c>
      <c r="AQ215">
        <v>2.402094827</v>
      </c>
      <c r="AR215">
        <v>2.404626012</v>
      </c>
      <c r="AS215">
        <v>2.4110842190000001</v>
      </c>
      <c r="AT215">
        <v>2.4172029450000001</v>
      </c>
      <c r="AU215">
        <v>2.422890319</v>
      </c>
      <c r="AV215">
        <v>2.4283524600000002</v>
      </c>
      <c r="AW215">
        <v>2.434434515</v>
      </c>
    </row>
    <row r="216" spans="2:49" x14ac:dyDescent="0.25">
      <c r="B216" t="s">
        <v>517</v>
      </c>
      <c r="C216">
        <v>4.4799793836545803</v>
      </c>
      <c r="D216">
        <v>4.5519069017495504</v>
      </c>
      <c r="E216">
        <v>4.0667060099999999</v>
      </c>
      <c r="F216">
        <v>4.0198502420000004</v>
      </c>
      <c r="G216">
        <v>3.9440833099999999</v>
      </c>
      <c r="H216">
        <v>3.554152717</v>
      </c>
      <c r="I216">
        <v>3.5463676359999998</v>
      </c>
      <c r="J216">
        <v>3.4697651199999999</v>
      </c>
      <c r="K216">
        <v>3.3413432240000001</v>
      </c>
      <c r="L216">
        <v>3.1801489510000001</v>
      </c>
      <c r="M216">
        <v>3.0274902419999998</v>
      </c>
      <c r="N216">
        <v>2.8468841899999999</v>
      </c>
      <c r="O216">
        <v>3.0285406109999999</v>
      </c>
      <c r="P216">
        <v>3.3202813309999999</v>
      </c>
      <c r="Q216">
        <v>3.6632431510000001</v>
      </c>
      <c r="R216">
        <v>3.9214439319999999</v>
      </c>
      <c r="S216">
        <v>4.1656316799999997</v>
      </c>
      <c r="T216">
        <v>4.3201311660000004</v>
      </c>
      <c r="U216">
        <v>4.4825823099999997</v>
      </c>
      <c r="V216">
        <v>4.6565729940000002</v>
      </c>
      <c r="W216">
        <v>4.912864795</v>
      </c>
      <c r="X216">
        <v>5.1868270010000002</v>
      </c>
      <c r="Y216">
        <v>5.2992774760000003</v>
      </c>
      <c r="Z216">
        <v>5.3892223079999999</v>
      </c>
      <c r="AA216">
        <v>5.4843809569999999</v>
      </c>
      <c r="AB216">
        <v>5.5580979490000004</v>
      </c>
      <c r="AC216">
        <v>5.6444391380000001</v>
      </c>
      <c r="AD216">
        <v>5.6580775809999997</v>
      </c>
      <c r="AE216">
        <v>5.6716942179999998</v>
      </c>
      <c r="AF216">
        <v>5.685200934</v>
      </c>
      <c r="AG216">
        <v>5.6983829439999996</v>
      </c>
      <c r="AH216">
        <v>5.7153852260000004</v>
      </c>
      <c r="AI216">
        <v>5.7297403710000001</v>
      </c>
      <c r="AJ216">
        <v>5.7417169360000004</v>
      </c>
      <c r="AK216">
        <v>5.7514234689999997</v>
      </c>
      <c r="AL216">
        <v>5.7605724250000003</v>
      </c>
      <c r="AM216">
        <v>5.7688793269999996</v>
      </c>
      <c r="AN216">
        <v>5.7739810360000003</v>
      </c>
      <c r="AO216">
        <v>5.7780263820000002</v>
      </c>
      <c r="AP216">
        <v>5.7812140940000001</v>
      </c>
      <c r="AQ216">
        <v>5.7827972389999998</v>
      </c>
      <c r="AR216">
        <v>5.7888908069999996</v>
      </c>
      <c r="AS216">
        <v>5.8044382790000002</v>
      </c>
      <c r="AT216">
        <v>5.8191684830000003</v>
      </c>
      <c r="AU216">
        <v>5.8328602549999999</v>
      </c>
      <c r="AV216">
        <v>5.8460098</v>
      </c>
      <c r="AW216">
        <v>5.8606517250000003</v>
      </c>
    </row>
    <row r="217" spans="2:49" x14ac:dyDescent="0.25">
      <c r="B217" t="s">
        <v>518</v>
      </c>
      <c r="C217">
        <v>1.4169855567767899</v>
      </c>
      <c r="D217">
        <v>1.4397357182278101</v>
      </c>
      <c r="E217">
        <v>2.7801289140000001</v>
      </c>
      <c r="F217">
        <v>3.0837312790000002</v>
      </c>
      <c r="G217">
        <v>3.4056353110000002</v>
      </c>
      <c r="H217">
        <v>3.4650539980000001</v>
      </c>
      <c r="I217">
        <v>3.915645681</v>
      </c>
      <c r="J217">
        <v>4.1645491979999996</v>
      </c>
      <c r="K217">
        <v>4.3650389970000001</v>
      </c>
      <c r="L217">
        <v>4.5278265690000001</v>
      </c>
      <c r="M217">
        <v>4.7042507990000004</v>
      </c>
      <c r="N217">
        <v>4.8343282390000004</v>
      </c>
      <c r="O217">
        <v>4.4632455550000003</v>
      </c>
      <c r="P217">
        <v>4.2620633359999998</v>
      </c>
      <c r="Q217">
        <v>4.1056568899999997</v>
      </c>
      <c r="R217">
        <v>3.8423899920000002</v>
      </c>
      <c r="S217">
        <v>3.569377003</v>
      </c>
      <c r="T217">
        <v>3.6677612530000001</v>
      </c>
      <c r="U217">
        <v>3.7736582699999999</v>
      </c>
      <c r="V217">
        <v>3.8898737369999998</v>
      </c>
      <c r="W217">
        <v>4.1039673949999997</v>
      </c>
      <c r="X217">
        <v>4.3328220460000004</v>
      </c>
      <c r="Y217">
        <v>4.4267576829999999</v>
      </c>
      <c r="Z217">
        <v>4.501893205</v>
      </c>
      <c r="AA217">
        <v>4.5813840939999997</v>
      </c>
      <c r="AB217">
        <v>4.6429636700000003</v>
      </c>
      <c r="AC217">
        <v>4.715088884</v>
      </c>
      <c r="AD217">
        <v>4.7264817729999997</v>
      </c>
      <c r="AE217">
        <v>4.7378564470000004</v>
      </c>
      <c r="AF217">
        <v>4.7491392980000002</v>
      </c>
      <c r="AG217">
        <v>4.7601509059999998</v>
      </c>
      <c r="AH217">
        <v>4.7743537820000004</v>
      </c>
      <c r="AI217">
        <v>4.7863453700000003</v>
      </c>
      <c r="AJ217">
        <v>4.796350007</v>
      </c>
      <c r="AK217">
        <v>4.8044583709999999</v>
      </c>
      <c r="AL217">
        <v>4.8121009619999997</v>
      </c>
      <c r="AM217">
        <v>4.8190401420000004</v>
      </c>
      <c r="AN217">
        <v>4.823301861</v>
      </c>
      <c r="AO217">
        <v>4.8266811450000002</v>
      </c>
      <c r="AP217">
        <v>4.8293440040000002</v>
      </c>
      <c r="AQ217">
        <v>4.8306664870000002</v>
      </c>
      <c r="AR217">
        <v>4.8357567560000003</v>
      </c>
      <c r="AS217">
        <v>4.848744355</v>
      </c>
      <c r="AT217">
        <v>4.8610492479999996</v>
      </c>
      <c r="AU217">
        <v>4.8724866860000002</v>
      </c>
      <c r="AV217">
        <v>4.8834711730000002</v>
      </c>
      <c r="AW217">
        <v>4.8957023230000001</v>
      </c>
    </row>
    <row r="218" spans="2:49" x14ac:dyDescent="0.25">
      <c r="B218" t="s">
        <v>519</v>
      </c>
      <c r="C218">
        <v>34.067295461021303</v>
      </c>
      <c r="D218">
        <v>34.614256909026899</v>
      </c>
      <c r="E218">
        <v>30.46956342</v>
      </c>
      <c r="F218">
        <v>30.30751369</v>
      </c>
      <c r="G218">
        <v>29.110681750000001</v>
      </c>
      <c r="H218">
        <v>27.524409510000002</v>
      </c>
      <c r="I218">
        <v>27.737784699999999</v>
      </c>
      <c r="J218">
        <v>27.319254709999999</v>
      </c>
      <c r="K218">
        <v>25.974855510000001</v>
      </c>
      <c r="L218">
        <v>25.112085239999999</v>
      </c>
      <c r="M218">
        <v>24.85737095</v>
      </c>
      <c r="N218">
        <v>24.946001389999999</v>
      </c>
      <c r="O218">
        <v>25.36147012</v>
      </c>
      <c r="P218">
        <v>25.37080649</v>
      </c>
      <c r="Q218">
        <v>24.341407220000001</v>
      </c>
      <c r="R218">
        <v>23.661015160000002</v>
      </c>
      <c r="S218">
        <v>23.143983729999999</v>
      </c>
      <c r="T218">
        <v>22.026426019999999</v>
      </c>
      <c r="U218">
        <v>21.04082786</v>
      </c>
      <c r="V218">
        <v>20.098121949999999</v>
      </c>
      <c r="W218">
        <v>20.132098460000002</v>
      </c>
      <c r="X218">
        <v>20.242622059999999</v>
      </c>
      <c r="Y218">
        <v>20.383673590000001</v>
      </c>
      <c r="Z218">
        <v>20.60831533</v>
      </c>
      <c r="AA218">
        <v>20.73377868</v>
      </c>
      <c r="AB218">
        <v>20.854207509999998</v>
      </c>
      <c r="AC218">
        <v>20.958421300000001</v>
      </c>
      <c r="AD218">
        <v>21.11560253</v>
      </c>
      <c r="AE218">
        <v>21.237645789999998</v>
      </c>
      <c r="AF218">
        <v>21.369481709999999</v>
      </c>
      <c r="AG218">
        <v>21.47762724</v>
      </c>
      <c r="AH218">
        <v>21.578438859999999</v>
      </c>
      <c r="AI218">
        <v>21.637838439999999</v>
      </c>
      <c r="AJ218">
        <v>21.700674769999999</v>
      </c>
      <c r="AK218">
        <v>21.757920949999999</v>
      </c>
      <c r="AL218">
        <v>21.814631250000001</v>
      </c>
      <c r="AM218">
        <v>21.871440830000001</v>
      </c>
      <c r="AN218">
        <v>21.820592619999999</v>
      </c>
      <c r="AO218">
        <v>21.773220550000001</v>
      </c>
      <c r="AP218">
        <v>21.716626550000001</v>
      </c>
      <c r="AQ218">
        <v>21.659729930000001</v>
      </c>
      <c r="AR218">
        <v>21.587890869999999</v>
      </c>
      <c r="AS218">
        <v>21.536860539999999</v>
      </c>
      <c r="AT218">
        <v>21.485942619999999</v>
      </c>
      <c r="AU218">
        <v>21.430546100000001</v>
      </c>
      <c r="AV218">
        <v>21.371235930000001</v>
      </c>
      <c r="AW218">
        <v>21.31523275</v>
      </c>
    </row>
    <row r="219" spans="2:49" x14ac:dyDescent="0.25">
      <c r="B219" t="s">
        <v>520</v>
      </c>
      <c r="C219">
        <v>1.54983431156195</v>
      </c>
      <c r="D219">
        <v>1.57471740274219</v>
      </c>
      <c r="E219">
        <v>1.3861615430000001</v>
      </c>
      <c r="F219">
        <v>2.2617018280000001</v>
      </c>
      <c r="G219">
        <v>3.0163235180000001</v>
      </c>
      <c r="H219">
        <v>3.6369272910000001</v>
      </c>
      <c r="I219">
        <v>4.4307721170000001</v>
      </c>
      <c r="J219">
        <v>5.0695969349999999</v>
      </c>
      <c r="K219">
        <v>5.42917703</v>
      </c>
      <c r="L219">
        <v>5.7516384809999996</v>
      </c>
      <c r="M219">
        <v>6.0716003629999999</v>
      </c>
      <c r="N219">
        <v>6.3077829899999998</v>
      </c>
      <c r="O219">
        <v>6.5301359090000002</v>
      </c>
      <c r="P219">
        <v>6.6511476280000004</v>
      </c>
      <c r="Q219">
        <v>6.4963086729999997</v>
      </c>
      <c r="R219">
        <v>6.4277458059999999</v>
      </c>
      <c r="S219">
        <v>6.3990423270000001</v>
      </c>
      <c r="T219">
        <v>6.5185723820000003</v>
      </c>
      <c r="U219">
        <v>6.6835131939999997</v>
      </c>
      <c r="V219">
        <v>6.87366806</v>
      </c>
      <c r="W219">
        <v>6.885288214</v>
      </c>
      <c r="X219">
        <v>6.9230878909999998</v>
      </c>
      <c r="Y219">
        <v>6.9713282870000004</v>
      </c>
      <c r="Z219">
        <v>7.0481569970000004</v>
      </c>
      <c r="AA219">
        <v>7.0910661529999999</v>
      </c>
      <c r="AB219">
        <v>7.1322534710000003</v>
      </c>
      <c r="AC219">
        <v>7.1678951609999997</v>
      </c>
      <c r="AD219">
        <v>7.2216520050000002</v>
      </c>
      <c r="AE219">
        <v>7.263391468</v>
      </c>
      <c r="AF219">
        <v>7.3084800779999997</v>
      </c>
      <c r="AG219">
        <v>7.3454664440000004</v>
      </c>
      <c r="AH219">
        <v>7.3799445720000003</v>
      </c>
      <c r="AI219">
        <v>7.4002595519999996</v>
      </c>
      <c r="AJ219">
        <v>7.4217499240000002</v>
      </c>
      <c r="AK219">
        <v>7.4413284319999997</v>
      </c>
      <c r="AL219">
        <v>7.4607236669999999</v>
      </c>
      <c r="AM219">
        <v>7.4801528529999999</v>
      </c>
      <c r="AN219">
        <v>7.4627624859999999</v>
      </c>
      <c r="AO219">
        <v>7.4465609779999999</v>
      </c>
      <c r="AP219">
        <v>7.4272055200000002</v>
      </c>
      <c r="AQ219">
        <v>7.4077465619999998</v>
      </c>
      <c r="AR219">
        <v>7.3831772090000003</v>
      </c>
      <c r="AS219">
        <v>7.3657245590000002</v>
      </c>
      <c r="AT219">
        <v>7.3483103490000001</v>
      </c>
      <c r="AU219">
        <v>7.3293644349999996</v>
      </c>
      <c r="AV219">
        <v>7.3090800309999997</v>
      </c>
      <c r="AW219">
        <v>7.2899266349999996</v>
      </c>
    </row>
    <row r="220" spans="2:49" x14ac:dyDescent="0.25">
      <c r="B220" t="s">
        <v>521</v>
      </c>
      <c r="C220">
        <v>0.19372928894524399</v>
      </c>
      <c r="D220">
        <v>0.196839675342774</v>
      </c>
      <c r="E220">
        <v>0.41865197459999998</v>
      </c>
      <c r="F220">
        <v>0.42930691970000001</v>
      </c>
      <c r="G220">
        <v>0.42510931480000003</v>
      </c>
      <c r="H220">
        <v>0.41437822089999998</v>
      </c>
      <c r="I220">
        <v>0.43050812249999998</v>
      </c>
      <c r="J220">
        <v>0.43651106589999999</v>
      </c>
      <c r="K220">
        <v>0.42723465579999997</v>
      </c>
      <c r="L220">
        <v>0.4251593293</v>
      </c>
      <c r="M220">
        <v>0.43315859919999999</v>
      </c>
      <c r="N220">
        <v>0.44738474630000002</v>
      </c>
      <c r="O220">
        <v>0.51267342999999999</v>
      </c>
      <c r="P220">
        <v>0.57138981430000002</v>
      </c>
      <c r="Q220">
        <v>0.60500923470000001</v>
      </c>
      <c r="R220">
        <v>0.64395370789999995</v>
      </c>
      <c r="S220">
        <v>0.68515223270000003</v>
      </c>
      <c r="T220">
        <v>0.87824339659999995</v>
      </c>
      <c r="U220">
        <v>1.0801222100000001</v>
      </c>
      <c r="V220">
        <v>1.290497016</v>
      </c>
      <c r="W220">
        <v>1.292678642</v>
      </c>
      <c r="X220">
        <v>1.2997753430000001</v>
      </c>
      <c r="Y220">
        <v>1.3088322379999999</v>
      </c>
      <c r="Z220">
        <v>1.3232564469999999</v>
      </c>
      <c r="AA220">
        <v>1.3313124270000001</v>
      </c>
      <c r="AB220">
        <v>1.339045142</v>
      </c>
      <c r="AC220">
        <v>1.345736692</v>
      </c>
      <c r="AD220">
        <v>1.355829272</v>
      </c>
      <c r="AE220">
        <v>1.3636656490000001</v>
      </c>
      <c r="AF220">
        <v>1.3721308109999999</v>
      </c>
      <c r="AG220">
        <v>1.3790748180000001</v>
      </c>
      <c r="AH220">
        <v>1.3855479150000001</v>
      </c>
      <c r="AI220">
        <v>1.3893619509999999</v>
      </c>
      <c r="AJ220">
        <v>1.393396662</v>
      </c>
      <c r="AK220">
        <v>1.3970724290000001</v>
      </c>
      <c r="AL220">
        <v>1.400713788</v>
      </c>
      <c r="AM220">
        <v>1.404361521</v>
      </c>
      <c r="AN220">
        <v>1.401096567</v>
      </c>
      <c r="AO220">
        <v>1.398054814</v>
      </c>
      <c r="AP220">
        <v>1.394420923</v>
      </c>
      <c r="AQ220">
        <v>1.3907676</v>
      </c>
      <c r="AR220">
        <v>1.3861548260000001</v>
      </c>
      <c r="AS220">
        <v>1.3828781779999999</v>
      </c>
      <c r="AT220">
        <v>1.379608747</v>
      </c>
      <c r="AU220">
        <v>1.376051745</v>
      </c>
      <c r="AV220">
        <v>1.3722434489999999</v>
      </c>
      <c r="AW220">
        <v>1.368647494</v>
      </c>
    </row>
    <row r="221" spans="2:49" x14ac:dyDescent="0.25">
      <c r="B221" t="s">
        <v>522</v>
      </c>
      <c r="C221">
        <v>0.71679836909740502</v>
      </c>
      <c r="D221">
        <v>0.72830679876826598</v>
      </c>
      <c r="E221">
        <v>0.64109971359999995</v>
      </c>
      <c r="F221">
        <v>0.63718127150000003</v>
      </c>
      <c r="G221">
        <v>0.61153090440000002</v>
      </c>
      <c r="H221">
        <v>0.57774658150000002</v>
      </c>
      <c r="I221">
        <v>0.58176084429999997</v>
      </c>
      <c r="J221">
        <v>0.57918815739999996</v>
      </c>
      <c r="K221">
        <v>0.55698196089999996</v>
      </c>
      <c r="L221">
        <v>0.55367512330000002</v>
      </c>
      <c r="M221">
        <v>0.572647609</v>
      </c>
      <c r="N221">
        <v>0.60086852550000003</v>
      </c>
      <c r="O221">
        <v>0.82882371300000002</v>
      </c>
      <c r="P221">
        <v>1.034053922</v>
      </c>
      <c r="Q221">
        <v>1.175905661</v>
      </c>
      <c r="R221">
        <v>1.3090325300000001</v>
      </c>
      <c r="S221">
        <v>1.4301714889999999</v>
      </c>
      <c r="T221">
        <v>1.465159549</v>
      </c>
      <c r="U221">
        <v>1.5098171339999999</v>
      </c>
      <c r="V221">
        <v>1.559688086</v>
      </c>
      <c r="W221">
        <v>1.562324788</v>
      </c>
      <c r="X221">
        <v>1.5709018260000001</v>
      </c>
      <c r="Y221">
        <v>1.581847942</v>
      </c>
      <c r="Z221">
        <v>1.5992809670000001</v>
      </c>
      <c r="AA221">
        <v>1.6090173839999999</v>
      </c>
      <c r="AB221">
        <v>1.618363102</v>
      </c>
      <c r="AC221">
        <v>1.626450476</v>
      </c>
      <c r="AD221">
        <v>1.6386483169999999</v>
      </c>
      <c r="AE221">
        <v>1.648119321</v>
      </c>
      <c r="AF221">
        <v>1.6583502729999999</v>
      </c>
      <c r="AG221">
        <v>1.6667427640000001</v>
      </c>
      <c r="AH221">
        <v>1.674566116</v>
      </c>
      <c r="AI221">
        <v>1.6791757410000001</v>
      </c>
      <c r="AJ221">
        <v>1.6840520720000001</v>
      </c>
      <c r="AK221">
        <v>1.6884945849999999</v>
      </c>
      <c r="AL221">
        <v>1.6928955130000001</v>
      </c>
      <c r="AM221">
        <v>1.6973041449999999</v>
      </c>
      <c r="AN221">
        <v>1.6933581369999999</v>
      </c>
      <c r="AO221">
        <v>1.6896818899999999</v>
      </c>
      <c r="AP221">
        <v>1.6852899880000001</v>
      </c>
      <c r="AQ221">
        <v>1.680874601</v>
      </c>
      <c r="AR221">
        <v>1.6752996259999999</v>
      </c>
      <c r="AS221">
        <v>1.6713394859999999</v>
      </c>
      <c r="AT221">
        <v>1.6673880679999999</v>
      </c>
      <c r="AU221">
        <v>1.663089094</v>
      </c>
      <c r="AV221">
        <v>1.6584864070000001</v>
      </c>
      <c r="AW221">
        <v>1.654140355</v>
      </c>
    </row>
    <row r="222" spans="2:49" x14ac:dyDescent="0.25">
      <c r="B222" t="s">
        <v>523</v>
      </c>
      <c r="C222">
        <v>0.19372928894524399</v>
      </c>
      <c r="D222">
        <v>0.196839675342774</v>
      </c>
      <c r="E222">
        <v>0.41865197459999998</v>
      </c>
      <c r="F222">
        <v>0.42930691970000001</v>
      </c>
      <c r="G222">
        <v>0.42510931480000003</v>
      </c>
      <c r="H222">
        <v>0.41437822089999998</v>
      </c>
      <c r="I222">
        <v>0.43050812249999998</v>
      </c>
      <c r="J222">
        <v>0.43651106589999999</v>
      </c>
      <c r="K222">
        <v>0.42723465579999997</v>
      </c>
      <c r="L222">
        <v>0.4251593293</v>
      </c>
      <c r="M222">
        <v>0.43315859919999999</v>
      </c>
      <c r="N222">
        <v>0.44738474630000002</v>
      </c>
      <c r="O222">
        <v>0.48716004670000002</v>
      </c>
      <c r="P222">
        <v>0.52004596830000005</v>
      </c>
      <c r="Q222">
        <v>0.53068521000000002</v>
      </c>
      <c r="R222">
        <v>0.5470586771</v>
      </c>
      <c r="S222">
        <v>0.56598142890000003</v>
      </c>
      <c r="T222">
        <v>0.62057937839999999</v>
      </c>
      <c r="U222">
        <v>0.68015237289999997</v>
      </c>
      <c r="V222">
        <v>0.74337089469999995</v>
      </c>
      <c r="W222">
        <v>0.74462758669999995</v>
      </c>
      <c r="X222">
        <v>0.74871553209999997</v>
      </c>
      <c r="Y222">
        <v>0.75393261649999999</v>
      </c>
      <c r="Z222">
        <v>0.76224145929999998</v>
      </c>
      <c r="AA222">
        <v>0.76688198269999996</v>
      </c>
      <c r="AB222">
        <v>0.77133629339999998</v>
      </c>
      <c r="AC222">
        <v>0.77519085769999996</v>
      </c>
      <c r="AD222">
        <v>0.78100453280000004</v>
      </c>
      <c r="AE222">
        <v>0.78551855670000004</v>
      </c>
      <c r="AF222">
        <v>0.79039478289999998</v>
      </c>
      <c r="AG222">
        <v>0.79439477059999997</v>
      </c>
      <c r="AH222">
        <v>0.79812349839999996</v>
      </c>
      <c r="AI222">
        <v>0.80032051530000003</v>
      </c>
      <c r="AJ222">
        <v>0.80264464800000002</v>
      </c>
      <c r="AK222">
        <v>0.80476201729999997</v>
      </c>
      <c r="AL222">
        <v>0.80685956579999996</v>
      </c>
      <c r="AM222">
        <v>0.8089607862</v>
      </c>
      <c r="AN222">
        <v>0.80708005940000005</v>
      </c>
      <c r="AO222">
        <v>0.80532790470000004</v>
      </c>
      <c r="AP222">
        <v>0.80323465780000003</v>
      </c>
      <c r="AQ222">
        <v>0.80113021770000004</v>
      </c>
      <c r="AR222">
        <v>0.79847310049999998</v>
      </c>
      <c r="AS222">
        <v>0.79658563770000002</v>
      </c>
      <c r="AT222">
        <v>0.79470233219999997</v>
      </c>
      <c r="AU222">
        <v>0.79265337650000001</v>
      </c>
      <c r="AV222">
        <v>0.79045966639999998</v>
      </c>
      <c r="AW222">
        <v>0.78838827199999995</v>
      </c>
    </row>
    <row r="223" spans="2:49" x14ac:dyDescent="0.25">
      <c r="B223" t="s">
        <v>524</v>
      </c>
      <c r="C223">
        <v>0.38745857789048899</v>
      </c>
      <c r="D223">
        <v>0.39367935068554899</v>
      </c>
      <c r="E223">
        <v>0.41865197459999998</v>
      </c>
      <c r="F223">
        <v>0.52786231279999996</v>
      </c>
      <c r="G223">
        <v>0.64735887719999996</v>
      </c>
      <c r="H223">
        <v>0.78622837940000001</v>
      </c>
      <c r="I223">
        <v>1.022807003</v>
      </c>
      <c r="J223">
        <v>1.3038365439999999</v>
      </c>
      <c r="K223">
        <v>1.6096398380000001</v>
      </c>
      <c r="L223">
        <v>2.0257588979999999</v>
      </c>
      <c r="M223">
        <v>2.6155742829999999</v>
      </c>
      <c r="N223">
        <v>3.4293315390000001</v>
      </c>
      <c r="O223">
        <v>3.2788382550000001</v>
      </c>
      <c r="P223">
        <v>3.0698764459999999</v>
      </c>
      <c r="Q223">
        <v>2.7412615329999999</v>
      </c>
      <c r="R223">
        <v>2.4639043190000001</v>
      </c>
      <c r="S223">
        <v>2.2113576429999999</v>
      </c>
      <c r="T223">
        <v>2.6250361139999998</v>
      </c>
      <c r="U223">
        <v>3.0625150219999999</v>
      </c>
      <c r="V223">
        <v>3.520678808</v>
      </c>
      <c r="W223">
        <v>3.5266306269999999</v>
      </c>
      <c r="X223">
        <v>3.5459915450000001</v>
      </c>
      <c r="Y223">
        <v>3.5707001780000001</v>
      </c>
      <c r="Z223">
        <v>3.6100516869999999</v>
      </c>
      <c r="AA223">
        <v>3.632029669</v>
      </c>
      <c r="AB223">
        <v>3.6531257300000002</v>
      </c>
      <c r="AC223">
        <v>3.6713813310000001</v>
      </c>
      <c r="AD223">
        <v>3.698915478</v>
      </c>
      <c r="AE223">
        <v>3.7202943460000002</v>
      </c>
      <c r="AF223">
        <v>3.74338864</v>
      </c>
      <c r="AG223">
        <v>3.7623329810000001</v>
      </c>
      <c r="AH223">
        <v>3.7799926089999998</v>
      </c>
      <c r="AI223">
        <v>3.7903978999999999</v>
      </c>
      <c r="AJ223">
        <v>3.8014052249999999</v>
      </c>
      <c r="AK223">
        <v>3.8114332970000002</v>
      </c>
      <c r="AL223">
        <v>3.8213674969999998</v>
      </c>
      <c r="AM223">
        <v>3.8313190860000002</v>
      </c>
      <c r="AN223">
        <v>3.822411776</v>
      </c>
      <c r="AO223">
        <v>3.8141133960000002</v>
      </c>
      <c r="AP223">
        <v>3.8041995700000002</v>
      </c>
      <c r="AQ223">
        <v>3.7942327310000001</v>
      </c>
      <c r="AR223">
        <v>3.7816483590000001</v>
      </c>
      <c r="AS223">
        <v>3.772709147</v>
      </c>
      <c r="AT223">
        <v>3.7637896240000002</v>
      </c>
      <c r="AU223">
        <v>3.754085565</v>
      </c>
      <c r="AV223">
        <v>3.7436959339999998</v>
      </c>
      <c r="AW223">
        <v>3.7338856040000001</v>
      </c>
    </row>
    <row r="224" spans="2:49" x14ac:dyDescent="0.25">
      <c r="B224" t="s">
        <v>525</v>
      </c>
      <c r="C224">
        <v>34.067295461021303</v>
      </c>
      <c r="D224">
        <v>34.614256909026899</v>
      </c>
      <c r="E224">
        <v>30.46956342</v>
      </c>
      <c r="F224">
        <v>30.30751369</v>
      </c>
      <c r="G224">
        <v>29.110681750000001</v>
      </c>
      <c r="H224">
        <v>27.524409510000002</v>
      </c>
      <c r="I224">
        <v>27.737784699999999</v>
      </c>
      <c r="J224">
        <v>27.319254709999999</v>
      </c>
      <c r="K224">
        <v>25.974855510000001</v>
      </c>
      <c r="L224">
        <v>25.112085239999999</v>
      </c>
      <c r="M224">
        <v>24.85737095</v>
      </c>
      <c r="N224">
        <v>24.946001389999999</v>
      </c>
      <c r="O224">
        <v>25.36147012</v>
      </c>
      <c r="P224">
        <v>25.37080649</v>
      </c>
      <c r="Q224">
        <v>24.341407220000001</v>
      </c>
      <c r="R224">
        <v>23.661015160000002</v>
      </c>
      <c r="S224">
        <v>23.143983729999999</v>
      </c>
      <c r="T224">
        <v>22.026426019999999</v>
      </c>
      <c r="U224">
        <v>21.04082786</v>
      </c>
      <c r="V224">
        <v>20.098121949999999</v>
      </c>
      <c r="W224">
        <v>20.132098460000002</v>
      </c>
      <c r="X224">
        <v>20.242622059999999</v>
      </c>
      <c r="Y224">
        <v>20.383673590000001</v>
      </c>
      <c r="Z224">
        <v>20.60831533</v>
      </c>
      <c r="AA224">
        <v>20.73377868</v>
      </c>
      <c r="AB224">
        <v>20.854207509999998</v>
      </c>
      <c r="AC224">
        <v>20.958421300000001</v>
      </c>
      <c r="AD224">
        <v>21.11560253</v>
      </c>
      <c r="AE224">
        <v>21.237645789999998</v>
      </c>
      <c r="AF224">
        <v>21.369481709999999</v>
      </c>
      <c r="AG224">
        <v>21.47762724</v>
      </c>
      <c r="AH224">
        <v>21.578438859999999</v>
      </c>
      <c r="AI224">
        <v>21.637838439999999</v>
      </c>
      <c r="AJ224">
        <v>21.700674769999999</v>
      </c>
      <c r="AK224">
        <v>21.757920949999999</v>
      </c>
      <c r="AL224">
        <v>21.814631250000001</v>
      </c>
      <c r="AM224">
        <v>21.871440830000001</v>
      </c>
      <c r="AN224">
        <v>21.820592619999999</v>
      </c>
      <c r="AO224">
        <v>21.773220550000001</v>
      </c>
      <c r="AP224">
        <v>21.716626550000001</v>
      </c>
      <c r="AQ224">
        <v>21.659729930000001</v>
      </c>
      <c r="AR224">
        <v>21.587890869999999</v>
      </c>
      <c r="AS224">
        <v>21.536860539999999</v>
      </c>
      <c r="AT224">
        <v>21.485942619999999</v>
      </c>
      <c r="AU224">
        <v>21.430546100000001</v>
      </c>
      <c r="AV224">
        <v>21.371235930000001</v>
      </c>
      <c r="AW224">
        <v>21.31523275</v>
      </c>
    </row>
    <row r="225" spans="2:49" x14ac:dyDescent="0.25">
      <c r="B225" t="s">
        <v>526</v>
      </c>
      <c r="C225">
        <v>1.54983431156195</v>
      </c>
      <c r="D225">
        <v>1.57471740274219</v>
      </c>
      <c r="E225">
        <v>1.3861615430000001</v>
      </c>
      <c r="F225">
        <v>2.2617018280000001</v>
      </c>
      <c r="G225">
        <v>3.0163235180000001</v>
      </c>
      <c r="H225">
        <v>3.6369272910000001</v>
      </c>
      <c r="I225">
        <v>4.4307721170000001</v>
      </c>
      <c r="J225">
        <v>5.0695969349999999</v>
      </c>
      <c r="K225">
        <v>5.42917703</v>
      </c>
      <c r="L225">
        <v>5.7516384809999996</v>
      </c>
      <c r="M225">
        <v>6.0716003629999999</v>
      </c>
      <c r="N225">
        <v>6.3077829899999998</v>
      </c>
      <c r="O225">
        <v>6.5301359090000002</v>
      </c>
      <c r="P225">
        <v>6.6511476280000004</v>
      </c>
      <c r="Q225">
        <v>6.4963086729999997</v>
      </c>
      <c r="R225">
        <v>6.4277458059999999</v>
      </c>
      <c r="S225">
        <v>6.3990423270000001</v>
      </c>
      <c r="T225">
        <v>6.5185723820000003</v>
      </c>
      <c r="U225">
        <v>6.6835131939999997</v>
      </c>
      <c r="V225">
        <v>6.87366806</v>
      </c>
      <c r="W225">
        <v>6.885288214</v>
      </c>
      <c r="X225">
        <v>6.9230878909999998</v>
      </c>
      <c r="Y225">
        <v>6.9713282870000004</v>
      </c>
      <c r="Z225">
        <v>7.0481569970000004</v>
      </c>
      <c r="AA225">
        <v>7.0910661529999999</v>
      </c>
      <c r="AB225">
        <v>7.1322534710000003</v>
      </c>
      <c r="AC225">
        <v>7.1678951609999997</v>
      </c>
      <c r="AD225">
        <v>7.2216520050000002</v>
      </c>
      <c r="AE225">
        <v>7.263391468</v>
      </c>
      <c r="AF225">
        <v>7.3084800779999997</v>
      </c>
      <c r="AG225">
        <v>7.3454664440000004</v>
      </c>
      <c r="AH225">
        <v>7.3799445720000003</v>
      </c>
      <c r="AI225">
        <v>7.4002595519999996</v>
      </c>
      <c r="AJ225">
        <v>7.4217499240000002</v>
      </c>
      <c r="AK225">
        <v>7.4413284319999997</v>
      </c>
      <c r="AL225">
        <v>7.4607236669999999</v>
      </c>
      <c r="AM225">
        <v>7.4801528529999999</v>
      </c>
      <c r="AN225">
        <v>7.4627624859999999</v>
      </c>
      <c r="AO225">
        <v>7.4465609779999999</v>
      </c>
      <c r="AP225">
        <v>7.4272055200000002</v>
      </c>
      <c r="AQ225">
        <v>7.4077465619999998</v>
      </c>
      <c r="AR225">
        <v>7.3831772090000003</v>
      </c>
      <c r="AS225">
        <v>7.3657245590000002</v>
      </c>
      <c r="AT225">
        <v>7.3483103490000001</v>
      </c>
      <c r="AU225">
        <v>7.3293644349999996</v>
      </c>
      <c r="AV225">
        <v>7.3090800309999997</v>
      </c>
      <c r="AW225">
        <v>7.2899266349999996</v>
      </c>
    </row>
    <row r="226" spans="2:49" x14ac:dyDescent="0.25">
      <c r="B226" t="s">
        <v>527</v>
      </c>
      <c r="C226">
        <v>0.19372928894524399</v>
      </c>
      <c r="D226">
        <v>0.196839675342774</v>
      </c>
      <c r="E226">
        <v>0.41865197459999998</v>
      </c>
      <c r="F226">
        <v>0.42930691970000001</v>
      </c>
      <c r="G226">
        <v>0.42510931480000003</v>
      </c>
      <c r="H226">
        <v>0.41437822089999998</v>
      </c>
      <c r="I226">
        <v>0.43050812249999998</v>
      </c>
      <c r="J226">
        <v>0.43651106589999999</v>
      </c>
      <c r="K226">
        <v>0.42723465579999997</v>
      </c>
      <c r="L226">
        <v>0.4251593293</v>
      </c>
      <c r="M226">
        <v>0.43315859919999999</v>
      </c>
      <c r="N226">
        <v>0.44738474630000002</v>
      </c>
      <c r="O226">
        <v>0.51267342999999999</v>
      </c>
      <c r="P226">
        <v>0.57138981430000002</v>
      </c>
      <c r="Q226">
        <v>0.60500923470000001</v>
      </c>
      <c r="R226">
        <v>0.64395370789999995</v>
      </c>
      <c r="S226">
        <v>0.68515223270000003</v>
      </c>
      <c r="T226">
        <v>0.87824339659999995</v>
      </c>
      <c r="U226">
        <v>1.0801222100000001</v>
      </c>
      <c r="V226">
        <v>1.290497016</v>
      </c>
      <c r="W226">
        <v>1.292678642</v>
      </c>
      <c r="X226">
        <v>1.2997753430000001</v>
      </c>
      <c r="Y226">
        <v>1.3088322379999999</v>
      </c>
      <c r="Z226">
        <v>1.3232564469999999</v>
      </c>
      <c r="AA226">
        <v>1.3313124270000001</v>
      </c>
      <c r="AB226">
        <v>1.339045142</v>
      </c>
      <c r="AC226">
        <v>1.345736692</v>
      </c>
      <c r="AD226">
        <v>1.355829272</v>
      </c>
      <c r="AE226">
        <v>1.3636656490000001</v>
      </c>
      <c r="AF226">
        <v>1.3721308109999999</v>
      </c>
      <c r="AG226">
        <v>1.3790748180000001</v>
      </c>
      <c r="AH226">
        <v>1.3855479150000001</v>
      </c>
      <c r="AI226">
        <v>1.3893619509999999</v>
      </c>
      <c r="AJ226">
        <v>1.393396662</v>
      </c>
      <c r="AK226">
        <v>1.3970724290000001</v>
      </c>
      <c r="AL226">
        <v>1.400713788</v>
      </c>
      <c r="AM226">
        <v>1.404361521</v>
      </c>
      <c r="AN226">
        <v>1.401096567</v>
      </c>
      <c r="AO226">
        <v>1.398054814</v>
      </c>
      <c r="AP226">
        <v>1.394420923</v>
      </c>
      <c r="AQ226">
        <v>1.3907676</v>
      </c>
      <c r="AR226">
        <v>1.3861548260000001</v>
      </c>
      <c r="AS226">
        <v>1.3828781779999999</v>
      </c>
      <c r="AT226">
        <v>1.379608747</v>
      </c>
      <c r="AU226">
        <v>1.376051745</v>
      </c>
      <c r="AV226">
        <v>1.3722434489999999</v>
      </c>
      <c r="AW226">
        <v>1.368647494</v>
      </c>
    </row>
    <row r="227" spans="2:49" x14ac:dyDescent="0.25">
      <c r="B227" t="s">
        <v>528</v>
      </c>
      <c r="C227">
        <v>0.71679836909740502</v>
      </c>
      <c r="D227">
        <v>0.72830679876826598</v>
      </c>
      <c r="E227">
        <v>0.64109971359999995</v>
      </c>
      <c r="F227">
        <v>0.63718127150000003</v>
      </c>
      <c r="G227">
        <v>0.61153090440000002</v>
      </c>
      <c r="H227">
        <v>0.57774658150000002</v>
      </c>
      <c r="I227">
        <v>0.58176084429999997</v>
      </c>
      <c r="J227">
        <v>0.57918815739999996</v>
      </c>
      <c r="K227">
        <v>0.55698196089999996</v>
      </c>
      <c r="L227">
        <v>0.55367512330000002</v>
      </c>
      <c r="M227">
        <v>0.572647609</v>
      </c>
      <c r="N227">
        <v>0.60086852550000003</v>
      </c>
      <c r="O227">
        <v>0.82882371300000002</v>
      </c>
      <c r="P227">
        <v>1.034053922</v>
      </c>
      <c r="Q227">
        <v>1.175905661</v>
      </c>
      <c r="R227">
        <v>1.3090325300000001</v>
      </c>
      <c r="S227">
        <v>1.4301714889999999</v>
      </c>
      <c r="T227">
        <v>1.465159549</v>
      </c>
      <c r="U227">
        <v>1.5098171339999999</v>
      </c>
      <c r="V227">
        <v>1.559688086</v>
      </c>
      <c r="W227">
        <v>1.562324788</v>
      </c>
      <c r="X227">
        <v>1.5709018260000001</v>
      </c>
      <c r="Y227">
        <v>1.581847942</v>
      </c>
      <c r="Z227">
        <v>1.5992809670000001</v>
      </c>
      <c r="AA227">
        <v>1.6090173839999999</v>
      </c>
      <c r="AB227">
        <v>1.618363102</v>
      </c>
      <c r="AC227">
        <v>1.626450476</v>
      </c>
      <c r="AD227">
        <v>1.6386483169999999</v>
      </c>
      <c r="AE227">
        <v>1.648119321</v>
      </c>
      <c r="AF227">
        <v>1.6583502729999999</v>
      </c>
      <c r="AG227">
        <v>1.6667427640000001</v>
      </c>
      <c r="AH227">
        <v>1.674566116</v>
      </c>
      <c r="AI227">
        <v>1.6791757410000001</v>
      </c>
      <c r="AJ227">
        <v>1.6840520720000001</v>
      </c>
      <c r="AK227">
        <v>1.6884945849999999</v>
      </c>
      <c r="AL227">
        <v>1.6928955130000001</v>
      </c>
      <c r="AM227">
        <v>1.6973041449999999</v>
      </c>
      <c r="AN227">
        <v>1.6933581369999999</v>
      </c>
      <c r="AO227">
        <v>1.6896818899999999</v>
      </c>
      <c r="AP227">
        <v>1.6852899880000001</v>
      </c>
      <c r="AQ227">
        <v>1.680874601</v>
      </c>
      <c r="AR227">
        <v>1.6752996259999999</v>
      </c>
      <c r="AS227">
        <v>1.6713394859999999</v>
      </c>
      <c r="AT227">
        <v>1.6673880679999999</v>
      </c>
      <c r="AU227">
        <v>1.663089094</v>
      </c>
      <c r="AV227">
        <v>1.6584864070000001</v>
      </c>
      <c r="AW227">
        <v>1.654140355</v>
      </c>
    </row>
    <row r="228" spans="2:49" x14ac:dyDescent="0.25">
      <c r="B228" t="s">
        <v>529</v>
      </c>
      <c r="C228">
        <v>0.19372928894524399</v>
      </c>
      <c r="D228">
        <v>0.196839675342774</v>
      </c>
      <c r="E228">
        <v>0.41865197459999998</v>
      </c>
      <c r="F228">
        <v>0.42930691970000001</v>
      </c>
      <c r="G228">
        <v>0.42510931480000003</v>
      </c>
      <c r="H228">
        <v>0.41437822089999998</v>
      </c>
      <c r="I228">
        <v>0.43050812249999998</v>
      </c>
      <c r="J228">
        <v>0.43651106589999999</v>
      </c>
      <c r="K228">
        <v>0.42723465579999997</v>
      </c>
      <c r="L228">
        <v>0.4251593293</v>
      </c>
      <c r="M228">
        <v>0.43315859919999999</v>
      </c>
      <c r="N228">
        <v>0.44738474630000002</v>
      </c>
      <c r="O228">
        <v>0.48716004670000002</v>
      </c>
      <c r="P228">
        <v>0.52004596830000005</v>
      </c>
      <c r="Q228">
        <v>0.53068521000000002</v>
      </c>
      <c r="R228">
        <v>0.5470586771</v>
      </c>
      <c r="S228">
        <v>0.56598142890000003</v>
      </c>
      <c r="T228">
        <v>0.62057937839999999</v>
      </c>
      <c r="U228">
        <v>0.68015237289999997</v>
      </c>
      <c r="V228">
        <v>0.74337089469999995</v>
      </c>
      <c r="W228">
        <v>0.74462758669999995</v>
      </c>
      <c r="X228">
        <v>0.74871553209999997</v>
      </c>
      <c r="Y228">
        <v>0.75393261649999999</v>
      </c>
      <c r="Z228">
        <v>0.76224145929999998</v>
      </c>
      <c r="AA228">
        <v>0.76688198269999996</v>
      </c>
      <c r="AB228">
        <v>0.77133629339999998</v>
      </c>
      <c r="AC228">
        <v>0.77519085769999996</v>
      </c>
      <c r="AD228">
        <v>0.78100453280000004</v>
      </c>
      <c r="AE228">
        <v>0.78551855670000004</v>
      </c>
      <c r="AF228">
        <v>0.79039478289999998</v>
      </c>
      <c r="AG228">
        <v>0.79439477059999997</v>
      </c>
      <c r="AH228">
        <v>0.79812349839999996</v>
      </c>
      <c r="AI228">
        <v>0.80032051530000003</v>
      </c>
      <c r="AJ228">
        <v>0.80264464800000002</v>
      </c>
      <c r="AK228">
        <v>0.80476201729999997</v>
      </c>
      <c r="AL228">
        <v>0.80685956579999996</v>
      </c>
      <c r="AM228">
        <v>0.8089607862</v>
      </c>
      <c r="AN228">
        <v>0.80708005940000005</v>
      </c>
      <c r="AO228">
        <v>0.80532790470000004</v>
      </c>
      <c r="AP228">
        <v>0.80323465780000003</v>
      </c>
      <c r="AQ228">
        <v>0.80113021770000004</v>
      </c>
      <c r="AR228">
        <v>0.79847310049999998</v>
      </c>
      <c r="AS228">
        <v>0.79658563770000002</v>
      </c>
      <c r="AT228">
        <v>0.79470233219999997</v>
      </c>
      <c r="AU228">
        <v>0.79265337650000001</v>
      </c>
      <c r="AV228">
        <v>0.79045966639999998</v>
      </c>
      <c r="AW228">
        <v>0.78838827199999995</v>
      </c>
    </row>
    <row r="229" spans="2:49" x14ac:dyDescent="0.25">
      <c r="B229" t="s">
        <v>530</v>
      </c>
      <c r="C229">
        <v>0.38745857789048899</v>
      </c>
      <c r="D229">
        <v>0.39367935068554899</v>
      </c>
      <c r="E229">
        <v>0.41865197459999998</v>
      </c>
      <c r="F229">
        <v>0.52786231279999996</v>
      </c>
      <c r="G229">
        <v>0.64735887719999996</v>
      </c>
      <c r="H229">
        <v>0.78622837940000001</v>
      </c>
      <c r="I229">
        <v>1.022807003</v>
      </c>
      <c r="J229">
        <v>1.3038365439999999</v>
      </c>
      <c r="K229">
        <v>1.6096398380000001</v>
      </c>
      <c r="L229">
        <v>2.0257588979999999</v>
      </c>
      <c r="M229">
        <v>2.6155742829999999</v>
      </c>
      <c r="N229">
        <v>3.4293315390000001</v>
      </c>
      <c r="O229">
        <v>3.2788382550000001</v>
      </c>
      <c r="P229">
        <v>3.0698764459999999</v>
      </c>
      <c r="Q229">
        <v>2.7412615329999999</v>
      </c>
      <c r="R229">
        <v>2.4639043190000001</v>
      </c>
      <c r="S229">
        <v>2.2113576429999999</v>
      </c>
      <c r="T229">
        <v>2.6250361139999998</v>
      </c>
      <c r="U229">
        <v>3.0625150219999999</v>
      </c>
      <c r="V229">
        <v>3.520678808</v>
      </c>
      <c r="W229">
        <v>3.5266306269999999</v>
      </c>
      <c r="X229">
        <v>3.5459915450000001</v>
      </c>
      <c r="Y229">
        <v>3.5707001780000001</v>
      </c>
      <c r="Z229">
        <v>3.6100516869999999</v>
      </c>
      <c r="AA229">
        <v>3.632029669</v>
      </c>
      <c r="AB229">
        <v>3.6531257300000002</v>
      </c>
      <c r="AC229">
        <v>3.6713813310000001</v>
      </c>
      <c r="AD229">
        <v>3.698915478</v>
      </c>
      <c r="AE229">
        <v>3.7202943460000002</v>
      </c>
      <c r="AF229">
        <v>3.74338864</v>
      </c>
      <c r="AG229">
        <v>3.7623329810000001</v>
      </c>
      <c r="AH229">
        <v>3.7799926089999998</v>
      </c>
      <c r="AI229">
        <v>3.7903978999999999</v>
      </c>
      <c r="AJ229">
        <v>3.8014052249999999</v>
      </c>
      <c r="AK229">
        <v>3.8114332970000002</v>
      </c>
      <c r="AL229">
        <v>3.8213674969999998</v>
      </c>
      <c r="AM229">
        <v>3.8313190860000002</v>
      </c>
      <c r="AN229">
        <v>3.822411776</v>
      </c>
      <c r="AO229">
        <v>3.8141133960000002</v>
      </c>
      <c r="AP229">
        <v>3.8041995700000002</v>
      </c>
      <c r="AQ229">
        <v>3.7942327310000001</v>
      </c>
      <c r="AR229">
        <v>3.7816483590000001</v>
      </c>
      <c r="AS229">
        <v>3.772709147</v>
      </c>
      <c r="AT229">
        <v>3.7637896240000002</v>
      </c>
      <c r="AU229">
        <v>3.754085565</v>
      </c>
      <c r="AV229">
        <v>3.7436959339999998</v>
      </c>
      <c r="AW229">
        <v>3.7338856040000001</v>
      </c>
    </row>
    <row r="230" spans="2:49" x14ac:dyDescent="0.25">
      <c r="B230" t="s">
        <v>531</v>
      </c>
      <c r="C230">
        <v>1.1905732046364299</v>
      </c>
      <c r="D230">
        <v>1.2096882425386799</v>
      </c>
      <c r="E230">
        <v>1.233563127</v>
      </c>
      <c r="F230">
        <v>1.2401228550000001</v>
      </c>
      <c r="G230">
        <v>1.1450377439999999</v>
      </c>
      <c r="H230">
        <v>0.9285584268</v>
      </c>
      <c r="I230">
        <v>1.0166488979999999</v>
      </c>
      <c r="J230">
        <v>1.040623759</v>
      </c>
      <c r="K230">
        <v>0.98416757779999997</v>
      </c>
      <c r="L230">
        <v>0.98224479129999998</v>
      </c>
      <c r="M230">
        <v>0.98915833330000003</v>
      </c>
      <c r="N230">
        <v>0.99899176540000001</v>
      </c>
      <c r="O230">
        <v>0.94524905889999999</v>
      </c>
      <c r="P230">
        <v>0.96197320490000005</v>
      </c>
      <c r="Q230">
        <v>0.94320268949999997</v>
      </c>
      <c r="R230">
        <v>0.89539677080000002</v>
      </c>
      <c r="S230">
        <v>0.86361226710000005</v>
      </c>
      <c r="T230">
        <v>0.86701324349999997</v>
      </c>
      <c r="U230">
        <v>0.87243580880000005</v>
      </c>
      <c r="V230">
        <v>0.88712185860000004</v>
      </c>
      <c r="W230">
        <v>0.88203132269999995</v>
      </c>
      <c r="X230">
        <v>0.86854181610000003</v>
      </c>
      <c r="Y230">
        <v>0.86379727210000001</v>
      </c>
      <c r="Z230">
        <v>0.86140551710000002</v>
      </c>
      <c r="AA230">
        <v>0.8586444647</v>
      </c>
      <c r="AB230">
        <v>0.85519706139999996</v>
      </c>
      <c r="AC230">
        <v>0.84985882469999996</v>
      </c>
      <c r="AD230">
        <v>0.85729349269999999</v>
      </c>
      <c r="AE230">
        <v>0.86256482499999998</v>
      </c>
      <c r="AF230">
        <v>0.86822251090000002</v>
      </c>
      <c r="AG230">
        <v>0.87430582590000006</v>
      </c>
      <c r="AH230">
        <v>0.87950850560000005</v>
      </c>
      <c r="AI230">
        <v>0.88860319389999998</v>
      </c>
      <c r="AJ230">
        <v>0.89684339680000003</v>
      </c>
      <c r="AK230">
        <v>0.90479845989999996</v>
      </c>
      <c r="AL230">
        <v>0.91280914830000004</v>
      </c>
      <c r="AM230">
        <v>0.9207894902</v>
      </c>
      <c r="AN230">
        <v>0.92616309389999996</v>
      </c>
      <c r="AO230">
        <v>0.9325479217</v>
      </c>
      <c r="AP230">
        <v>0.93877781890000001</v>
      </c>
      <c r="AQ230">
        <v>0.94504322669999996</v>
      </c>
      <c r="AR230">
        <v>0.94998594120000002</v>
      </c>
      <c r="AS230">
        <v>0.95791764700000004</v>
      </c>
      <c r="AT230">
        <v>0.96520310239999996</v>
      </c>
      <c r="AU230">
        <v>0.9722659656</v>
      </c>
      <c r="AV230">
        <v>0.97931657670000005</v>
      </c>
      <c r="AW230">
        <v>0.98692222169999999</v>
      </c>
    </row>
    <row r="231" spans="2:49" x14ac:dyDescent="0.25">
      <c r="B231" t="s">
        <v>532</v>
      </c>
      <c r="C231">
        <v>1.7112081308179601</v>
      </c>
      <c r="D231">
        <v>1.7386821308642</v>
      </c>
      <c r="E231">
        <v>1.7705559070000001</v>
      </c>
      <c r="F231">
        <v>1.792242173</v>
      </c>
      <c r="G231">
        <v>1.809625837</v>
      </c>
      <c r="H231">
        <v>1.70243758</v>
      </c>
      <c r="I231">
        <v>1.7792910639999999</v>
      </c>
      <c r="J231">
        <v>1.8086715250000001</v>
      </c>
      <c r="K231">
        <v>1.787724307</v>
      </c>
      <c r="L231">
        <v>1.7986002560000001</v>
      </c>
      <c r="M231">
        <v>1.816336959</v>
      </c>
      <c r="N231">
        <v>1.8927321319999999</v>
      </c>
      <c r="O231">
        <v>1.8930177560000001</v>
      </c>
      <c r="P231">
        <v>1.8987424770000001</v>
      </c>
      <c r="Q231">
        <v>1.8729726950000001</v>
      </c>
      <c r="R231">
        <v>1.891912104</v>
      </c>
      <c r="S231">
        <v>1.8762786469999999</v>
      </c>
      <c r="T231">
        <v>1.8844785559999999</v>
      </c>
      <c r="U231">
        <v>1.916383094</v>
      </c>
      <c r="V231">
        <v>1.957863626</v>
      </c>
      <c r="W231">
        <v>1.994515987</v>
      </c>
      <c r="X231">
        <v>2.0256761999999999</v>
      </c>
      <c r="Y231">
        <v>2.0520580919999998</v>
      </c>
      <c r="Z231">
        <v>2.079471914</v>
      </c>
      <c r="AA231">
        <v>2.104394954</v>
      </c>
      <c r="AB231">
        <v>2.1276662439999998</v>
      </c>
      <c r="AC231">
        <v>2.150022468</v>
      </c>
      <c r="AD231">
        <v>2.170834068</v>
      </c>
      <c r="AE231">
        <v>2.1911842140000002</v>
      </c>
      <c r="AF231">
        <v>2.2140452900000001</v>
      </c>
      <c r="AG231">
        <v>2.235633773</v>
      </c>
      <c r="AH231">
        <v>2.2583728000000001</v>
      </c>
      <c r="AI231">
        <v>2.2836798489999999</v>
      </c>
      <c r="AJ231">
        <v>2.3110897860000001</v>
      </c>
      <c r="AK231">
        <v>2.3392156929999999</v>
      </c>
      <c r="AL231">
        <v>2.3686145349999999</v>
      </c>
      <c r="AM231">
        <v>2.3988066560000001</v>
      </c>
      <c r="AN231">
        <v>2.4300417379999999</v>
      </c>
      <c r="AO231">
        <v>2.4623771040000002</v>
      </c>
      <c r="AP231">
        <v>2.4944111179999999</v>
      </c>
      <c r="AQ231">
        <v>2.5266202440000001</v>
      </c>
      <c r="AR231">
        <v>2.558757393</v>
      </c>
      <c r="AS231">
        <v>2.5903402889999998</v>
      </c>
      <c r="AT231">
        <v>2.6221272029999998</v>
      </c>
      <c r="AU231">
        <v>2.6543761309999998</v>
      </c>
      <c r="AV231">
        <v>2.6872508129999999</v>
      </c>
      <c r="AW231">
        <v>2.7203032349999998</v>
      </c>
    </row>
    <row r="232" spans="2:49" x14ac:dyDescent="0.25">
      <c r="B232" t="s">
        <v>533</v>
      </c>
      <c r="C232">
        <v>0</v>
      </c>
      <c r="D232">
        <v>0</v>
      </c>
      <c r="E232">
        <v>0</v>
      </c>
      <c r="F232">
        <v>0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>
        <v>0</v>
      </c>
      <c r="AI232">
        <v>0</v>
      </c>
      <c r="AJ232">
        <v>0</v>
      </c>
      <c r="AK232">
        <v>0</v>
      </c>
      <c r="AL232">
        <v>0</v>
      </c>
      <c r="AM232">
        <v>0</v>
      </c>
      <c r="AN232">
        <v>0</v>
      </c>
      <c r="AO232">
        <v>0</v>
      </c>
      <c r="AP232">
        <v>0</v>
      </c>
      <c r="AQ232">
        <v>0</v>
      </c>
      <c r="AR232">
        <v>0</v>
      </c>
      <c r="AS232">
        <v>0</v>
      </c>
      <c r="AT232">
        <v>0</v>
      </c>
      <c r="AU232">
        <v>0</v>
      </c>
      <c r="AV232">
        <v>0</v>
      </c>
      <c r="AW232">
        <v>0</v>
      </c>
    </row>
    <row r="233" spans="2:49" x14ac:dyDescent="0.25">
      <c r="B233" t="s">
        <v>534</v>
      </c>
      <c r="C233">
        <v>1.5692072404564801</v>
      </c>
      <c r="D233">
        <v>1.5944013702764701</v>
      </c>
      <c r="E233">
        <v>1.6275232150000001</v>
      </c>
      <c r="F233">
        <v>1.651518204</v>
      </c>
      <c r="G233">
        <v>1.675849071</v>
      </c>
      <c r="H233">
        <v>1.5597405689999999</v>
      </c>
      <c r="I233">
        <v>1.648657091</v>
      </c>
      <c r="J233">
        <v>1.701571994</v>
      </c>
      <c r="K233">
        <v>1.6926117140000001</v>
      </c>
      <c r="L233">
        <v>1.7030512739999999</v>
      </c>
      <c r="M233">
        <v>1.7202221660000001</v>
      </c>
      <c r="N233">
        <v>1.7681220660000001</v>
      </c>
      <c r="O233">
        <v>1.8246650870000001</v>
      </c>
      <c r="P233">
        <v>1.915815346</v>
      </c>
      <c r="Q233">
        <v>1.9674798440000001</v>
      </c>
      <c r="R233">
        <v>2.0583189530000001</v>
      </c>
      <c r="S233">
        <v>2.1026682569999999</v>
      </c>
      <c r="T233">
        <v>2.1117290660000001</v>
      </c>
      <c r="U233">
        <v>2.1388606550000002</v>
      </c>
      <c r="V233">
        <v>2.1736646529999999</v>
      </c>
      <c r="W233">
        <v>2.2046033920000001</v>
      </c>
      <c r="X233">
        <v>2.2301335510000002</v>
      </c>
      <c r="Y233">
        <v>2.2481696329999998</v>
      </c>
      <c r="Z233">
        <v>2.2720310029999999</v>
      </c>
      <c r="AA233">
        <v>2.2908131109999998</v>
      </c>
      <c r="AB233">
        <v>2.3074551350000001</v>
      </c>
      <c r="AC233">
        <v>2.3227920059999998</v>
      </c>
      <c r="AD233">
        <v>2.3367904419999999</v>
      </c>
      <c r="AE233">
        <v>2.3499000259999998</v>
      </c>
      <c r="AF233">
        <v>2.3665834349999999</v>
      </c>
      <c r="AG233">
        <v>2.3809452599999998</v>
      </c>
      <c r="AH233">
        <v>2.3962308970000001</v>
      </c>
      <c r="AI233">
        <v>2.410910968</v>
      </c>
      <c r="AJ233">
        <v>2.4275624250000001</v>
      </c>
      <c r="AK233">
        <v>2.4448553660000001</v>
      </c>
      <c r="AL233">
        <v>2.4634760149999999</v>
      </c>
      <c r="AM233">
        <v>2.4830918</v>
      </c>
      <c r="AN233">
        <v>2.5064202799999999</v>
      </c>
      <c r="AO233">
        <v>2.5323089150000002</v>
      </c>
      <c r="AP233">
        <v>2.558267066</v>
      </c>
      <c r="AQ233">
        <v>2.584641242</v>
      </c>
      <c r="AR233">
        <v>2.61103416</v>
      </c>
      <c r="AS233">
        <v>2.6377720240000002</v>
      </c>
      <c r="AT233">
        <v>2.6653051670000001</v>
      </c>
      <c r="AU233">
        <v>2.6934889869999998</v>
      </c>
      <c r="AV233">
        <v>2.7224350259999999</v>
      </c>
      <c r="AW233">
        <v>2.7515943570000001</v>
      </c>
    </row>
    <row r="234" spans="2:49" x14ac:dyDescent="0.25">
      <c r="B234" t="s">
        <v>535</v>
      </c>
      <c r="C234">
        <v>0.99151022292981705</v>
      </c>
      <c r="D234">
        <v>0.99151022292981705</v>
      </c>
      <c r="E234">
        <v>0.98738657799999996</v>
      </c>
      <c r="F234">
        <v>0.98343459509999998</v>
      </c>
      <c r="G234">
        <v>0.9795290378</v>
      </c>
      <c r="H234">
        <v>0.97559417989999997</v>
      </c>
      <c r="I234">
        <v>0.97173454780000001</v>
      </c>
      <c r="J234">
        <v>0.96789140210000002</v>
      </c>
      <c r="K234">
        <v>0.96405033669999995</v>
      </c>
      <c r="L234">
        <v>0.96023832220000005</v>
      </c>
      <c r="M234">
        <v>0.95642617789999995</v>
      </c>
      <c r="N234">
        <v>0.95266201630000003</v>
      </c>
      <c r="O234">
        <v>0.95199984910000002</v>
      </c>
      <c r="P234">
        <v>0.95131421819999995</v>
      </c>
      <c r="Q234">
        <v>0.95057867139999996</v>
      </c>
      <c r="R234">
        <v>0.94980793480000003</v>
      </c>
      <c r="S234">
        <v>0.94894739679999995</v>
      </c>
      <c r="T234">
        <v>0.94650346110000005</v>
      </c>
      <c r="U234">
        <v>0.94416952659999998</v>
      </c>
      <c r="V234">
        <v>0.94192088299999999</v>
      </c>
      <c r="W234">
        <v>0.94197417000000006</v>
      </c>
      <c r="X234">
        <v>0.9420412333</v>
      </c>
      <c r="Y234">
        <v>0.9420928059</v>
      </c>
      <c r="Z234">
        <v>0.94213619630000001</v>
      </c>
      <c r="AA234">
        <v>0.94217809299999999</v>
      </c>
      <c r="AB234">
        <v>0.94221913970000004</v>
      </c>
      <c r="AC234">
        <v>0.94226626319999995</v>
      </c>
      <c r="AD234">
        <v>0.94230923359999996</v>
      </c>
      <c r="AE234">
        <v>0.94234943000000004</v>
      </c>
      <c r="AF234">
        <v>0.94239265370000003</v>
      </c>
      <c r="AG234">
        <v>0.9424352453</v>
      </c>
      <c r="AH234">
        <v>0.94247934899999997</v>
      </c>
      <c r="AI234">
        <v>0.94252317360000004</v>
      </c>
      <c r="AJ234">
        <v>0.94256893980000001</v>
      </c>
      <c r="AK234">
        <v>0.94261619640000005</v>
      </c>
      <c r="AL234">
        <v>0.94266489880000004</v>
      </c>
      <c r="AM234">
        <v>0.94271462539999995</v>
      </c>
      <c r="AN234">
        <v>0.9427678598</v>
      </c>
      <c r="AO234">
        <v>0.94282359589999998</v>
      </c>
      <c r="AP234">
        <v>0.942880736</v>
      </c>
      <c r="AQ234">
        <v>0.94293900419999999</v>
      </c>
      <c r="AR234">
        <v>0.94300131620000005</v>
      </c>
      <c r="AS234">
        <v>0.94305365149999998</v>
      </c>
      <c r="AT234">
        <v>0.94310604239999996</v>
      </c>
      <c r="AU234">
        <v>0.94315939280000005</v>
      </c>
      <c r="AV234">
        <v>0.94321364669999996</v>
      </c>
      <c r="AW234">
        <v>0.94326702640000004</v>
      </c>
    </row>
    <row r="235" spans="2:49" x14ac:dyDescent="0.25">
      <c r="B235" t="s">
        <v>536</v>
      </c>
      <c r="C235">
        <v>8.4897770701825997E-3</v>
      </c>
      <c r="D235">
        <v>8.4897770701825997E-3</v>
      </c>
      <c r="E235">
        <v>1.2613421999999999E-2</v>
      </c>
      <c r="F235">
        <v>1.65654049E-2</v>
      </c>
      <c r="G235">
        <v>2.0470962200000001E-2</v>
      </c>
      <c r="H235">
        <v>2.44058201E-2</v>
      </c>
      <c r="I235">
        <v>2.8265452199999999E-2</v>
      </c>
      <c r="J235">
        <v>3.2108597900000001E-2</v>
      </c>
      <c r="K235">
        <v>3.5949663299999997E-2</v>
      </c>
      <c r="L235">
        <v>3.9761677799999999E-2</v>
      </c>
      <c r="M235">
        <v>4.35738221E-2</v>
      </c>
      <c r="N235">
        <v>4.7337983700000003E-2</v>
      </c>
      <c r="O235">
        <v>4.8000150900000003E-2</v>
      </c>
      <c r="P235">
        <v>4.8685781800000001E-2</v>
      </c>
      <c r="Q235">
        <v>4.9421328600000002E-2</v>
      </c>
      <c r="R235">
        <v>5.0192065199999997E-2</v>
      </c>
      <c r="S235">
        <v>5.1052603199999998E-2</v>
      </c>
      <c r="T235">
        <v>5.3496538900000001E-2</v>
      </c>
      <c r="U235">
        <v>5.5830473399999997E-2</v>
      </c>
      <c r="V235">
        <v>5.8079117E-2</v>
      </c>
      <c r="W235">
        <v>5.802583E-2</v>
      </c>
      <c r="X235">
        <v>5.7958766699999997E-2</v>
      </c>
      <c r="Y235">
        <v>5.7907194100000003E-2</v>
      </c>
      <c r="Z235">
        <v>5.7863803700000001E-2</v>
      </c>
      <c r="AA235">
        <v>5.7821906999999999E-2</v>
      </c>
      <c r="AB235">
        <v>5.77808603E-2</v>
      </c>
      <c r="AC235">
        <v>5.7733736799999998E-2</v>
      </c>
      <c r="AD235">
        <v>5.7690766400000003E-2</v>
      </c>
      <c r="AE235">
        <v>5.7650569999999998E-2</v>
      </c>
      <c r="AF235">
        <v>5.7607346300000001E-2</v>
      </c>
      <c r="AG235">
        <v>5.7564754699999998E-2</v>
      </c>
      <c r="AH235">
        <v>5.7520650999999999E-2</v>
      </c>
      <c r="AI235">
        <v>5.74768264E-2</v>
      </c>
      <c r="AJ235">
        <v>5.7431060200000002E-2</v>
      </c>
      <c r="AK235">
        <v>5.7383803599999998E-2</v>
      </c>
      <c r="AL235">
        <v>5.7335101200000002E-2</v>
      </c>
      <c r="AM235">
        <v>5.7285374600000001E-2</v>
      </c>
      <c r="AN235">
        <v>5.7232140200000003E-2</v>
      </c>
      <c r="AO235">
        <v>5.7176404100000001E-2</v>
      </c>
      <c r="AP235">
        <v>5.7119264000000003E-2</v>
      </c>
      <c r="AQ235">
        <v>5.70609958E-2</v>
      </c>
      <c r="AR235">
        <v>5.6998683799999998E-2</v>
      </c>
      <c r="AS235">
        <v>5.6946348500000001E-2</v>
      </c>
      <c r="AT235">
        <v>5.6893957600000003E-2</v>
      </c>
      <c r="AU235">
        <v>5.6840607199999997E-2</v>
      </c>
      <c r="AV235">
        <v>5.6786353300000002E-2</v>
      </c>
      <c r="AW235">
        <v>5.67329736E-2</v>
      </c>
    </row>
    <row r="236" spans="2:49" x14ac:dyDescent="0.25">
      <c r="B236" t="s">
        <v>537</v>
      </c>
      <c r="C236">
        <v>0.79896379760487002</v>
      </c>
      <c r="D236">
        <v>0.79896379760486902</v>
      </c>
      <c r="E236">
        <v>0.77900597940000005</v>
      </c>
      <c r="F236">
        <v>0.776059363</v>
      </c>
      <c r="G236">
        <v>0.77314800520000004</v>
      </c>
      <c r="H236">
        <v>0.77027023289999996</v>
      </c>
      <c r="I236">
        <v>0.76742447530000002</v>
      </c>
      <c r="J236">
        <v>0.76460925729999996</v>
      </c>
      <c r="K236">
        <v>0.76182319359999995</v>
      </c>
      <c r="L236">
        <v>0.7590649827</v>
      </c>
      <c r="M236">
        <v>0.75633340130000004</v>
      </c>
      <c r="N236">
        <v>0.75362729979999998</v>
      </c>
      <c r="O236">
        <v>0.73840889539999999</v>
      </c>
      <c r="P236">
        <v>0.72265938789999995</v>
      </c>
      <c r="Q236">
        <v>0.70517890100000002</v>
      </c>
      <c r="R236">
        <v>0.68650004990000002</v>
      </c>
      <c r="S236">
        <v>0.66723666879999999</v>
      </c>
      <c r="T236">
        <v>0.6586233239</v>
      </c>
      <c r="U236">
        <v>0.64996032790000002</v>
      </c>
      <c r="V236">
        <v>0.64124725019999995</v>
      </c>
      <c r="W236">
        <v>0.64124725019999995</v>
      </c>
      <c r="X236">
        <v>0.64124725019999995</v>
      </c>
      <c r="Y236">
        <v>0.64124725019999995</v>
      </c>
      <c r="Z236">
        <v>0.64124725019999995</v>
      </c>
      <c r="AA236">
        <v>0.64124725019999995</v>
      </c>
      <c r="AB236">
        <v>0.64124725019999995</v>
      </c>
      <c r="AC236">
        <v>0.64124725019999995</v>
      </c>
      <c r="AD236">
        <v>0.64124725019999995</v>
      </c>
      <c r="AE236">
        <v>0.64124725019999995</v>
      </c>
      <c r="AF236">
        <v>0.64124725019999995</v>
      </c>
      <c r="AG236">
        <v>0.64124725019999995</v>
      </c>
      <c r="AH236">
        <v>0.64124725019999995</v>
      </c>
      <c r="AI236">
        <v>0.64124725019999995</v>
      </c>
      <c r="AJ236">
        <v>0.64124725019999995</v>
      </c>
      <c r="AK236">
        <v>0.64124725019999995</v>
      </c>
      <c r="AL236">
        <v>0.64124725019999995</v>
      </c>
      <c r="AM236">
        <v>0.64124725019999995</v>
      </c>
      <c r="AN236">
        <v>0.64124725019999995</v>
      </c>
      <c r="AO236">
        <v>0.64124725019999995</v>
      </c>
      <c r="AP236">
        <v>0.64124725019999995</v>
      </c>
      <c r="AQ236">
        <v>0.64124725019999995</v>
      </c>
      <c r="AR236">
        <v>0.64124725019999995</v>
      </c>
      <c r="AS236">
        <v>0.64124725019999995</v>
      </c>
      <c r="AT236">
        <v>0.64124725019999995</v>
      </c>
      <c r="AU236">
        <v>0.64124725019999995</v>
      </c>
      <c r="AV236">
        <v>0.64124725019999995</v>
      </c>
      <c r="AW236">
        <v>0.64124725019999995</v>
      </c>
    </row>
    <row r="237" spans="2:49" x14ac:dyDescent="0.25">
      <c r="B237" t="s">
        <v>538</v>
      </c>
      <c r="C237">
        <v>1.02537481030392E-2</v>
      </c>
      <c r="D237">
        <v>1.02537481030392E-2</v>
      </c>
      <c r="E237">
        <v>1.2675264800000001E-2</v>
      </c>
      <c r="F237">
        <v>1.2668222099999999E-2</v>
      </c>
      <c r="G237">
        <v>1.2661578200000001E-2</v>
      </c>
      <c r="H237">
        <v>1.26553102E-2</v>
      </c>
      <c r="I237">
        <v>1.26493964E-2</v>
      </c>
      <c r="J237">
        <v>1.26438165E-2</v>
      </c>
      <c r="K237">
        <v>1.26385514E-2</v>
      </c>
      <c r="L237">
        <v>1.26335831E-2</v>
      </c>
      <c r="M237">
        <v>1.2628894599999999E-2</v>
      </c>
      <c r="N237">
        <v>1.26244701E-2</v>
      </c>
      <c r="O237">
        <v>1.2617142499999999E-2</v>
      </c>
      <c r="P237">
        <v>1.26095593E-2</v>
      </c>
      <c r="Q237">
        <v>1.2580805E-2</v>
      </c>
      <c r="R237">
        <v>1.2539652700000001E-2</v>
      </c>
      <c r="S237">
        <v>1.24972125E-2</v>
      </c>
      <c r="T237">
        <v>1.3646286000000001E-2</v>
      </c>
      <c r="U237">
        <v>1.48019832E-2</v>
      </c>
      <c r="V237">
        <v>1.5964361699999999E-2</v>
      </c>
      <c r="W237">
        <v>1.5964361699999999E-2</v>
      </c>
      <c r="X237">
        <v>1.5964361699999999E-2</v>
      </c>
      <c r="Y237">
        <v>1.5964361699999999E-2</v>
      </c>
      <c r="Z237">
        <v>1.5964361699999999E-2</v>
      </c>
      <c r="AA237">
        <v>1.5964361699999999E-2</v>
      </c>
      <c r="AB237">
        <v>1.5964361699999999E-2</v>
      </c>
      <c r="AC237">
        <v>1.5964361699999999E-2</v>
      </c>
      <c r="AD237">
        <v>1.5964361699999999E-2</v>
      </c>
      <c r="AE237">
        <v>1.5964361699999999E-2</v>
      </c>
      <c r="AF237">
        <v>1.5964361699999999E-2</v>
      </c>
      <c r="AG237">
        <v>1.5964361699999999E-2</v>
      </c>
      <c r="AH237">
        <v>1.5964361699999999E-2</v>
      </c>
      <c r="AI237">
        <v>1.5964361699999999E-2</v>
      </c>
      <c r="AJ237">
        <v>1.5964361699999999E-2</v>
      </c>
      <c r="AK237">
        <v>1.5964361699999999E-2</v>
      </c>
      <c r="AL237">
        <v>1.5964361699999999E-2</v>
      </c>
      <c r="AM237">
        <v>1.5964361699999999E-2</v>
      </c>
      <c r="AN237">
        <v>1.5964361699999999E-2</v>
      </c>
      <c r="AO237">
        <v>1.5964361699999999E-2</v>
      </c>
      <c r="AP237">
        <v>1.5964361699999999E-2</v>
      </c>
      <c r="AQ237">
        <v>1.5964361699999999E-2</v>
      </c>
      <c r="AR237">
        <v>1.5964361699999999E-2</v>
      </c>
      <c r="AS237">
        <v>1.5964361699999999E-2</v>
      </c>
      <c r="AT237">
        <v>1.5964361699999999E-2</v>
      </c>
      <c r="AU237">
        <v>1.5964361699999999E-2</v>
      </c>
      <c r="AV237">
        <v>1.5964361699999999E-2</v>
      </c>
      <c r="AW237">
        <v>1.5964361699999999E-2</v>
      </c>
    </row>
    <row r="238" spans="2:49" x14ac:dyDescent="0.25">
      <c r="B238" t="s">
        <v>539</v>
      </c>
      <c r="C238">
        <v>4.0949078402655603E-2</v>
      </c>
      <c r="D238">
        <v>4.0949078402655603E-2</v>
      </c>
      <c r="E238">
        <v>3.9926185699999998E-2</v>
      </c>
      <c r="F238">
        <v>3.9833014899999998E-2</v>
      </c>
      <c r="G238">
        <v>3.9741301100000001E-2</v>
      </c>
      <c r="H238">
        <v>3.9650965099999998E-2</v>
      </c>
      <c r="I238">
        <v>3.9561932600000002E-2</v>
      </c>
      <c r="J238">
        <v>3.94741339E-2</v>
      </c>
      <c r="K238">
        <v>3.9387503400000003E-2</v>
      </c>
      <c r="L238">
        <v>3.9301979600000002E-2</v>
      </c>
      <c r="M238">
        <v>3.9217504399999999E-2</v>
      </c>
      <c r="N238">
        <v>3.9134023499999997E-2</v>
      </c>
      <c r="O238">
        <v>4.2943227E-2</v>
      </c>
      <c r="P238">
        <v>4.6885366800000002E-2</v>
      </c>
      <c r="Q238">
        <v>5.0882988900000002E-2</v>
      </c>
      <c r="R238">
        <v>5.4960979399999998E-2</v>
      </c>
      <c r="S238">
        <v>5.9166585200000003E-2</v>
      </c>
      <c r="T238">
        <v>5.6457268499999998E-2</v>
      </c>
      <c r="U238">
        <v>5.3732334100000001E-2</v>
      </c>
      <c r="V238">
        <v>5.0991646600000003E-2</v>
      </c>
      <c r="W238">
        <v>5.0991646600000003E-2</v>
      </c>
      <c r="X238">
        <v>5.0991646600000003E-2</v>
      </c>
      <c r="Y238">
        <v>5.0991646600000003E-2</v>
      </c>
      <c r="Z238">
        <v>5.0991646600000003E-2</v>
      </c>
      <c r="AA238">
        <v>5.0991646600000003E-2</v>
      </c>
      <c r="AB238">
        <v>5.0991646600000003E-2</v>
      </c>
      <c r="AC238">
        <v>5.0991646600000003E-2</v>
      </c>
      <c r="AD238">
        <v>5.0991646600000003E-2</v>
      </c>
      <c r="AE238">
        <v>5.0991646600000003E-2</v>
      </c>
      <c r="AF238">
        <v>5.0991646600000003E-2</v>
      </c>
      <c r="AG238">
        <v>5.0991646600000003E-2</v>
      </c>
      <c r="AH238">
        <v>5.0991646600000003E-2</v>
      </c>
      <c r="AI238">
        <v>5.0991646600000003E-2</v>
      </c>
      <c r="AJ238">
        <v>5.0991646600000003E-2</v>
      </c>
      <c r="AK238">
        <v>5.0991646600000003E-2</v>
      </c>
      <c r="AL238">
        <v>5.0991646600000003E-2</v>
      </c>
      <c r="AM238">
        <v>5.0991646600000003E-2</v>
      </c>
      <c r="AN238">
        <v>5.0991646600000003E-2</v>
      </c>
      <c r="AO238">
        <v>5.0991646600000003E-2</v>
      </c>
      <c r="AP238">
        <v>5.0991646600000003E-2</v>
      </c>
      <c r="AQ238">
        <v>5.0991646600000003E-2</v>
      </c>
      <c r="AR238">
        <v>5.0991646600000003E-2</v>
      </c>
      <c r="AS238">
        <v>5.0991646600000003E-2</v>
      </c>
      <c r="AT238">
        <v>5.0991646600000003E-2</v>
      </c>
      <c r="AU238">
        <v>5.0991646600000003E-2</v>
      </c>
      <c r="AV238">
        <v>5.0991646600000003E-2</v>
      </c>
      <c r="AW238">
        <v>5.0991646600000003E-2</v>
      </c>
    </row>
    <row r="239" spans="2:49" x14ac:dyDescent="0.25">
      <c r="B239" t="s">
        <v>540</v>
      </c>
      <c r="C239">
        <v>4.0858446639591303E-2</v>
      </c>
      <c r="D239">
        <v>4.0858446639591303E-2</v>
      </c>
      <c r="E239">
        <v>3.9837817900000003E-2</v>
      </c>
      <c r="F239">
        <v>3.6544871299999997E-2</v>
      </c>
      <c r="G239">
        <v>3.3525161400000003E-2</v>
      </c>
      <c r="H239">
        <v>3.0755875700000001E-2</v>
      </c>
      <c r="I239">
        <v>2.8216125099999999E-2</v>
      </c>
      <c r="J239">
        <v>2.5886779299999999E-2</v>
      </c>
      <c r="K239">
        <v>2.3750316600000002E-2</v>
      </c>
      <c r="L239">
        <v>2.1790686600000001E-2</v>
      </c>
      <c r="M239">
        <v>1.9993184800000001E-2</v>
      </c>
      <c r="N239">
        <v>1.8344339000000001E-2</v>
      </c>
      <c r="O239">
        <v>1.59609834E-2</v>
      </c>
      <c r="P239">
        <v>1.34944517E-2</v>
      </c>
      <c r="Q239">
        <v>1.2580805E-2</v>
      </c>
      <c r="R239">
        <v>1.2539652700000001E-2</v>
      </c>
      <c r="S239">
        <v>1.24972125E-2</v>
      </c>
      <c r="T239">
        <v>1.2494037100000001E-2</v>
      </c>
      <c r="U239">
        <v>1.24908433E-2</v>
      </c>
      <c r="V239">
        <v>1.24876311E-2</v>
      </c>
      <c r="W239">
        <v>1.24876311E-2</v>
      </c>
      <c r="X239">
        <v>1.24876311E-2</v>
      </c>
      <c r="Y239">
        <v>1.24876311E-2</v>
      </c>
      <c r="Z239">
        <v>1.24876311E-2</v>
      </c>
      <c r="AA239">
        <v>1.24876311E-2</v>
      </c>
      <c r="AB239">
        <v>1.24876311E-2</v>
      </c>
      <c r="AC239">
        <v>1.24876311E-2</v>
      </c>
      <c r="AD239">
        <v>1.24876311E-2</v>
      </c>
      <c r="AE239">
        <v>1.24876311E-2</v>
      </c>
      <c r="AF239">
        <v>1.24876311E-2</v>
      </c>
      <c r="AG239">
        <v>1.24876311E-2</v>
      </c>
      <c r="AH239">
        <v>1.24876311E-2</v>
      </c>
      <c r="AI239">
        <v>1.24876311E-2</v>
      </c>
      <c r="AJ239">
        <v>1.24876311E-2</v>
      </c>
      <c r="AK239">
        <v>1.24876311E-2</v>
      </c>
      <c r="AL239">
        <v>1.24876311E-2</v>
      </c>
      <c r="AM239">
        <v>1.24876311E-2</v>
      </c>
      <c r="AN239">
        <v>1.24876311E-2</v>
      </c>
      <c r="AO239">
        <v>1.24876311E-2</v>
      </c>
      <c r="AP239">
        <v>1.24876311E-2</v>
      </c>
      <c r="AQ239">
        <v>1.24876311E-2</v>
      </c>
      <c r="AR239">
        <v>1.24876311E-2</v>
      </c>
      <c r="AS239">
        <v>1.24876311E-2</v>
      </c>
      <c r="AT239">
        <v>1.24876311E-2</v>
      </c>
      <c r="AU239">
        <v>1.24876311E-2</v>
      </c>
      <c r="AV239">
        <v>1.24876311E-2</v>
      </c>
      <c r="AW239">
        <v>1.24876311E-2</v>
      </c>
    </row>
    <row r="240" spans="2:49" x14ac:dyDescent="0.25">
      <c r="B240" t="s">
        <v>541</v>
      </c>
      <c r="C240">
        <v>8.2546962733871607E-3</v>
      </c>
      <c r="D240">
        <v>8.2546962733871607E-3</v>
      </c>
      <c r="E240">
        <v>1.2675264800000001E-2</v>
      </c>
      <c r="F240">
        <v>2.1269909399999998E-2</v>
      </c>
      <c r="G240">
        <v>2.91423798E-2</v>
      </c>
      <c r="H240">
        <v>3.62512054E-2</v>
      </c>
      <c r="I240">
        <v>4.2531170899999998E-2</v>
      </c>
      <c r="J240">
        <v>4.7886742699999998E-2</v>
      </c>
      <c r="K240">
        <v>5.2183302199999997E-2</v>
      </c>
      <c r="L240">
        <v>5.5235482799999999E-2</v>
      </c>
      <c r="M240">
        <v>5.6791675799999997E-2</v>
      </c>
      <c r="N240">
        <v>5.6513464499999999E-2</v>
      </c>
      <c r="O240">
        <v>6.1981451899999998E-2</v>
      </c>
      <c r="P240">
        <v>6.7640265300000002E-2</v>
      </c>
      <c r="Q240">
        <v>7.33781612E-2</v>
      </c>
      <c r="R240">
        <v>7.92310975E-2</v>
      </c>
      <c r="S240">
        <v>8.5267193800000002E-2</v>
      </c>
      <c r="T240">
        <v>8.9244817500000004E-2</v>
      </c>
      <c r="U240">
        <v>9.3245369999999994E-2</v>
      </c>
      <c r="V240">
        <v>9.7269050100000004E-2</v>
      </c>
      <c r="W240">
        <v>9.7269050100000004E-2</v>
      </c>
      <c r="X240">
        <v>9.7269050100000004E-2</v>
      </c>
      <c r="Y240">
        <v>9.7269050100000004E-2</v>
      </c>
      <c r="Z240">
        <v>9.7269050100000004E-2</v>
      </c>
      <c r="AA240">
        <v>9.7269050100000004E-2</v>
      </c>
      <c r="AB240">
        <v>9.7269050100000004E-2</v>
      </c>
      <c r="AC240">
        <v>9.7269050100000004E-2</v>
      </c>
      <c r="AD240">
        <v>9.7269050100000004E-2</v>
      </c>
      <c r="AE240">
        <v>9.7269050100000004E-2</v>
      </c>
      <c r="AF240">
        <v>9.7269050100000004E-2</v>
      </c>
      <c r="AG240">
        <v>9.7269050100000004E-2</v>
      </c>
      <c r="AH240">
        <v>9.7269050100000004E-2</v>
      </c>
      <c r="AI240">
        <v>9.7269050100000004E-2</v>
      </c>
      <c r="AJ240">
        <v>9.7269050100000004E-2</v>
      </c>
      <c r="AK240">
        <v>9.7269050100000004E-2</v>
      </c>
      <c r="AL240">
        <v>9.7269050100000004E-2</v>
      </c>
      <c r="AM240">
        <v>9.7269050100000004E-2</v>
      </c>
      <c r="AN240">
        <v>9.7269050100000004E-2</v>
      </c>
      <c r="AO240">
        <v>9.7269050100000004E-2</v>
      </c>
      <c r="AP240">
        <v>9.7269050100000004E-2</v>
      </c>
      <c r="AQ240">
        <v>9.7269050100000004E-2</v>
      </c>
      <c r="AR240">
        <v>9.7269050100000004E-2</v>
      </c>
      <c r="AS240">
        <v>9.7269050100000004E-2</v>
      </c>
      <c r="AT240">
        <v>9.7269050100000004E-2</v>
      </c>
      <c r="AU240">
        <v>9.7269050100000004E-2</v>
      </c>
      <c r="AV240">
        <v>9.7269050100000004E-2</v>
      </c>
      <c r="AW240">
        <v>9.7269050100000004E-2</v>
      </c>
    </row>
    <row r="241" spans="2:49" x14ac:dyDescent="0.25">
      <c r="B241" t="s">
        <v>542</v>
      </c>
      <c r="C241">
        <v>1.85730666151211E-3</v>
      </c>
      <c r="D241">
        <v>1.85730666151211E-3</v>
      </c>
      <c r="E241">
        <v>1.2675264800000001E-2</v>
      </c>
      <c r="F241">
        <v>1.32584443E-2</v>
      </c>
      <c r="G241">
        <v>1.4033777799999999E-2</v>
      </c>
      <c r="H241">
        <v>1.50637128E-2</v>
      </c>
      <c r="I241">
        <v>1.64310475E-2</v>
      </c>
      <c r="J241">
        <v>1.8245561800000001E-2</v>
      </c>
      <c r="K241">
        <v>2.0652809099999999E-2</v>
      </c>
      <c r="L241">
        <v>2.3845773399999999E-2</v>
      </c>
      <c r="M241">
        <v>2.8080325999999999E-2</v>
      </c>
      <c r="N241">
        <v>3.3695719800000003E-2</v>
      </c>
      <c r="O241">
        <v>3.6100387999999997E-2</v>
      </c>
      <c r="P241">
        <v>3.85889762E-2</v>
      </c>
      <c r="Q241">
        <v>4.1097675799999997E-2</v>
      </c>
      <c r="R241">
        <v>4.3648442000000003E-2</v>
      </c>
      <c r="S241">
        <v>4.62790311E-2</v>
      </c>
      <c r="T241">
        <v>4.75168464E-2</v>
      </c>
      <c r="U241">
        <v>4.8761796900000001E-2</v>
      </c>
      <c r="V241">
        <v>5.00139447E-2</v>
      </c>
      <c r="W241">
        <v>5.00139447E-2</v>
      </c>
      <c r="X241">
        <v>5.00139447E-2</v>
      </c>
      <c r="Y241">
        <v>5.00139447E-2</v>
      </c>
      <c r="Z241">
        <v>5.00139447E-2</v>
      </c>
      <c r="AA241">
        <v>5.00139447E-2</v>
      </c>
      <c r="AB241">
        <v>5.00139447E-2</v>
      </c>
      <c r="AC241">
        <v>5.00139447E-2</v>
      </c>
      <c r="AD241">
        <v>5.00139447E-2</v>
      </c>
      <c r="AE241">
        <v>5.00139447E-2</v>
      </c>
      <c r="AF241">
        <v>5.00139447E-2</v>
      </c>
      <c r="AG241">
        <v>5.00139447E-2</v>
      </c>
      <c r="AH241">
        <v>5.00139447E-2</v>
      </c>
      <c r="AI241">
        <v>5.00139447E-2</v>
      </c>
      <c r="AJ241">
        <v>5.00139447E-2</v>
      </c>
      <c r="AK241">
        <v>5.00139447E-2</v>
      </c>
      <c r="AL241">
        <v>5.00139447E-2</v>
      </c>
      <c r="AM241">
        <v>5.00139447E-2</v>
      </c>
      <c r="AN241">
        <v>5.00139447E-2</v>
      </c>
      <c r="AO241">
        <v>5.00139447E-2</v>
      </c>
      <c r="AP241">
        <v>5.00139447E-2</v>
      </c>
      <c r="AQ241">
        <v>5.00139447E-2</v>
      </c>
      <c r="AR241">
        <v>5.00139447E-2</v>
      </c>
      <c r="AS241">
        <v>5.00139447E-2</v>
      </c>
      <c r="AT241">
        <v>5.00139447E-2</v>
      </c>
      <c r="AU241">
        <v>5.00139447E-2</v>
      </c>
      <c r="AV241">
        <v>5.00139447E-2</v>
      </c>
      <c r="AW241">
        <v>5.00139447E-2</v>
      </c>
    </row>
    <row r="242" spans="2:49" x14ac:dyDescent="0.25">
      <c r="B242" t="s">
        <v>543</v>
      </c>
      <c r="C242">
        <v>9.2848272947954696E-2</v>
      </c>
      <c r="D242">
        <v>9.2848272947954599E-2</v>
      </c>
      <c r="E242">
        <v>9.0528957699999996E-2</v>
      </c>
      <c r="F242">
        <v>8.7010347700000004E-2</v>
      </c>
      <c r="G242">
        <v>8.3631104799999995E-2</v>
      </c>
      <c r="H242">
        <v>8.0385467500000002E-2</v>
      </c>
      <c r="I242">
        <v>7.7267934900000002E-2</v>
      </c>
      <c r="J242">
        <v>7.42732527E-2</v>
      </c>
      <c r="K242">
        <v>7.1396400200000001E-2</v>
      </c>
      <c r="L242">
        <v>6.8632578299999997E-2</v>
      </c>
      <c r="M242">
        <v>6.5977198400000006E-2</v>
      </c>
      <c r="N242">
        <v>6.3425871699999997E-2</v>
      </c>
      <c r="O242">
        <v>7.0110775400000006E-2</v>
      </c>
      <c r="P242">
        <v>7.7028973799999997E-2</v>
      </c>
      <c r="Q242">
        <v>8.4053250800000007E-2</v>
      </c>
      <c r="R242">
        <v>9.1223631999999999E-2</v>
      </c>
      <c r="S242">
        <v>9.86184009E-2</v>
      </c>
      <c r="T242">
        <v>0.102993055</v>
      </c>
      <c r="U242">
        <v>0.10739292659999999</v>
      </c>
      <c r="V242">
        <v>0.1118182343</v>
      </c>
      <c r="W242">
        <v>0.1118182343</v>
      </c>
      <c r="X242">
        <v>0.1118182343</v>
      </c>
      <c r="Y242">
        <v>0.1118182343</v>
      </c>
      <c r="Z242">
        <v>0.1118182343</v>
      </c>
      <c r="AA242">
        <v>0.1118182343</v>
      </c>
      <c r="AB242">
        <v>0.1118182343</v>
      </c>
      <c r="AC242">
        <v>0.1118182343</v>
      </c>
      <c r="AD242">
        <v>0.1118182343</v>
      </c>
      <c r="AE242">
        <v>0.1118182343</v>
      </c>
      <c r="AF242">
        <v>0.1118182343</v>
      </c>
      <c r="AG242">
        <v>0.1118182343</v>
      </c>
      <c r="AH242">
        <v>0.1118182343</v>
      </c>
      <c r="AI242">
        <v>0.1118182343</v>
      </c>
      <c r="AJ242">
        <v>0.1118182343</v>
      </c>
      <c r="AK242">
        <v>0.1118182343</v>
      </c>
      <c r="AL242">
        <v>0.1118182343</v>
      </c>
      <c r="AM242">
        <v>0.1118182343</v>
      </c>
      <c r="AN242">
        <v>0.1118182343</v>
      </c>
      <c r="AO242">
        <v>0.1118182343</v>
      </c>
      <c r="AP242">
        <v>0.1118182343</v>
      </c>
      <c r="AQ242">
        <v>0.1118182343</v>
      </c>
      <c r="AR242">
        <v>0.1118182343</v>
      </c>
      <c r="AS242">
        <v>0.1118182343</v>
      </c>
      <c r="AT242">
        <v>0.1118182343</v>
      </c>
      <c r="AU242">
        <v>0.1118182343</v>
      </c>
      <c r="AV242">
        <v>0.1118182343</v>
      </c>
      <c r="AW242">
        <v>0.1118182343</v>
      </c>
    </row>
    <row r="243" spans="2:49" x14ac:dyDescent="0.25">
      <c r="B243" t="s">
        <v>544</v>
      </c>
      <c r="C243">
        <v>6.0146533669896496E-3</v>
      </c>
      <c r="D243">
        <v>6.0146533669896496E-3</v>
      </c>
      <c r="E243">
        <v>1.2675264800000001E-2</v>
      </c>
      <c r="F243">
        <v>1.33558272E-2</v>
      </c>
      <c r="G243">
        <v>1.41166917E-2</v>
      </c>
      <c r="H243">
        <v>1.4967230600000001E-2</v>
      </c>
      <c r="I243">
        <v>1.59179175E-2</v>
      </c>
      <c r="J243">
        <v>1.6980455799999999E-2</v>
      </c>
      <c r="K243">
        <v>1.8167923499999999E-2</v>
      </c>
      <c r="L243">
        <v>1.94949336E-2</v>
      </c>
      <c r="M243">
        <v>2.09778147E-2</v>
      </c>
      <c r="N243">
        <v>2.2634811599999999E-2</v>
      </c>
      <c r="O243">
        <v>2.1877136299999999E-2</v>
      </c>
      <c r="P243">
        <v>2.1093019099999999E-2</v>
      </c>
      <c r="Q243">
        <v>2.02474123E-2</v>
      </c>
      <c r="R243">
        <v>1.9356493799999999E-2</v>
      </c>
      <c r="S243">
        <v>1.84376952E-2</v>
      </c>
      <c r="T243">
        <v>1.9024365599999999E-2</v>
      </c>
      <c r="U243">
        <v>1.9614417799999999E-2</v>
      </c>
      <c r="V243">
        <v>2.02078812E-2</v>
      </c>
      <c r="W243">
        <v>2.02078812E-2</v>
      </c>
      <c r="X243">
        <v>2.02078812E-2</v>
      </c>
      <c r="Y243">
        <v>2.02078812E-2</v>
      </c>
      <c r="Z243">
        <v>2.02078812E-2</v>
      </c>
      <c r="AA243">
        <v>2.02078812E-2</v>
      </c>
      <c r="AB243">
        <v>2.02078812E-2</v>
      </c>
      <c r="AC243">
        <v>2.02078812E-2</v>
      </c>
      <c r="AD243">
        <v>2.02078812E-2</v>
      </c>
      <c r="AE243">
        <v>2.02078812E-2</v>
      </c>
      <c r="AF243">
        <v>2.02078812E-2</v>
      </c>
      <c r="AG243">
        <v>2.02078812E-2</v>
      </c>
      <c r="AH243">
        <v>2.02078812E-2</v>
      </c>
      <c r="AI243">
        <v>2.02078812E-2</v>
      </c>
      <c r="AJ243">
        <v>2.02078812E-2</v>
      </c>
      <c r="AK243">
        <v>2.02078812E-2</v>
      </c>
      <c r="AL243">
        <v>2.02078812E-2</v>
      </c>
      <c r="AM243">
        <v>2.02078812E-2</v>
      </c>
      <c r="AN243">
        <v>2.02078812E-2</v>
      </c>
      <c r="AO243">
        <v>2.02078812E-2</v>
      </c>
      <c r="AP243">
        <v>2.02078812E-2</v>
      </c>
      <c r="AQ243">
        <v>2.02078812E-2</v>
      </c>
      <c r="AR243">
        <v>2.02078812E-2</v>
      </c>
      <c r="AS243">
        <v>2.02078812E-2</v>
      </c>
      <c r="AT243">
        <v>2.02078812E-2</v>
      </c>
      <c r="AU243">
        <v>2.02078812E-2</v>
      </c>
      <c r="AV243">
        <v>2.02078812E-2</v>
      </c>
      <c r="AW243">
        <v>2.02078812E-2</v>
      </c>
    </row>
    <row r="244" spans="2:49" x14ac:dyDescent="0.25">
      <c r="B244" t="s">
        <v>545</v>
      </c>
      <c r="C244">
        <v>0.92287069498865704</v>
      </c>
      <c r="D244">
        <v>0.92287069498865704</v>
      </c>
      <c r="E244">
        <v>0.90827002170000004</v>
      </c>
      <c r="F244">
        <v>0.88209099469999996</v>
      </c>
      <c r="G244">
        <v>0.85693182050000005</v>
      </c>
      <c r="H244">
        <v>0.83205391689999997</v>
      </c>
      <c r="I244">
        <v>0.80839682059999995</v>
      </c>
      <c r="J244">
        <v>0.78551707530000003</v>
      </c>
      <c r="K244">
        <v>0.76336885330000004</v>
      </c>
      <c r="L244">
        <v>0.74173579609999996</v>
      </c>
      <c r="M244">
        <v>0.72040366089999996</v>
      </c>
      <c r="N244">
        <v>0.69977394179999997</v>
      </c>
      <c r="O244">
        <v>0.69706673009999998</v>
      </c>
      <c r="P244">
        <v>0.69487216190000001</v>
      </c>
      <c r="Q244">
        <v>0.69303648139999996</v>
      </c>
      <c r="R244">
        <v>0.69137393629999999</v>
      </c>
      <c r="S244">
        <v>0.68925026280000001</v>
      </c>
      <c r="T244">
        <v>0.66398038020000005</v>
      </c>
      <c r="U244">
        <v>0.63818201060000002</v>
      </c>
      <c r="V244">
        <v>0.61180642139999997</v>
      </c>
      <c r="W244">
        <v>0.6121024316</v>
      </c>
      <c r="X244">
        <v>0.61224725059999996</v>
      </c>
      <c r="Y244">
        <v>0.61227397770000003</v>
      </c>
      <c r="Z244">
        <v>0.61226428909999997</v>
      </c>
      <c r="AA244">
        <v>0.61231638200000005</v>
      </c>
      <c r="AB244">
        <v>0.61235128110000003</v>
      </c>
      <c r="AC244">
        <v>0.61239088819999998</v>
      </c>
      <c r="AD244">
        <v>0.61235554469999998</v>
      </c>
      <c r="AE244">
        <v>0.61235147209999996</v>
      </c>
      <c r="AF244">
        <v>0.61237286639999999</v>
      </c>
      <c r="AG244">
        <v>0.61239708609999999</v>
      </c>
      <c r="AH244">
        <v>0.61243861830000002</v>
      </c>
      <c r="AI244">
        <v>0.61252005799999998</v>
      </c>
      <c r="AJ244">
        <v>0.61261695059999999</v>
      </c>
      <c r="AK244">
        <v>0.61272593669999997</v>
      </c>
      <c r="AL244">
        <v>0.61284813569999996</v>
      </c>
      <c r="AM244">
        <v>0.61297940549999996</v>
      </c>
      <c r="AN244">
        <v>0.6132691589</v>
      </c>
      <c r="AO244">
        <v>0.61358129520000004</v>
      </c>
      <c r="AP244">
        <v>0.61390579860000005</v>
      </c>
      <c r="AQ244">
        <v>0.61423595799999997</v>
      </c>
      <c r="AR244">
        <v>0.6145855147</v>
      </c>
      <c r="AS244">
        <v>0.61491472150000004</v>
      </c>
      <c r="AT244">
        <v>0.6152527404</v>
      </c>
      <c r="AU244">
        <v>0.61560391169999995</v>
      </c>
      <c r="AV244">
        <v>0.61596888510000003</v>
      </c>
      <c r="AW244">
        <v>0.61633305019999995</v>
      </c>
    </row>
    <row r="245" spans="2:49" x14ac:dyDescent="0.25">
      <c r="B245" t="s">
        <v>546</v>
      </c>
      <c r="C245">
        <v>4.1245617653124303E-2</v>
      </c>
      <c r="D245">
        <v>4.1245617653124303E-2</v>
      </c>
      <c r="E245">
        <v>4.0301958700000001E-2</v>
      </c>
      <c r="F245">
        <v>6.4136592500000006E-2</v>
      </c>
      <c r="G245">
        <v>8.6254061199999996E-2</v>
      </c>
      <c r="H245">
        <v>0.1068946449</v>
      </c>
      <c r="I245">
        <v>0.1252137934</v>
      </c>
      <c r="J245">
        <v>0.1411430541</v>
      </c>
      <c r="K245">
        <v>0.15427974899999999</v>
      </c>
      <c r="L245">
        <v>0.16408514129999999</v>
      </c>
      <c r="M245">
        <v>0.16998664799999999</v>
      </c>
      <c r="N245">
        <v>0.17092832229999999</v>
      </c>
      <c r="O245">
        <v>0.1728224153</v>
      </c>
      <c r="P245">
        <v>0.17442256510000001</v>
      </c>
      <c r="Q245">
        <v>0.17581514349999999</v>
      </c>
      <c r="R245">
        <v>0.1771056248</v>
      </c>
      <c r="S245">
        <v>0.1786581867</v>
      </c>
      <c r="T245">
        <v>0.183254572</v>
      </c>
      <c r="U245">
        <v>0.18793401000000001</v>
      </c>
      <c r="V245">
        <v>0.19271728739999999</v>
      </c>
      <c r="W245">
        <v>0.19257033430000001</v>
      </c>
      <c r="X245">
        <v>0.1924984394</v>
      </c>
      <c r="Y245">
        <v>0.19248517079999999</v>
      </c>
      <c r="Z245">
        <v>0.19248998070000001</v>
      </c>
      <c r="AA245">
        <v>0.19246411939999999</v>
      </c>
      <c r="AB245">
        <v>0.1924467939</v>
      </c>
      <c r="AC245">
        <v>0.192427131</v>
      </c>
      <c r="AD245">
        <v>0.1924446772</v>
      </c>
      <c r="AE245">
        <v>0.192446699</v>
      </c>
      <c r="AF245">
        <v>0.1924360779</v>
      </c>
      <c r="AG245">
        <v>0.19242405409999999</v>
      </c>
      <c r="AH245">
        <v>0.19240343560000001</v>
      </c>
      <c r="AI245">
        <v>0.19236300519999999</v>
      </c>
      <c r="AJ245">
        <v>0.1923149032</v>
      </c>
      <c r="AK245">
        <v>0.19226079739999999</v>
      </c>
      <c r="AL245">
        <v>0.19220013220000001</v>
      </c>
      <c r="AM245">
        <v>0.1921349638</v>
      </c>
      <c r="AN245">
        <v>0.19199111669999999</v>
      </c>
      <c r="AO245">
        <v>0.19183615779999999</v>
      </c>
      <c r="AP245">
        <v>0.19167505930000001</v>
      </c>
      <c r="AQ245">
        <v>0.1915111528</v>
      </c>
      <c r="AR245">
        <v>0.19133761669999999</v>
      </c>
      <c r="AS245">
        <v>0.19117418319999999</v>
      </c>
      <c r="AT245">
        <v>0.19100637500000001</v>
      </c>
      <c r="AU245">
        <v>0.1908320372</v>
      </c>
      <c r="AV245">
        <v>0.1906508475</v>
      </c>
      <c r="AW245">
        <v>0.19047005910000001</v>
      </c>
    </row>
    <row r="246" spans="2:49" x14ac:dyDescent="0.25">
      <c r="B246" t="s">
        <v>547</v>
      </c>
      <c r="C246">
        <v>5.1557022066405396E-3</v>
      </c>
      <c r="D246">
        <v>5.1557022066405396E-3</v>
      </c>
      <c r="E246">
        <v>1.21720983E-2</v>
      </c>
      <c r="F246">
        <v>1.2174143700000001E-2</v>
      </c>
      <c r="G246">
        <v>1.2156323599999999E-2</v>
      </c>
      <c r="H246">
        <v>1.2179185699999999E-2</v>
      </c>
      <c r="I246">
        <v>1.2166176399999999E-2</v>
      </c>
      <c r="J246">
        <v>1.2152939499999999E-2</v>
      </c>
      <c r="K246">
        <v>1.2140634799999999E-2</v>
      </c>
      <c r="L246">
        <v>1.21291227E-2</v>
      </c>
      <c r="M246">
        <v>1.21271451E-2</v>
      </c>
      <c r="N246">
        <v>1.21232332E-2</v>
      </c>
      <c r="O246">
        <v>1.35680883E-2</v>
      </c>
      <c r="P246">
        <v>1.4984373E-2</v>
      </c>
      <c r="Q246">
        <v>1.6373881E-2</v>
      </c>
      <c r="R246">
        <v>1.77430513E-2</v>
      </c>
      <c r="S246">
        <v>1.91291211E-2</v>
      </c>
      <c r="T246">
        <v>2.4689780000000001E-2</v>
      </c>
      <c r="U246">
        <v>3.0372005300000001E-2</v>
      </c>
      <c r="V246">
        <v>3.6181712900000003E-2</v>
      </c>
      <c r="W246">
        <v>3.6154123199999999E-2</v>
      </c>
      <c r="X246">
        <v>3.61406253E-2</v>
      </c>
      <c r="Y246">
        <v>3.6138134199999998E-2</v>
      </c>
      <c r="Z246">
        <v>3.6139037200000002E-2</v>
      </c>
      <c r="AA246">
        <v>3.6134181899999999E-2</v>
      </c>
      <c r="AB246">
        <v>3.61309291E-2</v>
      </c>
      <c r="AC246">
        <v>3.6127237499999999E-2</v>
      </c>
      <c r="AD246">
        <v>3.6130531700000003E-2</v>
      </c>
      <c r="AE246">
        <v>3.6130911299999999E-2</v>
      </c>
      <c r="AF246">
        <v>3.6128917199999999E-2</v>
      </c>
      <c r="AG246">
        <v>3.6126659800000002E-2</v>
      </c>
      <c r="AH246">
        <v>3.61227888E-2</v>
      </c>
      <c r="AI246">
        <v>3.6115198199999997E-2</v>
      </c>
      <c r="AJ246">
        <v>3.6106167299999999E-2</v>
      </c>
      <c r="AK246">
        <v>3.6096009200000001E-2</v>
      </c>
      <c r="AL246">
        <v>3.6084619599999999E-2</v>
      </c>
      <c r="AM246">
        <v>3.6072384499999999E-2</v>
      </c>
      <c r="AN246">
        <v>3.6045378000000003E-2</v>
      </c>
      <c r="AO246">
        <v>3.6016285199999998E-2</v>
      </c>
      <c r="AP246">
        <v>3.59860397E-2</v>
      </c>
      <c r="AQ246">
        <v>3.59552671E-2</v>
      </c>
      <c r="AR246">
        <v>3.5922686600000003E-2</v>
      </c>
      <c r="AS246">
        <v>3.5892002700000002E-2</v>
      </c>
      <c r="AT246">
        <v>3.5860497599999999E-2</v>
      </c>
      <c r="AU246">
        <v>3.5827766499999997E-2</v>
      </c>
      <c r="AV246">
        <v>3.5793749100000001E-2</v>
      </c>
      <c r="AW246">
        <v>3.5759806900000003E-2</v>
      </c>
    </row>
    <row r="247" spans="2:49" x14ac:dyDescent="0.25">
      <c r="B247" t="s">
        <v>548</v>
      </c>
      <c r="C247">
        <v>1.5260878531656001E-2</v>
      </c>
      <c r="D247">
        <v>1.5260878531656001E-2</v>
      </c>
      <c r="E247">
        <v>1.49117247E-2</v>
      </c>
      <c r="F247">
        <v>1.4455180600000001E-2</v>
      </c>
      <c r="G247">
        <v>1.39897524E-2</v>
      </c>
      <c r="H247">
        <v>1.35846578E-2</v>
      </c>
      <c r="I247">
        <v>1.3152467399999999E-2</v>
      </c>
      <c r="J247">
        <v>1.2733774E-2</v>
      </c>
      <c r="K247">
        <v>1.23293411E-2</v>
      </c>
      <c r="L247">
        <v>1.21291227E-2</v>
      </c>
      <c r="M247">
        <v>1.21271451E-2</v>
      </c>
      <c r="N247">
        <v>1.21232332E-2</v>
      </c>
      <c r="O247">
        <v>1.68742554E-2</v>
      </c>
      <c r="P247">
        <v>2.1577225799999999E-2</v>
      </c>
      <c r="Q247">
        <v>2.6223008200000002E-2</v>
      </c>
      <c r="R247">
        <v>3.0815413199999999E-2</v>
      </c>
      <c r="S247">
        <v>3.5420457199999998E-2</v>
      </c>
      <c r="T247">
        <v>3.6832301900000003E-2</v>
      </c>
      <c r="U247">
        <v>3.8271740200000001E-2</v>
      </c>
      <c r="V247">
        <v>3.9743257900000002E-2</v>
      </c>
      <c r="W247">
        <v>3.9712952400000001E-2</v>
      </c>
      <c r="X247">
        <v>3.9698125799999998E-2</v>
      </c>
      <c r="Y247">
        <v>3.9695389499999997E-2</v>
      </c>
      <c r="Z247">
        <v>3.9696381400000001E-2</v>
      </c>
      <c r="AA247">
        <v>3.9691048100000001E-2</v>
      </c>
      <c r="AB247">
        <v>3.9687475200000003E-2</v>
      </c>
      <c r="AC247">
        <v>3.96834202E-2</v>
      </c>
      <c r="AD247">
        <v>3.9687038700000003E-2</v>
      </c>
      <c r="AE247">
        <v>3.9687455599999998E-2</v>
      </c>
      <c r="AF247">
        <v>3.9685265300000001E-2</v>
      </c>
      <c r="AG247">
        <v>3.9682785599999999E-2</v>
      </c>
      <c r="AH247">
        <v>3.9678533600000003E-2</v>
      </c>
      <c r="AI247">
        <v>3.9670195800000002E-2</v>
      </c>
      <c r="AJ247">
        <v>3.96602759E-2</v>
      </c>
      <c r="AK247">
        <v>3.9649117900000003E-2</v>
      </c>
      <c r="AL247">
        <v>3.96366072E-2</v>
      </c>
      <c r="AM247">
        <v>3.9623167799999998E-2</v>
      </c>
      <c r="AN247">
        <v>3.9593502799999999E-2</v>
      </c>
      <c r="AO247">
        <v>3.95615463E-2</v>
      </c>
      <c r="AP247">
        <v>3.95283237E-2</v>
      </c>
      <c r="AQ247">
        <v>3.9494521999999997E-2</v>
      </c>
      <c r="AR247">
        <v>3.9458734299999999E-2</v>
      </c>
      <c r="AS247">
        <v>3.9425030100000001E-2</v>
      </c>
      <c r="AT247">
        <v>3.9390423799999998E-2</v>
      </c>
      <c r="AU247">
        <v>3.9354470900000001E-2</v>
      </c>
      <c r="AV247">
        <v>3.9317104899999997E-2</v>
      </c>
      <c r="AW247">
        <v>3.9279821700000002E-2</v>
      </c>
    </row>
    <row r="248" spans="2:49" x14ac:dyDescent="0.25">
      <c r="B248" t="s">
        <v>549</v>
      </c>
      <c r="C248">
        <v>5.1557022066405396E-3</v>
      </c>
      <c r="D248">
        <v>5.1557022066405396E-3</v>
      </c>
      <c r="E248">
        <v>1.21720983E-2</v>
      </c>
      <c r="F248">
        <v>1.2174143700000001E-2</v>
      </c>
      <c r="G248">
        <v>1.2156323599999999E-2</v>
      </c>
      <c r="H248">
        <v>1.2179185699999999E-2</v>
      </c>
      <c r="I248">
        <v>1.2166176399999999E-2</v>
      </c>
      <c r="J248">
        <v>1.2152939499999999E-2</v>
      </c>
      <c r="K248">
        <v>1.2140634799999999E-2</v>
      </c>
      <c r="L248">
        <v>1.21291227E-2</v>
      </c>
      <c r="M248">
        <v>1.21271451E-2</v>
      </c>
      <c r="N248">
        <v>1.21232332E-2</v>
      </c>
      <c r="O248">
        <v>1.2892867299999999E-2</v>
      </c>
      <c r="P248">
        <v>1.36379099E-2</v>
      </c>
      <c r="Q248">
        <v>1.4362386600000001E-2</v>
      </c>
      <c r="R248">
        <v>1.5073273200000001E-2</v>
      </c>
      <c r="S248">
        <v>1.5801929499999999E-2</v>
      </c>
      <c r="T248">
        <v>1.7446152600000001E-2</v>
      </c>
      <c r="U248">
        <v>1.9125235399999999E-2</v>
      </c>
      <c r="V248">
        <v>2.0841917500000001E-2</v>
      </c>
      <c r="W248">
        <v>2.0826024799999999E-2</v>
      </c>
      <c r="X248">
        <v>2.0818249600000002E-2</v>
      </c>
      <c r="Y248">
        <v>2.0816814600000001E-2</v>
      </c>
      <c r="Z248">
        <v>2.08173348E-2</v>
      </c>
      <c r="AA248">
        <v>2.0814537899999999E-2</v>
      </c>
      <c r="AB248">
        <v>2.0812664200000001E-2</v>
      </c>
      <c r="AC248">
        <v>2.0810537699999999E-2</v>
      </c>
      <c r="AD248">
        <v>2.0812435300000001E-2</v>
      </c>
      <c r="AE248">
        <v>2.0812654E-2</v>
      </c>
      <c r="AF248">
        <v>2.0811505300000002E-2</v>
      </c>
      <c r="AG248">
        <v>2.0810204999999998E-2</v>
      </c>
      <c r="AH248">
        <v>2.0807975100000001E-2</v>
      </c>
      <c r="AI248">
        <v>2.08036027E-2</v>
      </c>
      <c r="AJ248">
        <v>2.0798400599999999E-2</v>
      </c>
      <c r="AK248">
        <v>2.07925492E-2</v>
      </c>
      <c r="AL248">
        <v>2.0785988299999999E-2</v>
      </c>
      <c r="AM248">
        <v>2.0778940499999999E-2</v>
      </c>
      <c r="AN248">
        <v>2.07633838E-2</v>
      </c>
      <c r="AO248">
        <v>2.07466254E-2</v>
      </c>
      <c r="AP248">
        <v>2.0729203000000002E-2</v>
      </c>
      <c r="AQ248">
        <v>2.0711476900000001E-2</v>
      </c>
      <c r="AR248">
        <v>2.0692709300000001E-2</v>
      </c>
      <c r="AS248">
        <v>2.06750344E-2</v>
      </c>
      <c r="AT248">
        <v>2.06568863E-2</v>
      </c>
      <c r="AU248">
        <v>2.0638032099999998E-2</v>
      </c>
      <c r="AV248">
        <v>2.0618436899999999E-2</v>
      </c>
      <c r="AW248">
        <v>2.0598885000000001E-2</v>
      </c>
    </row>
    <row r="249" spans="2:49" x14ac:dyDescent="0.25">
      <c r="B249" t="s">
        <v>550</v>
      </c>
      <c r="C249">
        <v>1.0311404413280999E-2</v>
      </c>
      <c r="D249">
        <v>1.0311404413280999E-2</v>
      </c>
      <c r="E249">
        <v>1.21720983E-2</v>
      </c>
      <c r="F249">
        <v>1.49689449E-2</v>
      </c>
      <c r="G249">
        <v>1.8511718600000001E-2</v>
      </c>
      <c r="H249">
        <v>2.3108409E-2</v>
      </c>
      <c r="I249">
        <v>2.8904565900000002E-2</v>
      </c>
      <c r="J249">
        <v>3.6300217599999997E-2</v>
      </c>
      <c r="K249">
        <v>4.5740786999999998E-2</v>
      </c>
      <c r="L249">
        <v>5.77916947E-2</v>
      </c>
      <c r="M249">
        <v>7.3228255899999997E-2</v>
      </c>
      <c r="N249">
        <v>9.2928036300000003E-2</v>
      </c>
      <c r="O249">
        <v>8.6775643700000002E-2</v>
      </c>
      <c r="P249">
        <v>8.0505764399999999E-2</v>
      </c>
      <c r="Q249">
        <v>7.41890994E-2</v>
      </c>
      <c r="R249">
        <v>6.7888701100000004E-2</v>
      </c>
      <c r="S249">
        <v>6.1740042699999997E-2</v>
      </c>
      <c r="T249">
        <v>7.3796813399999994E-2</v>
      </c>
      <c r="U249">
        <v>8.6114998499999998E-2</v>
      </c>
      <c r="V249">
        <v>9.8709402900000007E-2</v>
      </c>
      <c r="W249">
        <v>9.8634133799999996E-2</v>
      </c>
      <c r="X249">
        <v>9.8597309399999999E-2</v>
      </c>
      <c r="Y249">
        <v>9.8590513199999896E-2</v>
      </c>
      <c r="Z249">
        <v>9.8592976799999996E-2</v>
      </c>
      <c r="AA249">
        <v>9.8579730700000007E-2</v>
      </c>
      <c r="AB249">
        <v>9.8570856600000006E-2</v>
      </c>
      <c r="AC249">
        <v>9.8560785400000003E-2</v>
      </c>
      <c r="AD249">
        <v>9.85697725E-2</v>
      </c>
      <c r="AE249">
        <v>9.8570807999999996E-2</v>
      </c>
      <c r="AF249">
        <v>9.8565367900000006E-2</v>
      </c>
      <c r="AG249">
        <v>9.85592094E-2</v>
      </c>
      <c r="AH249">
        <v>9.8548648599999997E-2</v>
      </c>
      <c r="AI249">
        <v>9.8527940199999997E-2</v>
      </c>
      <c r="AJ249">
        <v>9.8503302500000001E-2</v>
      </c>
      <c r="AK249">
        <v>9.8475589599999996E-2</v>
      </c>
      <c r="AL249">
        <v>9.8444516999999995E-2</v>
      </c>
      <c r="AM249">
        <v>9.8411137900000001E-2</v>
      </c>
      <c r="AN249">
        <v>9.8337459700000004E-2</v>
      </c>
      <c r="AO249">
        <v>9.8258090100000001E-2</v>
      </c>
      <c r="AP249">
        <v>9.8175575799999998E-2</v>
      </c>
      <c r="AQ249">
        <v>9.8091623200000005E-2</v>
      </c>
      <c r="AR249">
        <v>9.8002738300000003E-2</v>
      </c>
      <c r="AS249">
        <v>9.7919028000000005E-2</v>
      </c>
      <c r="AT249">
        <v>9.7833077000000004E-2</v>
      </c>
      <c r="AU249">
        <v>9.7743781599999996E-2</v>
      </c>
      <c r="AV249">
        <v>9.76509765E-2</v>
      </c>
      <c r="AW249">
        <v>9.7558377099999996E-2</v>
      </c>
    </row>
    <row r="250" spans="2:49" x14ac:dyDescent="0.25">
      <c r="B250" t="s">
        <v>551</v>
      </c>
      <c r="C250">
        <v>0.99132434052165697</v>
      </c>
      <c r="D250">
        <v>0.99132434052165697</v>
      </c>
      <c r="E250">
        <v>0.82656901640000002</v>
      </c>
      <c r="F250">
        <v>0.82317449480000005</v>
      </c>
      <c r="G250">
        <v>0.81979390799999996</v>
      </c>
      <c r="H250">
        <v>0.81642719880000003</v>
      </c>
      <c r="I250">
        <v>0.81307431029999999</v>
      </c>
      <c r="J250">
        <v>0.80973518570000003</v>
      </c>
      <c r="K250">
        <v>0.80640976860000002</v>
      </c>
      <c r="L250">
        <v>0.80309800259999997</v>
      </c>
      <c r="M250">
        <v>0.79979983170000002</v>
      </c>
      <c r="N250">
        <v>0.7965152002</v>
      </c>
      <c r="O250">
        <v>0.79592063619999998</v>
      </c>
      <c r="P250">
        <v>0.79528828910000005</v>
      </c>
      <c r="Q250">
        <v>0.79461443899999995</v>
      </c>
      <c r="R250">
        <v>0.79389486139999998</v>
      </c>
      <c r="S250">
        <v>0.79312473819999996</v>
      </c>
      <c r="T250">
        <v>0.79099731900000003</v>
      </c>
      <c r="U250">
        <v>0.7889389014</v>
      </c>
      <c r="V250">
        <v>0.78694618199999999</v>
      </c>
      <c r="W250">
        <v>0.78694618199999999</v>
      </c>
      <c r="X250">
        <v>0.78694618199999999</v>
      </c>
      <c r="Y250">
        <v>0.78694618199999999</v>
      </c>
      <c r="Z250">
        <v>0.78694618199999999</v>
      </c>
      <c r="AA250">
        <v>0.78694618199999999</v>
      </c>
      <c r="AB250">
        <v>0.78694618199999999</v>
      </c>
      <c r="AC250">
        <v>0.78694618199999999</v>
      </c>
      <c r="AD250">
        <v>0.78694618199999999</v>
      </c>
      <c r="AE250">
        <v>0.78694618199999999</v>
      </c>
      <c r="AF250">
        <v>0.78694618199999999</v>
      </c>
      <c r="AG250">
        <v>0.78694618199999999</v>
      </c>
      <c r="AH250">
        <v>0.78694618199999999</v>
      </c>
      <c r="AI250">
        <v>0.78694618199999999</v>
      </c>
      <c r="AJ250">
        <v>0.78694618199999999</v>
      </c>
      <c r="AK250">
        <v>0.78694618199999999</v>
      </c>
      <c r="AL250">
        <v>0.78694618199999999</v>
      </c>
      <c r="AM250">
        <v>0.78694618199999999</v>
      </c>
      <c r="AN250">
        <v>0.78694618199999999</v>
      </c>
      <c r="AO250">
        <v>0.78694618199999999</v>
      </c>
      <c r="AP250">
        <v>0.78694618199999999</v>
      </c>
      <c r="AQ250">
        <v>0.78694618199999999</v>
      </c>
      <c r="AR250">
        <v>0.78694618199999999</v>
      </c>
      <c r="AS250">
        <v>0.78694618199999999</v>
      </c>
      <c r="AT250">
        <v>0.78694618199999999</v>
      </c>
      <c r="AU250">
        <v>0.78694618199999999</v>
      </c>
      <c r="AV250">
        <v>0.78694618199999999</v>
      </c>
      <c r="AW250">
        <v>0.78694618199999999</v>
      </c>
    </row>
    <row r="251" spans="2:49" x14ac:dyDescent="0.25">
      <c r="B251" s="23" t="s">
        <v>303</v>
      </c>
      <c r="C251">
        <v>0.91950930808135101</v>
      </c>
      <c r="D251">
        <v>0.91950930808135101</v>
      </c>
      <c r="E251">
        <v>0.79235364360000005</v>
      </c>
      <c r="F251">
        <v>0.79235364360000005</v>
      </c>
      <c r="G251">
        <v>0.79235364360000005</v>
      </c>
      <c r="H251">
        <v>0.79235364360000005</v>
      </c>
      <c r="I251">
        <v>0.79235364360000005</v>
      </c>
      <c r="J251">
        <v>0.79235364360000005</v>
      </c>
      <c r="K251">
        <v>0.79235364360000005</v>
      </c>
      <c r="L251">
        <v>0.79235364360000005</v>
      </c>
      <c r="M251">
        <v>0.79235364360000005</v>
      </c>
      <c r="N251">
        <v>0.79235364360000005</v>
      </c>
      <c r="O251">
        <v>0.79235364360000005</v>
      </c>
      <c r="P251">
        <v>0.79235364360000005</v>
      </c>
      <c r="Q251">
        <v>0.79235364360000005</v>
      </c>
      <c r="R251">
        <v>0.79235364360000005</v>
      </c>
      <c r="S251">
        <v>0.79235364360000005</v>
      </c>
      <c r="T251">
        <v>0.79235364360000005</v>
      </c>
      <c r="U251">
        <v>0.79235364360000005</v>
      </c>
      <c r="V251">
        <v>0.79235364360000005</v>
      </c>
      <c r="W251">
        <v>0.79235364360000005</v>
      </c>
      <c r="X251">
        <v>0.79235364360000005</v>
      </c>
      <c r="Y251">
        <v>0.79235364360000005</v>
      </c>
      <c r="Z251">
        <v>0.79235364360000005</v>
      </c>
      <c r="AA251">
        <v>0.79235364360000005</v>
      </c>
      <c r="AB251">
        <v>0.79235364360000005</v>
      </c>
      <c r="AC251">
        <v>0.79235364360000005</v>
      </c>
      <c r="AD251">
        <v>0.79235364360000005</v>
      </c>
      <c r="AE251">
        <v>0.79235364360000005</v>
      </c>
      <c r="AF251">
        <v>0.79235364360000005</v>
      </c>
      <c r="AG251">
        <v>0.79235364360000005</v>
      </c>
      <c r="AH251">
        <v>0.79235364360000005</v>
      </c>
      <c r="AI251">
        <v>0.79235364360000005</v>
      </c>
      <c r="AJ251">
        <v>0.79235364360000005</v>
      </c>
      <c r="AK251">
        <v>0.79235364360000005</v>
      </c>
      <c r="AL251">
        <v>0.79235364360000005</v>
      </c>
      <c r="AM251">
        <v>0.79235364360000005</v>
      </c>
      <c r="AN251">
        <v>0.79235364360000005</v>
      </c>
      <c r="AO251">
        <v>0.79235364360000005</v>
      </c>
      <c r="AP251">
        <v>0.79235364360000005</v>
      </c>
      <c r="AQ251">
        <v>0.79235364360000005</v>
      </c>
      <c r="AR251">
        <v>0.79235364360000005</v>
      </c>
      <c r="AS251">
        <v>0.79235364360000005</v>
      </c>
      <c r="AT251">
        <v>0.79235364360000005</v>
      </c>
      <c r="AU251">
        <v>0.79235364360000005</v>
      </c>
      <c r="AV251">
        <v>0.79235364360000005</v>
      </c>
      <c r="AW251">
        <v>0.79235364360000005</v>
      </c>
    </row>
    <row r="252" spans="2:49" x14ac:dyDescent="0.25">
      <c r="B252" t="s">
        <v>254</v>
      </c>
      <c r="C252">
        <v>1.54983431156195</v>
      </c>
      <c r="D252">
        <v>1.57471740274219</v>
      </c>
      <c r="E252">
        <v>1.60860863</v>
      </c>
      <c r="F252">
        <v>1.873045399</v>
      </c>
      <c r="G252">
        <v>2.0755696449999999</v>
      </c>
      <c r="H252">
        <v>2.232830898</v>
      </c>
      <c r="I252">
        <v>2.5033874840000001</v>
      </c>
      <c r="J252">
        <v>2.7134910880000001</v>
      </c>
      <c r="K252">
        <v>2.813347759</v>
      </c>
      <c r="L252">
        <v>2.9338250160000001</v>
      </c>
      <c r="M252">
        <v>3.0906681640000002</v>
      </c>
      <c r="N252">
        <v>3.277185485</v>
      </c>
      <c r="O252">
        <v>4.2825014269999997</v>
      </c>
      <c r="P252">
        <v>5.3898954999999997</v>
      </c>
      <c r="Q252">
        <v>6.4980816949999998</v>
      </c>
      <c r="R252">
        <v>7.7719836359999999</v>
      </c>
      <c r="S252">
        <v>6.5687196139999999</v>
      </c>
      <c r="T252">
        <v>6.5461578789999999</v>
      </c>
      <c r="U252">
        <v>6.58783619</v>
      </c>
      <c r="V252">
        <v>6.6508047140000004</v>
      </c>
      <c r="W252">
        <v>5.9951592219999998</v>
      </c>
      <c r="X252">
        <v>5.4453704299999997</v>
      </c>
      <c r="Y252">
        <v>5.1167888960000001</v>
      </c>
      <c r="Z252">
        <v>4.8707497760000003</v>
      </c>
      <c r="AA252">
        <v>4.677296213</v>
      </c>
      <c r="AB252">
        <v>4.5236961100000004</v>
      </c>
      <c r="AC252">
        <v>4.393589714</v>
      </c>
      <c r="AD252">
        <v>4.3016795510000003</v>
      </c>
      <c r="AE252">
        <v>4.2117990499999998</v>
      </c>
      <c r="AF252">
        <v>4.1265801680000003</v>
      </c>
      <c r="AG252">
        <v>4.045275524</v>
      </c>
      <c r="AH252">
        <v>3.9695549749999999</v>
      </c>
      <c r="AI252">
        <v>3.8942467039999999</v>
      </c>
      <c r="AJ252">
        <v>3.8228503730000001</v>
      </c>
      <c r="AK252">
        <v>3.7569693740000001</v>
      </c>
      <c r="AL252">
        <v>3.695037642</v>
      </c>
      <c r="AM252">
        <v>3.634165034</v>
      </c>
      <c r="AN252">
        <v>3.5783754839999999</v>
      </c>
      <c r="AO252">
        <v>3.5288861100000002</v>
      </c>
      <c r="AP252">
        <v>3.4799140710000001</v>
      </c>
      <c r="AQ252">
        <v>3.4378799369999999</v>
      </c>
      <c r="AR252">
        <v>3.3939473699999998</v>
      </c>
      <c r="AS252">
        <v>3.3653062230000002</v>
      </c>
      <c r="AT252">
        <v>3.337850016</v>
      </c>
      <c r="AU252">
        <v>3.3122877929999999</v>
      </c>
      <c r="AV252">
        <v>3.2862358700000001</v>
      </c>
      <c r="AW252">
        <v>3.2642626219999999</v>
      </c>
    </row>
    <row r="253" spans="2:49" x14ac:dyDescent="0.25">
      <c r="B253" t="s">
        <v>255</v>
      </c>
      <c r="C253">
        <v>0.19372928894524399</v>
      </c>
      <c r="D253">
        <v>0.196839675342774</v>
      </c>
      <c r="E253">
        <v>0.2010760788</v>
      </c>
      <c r="F253">
        <v>0.1902792482</v>
      </c>
      <c r="G253">
        <v>0.1751726794</v>
      </c>
      <c r="H253">
        <v>0.15925526800000001</v>
      </c>
      <c r="I253">
        <v>0.15299376410000001</v>
      </c>
      <c r="J253">
        <v>0.14374549889999999</v>
      </c>
      <c r="K253">
        <v>0.13047423920000001</v>
      </c>
      <c r="L253">
        <v>0.1201684895</v>
      </c>
      <c r="M253">
        <v>0.1127030559</v>
      </c>
      <c r="N253">
        <v>0.1071890858</v>
      </c>
      <c r="O253">
        <v>0.1070013506</v>
      </c>
      <c r="P253">
        <v>0.1028760516</v>
      </c>
      <c r="Q253">
        <v>9.4746092599999998E-2</v>
      </c>
      <c r="R253">
        <v>8.6566571600000003E-2</v>
      </c>
      <c r="S253">
        <v>0.3673623915</v>
      </c>
      <c r="T253">
        <v>0.33170546909999998</v>
      </c>
      <c r="U253">
        <v>0.30195140180000002</v>
      </c>
      <c r="V253">
        <v>0.2751235964</v>
      </c>
      <c r="W253">
        <v>1.0280761490000001</v>
      </c>
      <c r="X253">
        <v>1.1730131049999999</v>
      </c>
      <c r="Y253">
        <v>1.321614826</v>
      </c>
      <c r="Z253">
        <v>1.4703123339999999</v>
      </c>
      <c r="AA253">
        <v>1.6190906679999999</v>
      </c>
      <c r="AB253">
        <v>1.721912653</v>
      </c>
      <c r="AC253">
        <v>1.826450232</v>
      </c>
      <c r="AD253">
        <v>2.1025166419999999</v>
      </c>
      <c r="AE253">
        <v>2.3721353550000002</v>
      </c>
      <c r="AF253">
        <v>2.6372321680000002</v>
      </c>
      <c r="AG253">
        <v>2.845815322</v>
      </c>
      <c r="AH253">
        <v>3.053368554</v>
      </c>
      <c r="AI253">
        <v>3.278587505</v>
      </c>
      <c r="AJ253">
        <v>3.501441475</v>
      </c>
      <c r="AK253">
        <v>3.7242421370000001</v>
      </c>
      <c r="AL253">
        <v>3.8967303119999999</v>
      </c>
      <c r="AM253">
        <v>4.0670278209999999</v>
      </c>
      <c r="AN253">
        <v>4.1642811870000003</v>
      </c>
      <c r="AO253">
        <v>4.266384467</v>
      </c>
      <c r="AP253">
        <v>4.3668894849999997</v>
      </c>
      <c r="AQ253">
        <v>4.4741763189999997</v>
      </c>
      <c r="AR253">
        <v>4.5772621510000002</v>
      </c>
      <c r="AS253">
        <v>4.7723618830000003</v>
      </c>
      <c r="AT253">
        <v>4.9684463760000002</v>
      </c>
      <c r="AU253">
        <v>5.1668592049999997</v>
      </c>
      <c r="AV253">
        <v>5.3641076549999998</v>
      </c>
      <c r="AW253">
        <v>5.5678684599999997</v>
      </c>
    </row>
    <row r="254" spans="2:49" x14ac:dyDescent="0.25">
      <c r="B254" t="s">
        <v>256</v>
      </c>
      <c r="C254">
        <v>0.71679836909740502</v>
      </c>
      <c r="D254">
        <v>0.72830679876826598</v>
      </c>
      <c r="E254">
        <v>0.74398149140000003</v>
      </c>
      <c r="F254">
        <v>0.73782270179999998</v>
      </c>
      <c r="G254">
        <v>0.71184562870000001</v>
      </c>
      <c r="H254">
        <v>0.67822238450000005</v>
      </c>
      <c r="I254">
        <v>0.68282734479999996</v>
      </c>
      <c r="J254">
        <v>0.67234207820000003</v>
      </c>
      <c r="K254">
        <v>0.6395576141</v>
      </c>
      <c r="L254">
        <v>0.61731149659999995</v>
      </c>
      <c r="M254">
        <v>0.60674795010000004</v>
      </c>
      <c r="N254">
        <v>0.60475860319999997</v>
      </c>
      <c r="O254">
        <v>0.61987453199999998</v>
      </c>
      <c r="P254">
        <v>0.61191243240000004</v>
      </c>
      <c r="Q254">
        <v>0.57859387829999998</v>
      </c>
      <c r="R254">
        <v>0.54272149729999997</v>
      </c>
      <c r="S254">
        <v>1.4172785000000001</v>
      </c>
      <c r="T254">
        <v>1.1944378630000001</v>
      </c>
      <c r="U254">
        <v>1.000665725</v>
      </c>
      <c r="V254">
        <v>0.823004493</v>
      </c>
      <c r="W254">
        <v>0.94465030380000004</v>
      </c>
      <c r="X254">
        <v>0.90464389430000003</v>
      </c>
      <c r="Y254">
        <v>0.8592588941</v>
      </c>
      <c r="Z254">
        <v>0.8268264448</v>
      </c>
      <c r="AA254">
        <v>0.80264161369999998</v>
      </c>
      <c r="AB254">
        <v>0.7810639667</v>
      </c>
      <c r="AC254">
        <v>0.76332137820000001</v>
      </c>
      <c r="AD254">
        <v>0.74240093409999997</v>
      </c>
      <c r="AE254">
        <v>0.72200215759999997</v>
      </c>
      <c r="AF254">
        <v>0.70452239130000005</v>
      </c>
      <c r="AG254">
        <v>0.68649036750000003</v>
      </c>
      <c r="AH254">
        <v>0.66952161060000004</v>
      </c>
      <c r="AI254">
        <v>0.66206144870000005</v>
      </c>
      <c r="AJ254">
        <v>0.65515659439999996</v>
      </c>
      <c r="AK254">
        <v>0.6490975698</v>
      </c>
      <c r="AL254">
        <v>0.64367256039999998</v>
      </c>
      <c r="AM254">
        <v>0.63835359599999997</v>
      </c>
      <c r="AN254">
        <v>0.63233541950000005</v>
      </c>
      <c r="AO254">
        <v>0.62736567659999998</v>
      </c>
      <c r="AP254">
        <v>0.62242927299999995</v>
      </c>
      <c r="AQ254">
        <v>0.61868235270000005</v>
      </c>
      <c r="AR254">
        <v>0.61454701749999996</v>
      </c>
      <c r="AS254">
        <v>0.6113320833</v>
      </c>
      <c r="AT254">
        <v>0.60832912250000004</v>
      </c>
      <c r="AU254">
        <v>0.60566978329999999</v>
      </c>
      <c r="AV254">
        <v>0.60292009599999996</v>
      </c>
      <c r="AW254">
        <v>0.60092007000000003</v>
      </c>
    </row>
    <row r="255" spans="2:49" x14ac:dyDescent="0.25">
      <c r="B255" t="s">
        <v>257</v>
      </c>
      <c r="C255">
        <v>0.19372928894524399</v>
      </c>
      <c r="D255">
        <v>0.196839675342774</v>
      </c>
      <c r="E255">
        <v>0.2010760788</v>
      </c>
      <c r="F255">
        <v>0.2107932891</v>
      </c>
      <c r="G255">
        <v>0.2149795155</v>
      </c>
      <c r="H255">
        <v>0.2165159364</v>
      </c>
      <c r="I255">
        <v>0.23042794329999999</v>
      </c>
      <c r="J255">
        <v>0.23983967210000001</v>
      </c>
      <c r="K255">
        <v>0.2411664519</v>
      </c>
      <c r="L255">
        <v>0.24606399809999999</v>
      </c>
      <c r="M255">
        <v>0.25565748929999998</v>
      </c>
      <c r="N255">
        <v>0.26936350079999999</v>
      </c>
      <c r="O255">
        <v>0.28783187970000002</v>
      </c>
      <c r="P255">
        <v>0.29622750129999997</v>
      </c>
      <c r="Q255">
        <v>0.29203429089999999</v>
      </c>
      <c r="R255">
        <v>0.28561710480000002</v>
      </c>
      <c r="S255">
        <v>0.32127477570000001</v>
      </c>
      <c r="T255">
        <v>0.30029469149999999</v>
      </c>
      <c r="U255">
        <v>0.28379159549999999</v>
      </c>
      <c r="V255">
        <v>0.26933277630000002</v>
      </c>
      <c r="W255">
        <v>0.38418376999999998</v>
      </c>
      <c r="X255">
        <v>0.39558525249999998</v>
      </c>
      <c r="Y255">
        <v>0.39731952869999998</v>
      </c>
      <c r="Z255">
        <v>0.40298614849999997</v>
      </c>
      <c r="AA255">
        <v>0.4111602701</v>
      </c>
      <c r="AB255">
        <v>0.42248848239999998</v>
      </c>
      <c r="AC255">
        <v>0.43486048049999998</v>
      </c>
      <c r="AD255">
        <v>0.46363049880000001</v>
      </c>
      <c r="AE255">
        <v>0.49172285850000003</v>
      </c>
      <c r="AF255">
        <v>0.51949826870000004</v>
      </c>
      <c r="AG255">
        <v>0.54724832540000001</v>
      </c>
      <c r="AH255">
        <v>0.57503091829999997</v>
      </c>
      <c r="AI255">
        <v>0.57833381029999997</v>
      </c>
      <c r="AJ255">
        <v>0.58193364569999995</v>
      </c>
      <c r="AK255">
        <v>0.58611681859999998</v>
      </c>
      <c r="AL255">
        <v>0.59084060959999996</v>
      </c>
      <c r="AM255">
        <v>0.59553031000000001</v>
      </c>
      <c r="AN255">
        <v>0.59883198900000001</v>
      </c>
      <c r="AO255">
        <v>0.60299458679999995</v>
      </c>
      <c r="AP255">
        <v>0.60707229770000004</v>
      </c>
      <c r="AQ255">
        <v>0.61221036309999999</v>
      </c>
      <c r="AR255">
        <v>0.61687552229999998</v>
      </c>
      <c r="AS255">
        <v>0.62160451419999996</v>
      </c>
      <c r="AT255">
        <v>0.62652280839999996</v>
      </c>
      <c r="AU255">
        <v>0.63177574240000001</v>
      </c>
      <c r="AV255">
        <v>0.63691824939999997</v>
      </c>
      <c r="AW255">
        <v>0.64284508650000005</v>
      </c>
    </row>
    <row r="256" spans="2:49" x14ac:dyDescent="0.25">
      <c r="B256" t="s">
        <v>258</v>
      </c>
      <c r="C256">
        <v>0.38745857789048899</v>
      </c>
      <c r="D256">
        <v>0.39367935068554899</v>
      </c>
      <c r="E256">
        <v>0.4021521575</v>
      </c>
      <c r="F256">
        <v>0.45763561349999998</v>
      </c>
      <c r="G256">
        <v>0.50663262340000004</v>
      </c>
      <c r="H256">
        <v>0.55388420090000001</v>
      </c>
      <c r="I256">
        <v>0.63987816630000005</v>
      </c>
      <c r="J256">
        <v>0.72296322710000005</v>
      </c>
      <c r="K256">
        <v>0.78912375680000002</v>
      </c>
      <c r="L256">
        <v>0.87399578560000002</v>
      </c>
      <c r="M256">
        <v>0.98571830110000003</v>
      </c>
      <c r="N256">
        <v>1.127368994</v>
      </c>
      <c r="O256">
        <v>1.2167055490000001</v>
      </c>
      <c r="P256">
        <v>1.264710797</v>
      </c>
      <c r="Q256">
        <v>1.259270289</v>
      </c>
      <c r="R256">
        <v>1.243908902</v>
      </c>
      <c r="S256">
        <v>2.19185813</v>
      </c>
      <c r="T256">
        <v>2.194667999</v>
      </c>
      <c r="U256">
        <v>2.2182191859999998</v>
      </c>
      <c r="V256">
        <v>2.2483528439999998</v>
      </c>
      <c r="W256">
        <v>3.2975839269999998</v>
      </c>
      <c r="X256">
        <v>3.3793332409999999</v>
      </c>
      <c r="Y256">
        <v>3.485907321</v>
      </c>
      <c r="Z256">
        <v>3.6186769760000002</v>
      </c>
      <c r="AA256">
        <v>3.768163156</v>
      </c>
      <c r="AB256">
        <v>3.9425157689999999</v>
      </c>
      <c r="AC256">
        <v>4.1235328940000002</v>
      </c>
      <c r="AD256">
        <v>4.2800960410000002</v>
      </c>
      <c r="AE256">
        <v>4.4329303619999996</v>
      </c>
      <c r="AF256">
        <v>4.5851486279999998</v>
      </c>
      <c r="AG256">
        <v>4.742080852</v>
      </c>
      <c r="AH256">
        <v>4.9008533270000001</v>
      </c>
      <c r="AI256">
        <v>5.0429950339999996</v>
      </c>
      <c r="AJ256">
        <v>5.1855039850000004</v>
      </c>
      <c r="AK256">
        <v>5.3312551790000002</v>
      </c>
      <c r="AL256">
        <v>5.483200396</v>
      </c>
      <c r="AM256">
        <v>5.6333255680000001</v>
      </c>
      <c r="AN256">
        <v>5.7332239850000004</v>
      </c>
      <c r="AO256">
        <v>5.8403198290000002</v>
      </c>
      <c r="AP256">
        <v>5.9456764829999997</v>
      </c>
      <c r="AQ256">
        <v>6.0606409320000001</v>
      </c>
      <c r="AR256">
        <v>6.1702391150000002</v>
      </c>
      <c r="AS256">
        <v>6.2503798440000002</v>
      </c>
      <c r="AT256">
        <v>6.3323278800000002</v>
      </c>
      <c r="AU256">
        <v>6.4175913659999999</v>
      </c>
      <c r="AV256">
        <v>6.5016795089999997</v>
      </c>
      <c r="AW256">
        <v>6.5937549789999998</v>
      </c>
    </row>
    <row r="257" spans="2:49" x14ac:dyDescent="0.25">
      <c r="B257" t="s">
        <v>259</v>
      </c>
      <c r="C257">
        <v>34.067295461021303</v>
      </c>
      <c r="D257">
        <v>34.614256909026899</v>
      </c>
      <c r="E257">
        <v>35.359228450000003</v>
      </c>
      <c r="F257">
        <v>35.492059910000002</v>
      </c>
      <c r="G257">
        <v>34.658004849999998</v>
      </c>
      <c r="H257">
        <v>33.421689389999997</v>
      </c>
      <c r="I257">
        <v>34.05694811</v>
      </c>
      <c r="J257">
        <v>34.071422800000001</v>
      </c>
      <c r="K257">
        <v>32.946153379999998</v>
      </c>
      <c r="L257">
        <v>32.344634630000002</v>
      </c>
      <c r="M257">
        <v>32.3562291</v>
      </c>
      <c r="N257">
        <v>32.847080149999996</v>
      </c>
      <c r="O257">
        <v>32.676530290000002</v>
      </c>
      <c r="P257">
        <v>31.308306179999999</v>
      </c>
      <c r="Q257">
        <v>28.734479289999999</v>
      </c>
      <c r="R257">
        <v>26.162973439999998</v>
      </c>
      <c r="S257">
        <v>23.739985780000001</v>
      </c>
      <c r="T257">
        <v>22.782735429999999</v>
      </c>
      <c r="U257">
        <v>22.116176790000001</v>
      </c>
      <c r="V257">
        <v>21.570481749999999</v>
      </c>
      <c r="W257">
        <v>17.60423905</v>
      </c>
      <c r="X257">
        <v>15.63870352</v>
      </c>
      <c r="Y257">
        <v>13.89959511</v>
      </c>
      <c r="Z257">
        <v>12.45955681</v>
      </c>
      <c r="AA257">
        <v>11.20941212</v>
      </c>
      <c r="AB257">
        <v>10.15622392</v>
      </c>
      <c r="AC257">
        <v>9.1851533889999999</v>
      </c>
      <c r="AD257">
        <v>8.4865207520000006</v>
      </c>
      <c r="AE257">
        <v>7.8026162780000003</v>
      </c>
      <c r="AF257">
        <v>7.1300502840000002</v>
      </c>
      <c r="AG257">
        <v>6.5382108460000001</v>
      </c>
      <c r="AH257">
        <v>5.9630941450000003</v>
      </c>
      <c r="AI257">
        <v>5.4368731190000004</v>
      </c>
      <c r="AJ257">
        <v>4.9237652790000004</v>
      </c>
      <c r="AK257">
        <v>4.4246210440000002</v>
      </c>
      <c r="AL257">
        <v>3.9900130869999999</v>
      </c>
      <c r="AM257">
        <v>3.5610016880000002</v>
      </c>
      <c r="AN257">
        <v>3.229924032</v>
      </c>
      <c r="AO257">
        <v>2.9083162730000001</v>
      </c>
      <c r="AP257">
        <v>2.5904819899999998</v>
      </c>
      <c r="AQ257">
        <v>2.2806491960000002</v>
      </c>
      <c r="AR257">
        <v>1.9720649219999999</v>
      </c>
      <c r="AS257">
        <v>1.583413269</v>
      </c>
      <c r="AT257">
        <v>1.2027520380000001</v>
      </c>
      <c r="AU257">
        <v>0.82986231349999995</v>
      </c>
      <c r="AV257">
        <v>0.46378095499999999</v>
      </c>
      <c r="AW257">
        <v>0.1049166493</v>
      </c>
    </row>
    <row r="258" spans="2:49" x14ac:dyDescent="0.25">
      <c r="B258" t="s">
        <v>260</v>
      </c>
      <c r="C258">
        <v>1.54983431156195</v>
      </c>
      <c r="D258">
        <v>1.57471740274219</v>
      </c>
      <c r="E258">
        <v>1.60860863</v>
      </c>
      <c r="F258">
        <v>1.873045399</v>
      </c>
      <c r="G258">
        <v>2.0755696449999999</v>
      </c>
      <c r="H258">
        <v>2.232830898</v>
      </c>
      <c r="I258">
        <v>2.5033874840000001</v>
      </c>
      <c r="J258">
        <v>2.7134910880000001</v>
      </c>
      <c r="K258">
        <v>2.813347759</v>
      </c>
      <c r="L258">
        <v>2.9338250160000001</v>
      </c>
      <c r="M258">
        <v>3.0906681640000002</v>
      </c>
      <c r="N258">
        <v>3.277185485</v>
      </c>
      <c r="O258">
        <v>4.2825014269999997</v>
      </c>
      <c r="P258">
        <v>5.3898954999999997</v>
      </c>
      <c r="Q258">
        <v>6.4980816949999998</v>
      </c>
      <c r="R258">
        <v>7.7719836359999999</v>
      </c>
      <c r="S258">
        <v>6.5687196139999999</v>
      </c>
      <c r="T258">
        <v>6.5461578789999999</v>
      </c>
      <c r="U258">
        <v>6.58783619</v>
      </c>
      <c r="V258">
        <v>6.6508047140000004</v>
      </c>
      <c r="W258">
        <v>5.9951592219999998</v>
      </c>
      <c r="X258">
        <v>5.4453704299999997</v>
      </c>
      <c r="Y258">
        <v>5.1167888960000001</v>
      </c>
      <c r="Z258">
        <v>4.8707497760000003</v>
      </c>
      <c r="AA258">
        <v>4.677296213</v>
      </c>
      <c r="AB258">
        <v>4.5236961100000004</v>
      </c>
      <c r="AC258">
        <v>4.393589714</v>
      </c>
      <c r="AD258">
        <v>4.3016795510000003</v>
      </c>
      <c r="AE258">
        <v>4.2117990499999998</v>
      </c>
      <c r="AF258">
        <v>4.1265801680000003</v>
      </c>
      <c r="AG258">
        <v>4.045275524</v>
      </c>
      <c r="AH258">
        <v>3.9695549749999999</v>
      </c>
      <c r="AI258">
        <v>3.8942467039999999</v>
      </c>
      <c r="AJ258">
        <v>3.8228503730000001</v>
      </c>
      <c r="AK258">
        <v>3.7569693740000001</v>
      </c>
      <c r="AL258">
        <v>3.695037642</v>
      </c>
      <c r="AM258">
        <v>3.634165034</v>
      </c>
      <c r="AN258">
        <v>3.5783754839999999</v>
      </c>
      <c r="AO258">
        <v>3.5288861100000002</v>
      </c>
      <c r="AP258">
        <v>3.4799140710000001</v>
      </c>
      <c r="AQ258">
        <v>3.4378799369999999</v>
      </c>
      <c r="AR258">
        <v>3.3939473699999998</v>
      </c>
      <c r="AS258">
        <v>3.3653062230000002</v>
      </c>
      <c r="AT258">
        <v>3.337850016</v>
      </c>
      <c r="AU258">
        <v>3.3122877929999999</v>
      </c>
      <c r="AV258">
        <v>3.2862358700000001</v>
      </c>
      <c r="AW258">
        <v>3.2642626219999999</v>
      </c>
    </row>
    <row r="259" spans="2:49" x14ac:dyDescent="0.25">
      <c r="B259" t="s">
        <v>261</v>
      </c>
      <c r="C259">
        <v>0.19372928894524399</v>
      </c>
      <c r="D259">
        <v>0.196839675342774</v>
      </c>
      <c r="E259">
        <v>0.2010760788</v>
      </c>
      <c r="F259">
        <v>0.1902792482</v>
      </c>
      <c r="G259">
        <v>0.1751726794</v>
      </c>
      <c r="H259">
        <v>0.15925526800000001</v>
      </c>
      <c r="I259">
        <v>0.15299376410000001</v>
      </c>
      <c r="J259">
        <v>0.14374549889999999</v>
      </c>
      <c r="K259">
        <v>0.13047423920000001</v>
      </c>
      <c r="L259">
        <v>0.1201684895</v>
      </c>
      <c r="M259">
        <v>0.1127030559</v>
      </c>
      <c r="N259">
        <v>0.1071890858</v>
      </c>
      <c r="O259">
        <v>0.1070013506</v>
      </c>
      <c r="P259">
        <v>0.1028760516</v>
      </c>
      <c r="Q259">
        <v>9.4746092599999998E-2</v>
      </c>
      <c r="R259">
        <v>8.6566571600000003E-2</v>
      </c>
      <c r="S259">
        <v>0.3673623915</v>
      </c>
      <c r="T259">
        <v>0.33170546909999998</v>
      </c>
      <c r="U259">
        <v>0.30195140180000002</v>
      </c>
      <c r="V259">
        <v>0.2751235964</v>
      </c>
      <c r="W259">
        <v>1.0280761490000001</v>
      </c>
      <c r="X259">
        <v>1.1730131049999999</v>
      </c>
      <c r="Y259">
        <v>1.321614826</v>
      </c>
      <c r="Z259">
        <v>1.4703123339999999</v>
      </c>
      <c r="AA259">
        <v>1.6190906679999999</v>
      </c>
      <c r="AB259">
        <v>1.721912653</v>
      </c>
      <c r="AC259">
        <v>1.826450232</v>
      </c>
      <c r="AD259">
        <v>2.1025166419999999</v>
      </c>
      <c r="AE259">
        <v>2.3721353550000002</v>
      </c>
      <c r="AF259">
        <v>2.6372321680000002</v>
      </c>
      <c r="AG259">
        <v>2.845815322</v>
      </c>
      <c r="AH259">
        <v>3.053368554</v>
      </c>
      <c r="AI259">
        <v>3.278587505</v>
      </c>
      <c r="AJ259">
        <v>3.501441475</v>
      </c>
      <c r="AK259">
        <v>3.7242421370000001</v>
      </c>
      <c r="AL259">
        <v>3.8967303119999999</v>
      </c>
      <c r="AM259">
        <v>4.0670278209999999</v>
      </c>
      <c r="AN259">
        <v>4.1642811870000003</v>
      </c>
      <c r="AO259">
        <v>4.266384467</v>
      </c>
      <c r="AP259">
        <v>4.3668894849999997</v>
      </c>
      <c r="AQ259">
        <v>4.4741763189999997</v>
      </c>
      <c r="AR259">
        <v>4.5772621510000002</v>
      </c>
      <c r="AS259">
        <v>4.7723618830000003</v>
      </c>
      <c r="AT259">
        <v>4.9684463760000002</v>
      </c>
      <c r="AU259">
        <v>5.1668592049999997</v>
      </c>
      <c r="AV259">
        <v>5.3641076549999998</v>
      </c>
      <c r="AW259">
        <v>5.5678684599999997</v>
      </c>
    </row>
    <row r="260" spans="2:49" x14ac:dyDescent="0.25">
      <c r="B260" t="s">
        <v>262</v>
      </c>
      <c r="C260">
        <v>0.71679836909740502</v>
      </c>
      <c r="D260">
        <v>0.72830679876826598</v>
      </c>
      <c r="E260">
        <v>0.74398149140000003</v>
      </c>
      <c r="F260">
        <v>0.73782270179999998</v>
      </c>
      <c r="G260">
        <v>0.71184562870000001</v>
      </c>
      <c r="H260">
        <v>0.67822238450000005</v>
      </c>
      <c r="I260">
        <v>0.68282734479999996</v>
      </c>
      <c r="J260">
        <v>0.67234207820000003</v>
      </c>
      <c r="K260">
        <v>0.6395576141</v>
      </c>
      <c r="L260">
        <v>0.61731149659999995</v>
      </c>
      <c r="M260">
        <v>0.60674795010000004</v>
      </c>
      <c r="N260">
        <v>0.60475860319999997</v>
      </c>
      <c r="O260">
        <v>0.61987453199999998</v>
      </c>
      <c r="P260">
        <v>0.61191243240000004</v>
      </c>
      <c r="Q260">
        <v>0.57859387829999998</v>
      </c>
      <c r="R260">
        <v>0.54272149729999997</v>
      </c>
      <c r="S260">
        <v>1.4172785000000001</v>
      </c>
      <c r="T260">
        <v>1.1944378630000001</v>
      </c>
      <c r="U260">
        <v>1.000665725</v>
      </c>
      <c r="V260">
        <v>0.823004493</v>
      </c>
      <c r="W260">
        <v>0.94465030380000004</v>
      </c>
      <c r="X260">
        <v>0.90464389430000003</v>
      </c>
      <c r="Y260">
        <v>0.8592588941</v>
      </c>
      <c r="Z260">
        <v>0.8268264448</v>
      </c>
      <c r="AA260">
        <v>0.80264161369999998</v>
      </c>
      <c r="AB260">
        <v>0.7810639667</v>
      </c>
      <c r="AC260">
        <v>0.76332137820000001</v>
      </c>
      <c r="AD260">
        <v>0.74240093409999997</v>
      </c>
      <c r="AE260">
        <v>0.72200215759999997</v>
      </c>
      <c r="AF260">
        <v>0.70452239130000005</v>
      </c>
      <c r="AG260">
        <v>0.68649036750000003</v>
      </c>
      <c r="AH260">
        <v>0.66952161060000004</v>
      </c>
      <c r="AI260">
        <v>0.66206144870000005</v>
      </c>
      <c r="AJ260">
        <v>0.65515659439999996</v>
      </c>
      <c r="AK260">
        <v>0.6490975698</v>
      </c>
      <c r="AL260">
        <v>0.64367256039999998</v>
      </c>
      <c r="AM260">
        <v>0.63835359599999997</v>
      </c>
      <c r="AN260">
        <v>0.63233541950000005</v>
      </c>
      <c r="AO260">
        <v>0.62736567659999998</v>
      </c>
      <c r="AP260">
        <v>0.62242927299999995</v>
      </c>
      <c r="AQ260">
        <v>0.61868235270000005</v>
      </c>
      <c r="AR260">
        <v>0.61454701749999996</v>
      </c>
      <c r="AS260">
        <v>0.6113320833</v>
      </c>
      <c r="AT260">
        <v>0.60832912250000004</v>
      </c>
      <c r="AU260">
        <v>0.60566978329999999</v>
      </c>
      <c r="AV260">
        <v>0.60292009599999996</v>
      </c>
      <c r="AW260">
        <v>0.60092007000000003</v>
      </c>
    </row>
    <row r="261" spans="2:49" x14ac:dyDescent="0.25">
      <c r="B261" t="s">
        <v>263</v>
      </c>
      <c r="C261">
        <v>0.19372928894524399</v>
      </c>
      <c r="D261">
        <v>0.196839675342774</v>
      </c>
      <c r="E261">
        <v>0.2010760788</v>
      </c>
      <c r="F261">
        <v>0.2107932891</v>
      </c>
      <c r="G261">
        <v>0.2149795155</v>
      </c>
      <c r="H261">
        <v>0.2165159364</v>
      </c>
      <c r="I261">
        <v>0.23042794329999999</v>
      </c>
      <c r="J261">
        <v>0.23983967210000001</v>
      </c>
      <c r="K261">
        <v>0.2411664519</v>
      </c>
      <c r="L261">
        <v>0.24606399809999999</v>
      </c>
      <c r="M261">
        <v>0.25565748929999998</v>
      </c>
      <c r="N261">
        <v>0.26936350079999999</v>
      </c>
      <c r="O261">
        <v>0.28783187970000002</v>
      </c>
      <c r="P261">
        <v>0.29622750129999997</v>
      </c>
      <c r="Q261">
        <v>0.29203429089999999</v>
      </c>
      <c r="R261">
        <v>0.28561710480000002</v>
      </c>
      <c r="S261">
        <v>0.32127477570000001</v>
      </c>
      <c r="T261">
        <v>0.30029469149999999</v>
      </c>
      <c r="U261">
        <v>0.28379159549999999</v>
      </c>
      <c r="V261">
        <v>0.26933277630000002</v>
      </c>
      <c r="W261">
        <v>0.38418376999999998</v>
      </c>
      <c r="X261">
        <v>0.39558525249999998</v>
      </c>
      <c r="Y261">
        <v>0.39731952869999998</v>
      </c>
      <c r="Z261">
        <v>0.40298614849999997</v>
      </c>
      <c r="AA261">
        <v>0.4111602701</v>
      </c>
      <c r="AB261">
        <v>0.42248848239999998</v>
      </c>
      <c r="AC261">
        <v>0.43486048049999998</v>
      </c>
      <c r="AD261">
        <v>0.46363049880000001</v>
      </c>
      <c r="AE261">
        <v>0.49172285850000003</v>
      </c>
      <c r="AF261">
        <v>0.51949826870000004</v>
      </c>
      <c r="AG261">
        <v>0.54724832540000001</v>
      </c>
      <c r="AH261">
        <v>0.57503091829999997</v>
      </c>
      <c r="AI261">
        <v>0.57833381029999997</v>
      </c>
      <c r="AJ261">
        <v>0.58193364569999995</v>
      </c>
      <c r="AK261">
        <v>0.58611681859999998</v>
      </c>
      <c r="AL261">
        <v>0.59084060959999996</v>
      </c>
      <c r="AM261">
        <v>0.59553031000000001</v>
      </c>
      <c r="AN261">
        <v>0.59883198900000001</v>
      </c>
      <c r="AO261">
        <v>0.60299458679999995</v>
      </c>
      <c r="AP261">
        <v>0.60707229770000004</v>
      </c>
      <c r="AQ261">
        <v>0.61221036309999999</v>
      </c>
      <c r="AR261">
        <v>0.61687552229999998</v>
      </c>
      <c r="AS261">
        <v>0.62160451419999996</v>
      </c>
      <c r="AT261">
        <v>0.62652280839999996</v>
      </c>
      <c r="AU261">
        <v>0.63177574240000001</v>
      </c>
      <c r="AV261">
        <v>0.63691824939999997</v>
      </c>
      <c r="AW261">
        <v>0.64284508650000005</v>
      </c>
    </row>
    <row r="262" spans="2:49" x14ac:dyDescent="0.25">
      <c r="B262" t="s">
        <v>264</v>
      </c>
      <c r="C262">
        <v>0.38745857789048899</v>
      </c>
      <c r="D262">
        <v>0.39367935068554899</v>
      </c>
      <c r="E262">
        <v>0.4021521575</v>
      </c>
      <c r="F262">
        <v>0.45763561349999998</v>
      </c>
      <c r="G262">
        <v>0.50663262340000004</v>
      </c>
      <c r="H262">
        <v>0.55388420090000001</v>
      </c>
      <c r="I262">
        <v>0.63987816630000005</v>
      </c>
      <c r="J262">
        <v>0.72296322710000005</v>
      </c>
      <c r="K262">
        <v>0.78912375680000002</v>
      </c>
      <c r="L262">
        <v>0.87399578560000002</v>
      </c>
      <c r="M262">
        <v>0.98571830110000003</v>
      </c>
      <c r="N262">
        <v>1.127368994</v>
      </c>
      <c r="O262">
        <v>1.2167055490000001</v>
      </c>
      <c r="P262">
        <v>1.264710797</v>
      </c>
      <c r="Q262">
        <v>1.259270289</v>
      </c>
      <c r="R262">
        <v>1.243908902</v>
      </c>
      <c r="S262">
        <v>2.19185813</v>
      </c>
      <c r="T262">
        <v>2.194667999</v>
      </c>
      <c r="U262">
        <v>2.2182191859999998</v>
      </c>
      <c r="V262">
        <v>2.2483528439999998</v>
      </c>
      <c r="W262">
        <v>3.2975839269999998</v>
      </c>
      <c r="X262">
        <v>3.3793332409999999</v>
      </c>
      <c r="Y262">
        <v>3.485907321</v>
      </c>
      <c r="Z262">
        <v>3.6186769760000002</v>
      </c>
      <c r="AA262">
        <v>3.768163156</v>
      </c>
      <c r="AB262">
        <v>3.9425157689999999</v>
      </c>
      <c r="AC262">
        <v>4.1235328940000002</v>
      </c>
      <c r="AD262">
        <v>4.2800960410000002</v>
      </c>
      <c r="AE262">
        <v>4.4329303619999996</v>
      </c>
      <c r="AF262">
        <v>4.5851486279999998</v>
      </c>
      <c r="AG262">
        <v>4.742080852</v>
      </c>
      <c r="AH262">
        <v>4.9008533270000001</v>
      </c>
      <c r="AI262">
        <v>5.0429950339999996</v>
      </c>
      <c r="AJ262">
        <v>5.1855039850000004</v>
      </c>
      <c r="AK262">
        <v>5.3312551790000002</v>
      </c>
      <c r="AL262">
        <v>5.483200396</v>
      </c>
      <c r="AM262">
        <v>5.6333255680000001</v>
      </c>
      <c r="AN262">
        <v>5.7332239850000004</v>
      </c>
      <c r="AO262">
        <v>5.8403198290000002</v>
      </c>
      <c r="AP262">
        <v>5.9456764829999997</v>
      </c>
      <c r="AQ262">
        <v>6.0606409320000001</v>
      </c>
      <c r="AR262">
        <v>6.1702391150000002</v>
      </c>
      <c r="AS262">
        <v>6.2503798440000002</v>
      </c>
      <c r="AT262">
        <v>6.3323278800000002</v>
      </c>
      <c r="AU262">
        <v>6.4175913659999999</v>
      </c>
      <c r="AV262">
        <v>6.5016795089999997</v>
      </c>
      <c r="AW262">
        <v>6.5937549789999998</v>
      </c>
    </row>
    <row r="263" spans="2:49" x14ac:dyDescent="0.25">
      <c r="B263" t="s">
        <v>265</v>
      </c>
      <c r="C263">
        <v>1.1905732046364299</v>
      </c>
      <c r="D263">
        <v>1.2096882425386799</v>
      </c>
      <c r="E263">
        <v>1.229110199</v>
      </c>
      <c r="F263">
        <v>1.2315210889999999</v>
      </c>
      <c r="G263">
        <v>1.1449187329999999</v>
      </c>
      <c r="H263">
        <v>0.92601423009999995</v>
      </c>
      <c r="I263">
        <v>1.0179888459999999</v>
      </c>
      <c r="J263">
        <v>1.0425604260000001</v>
      </c>
      <c r="K263">
        <v>0.98423772379999996</v>
      </c>
      <c r="L263">
        <v>0.97519208479999997</v>
      </c>
      <c r="M263">
        <v>0.97964951410000001</v>
      </c>
      <c r="N263">
        <v>0.95446687779999995</v>
      </c>
      <c r="O263">
        <v>0.94806820520000001</v>
      </c>
      <c r="P263">
        <v>0.93623792750000001</v>
      </c>
      <c r="Q263">
        <v>0.92346104780000005</v>
      </c>
      <c r="R263">
        <v>0.9124547959</v>
      </c>
      <c r="S263">
        <v>0.90503557950000002</v>
      </c>
      <c r="T263">
        <v>0.89476977310000005</v>
      </c>
      <c r="U263">
        <v>0.89457958449999997</v>
      </c>
      <c r="V263">
        <v>0.89962734339999995</v>
      </c>
      <c r="W263">
        <v>0.89809505960000002</v>
      </c>
      <c r="X263">
        <v>0.89150585630000001</v>
      </c>
      <c r="Y263">
        <v>0.88800559680000002</v>
      </c>
      <c r="Z263">
        <v>0.88570730369999995</v>
      </c>
      <c r="AA263">
        <v>0.8849280249</v>
      </c>
      <c r="AB263">
        <v>0.88545210839999999</v>
      </c>
      <c r="AC263">
        <v>0.88747990659999998</v>
      </c>
      <c r="AD263">
        <v>0.8946039831</v>
      </c>
      <c r="AE263">
        <v>0.90380718530000004</v>
      </c>
      <c r="AF263">
        <v>0.91473904260000005</v>
      </c>
      <c r="AG263">
        <v>0.92674767410000003</v>
      </c>
      <c r="AH263">
        <v>0.93977203050000002</v>
      </c>
      <c r="AI263">
        <v>0.95345554860000004</v>
      </c>
      <c r="AJ263">
        <v>0.96770364929999997</v>
      </c>
      <c r="AK263">
        <v>0.98260997380000004</v>
      </c>
      <c r="AL263">
        <v>0.99791648389999998</v>
      </c>
      <c r="AM263">
        <v>1.0139757229999999</v>
      </c>
      <c r="AN263">
        <v>1.029576882</v>
      </c>
      <c r="AO263">
        <v>1.0456711670000001</v>
      </c>
      <c r="AP263">
        <v>1.0618065619999999</v>
      </c>
      <c r="AQ263">
        <v>1.078606309</v>
      </c>
      <c r="AR263">
        <v>1.0952550270000001</v>
      </c>
      <c r="AS263">
        <v>1.1120923519999999</v>
      </c>
      <c r="AT263">
        <v>1.1290265429999999</v>
      </c>
      <c r="AU263">
        <v>1.1460950780000001</v>
      </c>
      <c r="AV263">
        <v>1.1631692010000001</v>
      </c>
      <c r="AW263">
        <v>1.1806933129999999</v>
      </c>
    </row>
    <row r="264" spans="2:49" x14ac:dyDescent="0.25">
      <c r="B264" t="s">
        <v>266</v>
      </c>
      <c r="C264">
        <v>1.7112081308179601</v>
      </c>
      <c r="D264">
        <v>1.7386821308642</v>
      </c>
      <c r="E264">
        <v>1.766597204</v>
      </c>
      <c r="F264">
        <v>1.7874173019999999</v>
      </c>
      <c r="G264">
        <v>1.810204771</v>
      </c>
      <c r="H264">
        <v>1.7022867580000001</v>
      </c>
      <c r="I264">
        <v>1.7767751169999999</v>
      </c>
      <c r="J264">
        <v>1.8105798239999999</v>
      </c>
      <c r="K264">
        <v>1.791703268</v>
      </c>
      <c r="L264">
        <v>1.7992142</v>
      </c>
      <c r="M264">
        <v>1.8081049119999999</v>
      </c>
      <c r="N264">
        <v>1.8460067529999999</v>
      </c>
      <c r="O264">
        <v>1.8929711490000001</v>
      </c>
      <c r="P264">
        <v>1.91517286</v>
      </c>
      <c r="Q264">
        <v>1.92588648</v>
      </c>
      <c r="R264">
        <v>1.941051987</v>
      </c>
      <c r="S264">
        <v>1.9615180569999999</v>
      </c>
      <c r="T264">
        <v>1.9625009250000001</v>
      </c>
      <c r="U264">
        <v>1.9659001629999999</v>
      </c>
      <c r="V264">
        <v>1.9724249220000001</v>
      </c>
      <c r="W264">
        <v>1.971519698</v>
      </c>
      <c r="X264">
        <v>1.956091501</v>
      </c>
      <c r="Y264">
        <v>1.9491698500000001</v>
      </c>
      <c r="Z264">
        <v>1.952632731</v>
      </c>
      <c r="AA264">
        <v>1.9613065700000001</v>
      </c>
      <c r="AB264">
        <v>1.972527339</v>
      </c>
      <c r="AC264">
        <v>1.9853306159999999</v>
      </c>
      <c r="AD264">
        <v>2.0042428509999999</v>
      </c>
      <c r="AE264">
        <v>2.0293774500000001</v>
      </c>
      <c r="AF264">
        <v>2.0569253409999999</v>
      </c>
      <c r="AG264">
        <v>2.0896388240000001</v>
      </c>
      <c r="AH264">
        <v>2.121639885</v>
      </c>
      <c r="AI264">
        <v>2.1604897489999999</v>
      </c>
      <c r="AJ264">
        <v>2.1926809600000001</v>
      </c>
      <c r="AK264">
        <v>2.2381985790000001</v>
      </c>
      <c r="AL264">
        <v>2.267453433</v>
      </c>
      <c r="AM264">
        <v>2.3236415720000001</v>
      </c>
      <c r="AN264">
        <v>2.34045288</v>
      </c>
      <c r="AO264">
        <v>2.4159979049999998</v>
      </c>
      <c r="AP264">
        <v>2.4067136549999999</v>
      </c>
      <c r="AQ264">
        <v>2.5268110410000002</v>
      </c>
      <c r="AR264">
        <v>2.522531796</v>
      </c>
      <c r="AS264">
        <v>2.5689221099999999</v>
      </c>
      <c r="AT264">
        <v>2.5971679769999998</v>
      </c>
      <c r="AU264">
        <v>2.6590995949999998</v>
      </c>
      <c r="AV264">
        <v>2.6725197189999998</v>
      </c>
      <c r="AW264">
        <v>2.7603994850000002</v>
      </c>
    </row>
    <row r="265" spans="2:49" x14ac:dyDescent="0.25">
      <c r="B265" t="s">
        <v>267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0</v>
      </c>
      <c r="AF265">
        <v>0</v>
      </c>
      <c r="AG265">
        <v>0</v>
      </c>
      <c r="AH265">
        <v>0</v>
      </c>
      <c r="AI265">
        <v>0</v>
      </c>
      <c r="AJ265">
        <v>0</v>
      </c>
      <c r="AK265">
        <v>0</v>
      </c>
      <c r="AL265">
        <v>0</v>
      </c>
      <c r="AM265">
        <v>0</v>
      </c>
      <c r="AN265">
        <v>0</v>
      </c>
      <c r="AO265">
        <v>0</v>
      </c>
      <c r="AP265">
        <v>0</v>
      </c>
      <c r="AQ265">
        <v>0</v>
      </c>
      <c r="AR265">
        <v>0</v>
      </c>
      <c r="AS265">
        <v>0</v>
      </c>
      <c r="AT265">
        <v>0</v>
      </c>
      <c r="AU265">
        <v>0</v>
      </c>
      <c r="AV265">
        <v>0</v>
      </c>
      <c r="AW265">
        <v>0</v>
      </c>
    </row>
    <row r="266" spans="2:49" x14ac:dyDescent="0.25">
      <c r="B266" t="s">
        <v>268</v>
      </c>
      <c r="C266">
        <v>1.5692072404564801</v>
      </c>
      <c r="D266">
        <v>1.5944013702764701</v>
      </c>
      <c r="E266">
        <v>1.6200002060000001</v>
      </c>
      <c r="F266">
        <v>1.6389765730000001</v>
      </c>
      <c r="G266">
        <v>1.663232187</v>
      </c>
      <c r="H266">
        <v>1.551759764</v>
      </c>
      <c r="I266">
        <v>1.6288634749999999</v>
      </c>
      <c r="J266">
        <v>1.6761074439999999</v>
      </c>
      <c r="K266">
        <v>1.6664686259999999</v>
      </c>
      <c r="L266">
        <v>1.6732747960000001</v>
      </c>
      <c r="M266">
        <v>1.6801261110000001</v>
      </c>
      <c r="N266">
        <v>1.696718564</v>
      </c>
      <c r="O266">
        <v>1.7709885249999999</v>
      </c>
      <c r="P266">
        <v>1.8488448470000001</v>
      </c>
      <c r="Q266">
        <v>1.9178909159999999</v>
      </c>
      <c r="R266">
        <v>1.976127921</v>
      </c>
      <c r="S266">
        <v>2.0205621900000001</v>
      </c>
      <c r="T266">
        <v>2.0144879219999998</v>
      </c>
      <c r="U266">
        <v>2.0045550649999999</v>
      </c>
      <c r="V266">
        <v>1.997564962</v>
      </c>
      <c r="W266">
        <v>1.9066782369999999</v>
      </c>
      <c r="X266">
        <v>1.8213295730000001</v>
      </c>
      <c r="Y266">
        <v>1.7638485909999999</v>
      </c>
      <c r="Z266">
        <v>1.7306819170000001</v>
      </c>
      <c r="AA266">
        <v>1.710821207</v>
      </c>
      <c r="AB266">
        <v>1.699584003</v>
      </c>
      <c r="AC266">
        <v>1.693306915</v>
      </c>
      <c r="AD266">
        <v>1.701619717</v>
      </c>
      <c r="AE266">
        <v>1.7189534200000001</v>
      </c>
      <c r="AF266">
        <v>1.739817505</v>
      </c>
      <c r="AG266">
        <v>1.765582268</v>
      </c>
      <c r="AH266">
        <v>1.7909897020000001</v>
      </c>
      <c r="AI266">
        <v>1.8225586920000001</v>
      </c>
      <c r="AJ266">
        <v>1.8485912149999999</v>
      </c>
      <c r="AK266">
        <v>1.885950249</v>
      </c>
      <c r="AL266">
        <v>1.9097495419999999</v>
      </c>
      <c r="AM266">
        <v>1.95604997</v>
      </c>
      <c r="AN266">
        <v>1.96940396</v>
      </c>
      <c r="AO266">
        <v>2.0324566860000002</v>
      </c>
      <c r="AP266">
        <v>2.0242709250000002</v>
      </c>
      <c r="AQ266">
        <v>2.125082141</v>
      </c>
      <c r="AR266">
        <v>2.1212924659999999</v>
      </c>
      <c r="AS266">
        <v>2.1598653379999999</v>
      </c>
      <c r="AT266">
        <v>2.1830411750000001</v>
      </c>
      <c r="AU266">
        <v>2.2344358469999999</v>
      </c>
      <c r="AV266">
        <v>2.2449233579999999</v>
      </c>
      <c r="AW266">
        <v>2.3178843819999999</v>
      </c>
    </row>
    <row r="267" spans="2:49" x14ac:dyDescent="0.25">
      <c r="B267" t="s">
        <v>269</v>
      </c>
      <c r="C267">
        <v>0.99189533402801899</v>
      </c>
      <c r="D267">
        <v>0.99189533402801799</v>
      </c>
      <c r="E267">
        <v>0.99189532579999995</v>
      </c>
      <c r="F267">
        <v>0.98719299760000001</v>
      </c>
      <c r="G267">
        <v>0.98253090730000003</v>
      </c>
      <c r="H267">
        <v>0.97786703210000003</v>
      </c>
      <c r="I267">
        <v>0.97325870889999999</v>
      </c>
      <c r="J267">
        <v>0.96867469780000004</v>
      </c>
      <c r="K267">
        <v>0.96412075190000002</v>
      </c>
      <c r="L267">
        <v>0.95959345910000005</v>
      </c>
      <c r="M267">
        <v>0.95507468500000003</v>
      </c>
      <c r="N267">
        <v>0.95058946609999995</v>
      </c>
      <c r="O267">
        <v>0.94786269499999998</v>
      </c>
      <c r="P267">
        <v>0.94500637750000005</v>
      </c>
      <c r="Q267">
        <v>0.94201177439999995</v>
      </c>
      <c r="R267">
        <v>0.9388456114</v>
      </c>
      <c r="S267">
        <v>0.95295276790000005</v>
      </c>
      <c r="T267">
        <v>0.95006016660000003</v>
      </c>
      <c r="U267">
        <v>0.94720674319999998</v>
      </c>
      <c r="V267">
        <v>0.94438895560000002</v>
      </c>
      <c r="W267">
        <v>0.92727339870000003</v>
      </c>
      <c r="X267">
        <v>0.92234178730000005</v>
      </c>
      <c r="Y267">
        <v>0.91729524330000001</v>
      </c>
      <c r="Z267">
        <v>0.91180006609999997</v>
      </c>
      <c r="AA267">
        <v>0.90578240379999997</v>
      </c>
      <c r="AB267">
        <v>0.89950872240000002</v>
      </c>
      <c r="AC267">
        <v>0.89257376919999998</v>
      </c>
      <c r="AD267">
        <v>0.87770636619999998</v>
      </c>
      <c r="AE267">
        <v>0.86124789700000004</v>
      </c>
      <c r="AF267">
        <v>0.84291260710000004</v>
      </c>
      <c r="AG267">
        <v>0.82278503479999998</v>
      </c>
      <c r="AH267">
        <v>0.80004288010000002</v>
      </c>
      <c r="AI267">
        <v>0.76843563439999996</v>
      </c>
      <c r="AJ267">
        <v>0.73217582469999998</v>
      </c>
      <c r="AK267">
        <v>0.69027061680000001</v>
      </c>
      <c r="AL267">
        <v>0.64287953710000001</v>
      </c>
      <c r="AM267">
        <v>0.58678200899999999</v>
      </c>
      <c r="AN267">
        <v>0.56269853690000005</v>
      </c>
      <c r="AO267">
        <v>0.53512709250000001</v>
      </c>
      <c r="AP267">
        <v>0.50136023249999995</v>
      </c>
      <c r="AQ267">
        <v>0.46227588520000001</v>
      </c>
      <c r="AR267">
        <v>0.41237777489999999</v>
      </c>
      <c r="AS267">
        <v>0.41751588509999998</v>
      </c>
      <c r="AT267">
        <v>0.42306191450000002</v>
      </c>
      <c r="AU267">
        <v>0.42990741389999998</v>
      </c>
      <c r="AV267">
        <v>0.43712650590000002</v>
      </c>
      <c r="AW267">
        <v>0.4467579149</v>
      </c>
    </row>
    <row r="268" spans="2:49" x14ac:dyDescent="0.25">
      <c r="B268" t="s">
        <v>270</v>
      </c>
      <c r="C268">
        <v>8.10466597198101E-3</v>
      </c>
      <c r="D268">
        <v>8.10466597198101E-3</v>
      </c>
      <c r="E268">
        <v>8.1046741600000003E-3</v>
      </c>
      <c r="F268">
        <v>1.28070024E-2</v>
      </c>
      <c r="G268">
        <v>1.7469092700000001E-2</v>
      </c>
      <c r="H268">
        <v>2.2132967900000002E-2</v>
      </c>
      <c r="I268">
        <v>2.6741291100000002E-2</v>
      </c>
      <c r="J268">
        <v>3.1325302200000002E-2</v>
      </c>
      <c r="K268">
        <v>3.5879248099999997E-2</v>
      </c>
      <c r="L268">
        <v>4.0406540900000003E-2</v>
      </c>
      <c r="M268">
        <v>4.4925315E-2</v>
      </c>
      <c r="N268">
        <v>4.9410533899999998E-2</v>
      </c>
      <c r="O268">
        <v>5.2137305000000002E-2</v>
      </c>
      <c r="P268">
        <v>5.4993622499999999E-2</v>
      </c>
      <c r="Q268">
        <v>5.7988225599999998E-2</v>
      </c>
      <c r="R268">
        <v>6.1154388599999998E-2</v>
      </c>
      <c r="S268">
        <v>4.7047232100000003E-2</v>
      </c>
      <c r="T268">
        <v>4.9939833400000001E-2</v>
      </c>
      <c r="U268">
        <v>5.27932568E-2</v>
      </c>
      <c r="V268">
        <v>5.5611044399999997E-2</v>
      </c>
      <c r="W268">
        <v>7.2726601299999999E-2</v>
      </c>
      <c r="X268">
        <v>7.7658212700000007E-2</v>
      </c>
      <c r="Y268">
        <v>8.2704756700000007E-2</v>
      </c>
      <c r="Z268">
        <v>8.8199933899999999E-2</v>
      </c>
      <c r="AA268">
        <v>9.4217596200000003E-2</v>
      </c>
      <c r="AB268">
        <v>0.1004912776</v>
      </c>
      <c r="AC268">
        <v>0.10742623079999999</v>
      </c>
      <c r="AD268">
        <v>0.1222936338</v>
      </c>
      <c r="AE268">
        <v>0.13875210299999999</v>
      </c>
      <c r="AF268">
        <v>0.15708739290000001</v>
      </c>
      <c r="AG268">
        <v>0.17721496519999999</v>
      </c>
      <c r="AH268">
        <v>0.19995711990000001</v>
      </c>
      <c r="AI268">
        <v>0.23156436559999999</v>
      </c>
      <c r="AJ268">
        <v>0.26782417530000002</v>
      </c>
      <c r="AK268">
        <v>0.30972938319999999</v>
      </c>
      <c r="AL268">
        <v>0.35712046289999999</v>
      </c>
      <c r="AM268">
        <v>0.41321799100000001</v>
      </c>
      <c r="AN268">
        <v>0.43730146310000001</v>
      </c>
      <c r="AO268">
        <v>0.46487290749999999</v>
      </c>
      <c r="AP268">
        <v>0.4986397675</v>
      </c>
      <c r="AQ268">
        <v>0.53772411480000004</v>
      </c>
      <c r="AR268">
        <v>0.58762222509999995</v>
      </c>
      <c r="AS268">
        <v>0.58248411489999996</v>
      </c>
      <c r="AT268">
        <v>0.57693808550000003</v>
      </c>
      <c r="AU268">
        <v>0.57009258610000002</v>
      </c>
      <c r="AV268">
        <v>0.56287349409999998</v>
      </c>
      <c r="AW268">
        <v>0.55324208509999995</v>
      </c>
    </row>
    <row r="269" spans="2:49" x14ac:dyDescent="0.25">
      <c r="B269" t="s">
        <v>271</v>
      </c>
      <c r="C269">
        <v>0.79896379760487002</v>
      </c>
      <c r="D269">
        <v>0.79896379760486902</v>
      </c>
      <c r="E269">
        <v>0.79896379760000003</v>
      </c>
      <c r="F269">
        <v>0.79854263209999998</v>
      </c>
      <c r="G269">
        <v>0.79812168849999998</v>
      </c>
      <c r="H269">
        <v>0.79770096690000003</v>
      </c>
      <c r="I269">
        <v>0.79728046699999999</v>
      </c>
      <c r="J269">
        <v>0.79686018879999998</v>
      </c>
      <c r="K269">
        <v>0.79644013209999998</v>
      </c>
      <c r="L269">
        <v>0.79602029689999998</v>
      </c>
      <c r="M269">
        <v>0.79560068299999998</v>
      </c>
      <c r="N269">
        <v>0.79518129029999995</v>
      </c>
      <c r="O269">
        <v>0.78222990709999995</v>
      </c>
      <c r="P269">
        <v>0.76778352620000001</v>
      </c>
      <c r="Q269">
        <v>0.75177697219999995</v>
      </c>
      <c r="R269">
        <v>0.73415414150000002</v>
      </c>
      <c r="S269">
        <v>0.69408091299999997</v>
      </c>
      <c r="T269">
        <v>0.69306060079999998</v>
      </c>
      <c r="U269">
        <v>0.69208266200000002</v>
      </c>
      <c r="V269">
        <v>0.69114451089999995</v>
      </c>
      <c r="W269">
        <v>0.64517757610000004</v>
      </c>
      <c r="X269">
        <v>0.64070667839999995</v>
      </c>
      <c r="Y269">
        <v>0.62987609739999995</v>
      </c>
      <c r="Z269">
        <v>0.61910397880000001</v>
      </c>
      <c r="AA269">
        <v>0.60838985069999996</v>
      </c>
      <c r="AB269">
        <v>0.59785288950000004</v>
      </c>
      <c r="AC269">
        <v>0.58736422160000001</v>
      </c>
      <c r="AD269">
        <v>0.57356573590000004</v>
      </c>
      <c r="AE269">
        <v>0.56000431569999998</v>
      </c>
      <c r="AF269">
        <v>0.5466739035</v>
      </c>
      <c r="AG269">
        <v>0.53408555280000003</v>
      </c>
      <c r="AH269">
        <v>0.52170143479999997</v>
      </c>
      <c r="AI269">
        <v>0.50927276690000001</v>
      </c>
      <c r="AJ269">
        <v>0.49704798369999997</v>
      </c>
      <c r="AK269">
        <v>0.4850221093</v>
      </c>
      <c r="AL269">
        <v>0.47391979890000002</v>
      </c>
      <c r="AM269">
        <v>0.4629888137</v>
      </c>
      <c r="AN269">
        <v>0.44452110880000001</v>
      </c>
      <c r="AO269">
        <v>0.42616317999999997</v>
      </c>
      <c r="AP269">
        <v>0.40791405139999998</v>
      </c>
      <c r="AQ269">
        <v>0.38977275849999998</v>
      </c>
      <c r="AR269">
        <v>0.37173834849999998</v>
      </c>
      <c r="AS269">
        <v>0.3522068344</v>
      </c>
      <c r="AT269">
        <v>0.33251009939999998</v>
      </c>
      <c r="AU269">
        <v>0.31264603819999998</v>
      </c>
      <c r="AV269">
        <v>0.29261250929999999</v>
      </c>
      <c r="AW269">
        <v>0.27240733480000001</v>
      </c>
    </row>
    <row r="270" spans="2:49" x14ac:dyDescent="0.25">
      <c r="B270" t="s">
        <v>272</v>
      </c>
      <c r="C270">
        <v>1.02537481030392E-2</v>
      </c>
      <c r="D270">
        <v>1.02537481030392E-2</v>
      </c>
      <c r="E270">
        <v>1.02537481E-2</v>
      </c>
      <c r="F270">
        <v>9.28913229E-3</v>
      </c>
      <c r="G270">
        <v>8.4152621800000008E-3</v>
      </c>
      <c r="H270">
        <v>7.6236009400000001E-3</v>
      </c>
      <c r="I270">
        <v>6.9064147999999999E-3</v>
      </c>
      <c r="J270">
        <v>6.2566975599999998E-3</v>
      </c>
      <c r="K270">
        <v>5.6681021099999999E-3</v>
      </c>
      <c r="L270">
        <v>5.1348784699999997E-3</v>
      </c>
      <c r="M270">
        <v>4.6518175500000003E-3</v>
      </c>
      <c r="N270">
        <v>4.21420033E-3</v>
      </c>
      <c r="O270">
        <v>3.8372227699999999E-3</v>
      </c>
      <c r="P270">
        <v>3.4862213600000001E-3</v>
      </c>
      <c r="Q270">
        <v>3.1596484300000002E-3</v>
      </c>
      <c r="R270">
        <v>2.8560813299999999E-3</v>
      </c>
      <c r="S270">
        <v>2.9085724800000001E-3</v>
      </c>
      <c r="T270">
        <v>4.7403159399999999E-3</v>
      </c>
      <c r="U270">
        <v>6.4959871600000002E-3</v>
      </c>
      <c r="V270">
        <v>8.1802286499999995E-3</v>
      </c>
      <c r="W270">
        <v>5.6701401799999999E-3</v>
      </c>
      <c r="X270">
        <v>3.9772643599999997E-3</v>
      </c>
      <c r="Y270">
        <v>3.2909602399999998E-3</v>
      </c>
      <c r="Z270">
        <v>2.6083607199999998E-3</v>
      </c>
      <c r="AA270">
        <v>1.9294359000000001E-3</v>
      </c>
      <c r="AB270">
        <v>1.26894414E-3</v>
      </c>
      <c r="AC270">
        <v>6.1147957700000003E-4</v>
      </c>
      <c r="AD270">
        <v>6.04408643E-4</v>
      </c>
      <c r="AE270">
        <v>5.9745919200000005E-4</v>
      </c>
      <c r="AF270">
        <v>5.9062811900000001E-4</v>
      </c>
      <c r="AG270">
        <v>5.8415934700000002E-4</v>
      </c>
      <c r="AH270">
        <v>5.7779552399999995E-4</v>
      </c>
      <c r="AI270">
        <v>4.64249738E-4</v>
      </c>
      <c r="AJ270">
        <v>3.5256660199999999E-4</v>
      </c>
      <c r="AK270">
        <v>2.42700655E-4</v>
      </c>
      <c r="AL270">
        <v>2.4913063199999999E-4</v>
      </c>
      <c r="AM270">
        <v>2.55461384E-4</v>
      </c>
      <c r="AN270">
        <v>2.4619436699999998E-4</v>
      </c>
      <c r="AO270">
        <v>2.36982435E-4</v>
      </c>
      <c r="AP270">
        <v>2.2782509900000001E-4</v>
      </c>
      <c r="AQ270">
        <v>2.1872187400000001E-4</v>
      </c>
      <c r="AR270">
        <v>2.0967228200000001E-4</v>
      </c>
      <c r="AS270">
        <v>2.10555377E-4</v>
      </c>
      <c r="AT270">
        <v>2.11445942E-4</v>
      </c>
      <c r="AU270">
        <v>2.1234407200000001E-4</v>
      </c>
      <c r="AV270">
        <v>2.1324986400000001E-4</v>
      </c>
      <c r="AW270">
        <v>2.14163418E-4</v>
      </c>
    </row>
    <row r="271" spans="2:49" x14ac:dyDescent="0.25">
      <c r="B271" t="s">
        <v>273</v>
      </c>
      <c r="C271">
        <v>4.0949078402655603E-2</v>
      </c>
      <c r="D271">
        <v>4.0949078402655603E-2</v>
      </c>
      <c r="E271">
        <v>4.0949078399999998E-2</v>
      </c>
      <c r="F271">
        <v>3.93031244E-2</v>
      </c>
      <c r="G271">
        <v>3.7723329700000002E-2</v>
      </c>
      <c r="H271">
        <v>3.62070351E-2</v>
      </c>
      <c r="I271">
        <v>3.4751688099999997E-2</v>
      </c>
      <c r="J271">
        <v>3.3354839099999999E-2</v>
      </c>
      <c r="K271">
        <v>3.20141366E-2</v>
      </c>
      <c r="L271">
        <v>3.0727323800000001E-2</v>
      </c>
      <c r="M271">
        <v>2.94922346E-2</v>
      </c>
      <c r="N271">
        <v>2.83067901E-2</v>
      </c>
      <c r="O271">
        <v>3.1063401899999999E-2</v>
      </c>
      <c r="P271">
        <v>3.40128887E-2</v>
      </c>
      <c r="Q271">
        <v>3.71521436E-2</v>
      </c>
      <c r="R271">
        <v>4.0473637700000002E-2</v>
      </c>
      <c r="S271">
        <v>6.1546973300000002E-2</v>
      </c>
      <c r="T271">
        <v>4.6782661500000003E-2</v>
      </c>
      <c r="U271">
        <v>3.2631510900000001E-2</v>
      </c>
      <c r="V271">
        <v>1.9056101999999998E-2</v>
      </c>
      <c r="W271">
        <v>4.6399030100000002E-2</v>
      </c>
      <c r="X271">
        <v>4.1259733E-2</v>
      </c>
      <c r="Y271">
        <v>4.0980023099999999E-2</v>
      </c>
      <c r="Z271">
        <v>4.0701822999999998E-2</v>
      </c>
      <c r="AA271">
        <v>4.0425120500000002E-2</v>
      </c>
      <c r="AB271">
        <v>4.0146598499999998E-2</v>
      </c>
      <c r="AC271">
        <v>3.9869353099999998E-2</v>
      </c>
      <c r="AD271">
        <v>3.4138287400000002E-2</v>
      </c>
      <c r="AE271">
        <v>2.8505684600000001E-2</v>
      </c>
      <c r="AF271">
        <v>2.2969028700000001E-2</v>
      </c>
      <c r="AG271">
        <v>1.7758554400000001E-2</v>
      </c>
      <c r="AH271">
        <v>1.26326146E-2</v>
      </c>
      <c r="AI271">
        <v>1.1753575699999999E-2</v>
      </c>
      <c r="AJ271">
        <v>1.0888956999999999E-2</v>
      </c>
      <c r="AK271">
        <v>1.0038406499999999E-2</v>
      </c>
      <c r="AL271">
        <v>9.2689726799999907E-3</v>
      </c>
      <c r="AM271">
        <v>8.5114124199999995E-3</v>
      </c>
      <c r="AN271">
        <v>8.6968810500000007E-3</v>
      </c>
      <c r="AO271">
        <v>8.8812472199999905E-3</v>
      </c>
      <c r="AP271">
        <v>9.0645207200000001E-3</v>
      </c>
      <c r="AQ271">
        <v>9.2467112499999907E-3</v>
      </c>
      <c r="AR271">
        <v>9.4278283599999995E-3</v>
      </c>
      <c r="AS271">
        <v>1.1405538600000001E-2</v>
      </c>
      <c r="AT271">
        <v>1.3399978599999999E-2</v>
      </c>
      <c r="AU271">
        <v>1.5411361700000001E-2</v>
      </c>
      <c r="AV271">
        <v>1.74399046E-2</v>
      </c>
      <c r="AW271">
        <v>1.9485827899999999E-2</v>
      </c>
    </row>
    <row r="272" spans="2:49" x14ac:dyDescent="0.25">
      <c r="B272" t="s">
        <v>274</v>
      </c>
      <c r="C272">
        <v>4.0858446639591303E-2</v>
      </c>
      <c r="D272">
        <v>4.0858446639591303E-2</v>
      </c>
      <c r="E272">
        <v>4.0858446600000001E-2</v>
      </c>
      <c r="F272">
        <v>3.8169239799999997E-2</v>
      </c>
      <c r="G272">
        <v>3.5657030200000002E-2</v>
      </c>
      <c r="H272">
        <v>3.33101684E-2</v>
      </c>
      <c r="I272">
        <v>3.1117771499999999E-2</v>
      </c>
      <c r="J272">
        <v>2.9069672899999999E-2</v>
      </c>
      <c r="K272">
        <v>2.7156375399999998E-2</v>
      </c>
      <c r="L272">
        <v>2.5369006699999998E-2</v>
      </c>
      <c r="M272">
        <v>2.3699278399999999E-2</v>
      </c>
      <c r="N272">
        <v>2.2139447600000001E-2</v>
      </c>
      <c r="O272">
        <v>2.0123113299999999E-2</v>
      </c>
      <c r="P272">
        <v>1.8249865800000001E-2</v>
      </c>
      <c r="Q272">
        <v>1.6510872900000001E-2</v>
      </c>
      <c r="R272">
        <v>1.48980146E-2</v>
      </c>
      <c r="S272">
        <v>5.7328033000000004E-3</v>
      </c>
      <c r="T272">
        <v>4.6851091799999999E-3</v>
      </c>
      <c r="U272">
        <v>3.6809257700000002E-3</v>
      </c>
      <c r="V272">
        <v>2.7175976999999998E-3</v>
      </c>
      <c r="W272">
        <v>3.5234689500000002E-3</v>
      </c>
      <c r="X272">
        <v>2.9612773799999998E-3</v>
      </c>
      <c r="Y272">
        <v>2.3574040600000002E-3</v>
      </c>
      <c r="Z272">
        <v>1.75679039E-3</v>
      </c>
      <c r="AA272">
        <v>1.1594100500000001E-3</v>
      </c>
      <c r="AB272">
        <v>8.1001251800000003E-4</v>
      </c>
      <c r="AC272">
        <v>4.6221635399999999E-4</v>
      </c>
      <c r="AD272">
        <v>3.8184282199999999E-4</v>
      </c>
      <c r="AE272">
        <v>3.02850152E-4</v>
      </c>
      <c r="AF272">
        <v>2.25203059E-4</v>
      </c>
      <c r="AG272">
        <v>2.2336127799999999E-4</v>
      </c>
      <c r="AH272">
        <v>2.2154937699999999E-4</v>
      </c>
      <c r="AI272">
        <v>2.1971715799999999E-4</v>
      </c>
      <c r="AJ272">
        <v>2.17914994E-4</v>
      </c>
      <c r="AK272">
        <v>2.1614215400000001E-4</v>
      </c>
      <c r="AL272">
        <v>2.1446148799999999E-4</v>
      </c>
      <c r="AM272">
        <v>2.1280675799999999E-4</v>
      </c>
      <c r="AN272">
        <v>2.12172388E-4</v>
      </c>
      <c r="AO272">
        <v>2.11541789E-4</v>
      </c>
      <c r="AP272">
        <v>2.1091492699999999E-4</v>
      </c>
      <c r="AQ272">
        <v>2.10291769E-4</v>
      </c>
      <c r="AR272">
        <v>2.0967228200000001E-4</v>
      </c>
      <c r="AS272">
        <v>2.10555377E-4</v>
      </c>
      <c r="AT272">
        <v>2.11445942E-4</v>
      </c>
      <c r="AU272">
        <v>2.1234407200000001E-4</v>
      </c>
      <c r="AV272">
        <v>2.1324986400000001E-4</v>
      </c>
      <c r="AW272">
        <v>2.14163418E-4</v>
      </c>
    </row>
    <row r="273" spans="2:49" x14ac:dyDescent="0.25">
      <c r="B273" t="s">
        <v>275</v>
      </c>
      <c r="C273">
        <v>8.2546962733871607E-3</v>
      </c>
      <c r="D273">
        <v>8.2546962733871607E-3</v>
      </c>
      <c r="E273">
        <v>8.2546962700000004E-3</v>
      </c>
      <c r="F273">
        <v>1.3385109900000001E-2</v>
      </c>
      <c r="G273">
        <v>1.8063529700000001E-2</v>
      </c>
      <c r="H273">
        <v>2.2286687400000001E-2</v>
      </c>
      <c r="I273">
        <v>2.6043462699999999E-2</v>
      </c>
      <c r="J273">
        <v>2.93135359E-2</v>
      </c>
      <c r="K273">
        <v>3.2065675000000002E-2</v>
      </c>
      <c r="L273">
        <v>3.4255574300000001E-2</v>
      </c>
      <c r="M273">
        <v>3.58231387E-2</v>
      </c>
      <c r="N273">
        <v>3.6689084400000002E-2</v>
      </c>
      <c r="O273">
        <v>4.1917166399999997E-2</v>
      </c>
      <c r="P273">
        <v>4.7784062400000001E-2</v>
      </c>
      <c r="Q273">
        <v>5.4340055399999997E-2</v>
      </c>
      <c r="R273">
        <v>6.1631833800000001E-2</v>
      </c>
      <c r="S273">
        <v>8.39523571E-2</v>
      </c>
      <c r="T273">
        <v>8.8159484400000002E-2</v>
      </c>
      <c r="U273">
        <v>9.2191889900000004E-2</v>
      </c>
      <c r="V273">
        <v>9.6060236399999999E-2</v>
      </c>
      <c r="W273">
        <v>0.1057388997</v>
      </c>
      <c r="X273">
        <v>0.1116736986</v>
      </c>
      <c r="Y273">
        <v>0.1174777957</v>
      </c>
      <c r="Z273">
        <v>0.1232505627</v>
      </c>
      <c r="AA273">
        <v>0.12899225280000001</v>
      </c>
      <c r="AB273">
        <v>0.13450869800000001</v>
      </c>
      <c r="AC273">
        <v>0.1399998599</v>
      </c>
      <c r="AD273">
        <v>0.15319456840000001</v>
      </c>
      <c r="AE273">
        <v>0.1661625846</v>
      </c>
      <c r="AF273">
        <v>0.178909701</v>
      </c>
      <c r="AG273">
        <v>0.1908366373</v>
      </c>
      <c r="AH273">
        <v>0.20257007169999999</v>
      </c>
      <c r="AI273">
        <v>0.2139233284</v>
      </c>
      <c r="AJ273">
        <v>0.2250903417</v>
      </c>
      <c r="AK273">
        <v>0.23607565729999999</v>
      </c>
      <c r="AL273">
        <v>0.24598568030000001</v>
      </c>
      <c r="AM273">
        <v>0.25574277680000002</v>
      </c>
      <c r="AN273">
        <v>0.26931416530000002</v>
      </c>
      <c r="AO273">
        <v>0.28280488240000001</v>
      </c>
      <c r="AP273">
        <v>0.2962156454</v>
      </c>
      <c r="AQ273">
        <v>0.30954716300000001</v>
      </c>
      <c r="AR273">
        <v>0.32280013549999997</v>
      </c>
      <c r="AS273">
        <v>0.33653524109999999</v>
      </c>
      <c r="AT273">
        <v>0.35038653479999998</v>
      </c>
      <c r="AU273">
        <v>0.36435549690000002</v>
      </c>
      <c r="AV273">
        <v>0.37844363339999998</v>
      </c>
      <c r="AW273">
        <v>0.39265247590000002</v>
      </c>
    </row>
    <row r="274" spans="2:49" x14ac:dyDescent="0.25">
      <c r="B274" t="s">
        <v>276</v>
      </c>
      <c r="C274">
        <v>1.85730666151211E-3</v>
      </c>
      <c r="D274">
        <v>1.85730666151211E-3</v>
      </c>
      <c r="E274">
        <v>1.8573066599999999E-3</v>
      </c>
      <c r="F274">
        <v>2.3029467500000002E-3</v>
      </c>
      <c r="G274">
        <v>2.85551323E-3</v>
      </c>
      <c r="H274">
        <v>3.5406618999999999E-3</v>
      </c>
      <c r="I274">
        <v>4.3902043700000002E-3</v>
      </c>
      <c r="J274">
        <v>5.4435851100000003E-3</v>
      </c>
      <c r="K274">
        <v>6.7497128599999998E-3</v>
      </c>
      <c r="L274">
        <v>8.3692314399999995E-3</v>
      </c>
      <c r="M274">
        <v>1.0377335499999999E-2</v>
      </c>
      <c r="N274">
        <v>1.28672618E-2</v>
      </c>
      <c r="O274">
        <v>1.5169190399999999E-2</v>
      </c>
      <c r="P274">
        <v>1.7843283599999999E-2</v>
      </c>
      <c r="Q274">
        <v>2.0937894499999998E-2</v>
      </c>
      <c r="R274">
        <v>2.45041275E-2</v>
      </c>
      <c r="S274">
        <v>3.6998234300000002E-2</v>
      </c>
      <c r="T274">
        <v>3.8852336899999999E-2</v>
      </c>
      <c r="U274">
        <v>4.0629438699999999E-2</v>
      </c>
      <c r="V274">
        <v>4.23342388E-2</v>
      </c>
      <c r="W274">
        <v>4.8363738900000001E-2</v>
      </c>
      <c r="X274">
        <v>5.4378422599999997E-2</v>
      </c>
      <c r="Y274">
        <v>6.31716747E-2</v>
      </c>
      <c r="Z274">
        <v>7.1917461700000004E-2</v>
      </c>
      <c r="AA274">
        <v>8.0616166700000005E-2</v>
      </c>
      <c r="AB274">
        <v>8.8746043799999896E-2</v>
      </c>
      <c r="AC274">
        <v>9.6838659600000002E-2</v>
      </c>
      <c r="AD274">
        <v>0.1039757067</v>
      </c>
      <c r="AE274">
        <v>0.1109901355</v>
      </c>
      <c r="AF274">
        <v>0.1178850791</v>
      </c>
      <c r="AG274">
        <v>0.1243455854</v>
      </c>
      <c r="AH274">
        <v>0.13070127679999999</v>
      </c>
      <c r="AI274">
        <v>0.13489016249999999</v>
      </c>
      <c r="AJ274">
        <v>0.13901033209999999</v>
      </c>
      <c r="AK274">
        <v>0.1430634627</v>
      </c>
      <c r="AL274">
        <v>0.1467582459</v>
      </c>
      <c r="AM274">
        <v>0.1503960131</v>
      </c>
      <c r="AN274">
        <v>0.1564281142</v>
      </c>
      <c r="AO274">
        <v>0.1624243591</v>
      </c>
      <c r="AP274">
        <v>0.1683850667</v>
      </c>
      <c r="AQ274">
        <v>0.1743105519</v>
      </c>
      <c r="AR274">
        <v>0.18020112599999999</v>
      </c>
      <c r="AS274">
        <v>0.18491657719999999</v>
      </c>
      <c r="AT274">
        <v>0.1896719174</v>
      </c>
      <c r="AU274">
        <v>0.1944676548</v>
      </c>
      <c r="AV274">
        <v>0.19930430639999999</v>
      </c>
      <c r="AW274">
        <v>0.2041823981</v>
      </c>
    </row>
    <row r="275" spans="2:49" x14ac:dyDescent="0.25">
      <c r="B275" t="s">
        <v>277</v>
      </c>
      <c r="C275">
        <v>9.2848272947954696E-2</v>
      </c>
      <c r="D275">
        <v>9.2848272947954599E-2</v>
      </c>
      <c r="E275">
        <v>9.2848272900000001E-2</v>
      </c>
      <c r="F275">
        <v>9.2738145600000002E-2</v>
      </c>
      <c r="G275">
        <v>9.2628149000000007E-2</v>
      </c>
      <c r="H275">
        <v>9.2518282699999996E-2</v>
      </c>
      <c r="I275">
        <v>9.2408546800000005E-2</v>
      </c>
      <c r="J275">
        <v>9.2298941100000004E-2</v>
      </c>
      <c r="K275">
        <v>9.2189465400000004E-2</v>
      </c>
      <c r="L275">
        <v>9.2080119500000002E-2</v>
      </c>
      <c r="M275">
        <v>9.1970903300000004E-2</v>
      </c>
      <c r="N275">
        <v>9.1861816600000007E-2</v>
      </c>
      <c r="O275">
        <v>9.5526416500000003E-2</v>
      </c>
      <c r="P275">
        <v>9.9116978100000003E-2</v>
      </c>
      <c r="Q275">
        <v>0.1025931762</v>
      </c>
      <c r="R275">
        <v>0.1059099842</v>
      </c>
      <c r="S275">
        <v>0.10258601320000001</v>
      </c>
      <c r="T275">
        <v>0.1077269341</v>
      </c>
      <c r="U275">
        <v>0.11265435259999999</v>
      </c>
      <c r="V275">
        <v>0.11738129849999999</v>
      </c>
      <c r="W275">
        <v>0.1196975339</v>
      </c>
      <c r="X275">
        <v>0.11909036739999999</v>
      </c>
      <c r="Y275">
        <v>0.1174431589</v>
      </c>
      <c r="Z275">
        <v>0.1158048419</v>
      </c>
      <c r="AA275">
        <v>0.11417534460000001</v>
      </c>
      <c r="AB275">
        <v>0.1129086651</v>
      </c>
      <c r="AC275">
        <v>0.1116477912</v>
      </c>
      <c r="AD275">
        <v>0.1101397358</v>
      </c>
      <c r="AE275">
        <v>0.1086575897</v>
      </c>
      <c r="AF275">
        <v>0.1072006907</v>
      </c>
      <c r="AG275">
        <v>0.105893156</v>
      </c>
      <c r="AH275">
        <v>0.1046068346</v>
      </c>
      <c r="AI275">
        <v>0.10213729439999999</v>
      </c>
      <c r="AJ275">
        <v>9.9708265399999996E-2</v>
      </c>
      <c r="AK275">
        <v>9.7318759099999999E-2</v>
      </c>
      <c r="AL275">
        <v>9.5265141100000006E-2</v>
      </c>
      <c r="AM275">
        <v>9.3243213599999999E-2</v>
      </c>
      <c r="AN275">
        <v>9.3110189699999998E-2</v>
      </c>
      <c r="AO275">
        <v>9.29779565E-2</v>
      </c>
      <c r="AP275">
        <v>9.2846507100000003E-2</v>
      </c>
      <c r="AQ275">
        <v>9.2715834299999994E-2</v>
      </c>
      <c r="AR275">
        <v>9.2585931499999996E-2</v>
      </c>
      <c r="AS275">
        <v>9.2156244100000007E-2</v>
      </c>
      <c r="AT275">
        <v>9.1722921900000004E-2</v>
      </c>
      <c r="AU275">
        <v>9.1285918600000002E-2</v>
      </c>
      <c r="AV275">
        <v>9.0845186999999994E-2</v>
      </c>
      <c r="AW275">
        <v>9.0400679299999995E-2</v>
      </c>
    </row>
    <row r="276" spans="2:49" x14ac:dyDescent="0.25">
      <c r="B276" t="s">
        <v>278</v>
      </c>
      <c r="C276">
        <v>6.0146533669896496E-3</v>
      </c>
      <c r="D276">
        <v>6.0146533669896496E-3</v>
      </c>
      <c r="E276">
        <v>6.0146533700000003E-3</v>
      </c>
      <c r="F276">
        <v>6.2696692400000002E-3</v>
      </c>
      <c r="G276">
        <v>6.5354975499999999E-3</v>
      </c>
      <c r="H276">
        <v>6.8125967500000002E-3</v>
      </c>
      <c r="I276">
        <v>7.1014447E-3</v>
      </c>
      <c r="J276">
        <v>7.4025395400000001E-3</v>
      </c>
      <c r="K276">
        <v>7.7164005299999996E-3</v>
      </c>
      <c r="L276">
        <v>8.0435689499999997E-3</v>
      </c>
      <c r="M276">
        <v>8.3846090100000003E-3</v>
      </c>
      <c r="N276">
        <v>8.7401088599999999E-3</v>
      </c>
      <c r="O276">
        <v>1.01335816E-2</v>
      </c>
      <c r="P276">
        <v>1.17231739E-2</v>
      </c>
      <c r="Q276">
        <v>1.35292368E-2</v>
      </c>
      <c r="R276">
        <v>1.55721794E-2</v>
      </c>
      <c r="S276">
        <v>1.21941333E-2</v>
      </c>
      <c r="T276">
        <v>1.5992557300000002E-2</v>
      </c>
      <c r="U276">
        <v>1.9633232899999999E-2</v>
      </c>
      <c r="V276">
        <v>2.3125786999999998E-2</v>
      </c>
      <c r="W276">
        <v>2.5429612300000001E-2</v>
      </c>
      <c r="X276">
        <v>2.59525582E-2</v>
      </c>
      <c r="Y276">
        <v>2.5402885900000002E-2</v>
      </c>
      <c r="Z276">
        <v>2.4856180799999999E-2</v>
      </c>
      <c r="AA276">
        <v>2.4312418700000001E-2</v>
      </c>
      <c r="AB276">
        <v>2.37581485E-2</v>
      </c>
      <c r="AC276">
        <v>2.3206418699999998E-2</v>
      </c>
      <c r="AD276">
        <v>2.3999714200000001E-2</v>
      </c>
      <c r="AE276">
        <v>2.47793805E-2</v>
      </c>
      <c r="AF276">
        <v>2.5545765799999998E-2</v>
      </c>
      <c r="AG276">
        <v>2.6272993500000001E-2</v>
      </c>
      <c r="AH276">
        <v>2.6988422599999999E-2</v>
      </c>
      <c r="AI276">
        <v>2.7338905199999999E-2</v>
      </c>
      <c r="AJ276">
        <v>2.7683638399999998E-2</v>
      </c>
      <c r="AK276">
        <v>2.8022762400000002E-2</v>
      </c>
      <c r="AL276">
        <v>2.8338569000000001E-2</v>
      </c>
      <c r="AM276">
        <v>2.86495022E-2</v>
      </c>
      <c r="AN276">
        <v>2.74711742E-2</v>
      </c>
      <c r="AO276">
        <v>2.6299850499999999E-2</v>
      </c>
      <c r="AP276">
        <v>2.51354687E-2</v>
      </c>
      <c r="AQ276">
        <v>2.3977967400000001E-2</v>
      </c>
      <c r="AR276">
        <v>2.2827285700000002E-2</v>
      </c>
      <c r="AS276">
        <v>2.2358453800000001E-2</v>
      </c>
      <c r="AT276">
        <v>2.1885656E-2</v>
      </c>
      <c r="AU276">
        <v>2.14088417E-2</v>
      </c>
      <c r="AV276">
        <v>2.0927959499999999E-2</v>
      </c>
      <c r="AW276">
        <v>2.04429572E-2</v>
      </c>
    </row>
    <row r="277" spans="2:49" x14ac:dyDescent="0.25">
      <c r="B277" t="s">
        <v>279</v>
      </c>
      <c r="C277">
        <v>0.92287069498865704</v>
      </c>
      <c r="D277">
        <v>0.92287069498865704</v>
      </c>
      <c r="E277">
        <v>0.92285345399999996</v>
      </c>
      <c r="F277">
        <v>0.91580034519999998</v>
      </c>
      <c r="G277">
        <v>0.90892104730000001</v>
      </c>
      <c r="H277">
        <v>0.90182068319999997</v>
      </c>
      <c r="I277">
        <v>0.89502733079999997</v>
      </c>
      <c r="J277">
        <v>0.8883145992</v>
      </c>
      <c r="K277">
        <v>0.88167376330000002</v>
      </c>
      <c r="L277">
        <v>0.87507744799999998</v>
      </c>
      <c r="M277">
        <v>0.86844038999999995</v>
      </c>
      <c r="N277">
        <v>0.86180637689999995</v>
      </c>
      <c r="O277">
        <v>0.83691448589999995</v>
      </c>
      <c r="P277">
        <v>0.80739007060000001</v>
      </c>
      <c r="Q277">
        <v>0.7728920896</v>
      </c>
      <c r="R277">
        <v>0.73287661260000003</v>
      </c>
      <c r="S277">
        <v>0.70219252340000005</v>
      </c>
      <c r="T277">
        <v>0.69978838109999997</v>
      </c>
      <c r="U277">
        <v>0.69723132160000001</v>
      </c>
      <c r="V277">
        <v>0.69468584229999997</v>
      </c>
      <c r="W277">
        <v>0.62319001230000004</v>
      </c>
      <c r="X277">
        <v>0.60372006869999995</v>
      </c>
      <c r="Y277">
        <v>0.57968867609999997</v>
      </c>
      <c r="Z277">
        <v>0.55495493240000004</v>
      </c>
      <c r="AA277">
        <v>0.52944154170000002</v>
      </c>
      <c r="AB277">
        <v>0.50513863349999999</v>
      </c>
      <c r="AC277">
        <v>0.48005240580000003</v>
      </c>
      <c r="AD277">
        <v>0.4560713367</v>
      </c>
      <c r="AE277">
        <v>0.43218862180000001</v>
      </c>
      <c r="AF277">
        <v>0.40825922640000001</v>
      </c>
      <c r="AG277">
        <v>0.38683043389999999</v>
      </c>
      <c r="AH277">
        <v>0.36525775290000001</v>
      </c>
      <c r="AI277">
        <v>0.34520776530000002</v>
      </c>
      <c r="AJ277">
        <v>0.32499813350000001</v>
      </c>
      <c r="AK277">
        <v>0.3051544417</v>
      </c>
      <c r="AL277">
        <v>0.28731568260000001</v>
      </c>
      <c r="AM277">
        <v>0.27032451740000002</v>
      </c>
      <c r="AN277">
        <v>0.2570237031</v>
      </c>
      <c r="AO277">
        <v>0.24553066160000001</v>
      </c>
      <c r="AP277">
        <v>0.231332487</v>
      </c>
      <c r="AQ277">
        <v>0.2213312791</v>
      </c>
      <c r="AR277">
        <v>0.20725432769999999</v>
      </c>
      <c r="AS277">
        <v>0.19138467640000001</v>
      </c>
      <c r="AT277">
        <v>0.17476414160000001</v>
      </c>
      <c r="AU277">
        <v>0.15923835310000001</v>
      </c>
      <c r="AV277">
        <v>0.14185047570000001</v>
      </c>
      <c r="AW277">
        <v>0.1270803523</v>
      </c>
    </row>
    <row r="278" spans="2:49" x14ac:dyDescent="0.25">
      <c r="B278" t="s">
        <v>280</v>
      </c>
      <c r="C278">
        <v>4.1245617653124303E-2</v>
      </c>
      <c r="D278">
        <v>4.1245617653124303E-2</v>
      </c>
      <c r="E278">
        <v>4.1254837400000001E-2</v>
      </c>
      <c r="F278">
        <v>4.7474178200000001E-2</v>
      </c>
      <c r="G278">
        <v>5.3373724300000001E-2</v>
      </c>
      <c r="H278">
        <v>5.9167075E-2</v>
      </c>
      <c r="I278">
        <v>6.4520142799999999E-2</v>
      </c>
      <c r="J278">
        <v>6.9541849399999994E-2</v>
      </c>
      <c r="K278">
        <v>7.4211054299999996E-2</v>
      </c>
      <c r="L278">
        <v>7.8515116600000004E-2</v>
      </c>
      <c r="M278">
        <v>8.2473652999999994E-2</v>
      </c>
      <c r="N278">
        <v>8.6019665300000006E-2</v>
      </c>
      <c r="O278">
        <v>0.109237846</v>
      </c>
      <c r="P278">
        <v>0.13749655329999999</v>
      </c>
      <c r="Q278">
        <v>0.17125877170000001</v>
      </c>
      <c r="R278">
        <v>0.21108966479999999</v>
      </c>
      <c r="S278">
        <v>0.1830585861</v>
      </c>
      <c r="T278">
        <v>0.188650348</v>
      </c>
      <c r="U278">
        <v>0.1942437541</v>
      </c>
      <c r="V278">
        <v>0.1997425514</v>
      </c>
      <c r="W278">
        <v>0.1955951437</v>
      </c>
      <c r="X278">
        <v>0.19259061960000001</v>
      </c>
      <c r="Y278">
        <v>0.19385789549999999</v>
      </c>
      <c r="Z278">
        <v>0.1951557988</v>
      </c>
      <c r="AA278">
        <v>0.19650569940000001</v>
      </c>
      <c r="AB278">
        <v>0.19780292329999999</v>
      </c>
      <c r="AC278">
        <v>0.19915582060000001</v>
      </c>
      <c r="AD278">
        <v>0.19790330040000001</v>
      </c>
      <c r="AE278">
        <v>0.19655818629999999</v>
      </c>
      <c r="AF278">
        <v>0.19517981540000001</v>
      </c>
      <c r="AG278">
        <v>0.19366996219999999</v>
      </c>
      <c r="AH278">
        <v>0.19216891320000001</v>
      </c>
      <c r="AI278">
        <v>0.1902693805</v>
      </c>
      <c r="AJ278">
        <v>0.18843005430000001</v>
      </c>
      <c r="AK278">
        <v>0.18650332040000001</v>
      </c>
      <c r="AL278">
        <v>0.18465884430000001</v>
      </c>
      <c r="AM278">
        <v>0.1826069421</v>
      </c>
      <c r="AN278">
        <v>0.18132444070000001</v>
      </c>
      <c r="AO278">
        <v>0.17961232590000001</v>
      </c>
      <c r="AP278">
        <v>0.17855018210000001</v>
      </c>
      <c r="AQ278">
        <v>0.17652687419999999</v>
      </c>
      <c r="AR278">
        <v>0.17544163700000001</v>
      </c>
      <c r="AS278">
        <v>0.17459782569999999</v>
      </c>
      <c r="AT278">
        <v>0.1738953479</v>
      </c>
      <c r="AU278">
        <v>0.17294410869999999</v>
      </c>
      <c r="AV278">
        <v>0.17235510200000001</v>
      </c>
      <c r="AW278">
        <v>0.1712239613</v>
      </c>
    </row>
    <row r="279" spans="2:49" x14ac:dyDescent="0.25">
      <c r="B279" t="s">
        <v>281</v>
      </c>
      <c r="C279">
        <v>5.1557022066405396E-3</v>
      </c>
      <c r="D279">
        <v>5.1557022066405396E-3</v>
      </c>
      <c r="E279">
        <v>5.1568546799999997E-3</v>
      </c>
      <c r="F279">
        <v>4.8228147299999996E-3</v>
      </c>
      <c r="G279">
        <v>4.5046035099999999E-3</v>
      </c>
      <c r="H279">
        <v>4.22005464E-3</v>
      </c>
      <c r="I279">
        <v>3.9431288899999997E-3</v>
      </c>
      <c r="J279">
        <v>3.68393612E-3</v>
      </c>
      <c r="K279">
        <v>3.4416757899999998E-3</v>
      </c>
      <c r="L279">
        <v>3.2159528599999998E-3</v>
      </c>
      <c r="M279">
        <v>3.00745089E-3</v>
      </c>
      <c r="N279">
        <v>2.8135024199999999E-3</v>
      </c>
      <c r="O279">
        <v>2.7293854399999999E-3</v>
      </c>
      <c r="P279">
        <v>2.6243741699999998E-3</v>
      </c>
      <c r="Q279">
        <v>2.49705993E-3</v>
      </c>
      <c r="R279">
        <v>2.3511769300000001E-3</v>
      </c>
      <c r="S279">
        <v>1.0237739500000001E-2</v>
      </c>
      <c r="T279">
        <v>9.5592488500000003E-3</v>
      </c>
      <c r="U279">
        <v>8.90310144E-3</v>
      </c>
      <c r="V279">
        <v>8.2627428499999905E-3</v>
      </c>
      <c r="W279">
        <v>3.3541511500000003E-2</v>
      </c>
      <c r="X279">
        <v>4.148686E-2</v>
      </c>
      <c r="Y279">
        <v>5.0071534000000001E-2</v>
      </c>
      <c r="Z279">
        <v>5.8910843499999997E-2</v>
      </c>
      <c r="AA279">
        <v>6.8022320900000002E-2</v>
      </c>
      <c r="AB279">
        <v>7.5292271600000002E-2</v>
      </c>
      <c r="AC279">
        <v>8.2790660599999996E-2</v>
      </c>
      <c r="AD279">
        <v>9.6728493499999998E-2</v>
      </c>
      <c r="AE279">
        <v>0.1107039101</v>
      </c>
      <c r="AF279">
        <v>0.1247363354</v>
      </c>
      <c r="AG279">
        <v>0.1362450945</v>
      </c>
      <c r="AH279">
        <v>0.14781569219999999</v>
      </c>
      <c r="AI279">
        <v>0.16018882749999999</v>
      </c>
      <c r="AJ279">
        <v>0.17258766179999999</v>
      </c>
      <c r="AK279">
        <v>0.18487867629999999</v>
      </c>
      <c r="AL279">
        <v>0.1947383993</v>
      </c>
      <c r="AM279">
        <v>0.20435712389999999</v>
      </c>
      <c r="AN279">
        <v>0.21101361790000001</v>
      </c>
      <c r="AO279">
        <v>0.21714932510000001</v>
      </c>
      <c r="AP279">
        <v>0.22405981780000001</v>
      </c>
      <c r="AQ279">
        <v>0.22973820340000001</v>
      </c>
      <c r="AR279">
        <v>0.2366101407</v>
      </c>
      <c r="AS279">
        <v>0.24759827279999999</v>
      </c>
      <c r="AT279">
        <v>0.25884617560000001</v>
      </c>
      <c r="AU279">
        <v>0.26977663660000001</v>
      </c>
      <c r="AV279">
        <v>0.28133443819999998</v>
      </c>
      <c r="AW279">
        <v>0.29205753470000001</v>
      </c>
    </row>
    <row r="280" spans="2:49" x14ac:dyDescent="0.25">
      <c r="B280" t="s">
        <v>282</v>
      </c>
      <c r="C280">
        <v>1.5260878531656001E-2</v>
      </c>
      <c r="D280">
        <v>1.5260878531656001E-2</v>
      </c>
      <c r="E280">
        <v>1.52642899E-2</v>
      </c>
      <c r="F280">
        <v>1.4960673799999999E-2</v>
      </c>
      <c r="G280">
        <v>1.4644212E-2</v>
      </c>
      <c r="H280">
        <v>1.4377599200000001E-2</v>
      </c>
      <c r="I280">
        <v>1.40788809E-2</v>
      </c>
      <c r="J280">
        <v>1.37847253E-2</v>
      </c>
      <c r="K280">
        <v>1.34963037E-2</v>
      </c>
      <c r="L280">
        <v>1.3216407600000001E-2</v>
      </c>
      <c r="M280">
        <v>1.29527254E-2</v>
      </c>
      <c r="N280">
        <v>1.26989779E-2</v>
      </c>
      <c r="O280">
        <v>1.27406124E-2</v>
      </c>
      <c r="P280">
        <v>1.26693736E-2</v>
      </c>
      <c r="Q280">
        <v>1.24670101E-2</v>
      </c>
      <c r="R280">
        <v>1.21401097E-2</v>
      </c>
      <c r="S280">
        <v>3.4474586299999999E-2</v>
      </c>
      <c r="T280">
        <v>3.0100979E-2</v>
      </c>
      <c r="U280">
        <v>2.5849501699999999E-2</v>
      </c>
      <c r="V280">
        <v>2.1695615000000001E-2</v>
      </c>
      <c r="W280">
        <v>2.75537735E-2</v>
      </c>
      <c r="X280">
        <v>2.86919954E-2</v>
      </c>
      <c r="Y280">
        <v>2.9259509600000001E-2</v>
      </c>
      <c r="Z280">
        <v>2.9842888500000001E-2</v>
      </c>
      <c r="AA280">
        <v>3.04459046E-2</v>
      </c>
      <c r="AB280">
        <v>3.0902201099999999E-2</v>
      </c>
      <c r="AC280">
        <v>3.1374952599999999E-2</v>
      </c>
      <c r="AD280">
        <v>3.1056731600000002E-2</v>
      </c>
      <c r="AE280">
        <v>3.0723287200000001E-2</v>
      </c>
      <c r="AF280">
        <v>3.03840113E-2</v>
      </c>
      <c r="AG280">
        <v>3.00247415E-2</v>
      </c>
      <c r="AH280">
        <v>2.9666282400000001E-2</v>
      </c>
      <c r="AI280">
        <v>2.9680971E-2</v>
      </c>
      <c r="AJ280">
        <v>2.97044952E-2</v>
      </c>
      <c r="AK280">
        <v>2.9713622299999999E-2</v>
      </c>
      <c r="AL280">
        <v>2.9737962600000001E-2</v>
      </c>
      <c r="AM280">
        <v>2.9728292600000001E-2</v>
      </c>
      <c r="AN280">
        <v>2.97785315E-2</v>
      </c>
      <c r="AO280">
        <v>2.9757549000000001E-2</v>
      </c>
      <c r="AP280">
        <v>2.9843898600000002E-2</v>
      </c>
      <c r="AQ280">
        <v>2.9768762800000001E-2</v>
      </c>
      <c r="AR280">
        <v>2.9850946E-2</v>
      </c>
      <c r="AS280">
        <v>2.9888957899999999E-2</v>
      </c>
      <c r="AT280">
        <v>2.9952052999999999E-2</v>
      </c>
      <c r="AU280">
        <v>2.99730923E-2</v>
      </c>
      <c r="AV280">
        <v>3.00578432E-2</v>
      </c>
      <c r="AW280">
        <v>3.0048800800000001E-2</v>
      </c>
    </row>
    <row r="281" spans="2:49" x14ac:dyDescent="0.25">
      <c r="B281" t="s">
        <v>283</v>
      </c>
      <c r="C281">
        <v>5.1557022066405396E-3</v>
      </c>
      <c r="D281">
        <v>5.1557022066405396E-3</v>
      </c>
      <c r="E281">
        <v>5.1568546799999997E-3</v>
      </c>
      <c r="F281">
        <v>5.3427632800000001E-3</v>
      </c>
      <c r="G281">
        <v>5.5282449399999996E-3</v>
      </c>
      <c r="H281">
        <v>5.7373868599999997E-3</v>
      </c>
      <c r="I281">
        <v>5.9388504199999999E-3</v>
      </c>
      <c r="J281">
        <v>6.1466552899999997E-3</v>
      </c>
      <c r="K281">
        <v>6.3615372800000002E-3</v>
      </c>
      <c r="L281">
        <v>6.5851723900000004E-3</v>
      </c>
      <c r="M281">
        <v>6.8221516900000001E-3</v>
      </c>
      <c r="N281">
        <v>7.0702614500000004E-3</v>
      </c>
      <c r="O281">
        <v>7.3420021199999998E-3</v>
      </c>
      <c r="P281">
        <v>7.5567810899999999E-3</v>
      </c>
      <c r="Q281">
        <v>7.69664592E-3</v>
      </c>
      <c r="R281">
        <v>7.7574557199999996E-3</v>
      </c>
      <c r="S281">
        <v>8.9533592000000002E-3</v>
      </c>
      <c r="T281">
        <v>8.6540378500000008E-3</v>
      </c>
      <c r="U281">
        <v>8.3676556800000006E-3</v>
      </c>
      <c r="V281">
        <v>8.0888280800000007E-3</v>
      </c>
      <c r="W281">
        <v>1.2534192499999999E-2</v>
      </c>
      <c r="X281">
        <v>1.3990969000000001E-2</v>
      </c>
      <c r="Y281">
        <v>1.50530986E-2</v>
      </c>
      <c r="Z281">
        <v>1.6146402000000001E-2</v>
      </c>
      <c r="AA281">
        <v>1.7273940500000001E-2</v>
      </c>
      <c r="AB281">
        <v>1.84737115E-2</v>
      </c>
      <c r="AC281">
        <v>1.9711671199999999E-2</v>
      </c>
      <c r="AD281">
        <v>2.1329809599999999E-2</v>
      </c>
      <c r="AE281">
        <v>2.2947949799999999E-2</v>
      </c>
      <c r="AF281">
        <v>2.45713332E-2</v>
      </c>
      <c r="AG281">
        <v>2.61998378E-2</v>
      </c>
      <c r="AH281">
        <v>2.7837646099999998E-2</v>
      </c>
      <c r="AI281">
        <v>2.82568682E-2</v>
      </c>
      <c r="AJ281">
        <v>2.86837772E-2</v>
      </c>
      <c r="AK281">
        <v>2.9095987199999999E-2</v>
      </c>
      <c r="AL281">
        <v>2.9527153600000001E-2</v>
      </c>
      <c r="AM281">
        <v>2.9923783799999999E-2</v>
      </c>
      <c r="AN281">
        <v>3.0344181599999999E-2</v>
      </c>
      <c r="AO281">
        <v>3.0691061400000001E-2</v>
      </c>
      <c r="AP281">
        <v>3.11481454E-2</v>
      </c>
      <c r="AQ281">
        <v>3.1435531099999997E-2</v>
      </c>
      <c r="AR281">
        <v>3.1887840200000003E-2</v>
      </c>
      <c r="AS281">
        <v>3.22499022E-2</v>
      </c>
      <c r="AT281">
        <v>3.2640592400000001E-2</v>
      </c>
      <c r="AU281">
        <v>3.2986835499999999E-2</v>
      </c>
      <c r="AV281">
        <v>3.3404817599999997E-2</v>
      </c>
      <c r="AW281">
        <v>3.3719861099999998E-2</v>
      </c>
    </row>
    <row r="282" spans="2:49" x14ac:dyDescent="0.25">
      <c r="B282" t="s">
        <v>284</v>
      </c>
      <c r="C282">
        <v>1.0311404413280999E-2</v>
      </c>
      <c r="D282">
        <v>1.0311404413280999E-2</v>
      </c>
      <c r="E282">
        <v>1.0313709399999999E-2</v>
      </c>
      <c r="F282">
        <v>1.15992248E-2</v>
      </c>
      <c r="G282">
        <v>1.3028168E-2</v>
      </c>
      <c r="H282">
        <v>1.46772011E-2</v>
      </c>
      <c r="I282">
        <v>1.6491666200000001E-2</v>
      </c>
      <c r="J282">
        <v>1.85282347E-2</v>
      </c>
      <c r="K282">
        <v>2.08156655E-2</v>
      </c>
      <c r="L282">
        <v>2.33899025E-2</v>
      </c>
      <c r="M282">
        <v>2.63036291E-2</v>
      </c>
      <c r="N282">
        <v>2.9591216E-2</v>
      </c>
      <c r="O282">
        <v>3.1035668200000002E-2</v>
      </c>
      <c r="P282">
        <v>3.2262847300000001E-2</v>
      </c>
      <c r="Q282">
        <v>3.3188422799999999E-2</v>
      </c>
      <c r="R282">
        <v>3.3784980200000002E-2</v>
      </c>
      <c r="S282">
        <v>6.1083205500000001E-2</v>
      </c>
      <c r="T282">
        <v>6.3247005199999998E-2</v>
      </c>
      <c r="U282">
        <v>6.54046655E-2</v>
      </c>
      <c r="V282">
        <v>6.7524420399999896E-2</v>
      </c>
      <c r="W282">
        <v>0.1075853665</v>
      </c>
      <c r="X282">
        <v>0.1195194874</v>
      </c>
      <c r="Y282">
        <v>0.1320692862</v>
      </c>
      <c r="Z282">
        <v>0.1449891348</v>
      </c>
      <c r="AA282">
        <v>0.15831059289999999</v>
      </c>
      <c r="AB282">
        <v>0.17239025899999999</v>
      </c>
      <c r="AC282">
        <v>0.18691448920000001</v>
      </c>
      <c r="AD282">
        <v>0.19691032829999999</v>
      </c>
      <c r="AE282">
        <v>0.20687804470000001</v>
      </c>
      <c r="AF282">
        <v>0.2168692783</v>
      </c>
      <c r="AG282">
        <v>0.2270299301</v>
      </c>
      <c r="AH282">
        <v>0.23725371310000001</v>
      </c>
      <c r="AI282">
        <v>0.2463961875</v>
      </c>
      <c r="AJ282">
        <v>0.255595878</v>
      </c>
      <c r="AK282">
        <v>0.26465395219999999</v>
      </c>
      <c r="AL282">
        <v>0.27402195759999998</v>
      </c>
      <c r="AM282">
        <v>0.2830593401</v>
      </c>
      <c r="AN282">
        <v>0.2905155251</v>
      </c>
      <c r="AO282">
        <v>0.29725907709999999</v>
      </c>
      <c r="AP282">
        <v>0.30506546919999999</v>
      </c>
      <c r="AQ282">
        <v>0.31119934929999998</v>
      </c>
      <c r="AR282">
        <v>0.31895510840000002</v>
      </c>
      <c r="AS282">
        <v>0.32428036500000001</v>
      </c>
      <c r="AT282">
        <v>0.32990168959999999</v>
      </c>
      <c r="AU282">
        <v>0.33508097370000001</v>
      </c>
      <c r="AV282">
        <v>0.34099732329999999</v>
      </c>
      <c r="AW282">
        <v>0.34586948979999999</v>
      </c>
    </row>
    <row r="283" spans="2:49" x14ac:dyDescent="0.25">
      <c r="B283" t="s">
        <v>285</v>
      </c>
      <c r="C283">
        <v>0.99172610111270199</v>
      </c>
      <c r="D283">
        <v>0.99172610111270199</v>
      </c>
      <c r="E283">
        <v>0.99172610110000003</v>
      </c>
      <c r="F283">
        <v>0.98692243619999998</v>
      </c>
      <c r="G283">
        <v>0.98214203899999997</v>
      </c>
      <c r="H283">
        <v>0.97738479680000001</v>
      </c>
      <c r="I283">
        <v>0.97265059740000004</v>
      </c>
      <c r="J283">
        <v>0.96793932930000004</v>
      </c>
      <c r="K283">
        <v>0.96325088140000004</v>
      </c>
      <c r="L283">
        <v>0.95858514299999997</v>
      </c>
      <c r="M283">
        <v>0.95394200429999998</v>
      </c>
      <c r="N283">
        <v>0.94932135579999999</v>
      </c>
      <c r="O283">
        <v>0.94649834600000005</v>
      </c>
      <c r="P283">
        <v>0.94352743750000001</v>
      </c>
      <c r="Q283">
        <v>0.94040194440000002</v>
      </c>
      <c r="R283">
        <v>0.93711499880000004</v>
      </c>
      <c r="S283">
        <v>0.95161573820000001</v>
      </c>
      <c r="T283">
        <v>0.94863721099999998</v>
      </c>
      <c r="U283">
        <v>0.94569023600000002</v>
      </c>
      <c r="V283">
        <v>0.94277431450000004</v>
      </c>
      <c r="W283">
        <v>0.92508293470000003</v>
      </c>
      <c r="X283">
        <v>0.91990019570000003</v>
      </c>
      <c r="Y283">
        <v>0.91458085170000003</v>
      </c>
      <c r="Z283">
        <v>0.90876938439999999</v>
      </c>
      <c r="AA283">
        <v>0.90239418770000002</v>
      </c>
      <c r="AB283">
        <v>0.89572874390000001</v>
      </c>
      <c r="AC283">
        <v>0.88835184919999999</v>
      </c>
      <c r="AD283">
        <v>0.87271637950000003</v>
      </c>
      <c r="AE283">
        <v>0.85535379339999995</v>
      </c>
      <c r="AF283">
        <v>0.83596119219999998</v>
      </c>
      <c r="AG283">
        <v>0.81460574409999997</v>
      </c>
      <c r="AH283">
        <v>0.79043580189999996</v>
      </c>
      <c r="AI283">
        <v>0.75683640210000003</v>
      </c>
      <c r="AJ283">
        <v>0.71826303300000005</v>
      </c>
      <c r="AK283">
        <v>0.67352290510000001</v>
      </c>
      <c r="AL283">
        <v>0.62296323119999997</v>
      </c>
      <c r="AM283">
        <v>0.5628175876</v>
      </c>
      <c r="AN283">
        <v>0.53680529440000002</v>
      </c>
      <c r="AO283">
        <v>0.50636456480000003</v>
      </c>
      <c r="AP283">
        <v>0.47025930859999998</v>
      </c>
      <c r="AQ283">
        <v>0.4267462091</v>
      </c>
      <c r="AR283">
        <v>0.373284809</v>
      </c>
      <c r="AS283">
        <v>0.37769387129999998</v>
      </c>
      <c r="AT283">
        <v>0.3828154446</v>
      </c>
      <c r="AU283">
        <v>0.38883742539999999</v>
      </c>
      <c r="AV283">
        <v>0.39602014429999999</v>
      </c>
      <c r="AW283">
        <v>0.40473499280000003</v>
      </c>
    </row>
    <row r="284" spans="2:49" x14ac:dyDescent="0.25">
      <c r="B284" t="s">
        <v>286</v>
      </c>
      <c r="C284">
        <v>0.91950930808135101</v>
      </c>
      <c r="D284">
        <v>0.91950930808135101</v>
      </c>
      <c r="E284">
        <v>0.91950930809999998</v>
      </c>
      <c r="F284">
        <v>0.91215096689999997</v>
      </c>
      <c r="G284">
        <v>0.90485151050000001</v>
      </c>
      <c r="H284">
        <v>0.89761046779999998</v>
      </c>
      <c r="I284">
        <v>0.89042737130000005</v>
      </c>
      <c r="J284">
        <v>0.88330175730000005</v>
      </c>
      <c r="K284">
        <v>0.87623316569999998</v>
      </c>
      <c r="L284">
        <v>0.86922114029999997</v>
      </c>
      <c r="M284">
        <v>0.86226522839999997</v>
      </c>
      <c r="N284">
        <v>0.85536498090000002</v>
      </c>
      <c r="O284">
        <v>0.82919865599999998</v>
      </c>
      <c r="P284">
        <v>0.79785612839999998</v>
      </c>
      <c r="Q284">
        <v>0.76080142579999999</v>
      </c>
      <c r="R284">
        <v>0.71772633799999996</v>
      </c>
      <c r="S284">
        <v>0.68442251590000003</v>
      </c>
      <c r="T284">
        <v>0.68128557830000003</v>
      </c>
      <c r="U284">
        <v>0.67821213570000005</v>
      </c>
      <c r="V284">
        <v>0.67520027940000005</v>
      </c>
      <c r="W284">
        <v>0.59819520029999995</v>
      </c>
      <c r="X284">
        <v>0.57643558719999999</v>
      </c>
      <c r="Y284">
        <v>0.54958941120000004</v>
      </c>
      <c r="Z284">
        <v>0.52179472319999998</v>
      </c>
      <c r="AA284">
        <v>0.4930003509</v>
      </c>
      <c r="AB284">
        <v>0.46541008690000002</v>
      </c>
      <c r="AC284">
        <v>0.43682571349999999</v>
      </c>
      <c r="AD284">
        <v>0.40987338810000001</v>
      </c>
      <c r="AE284">
        <v>0.38266548299999997</v>
      </c>
      <c r="AF284">
        <v>0.35519834550000001</v>
      </c>
      <c r="AG284">
        <v>0.33021461600000002</v>
      </c>
      <c r="AH284">
        <v>0.30499904690000001</v>
      </c>
      <c r="AI284">
        <v>0.28119961659999998</v>
      </c>
      <c r="AJ284">
        <v>0.25732735270000001</v>
      </c>
      <c r="AK284">
        <v>0.2333819204</v>
      </c>
      <c r="AL284">
        <v>0.21212098939999999</v>
      </c>
      <c r="AM284">
        <v>0.1907903708</v>
      </c>
      <c r="AN284">
        <v>0.1746595212</v>
      </c>
      <c r="AO284">
        <v>0.15847728150000001</v>
      </c>
      <c r="AP284">
        <v>0.1422434058</v>
      </c>
      <c r="AQ284">
        <v>0.12595764640000001</v>
      </c>
      <c r="AR284">
        <v>0.1096197543</v>
      </c>
      <c r="AS284">
        <v>8.9338193900000001E-2</v>
      </c>
      <c r="AT284">
        <v>6.8864096299999997E-2</v>
      </c>
      <c r="AU284">
        <v>4.8194706800000001E-2</v>
      </c>
      <c r="AV284">
        <v>2.7327217800000001E-2</v>
      </c>
      <c r="AW284">
        <v>6.2587675799999996E-3</v>
      </c>
    </row>
    <row r="285" spans="2:49" x14ac:dyDescent="0.25">
      <c r="B285" t="s">
        <v>287</v>
      </c>
      <c r="C285">
        <v>383714635.27038902</v>
      </c>
      <c r="D285">
        <v>389875297.85567099</v>
      </c>
      <c r="E285">
        <v>396134871.89999998</v>
      </c>
      <c r="F285">
        <v>412015962.39999998</v>
      </c>
      <c r="G285">
        <v>421142046.19999999</v>
      </c>
      <c r="H285">
        <v>439537742.5</v>
      </c>
      <c r="I285">
        <v>454175219.19999999</v>
      </c>
      <c r="J285">
        <v>471399717.39999998</v>
      </c>
      <c r="K285">
        <v>493298723.89999998</v>
      </c>
      <c r="L285">
        <v>519361374.69999999</v>
      </c>
      <c r="M285">
        <v>549574613.60000002</v>
      </c>
      <c r="N285">
        <v>565404891.79999995</v>
      </c>
      <c r="O285">
        <v>564692559.5</v>
      </c>
      <c r="P285">
        <v>564413232</v>
      </c>
      <c r="Q285">
        <v>563182343.39999998</v>
      </c>
      <c r="R285">
        <v>562978063.29999995</v>
      </c>
      <c r="S285">
        <v>568377327.89999998</v>
      </c>
      <c r="T285">
        <v>573702959.79999995</v>
      </c>
      <c r="U285">
        <v>576506816.20000005</v>
      </c>
      <c r="V285">
        <v>578374129.29999995</v>
      </c>
      <c r="W285">
        <v>572078281</v>
      </c>
      <c r="X285">
        <v>562930567.60000002</v>
      </c>
      <c r="Y285">
        <v>553929114.70000005</v>
      </c>
      <c r="Z285">
        <v>545571722.60000002</v>
      </c>
      <c r="AA285">
        <v>537762186.39999998</v>
      </c>
      <c r="AB285">
        <v>530293607.69999999</v>
      </c>
      <c r="AC285">
        <v>522993639.5</v>
      </c>
      <c r="AD285">
        <v>517753798.30000001</v>
      </c>
      <c r="AE285">
        <v>513461271.39999998</v>
      </c>
      <c r="AF285">
        <v>509533133.80000001</v>
      </c>
      <c r="AG285">
        <v>505718503</v>
      </c>
      <c r="AH285">
        <v>501907326.30000001</v>
      </c>
      <c r="AI285">
        <v>498041293</v>
      </c>
      <c r="AJ285">
        <v>494116060.10000002</v>
      </c>
      <c r="AK285">
        <v>490180020.89999998</v>
      </c>
      <c r="AL285">
        <v>486243137</v>
      </c>
      <c r="AM285">
        <v>482386187.60000002</v>
      </c>
      <c r="AN285">
        <v>478703834</v>
      </c>
      <c r="AO285">
        <v>475255398.10000002</v>
      </c>
      <c r="AP285">
        <v>471871093.89999998</v>
      </c>
      <c r="AQ285">
        <v>468687556.69999999</v>
      </c>
      <c r="AR285">
        <v>465483940.5</v>
      </c>
      <c r="AS285">
        <v>462327413.5</v>
      </c>
      <c r="AT285">
        <v>459173528.69999999</v>
      </c>
      <c r="AU285">
        <v>456059499.60000002</v>
      </c>
      <c r="AV285">
        <v>452926631.89999998</v>
      </c>
      <c r="AW285">
        <v>449873469.60000002</v>
      </c>
    </row>
    <row r="286" spans="2:49" x14ac:dyDescent="0.25">
      <c r="B286" t="s">
        <v>288</v>
      </c>
      <c r="C286">
        <v>261485.90393552999</v>
      </c>
      <c r="D286">
        <v>265684.14470322698</v>
      </c>
      <c r="E286">
        <v>269949.78960000002</v>
      </c>
      <c r="F286">
        <v>277098.17170000001</v>
      </c>
      <c r="G286">
        <v>283659.86829999997</v>
      </c>
      <c r="H286">
        <v>284994.99819999997</v>
      </c>
      <c r="I286">
        <v>276969.24219999998</v>
      </c>
      <c r="J286">
        <v>276311.07939999999</v>
      </c>
      <c r="K286">
        <v>278560.18609999999</v>
      </c>
      <c r="L286">
        <v>278778.19709999999</v>
      </c>
      <c r="M286">
        <v>284116.59600000002</v>
      </c>
      <c r="N286">
        <v>292990.47159999999</v>
      </c>
      <c r="O286">
        <v>300379.13520000002</v>
      </c>
      <c r="P286">
        <v>308878.95010000002</v>
      </c>
      <c r="Q286">
        <v>317365.6201</v>
      </c>
      <c r="R286">
        <v>328595.4534</v>
      </c>
      <c r="S286">
        <v>344344.00790000003</v>
      </c>
      <c r="T286">
        <v>360897.24969999999</v>
      </c>
      <c r="U286">
        <v>372023.09620000003</v>
      </c>
      <c r="V286">
        <v>382660.10930000001</v>
      </c>
      <c r="W286">
        <v>391677.37699999998</v>
      </c>
      <c r="X286">
        <v>398807.1874</v>
      </c>
      <c r="Y286">
        <v>406517.08110000001</v>
      </c>
      <c r="Z286">
        <v>415440.6005</v>
      </c>
      <c r="AA286">
        <v>424930.61709999997</v>
      </c>
      <c r="AB286">
        <v>434492.08590000001</v>
      </c>
      <c r="AC286">
        <v>443840.29310000001</v>
      </c>
      <c r="AD286">
        <v>448874.48210000002</v>
      </c>
      <c r="AE286">
        <v>455479.34899999999</v>
      </c>
      <c r="AF286">
        <v>461970.52549999999</v>
      </c>
      <c r="AG286">
        <v>467764.18709999998</v>
      </c>
      <c r="AH286">
        <v>472705.9558</v>
      </c>
      <c r="AI286">
        <v>477036.5208</v>
      </c>
      <c r="AJ286">
        <v>480960.01059999998</v>
      </c>
      <c r="AK286">
        <v>484840.69870000001</v>
      </c>
      <c r="AL286">
        <v>488590.08380000002</v>
      </c>
      <c r="AM286">
        <v>493155.67070000002</v>
      </c>
      <c r="AN286">
        <v>497626.65740000003</v>
      </c>
      <c r="AO286">
        <v>502897.17599999998</v>
      </c>
      <c r="AP286">
        <v>507354.76329999999</v>
      </c>
      <c r="AQ286">
        <v>513396.69449999998</v>
      </c>
      <c r="AR286">
        <v>518272.47139999998</v>
      </c>
      <c r="AS286">
        <v>524007.07140000002</v>
      </c>
      <c r="AT286">
        <v>529611.32140000002</v>
      </c>
      <c r="AU286">
        <v>535688.62320000003</v>
      </c>
      <c r="AV286">
        <v>541326.49800000002</v>
      </c>
      <c r="AW286">
        <v>547924.83360000001</v>
      </c>
    </row>
    <row r="287" spans="2:49" x14ac:dyDescent="0.25">
      <c r="B287" t="s">
        <v>289</v>
      </c>
      <c r="C287">
        <v>158336.21117690401</v>
      </c>
      <c r="D287">
        <v>160878.35026264799</v>
      </c>
      <c r="E287">
        <v>163461.30420000001</v>
      </c>
      <c r="F287">
        <v>168432.22510000001</v>
      </c>
      <c r="G287">
        <v>175099.23300000001</v>
      </c>
      <c r="H287">
        <v>184375.0638</v>
      </c>
      <c r="I287">
        <v>192030.4235</v>
      </c>
      <c r="J287">
        <v>200640.8302</v>
      </c>
      <c r="K287">
        <v>215030.5569</v>
      </c>
      <c r="L287">
        <v>230856.481</v>
      </c>
      <c r="M287">
        <v>247457.1078</v>
      </c>
      <c r="N287">
        <v>260450.02830000001</v>
      </c>
      <c r="O287">
        <v>261242.96429999999</v>
      </c>
      <c r="P287">
        <v>258856.2923</v>
      </c>
      <c r="Q287">
        <v>254988.948</v>
      </c>
      <c r="R287">
        <v>253654.0907</v>
      </c>
      <c r="S287">
        <v>254237.47889999999</v>
      </c>
      <c r="T287">
        <v>256757.45250000001</v>
      </c>
      <c r="U287">
        <v>258383.55420000001</v>
      </c>
      <c r="V287">
        <v>259201.42600000001</v>
      </c>
      <c r="W287">
        <v>262516.83159999998</v>
      </c>
      <c r="X287">
        <v>261941.42819999999</v>
      </c>
      <c r="Y287">
        <v>260623.9572</v>
      </c>
      <c r="Z287">
        <v>259158.58</v>
      </c>
      <c r="AA287">
        <v>257686.8786</v>
      </c>
      <c r="AB287">
        <v>256174.02220000001</v>
      </c>
      <c r="AC287">
        <v>254522.5601</v>
      </c>
      <c r="AD287">
        <v>253778.30230000001</v>
      </c>
      <c r="AE287">
        <v>254100.88810000001</v>
      </c>
      <c r="AF287">
        <v>255116.56589999999</v>
      </c>
      <c r="AG287">
        <v>256574.7243</v>
      </c>
      <c r="AH287">
        <v>258293.75049999999</v>
      </c>
      <c r="AI287">
        <v>260087.78330000001</v>
      </c>
      <c r="AJ287">
        <v>261878.25450000001</v>
      </c>
      <c r="AK287">
        <v>263645.09580000001</v>
      </c>
      <c r="AL287">
        <v>265403.50300000003</v>
      </c>
      <c r="AM287">
        <v>267145.56829999998</v>
      </c>
      <c r="AN287">
        <v>268711.39039999997</v>
      </c>
      <c r="AO287">
        <v>270279.61330000003</v>
      </c>
      <c r="AP287">
        <v>271988.48590000003</v>
      </c>
      <c r="AQ287">
        <v>273671.71269999997</v>
      </c>
      <c r="AR287">
        <v>275525.1899</v>
      </c>
      <c r="AS287">
        <v>277348.92320000002</v>
      </c>
      <c r="AT287">
        <v>279224.11900000001</v>
      </c>
      <c r="AU287">
        <v>281100.0625</v>
      </c>
      <c r="AV287">
        <v>283033.13740000001</v>
      </c>
      <c r="AW287">
        <v>284938.16450000001</v>
      </c>
    </row>
    <row r="288" spans="2:49" x14ac:dyDescent="0.25">
      <c r="B288" t="s">
        <v>290</v>
      </c>
      <c r="C288">
        <v>516755.579312385</v>
      </c>
      <c r="D288">
        <v>525052.257287574</v>
      </c>
      <c r="E288">
        <v>533482.14110000001</v>
      </c>
      <c r="F288">
        <v>549193.42949999997</v>
      </c>
      <c r="G288">
        <v>552125.20750000002</v>
      </c>
      <c r="H288">
        <v>567689.07709999999</v>
      </c>
      <c r="I288">
        <v>577881.47109999997</v>
      </c>
      <c r="J288">
        <v>590938.95559999999</v>
      </c>
      <c r="K288">
        <v>606348.71059999999</v>
      </c>
      <c r="L288">
        <v>626362.15890000004</v>
      </c>
      <c r="M288">
        <v>651249.59259999997</v>
      </c>
      <c r="N288">
        <v>668543.24080000003</v>
      </c>
      <c r="O288">
        <v>664369.31969999999</v>
      </c>
      <c r="P288">
        <v>663263.02879999997</v>
      </c>
      <c r="Q288">
        <v>661839.09210000001</v>
      </c>
      <c r="R288">
        <v>660077.05740000005</v>
      </c>
      <c r="S288">
        <v>665326.45510000002</v>
      </c>
      <c r="T288">
        <v>668966.18889999995</v>
      </c>
      <c r="U288">
        <v>669460.45779999997</v>
      </c>
      <c r="V288">
        <v>669146.8774</v>
      </c>
      <c r="W288">
        <v>661165.83059999999</v>
      </c>
      <c r="X288">
        <v>651728.35900000005</v>
      </c>
      <c r="Y288">
        <v>642946.04260000004</v>
      </c>
      <c r="Z288">
        <v>635131.9</v>
      </c>
      <c r="AA288">
        <v>628045.42520000006</v>
      </c>
      <c r="AB288">
        <v>621406.38919999998</v>
      </c>
      <c r="AC288">
        <v>615029.36560000002</v>
      </c>
      <c r="AD288">
        <v>611060.80220000003</v>
      </c>
      <c r="AE288">
        <v>607690.86510000005</v>
      </c>
      <c r="AF288">
        <v>604309.40969999996</v>
      </c>
      <c r="AG288">
        <v>600718.85160000005</v>
      </c>
      <c r="AH288">
        <v>596884.81590000005</v>
      </c>
      <c r="AI288">
        <v>592855.05889999995</v>
      </c>
      <c r="AJ288">
        <v>588680.74109999998</v>
      </c>
      <c r="AK288">
        <v>584453.07640000002</v>
      </c>
      <c r="AL288">
        <v>580176.37540000002</v>
      </c>
      <c r="AM288">
        <v>575986.73910000001</v>
      </c>
      <c r="AN288">
        <v>572159.47250000003</v>
      </c>
      <c r="AO288">
        <v>568659.96849999996</v>
      </c>
      <c r="AP288">
        <v>565111.80440000002</v>
      </c>
      <c r="AQ288">
        <v>561865.51190000004</v>
      </c>
      <c r="AR288">
        <v>558414.19369999995</v>
      </c>
      <c r="AS288">
        <v>555019.1202</v>
      </c>
      <c r="AT288">
        <v>551546.32149999996</v>
      </c>
      <c r="AU288">
        <v>548096.0699</v>
      </c>
      <c r="AV288">
        <v>544528.50219999999</v>
      </c>
      <c r="AW288">
        <v>541072.95929999999</v>
      </c>
    </row>
    <row r="289" spans="2:49" x14ac:dyDescent="0.25">
      <c r="B289" t="s">
        <v>291</v>
      </c>
      <c r="C289">
        <v>82711.5521017555</v>
      </c>
      <c r="D289">
        <v>84039.512824558697</v>
      </c>
      <c r="E289">
        <v>85388.794389999995</v>
      </c>
      <c r="F289">
        <v>94624.030620000005</v>
      </c>
      <c r="G289">
        <v>97309.61477</v>
      </c>
      <c r="H289">
        <v>103596.51669999999</v>
      </c>
      <c r="I289">
        <v>107572.88219999999</v>
      </c>
      <c r="J289">
        <v>114868.29549999999</v>
      </c>
      <c r="K289">
        <v>120273.13920000001</v>
      </c>
      <c r="L289">
        <v>126785.8879</v>
      </c>
      <c r="M289">
        <v>135784.2187</v>
      </c>
      <c r="N289">
        <v>145687.5558</v>
      </c>
      <c r="O289">
        <v>136449.88690000001</v>
      </c>
      <c r="P289">
        <v>131145.65659999999</v>
      </c>
      <c r="Q289">
        <v>126036.6703</v>
      </c>
      <c r="R289">
        <v>114478.12579999999</v>
      </c>
      <c r="S289">
        <v>113957.9507</v>
      </c>
      <c r="T289">
        <v>113598.7643</v>
      </c>
      <c r="U289">
        <v>113194.19349999999</v>
      </c>
      <c r="V289">
        <v>113144.0331</v>
      </c>
      <c r="W289">
        <v>113610.8524</v>
      </c>
      <c r="X289">
        <v>115374.567</v>
      </c>
      <c r="Y289">
        <v>117412.7893</v>
      </c>
      <c r="Z289">
        <v>119777.2933</v>
      </c>
      <c r="AA289">
        <v>122415.98179999999</v>
      </c>
      <c r="AB289">
        <v>125313.5485</v>
      </c>
      <c r="AC289">
        <v>128502.516</v>
      </c>
      <c r="AD289">
        <v>129768.0858</v>
      </c>
      <c r="AE289">
        <v>130753.20909999999</v>
      </c>
      <c r="AF289">
        <v>131456.7493</v>
      </c>
      <c r="AG289">
        <v>131930.3462</v>
      </c>
      <c r="AH289">
        <v>132236.4075</v>
      </c>
      <c r="AI289">
        <v>132468.3965</v>
      </c>
      <c r="AJ289">
        <v>132676.9958</v>
      </c>
      <c r="AK289">
        <v>132902.1974</v>
      </c>
      <c r="AL289">
        <v>133138.72760000001</v>
      </c>
      <c r="AM289">
        <v>133460.25690000001</v>
      </c>
      <c r="AN289">
        <v>133829.37609999999</v>
      </c>
      <c r="AO289">
        <v>134262.55220000001</v>
      </c>
      <c r="AP289">
        <v>134602.65479999999</v>
      </c>
      <c r="AQ289">
        <v>135069.4529</v>
      </c>
      <c r="AR289">
        <v>135397.86129999999</v>
      </c>
      <c r="AS289">
        <v>135762.88630000001</v>
      </c>
      <c r="AT289">
        <v>136077.6066</v>
      </c>
      <c r="AU289">
        <v>136402.46739999999</v>
      </c>
      <c r="AV289">
        <v>136656.0723</v>
      </c>
      <c r="AW289">
        <v>136795.85870000001</v>
      </c>
    </row>
    <row r="290" spans="2:49" x14ac:dyDescent="0.25">
      <c r="B290" t="s">
        <v>292</v>
      </c>
      <c r="C290">
        <v>45689.201708803201</v>
      </c>
      <c r="D290">
        <v>46422.756620829103</v>
      </c>
      <c r="E290">
        <v>47168.089010000003</v>
      </c>
      <c r="F290">
        <v>49526.52895</v>
      </c>
      <c r="G290">
        <v>49189.323729999996</v>
      </c>
      <c r="H290">
        <v>50577.665509999999</v>
      </c>
      <c r="I290">
        <v>51404.659030000003</v>
      </c>
      <c r="J290">
        <v>52652.29189</v>
      </c>
      <c r="K290">
        <v>53240.421770000001</v>
      </c>
      <c r="L290">
        <v>54441.881390000002</v>
      </c>
      <c r="M290">
        <v>56442.274799999999</v>
      </c>
      <c r="N290">
        <v>57916.760419999999</v>
      </c>
      <c r="O290">
        <v>56790.046549999999</v>
      </c>
      <c r="P290">
        <v>56687.282290000003</v>
      </c>
      <c r="Q290">
        <v>56747.768029999999</v>
      </c>
      <c r="R290">
        <v>55974.758280000002</v>
      </c>
      <c r="S290">
        <v>56548.240140000002</v>
      </c>
      <c r="T290">
        <v>56685.369749999998</v>
      </c>
      <c r="U290">
        <v>56519.798439999999</v>
      </c>
      <c r="V290">
        <v>56391.776680000003</v>
      </c>
      <c r="W290">
        <v>55744.621769999998</v>
      </c>
      <c r="X290">
        <v>55552.850290000002</v>
      </c>
      <c r="Y290">
        <v>55576.297380000004</v>
      </c>
      <c r="Z290">
        <v>55791.073709999997</v>
      </c>
      <c r="AA290">
        <v>56158.094729999997</v>
      </c>
      <c r="AB290">
        <v>56661.121379999997</v>
      </c>
      <c r="AC290">
        <v>57314.31755</v>
      </c>
      <c r="AD290">
        <v>55359.259729999998</v>
      </c>
      <c r="AE290">
        <v>53732.754889999997</v>
      </c>
      <c r="AF290">
        <v>52268.4859</v>
      </c>
      <c r="AG290">
        <v>50910.485430000001</v>
      </c>
      <c r="AH290">
        <v>49640.712229999997</v>
      </c>
      <c r="AI290">
        <v>48463.55573</v>
      </c>
      <c r="AJ290">
        <v>47374.003909999999</v>
      </c>
      <c r="AK290">
        <v>46369.439400000003</v>
      </c>
      <c r="AL290">
        <v>45433.455479999997</v>
      </c>
      <c r="AM290">
        <v>44576.174279999999</v>
      </c>
      <c r="AN290">
        <v>43837.238640000003</v>
      </c>
      <c r="AO290">
        <v>43181.736550000001</v>
      </c>
      <c r="AP290">
        <v>42538.575669999998</v>
      </c>
      <c r="AQ290">
        <v>41970.961159999999</v>
      </c>
      <c r="AR290">
        <v>41387.354939999997</v>
      </c>
      <c r="AS290">
        <v>40843.959060000001</v>
      </c>
      <c r="AT290">
        <v>40311.989540000002</v>
      </c>
      <c r="AU290">
        <v>39807.745260000003</v>
      </c>
      <c r="AV290">
        <v>39305.719210000003</v>
      </c>
      <c r="AW290">
        <v>38842.850870000002</v>
      </c>
    </row>
    <row r="291" spans="2:49" x14ac:dyDescent="0.25">
      <c r="B291" t="s">
        <v>293</v>
      </c>
      <c r="C291">
        <v>562444.78102118894</v>
      </c>
      <c r="D291">
        <v>571475.01390840299</v>
      </c>
      <c r="E291">
        <v>580650.23010000004</v>
      </c>
      <c r="F291">
        <v>598711.18119999999</v>
      </c>
      <c r="G291">
        <v>601302.35640000005</v>
      </c>
      <c r="H291">
        <v>618254.22450000001</v>
      </c>
      <c r="I291">
        <v>629273.33019999997</v>
      </c>
      <c r="J291">
        <v>643578.0919</v>
      </c>
      <c r="K291">
        <v>659570.36589999998</v>
      </c>
      <c r="L291">
        <v>680782.07160000002</v>
      </c>
      <c r="M291">
        <v>707668.81539999996</v>
      </c>
      <c r="N291">
        <v>726436.33310000005</v>
      </c>
      <c r="O291">
        <v>721131.15060000005</v>
      </c>
      <c r="P291">
        <v>719922.1422</v>
      </c>
      <c r="Q291">
        <v>718558.47479999997</v>
      </c>
      <c r="R291">
        <v>716020.36100000003</v>
      </c>
      <c r="S291">
        <v>721842.85049999994</v>
      </c>
      <c r="T291">
        <v>726288.39240000001</v>
      </c>
      <c r="U291">
        <v>727287.19279999996</v>
      </c>
      <c r="V291">
        <v>727515.27800000005</v>
      </c>
      <c r="W291">
        <v>726758.22629999998</v>
      </c>
      <c r="X291">
        <v>724867.73289999994</v>
      </c>
      <c r="Y291">
        <v>723747.35270000005</v>
      </c>
      <c r="Z291">
        <v>723727.16509999998</v>
      </c>
      <c r="AA291">
        <v>724548.7243</v>
      </c>
      <c r="AB291">
        <v>725922.96770000004</v>
      </c>
      <c r="AC291">
        <v>727682.52350000001</v>
      </c>
      <c r="AD291">
        <v>729164.47860000003</v>
      </c>
      <c r="AE291">
        <v>731625.12250000006</v>
      </c>
      <c r="AF291">
        <v>734225.21389999997</v>
      </c>
      <c r="AG291">
        <v>736681.51100000006</v>
      </c>
      <c r="AH291">
        <v>738928.80680000002</v>
      </c>
      <c r="AI291">
        <v>741020.31559999997</v>
      </c>
      <c r="AJ291">
        <v>743004.55539999995</v>
      </c>
      <c r="AK291">
        <v>744982.44900000002</v>
      </c>
      <c r="AL291">
        <v>746939.15769999998</v>
      </c>
      <c r="AM291">
        <v>749050.58900000004</v>
      </c>
      <c r="AN291">
        <v>751706.5098</v>
      </c>
      <c r="AO291">
        <v>754838.74750000006</v>
      </c>
      <c r="AP291">
        <v>757904.32220000005</v>
      </c>
      <c r="AQ291">
        <v>761422.94149999996</v>
      </c>
      <c r="AR291">
        <v>764645.94539999997</v>
      </c>
      <c r="AS291">
        <v>767972.82169999997</v>
      </c>
      <c r="AT291">
        <v>771194.54469999997</v>
      </c>
      <c r="AU291">
        <v>774461.06270000001</v>
      </c>
      <c r="AV291">
        <v>777553.30200000003</v>
      </c>
      <c r="AW291">
        <v>780824.01809999999</v>
      </c>
    </row>
    <row r="292" spans="2:49" x14ac:dyDescent="0.25">
      <c r="B292" t="s">
        <v>294</v>
      </c>
      <c r="C292">
        <v>241047.76327865999</v>
      </c>
      <c r="D292">
        <v>244917.86308720699</v>
      </c>
      <c r="E292">
        <v>248850.0986</v>
      </c>
      <c r="F292">
        <v>262898.27980000002</v>
      </c>
      <c r="G292">
        <v>272241.5797</v>
      </c>
      <c r="H292">
        <v>287790.76390000002</v>
      </c>
      <c r="I292">
        <v>299414.87190000003</v>
      </c>
      <c r="J292">
        <v>315293.48210000002</v>
      </c>
      <c r="K292">
        <v>335053.53840000002</v>
      </c>
      <c r="L292">
        <v>357361.83149999997</v>
      </c>
      <c r="M292">
        <v>382940.67560000002</v>
      </c>
      <c r="N292">
        <v>405801.78539999999</v>
      </c>
      <c r="O292">
        <v>397150.76010000001</v>
      </c>
      <c r="P292">
        <v>389429.723</v>
      </c>
      <c r="Q292">
        <v>380440.76630000002</v>
      </c>
      <c r="R292">
        <v>367234.37349999999</v>
      </c>
      <c r="S292">
        <v>367295.58689999999</v>
      </c>
      <c r="T292">
        <v>369444.41210000002</v>
      </c>
      <c r="U292">
        <v>370659.09279999998</v>
      </c>
      <c r="V292">
        <v>371424.39559999999</v>
      </c>
      <c r="W292">
        <v>375194.33809999999</v>
      </c>
      <c r="X292">
        <v>376367.38410000002</v>
      </c>
      <c r="Y292">
        <v>377065.90500000003</v>
      </c>
      <c r="Z292">
        <v>377936.16759999999</v>
      </c>
      <c r="AA292">
        <v>379069.0172</v>
      </c>
      <c r="AB292">
        <v>380414.22730000003</v>
      </c>
      <c r="AC292">
        <v>381905.20140000002</v>
      </c>
      <c r="AD292">
        <v>382418.07290000003</v>
      </c>
      <c r="AE292">
        <v>383720.23320000002</v>
      </c>
      <c r="AF292">
        <v>385434.304</v>
      </c>
      <c r="AG292">
        <v>387360.1753</v>
      </c>
      <c r="AH292">
        <v>389378.46519999998</v>
      </c>
      <c r="AI292">
        <v>391397.34179999999</v>
      </c>
      <c r="AJ292">
        <v>393389.28249999997</v>
      </c>
      <c r="AK292">
        <v>395374.32370000001</v>
      </c>
      <c r="AL292">
        <v>397362.31099999999</v>
      </c>
      <c r="AM292">
        <v>399419.03860000003</v>
      </c>
      <c r="AN292">
        <v>401347.82439999998</v>
      </c>
      <c r="AO292">
        <v>403342.99249999999</v>
      </c>
      <c r="AP292">
        <v>405385.25449999998</v>
      </c>
      <c r="AQ292">
        <v>407528.57199999999</v>
      </c>
      <c r="AR292">
        <v>409703.13880000002</v>
      </c>
      <c r="AS292">
        <v>411884.7059</v>
      </c>
      <c r="AT292">
        <v>414067.22389999998</v>
      </c>
      <c r="AU292">
        <v>416260.63429999998</v>
      </c>
      <c r="AV292">
        <v>418439.6617</v>
      </c>
      <c r="AW292">
        <v>420476.89569999999</v>
      </c>
    </row>
    <row r="293" spans="2:49" x14ac:dyDescent="0.25">
      <c r="B293" t="s">
        <v>295</v>
      </c>
      <c r="C293">
        <v>383714635.27038902</v>
      </c>
      <c r="D293">
        <v>389875297.85567099</v>
      </c>
      <c r="E293">
        <v>396134871.89999998</v>
      </c>
      <c r="F293">
        <v>412015962.39999998</v>
      </c>
      <c r="G293">
        <v>421142046.19999999</v>
      </c>
      <c r="H293">
        <v>439537742.5</v>
      </c>
      <c r="I293">
        <v>454175219.19999999</v>
      </c>
      <c r="J293">
        <v>471399717.39999998</v>
      </c>
      <c r="K293">
        <v>493298723.89999998</v>
      </c>
      <c r="L293">
        <v>519361374.69999999</v>
      </c>
      <c r="M293">
        <v>549574613.60000002</v>
      </c>
      <c r="N293">
        <v>565404891.79999995</v>
      </c>
      <c r="O293">
        <v>564692559.5</v>
      </c>
      <c r="P293">
        <v>564413232</v>
      </c>
      <c r="Q293">
        <v>563182343.39999998</v>
      </c>
      <c r="R293">
        <v>562978063.29999995</v>
      </c>
      <c r="S293">
        <v>568376145.29999995</v>
      </c>
      <c r="T293">
        <v>573130308.20000005</v>
      </c>
      <c r="U293">
        <v>575742986.79999995</v>
      </c>
      <c r="V293">
        <v>577610805.79999995</v>
      </c>
      <c r="W293">
        <v>578416411.20000005</v>
      </c>
      <c r="X293">
        <v>578452667.39999998</v>
      </c>
      <c r="Y293">
        <v>579305115.5</v>
      </c>
      <c r="Z293">
        <v>580988517.20000005</v>
      </c>
      <c r="AA293">
        <v>583336682.20000005</v>
      </c>
      <c r="AB293">
        <v>586136116.60000002</v>
      </c>
      <c r="AC293">
        <v>589237677.89999998</v>
      </c>
      <c r="AD293">
        <v>592455015.39999998</v>
      </c>
      <c r="AE293">
        <v>595710259.39999998</v>
      </c>
      <c r="AF293">
        <v>598957768.20000005</v>
      </c>
      <c r="AG293">
        <v>602183028.10000002</v>
      </c>
      <c r="AH293">
        <v>605401851.10000002</v>
      </c>
      <c r="AI293">
        <v>608582403.10000002</v>
      </c>
      <c r="AJ293">
        <v>611762384.20000005</v>
      </c>
      <c r="AK293">
        <v>614968929.10000002</v>
      </c>
      <c r="AL293">
        <v>618230789.5</v>
      </c>
      <c r="AM293">
        <v>621561052.5</v>
      </c>
      <c r="AN293">
        <v>625064560.60000002</v>
      </c>
      <c r="AO293">
        <v>628723486.20000005</v>
      </c>
      <c r="AP293">
        <v>632497190.20000005</v>
      </c>
      <c r="AQ293">
        <v>636361446.60000002</v>
      </c>
      <c r="AR293">
        <v>640284618.60000002</v>
      </c>
      <c r="AS293">
        <v>644233261.60000002</v>
      </c>
      <c r="AT293">
        <v>648202990.29999995</v>
      </c>
      <c r="AU293">
        <v>652187986.10000002</v>
      </c>
      <c r="AV293">
        <v>656182660.20000005</v>
      </c>
      <c r="AW293">
        <v>660218561.10000002</v>
      </c>
    </row>
    <row r="294" spans="2:49" x14ac:dyDescent="0.25">
      <c r="B294" t="s">
        <v>296</v>
      </c>
      <c r="C294">
        <v>261485.90393552999</v>
      </c>
      <c r="D294">
        <v>265684.14470322698</v>
      </c>
      <c r="E294">
        <v>269949.78960000002</v>
      </c>
      <c r="F294">
        <v>277098.17170000001</v>
      </c>
      <c r="G294">
        <v>283659.86829999997</v>
      </c>
      <c r="H294">
        <v>284994.99819999997</v>
      </c>
      <c r="I294">
        <v>276969.24219999998</v>
      </c>
      <c r="J294">
        <v>276311.07939999999</v>
      </c>
      <c r="K294">
        <v>278560.18609999999</v>
      </c>
      <c r="L294">
        <v>278778.19709999999</v>
      </c>
      <c r="M294">
        <v>284116.59600000002</v>
      </c>
      <c r="N294">
        <v>292990.47159999999</v>
      </c>
      <c r="O294">
        <v>300379.13520000002</v>
      </c>
      <c r="P294">
        <v>308878.95010000002</v>
      </c>
      <c r="Q294">
        <v>317365.6201</v>
      </c>
      <c r="R294">
        <v>328595.4534</v>
      </c>
      <c r="S294">
        <v>327873.1421</v>
      </c>
      <c r="T294">
        <v>327196.73859999998</v>
      </c>
      <c r="U294">
        <v>327409.57990000001</v>
      </c>
      <c r="V294">
        <v>326764.87479999999</v>
      </c>
      <c r="W294">
        <v>333217.77730000002</v>
      </c>
      <c r="X294">
        <v>338119.90350000001</v>
      </c>
      <c r="Y294">
        <v>343709.4852</v>
      </c>
      <c r="Z294">
        <v>349759.48340000003</v>
      </c>
      <c r="AA294">
        <v>356370.87469999999</v>
      </c>
      <c r="AB294">
        <v>363340.02039999998</v>
      </c>
      <c r="AC294">
        <v>370552.8284</v>
      </c>
      <c r="AD294">
        <v>377970.97330000001</v>
      </c>
      <c r="AE294">
        <v>385430.85960000003</v>
      </c>
      <c r="AF294">
        <v>392795.27899999998</v>
      </c>
      <c r="AG294">
        <v>400035.85989999998</v>
      </c>
      <c r="AH294">
        <v>407221.97249999997</v>
      </c>
      <c r="AI294">
        <v>414341.52409999998</v>
      </c>
      <c r="AJ294">
        <v>421455.72859999997</v>
      </c>
      <c r="AK294">
        <v>428582.18430000002</v>
      </c>
      <c r="AL294">
        <v>435914.51770000003</v>
      </c>
      <c r="AM294">
        <v>443504.58110000001</v>
      </c>
      <c r="AN294">
        <v>451457.88699999999</v>
      </c>
      <c r="AO294">
        <v>459809.89630000002</v>
      </c>
      <c r="AP294">
        <v>468508.27549999999</v>
      </c>
      <c r="AQ294">
        <v>477624.98100000003</v>
      </c>
      <c r="AR294">
        <v>487160.99959999998</v>
      </c>
      <c r="AS294">
        <v>497061.38179999997</v>
      </c>
      <c r="AT294">
        <v>507397.16580000002</v>
      </c>
      <c r="AU294">
        <v>518157.02309999999</v>
      </c>
      <c r="AV294">
        <v>529301.63500000001</v>
      </c>
      <c r="AW294">
        <v>541036.3517</v>
      </c>
    </row>
    <row r="295" spans="2:49" x14ac:dyDescent="0.25">
      <c r="B295" t="s">
        <v>297</v>
      </c>
      <c r="C295">
        <v>158336.21117690401</v>
      </c>
      <c r="D295">
        <v>160878.35026264799</v>
      </c>
      <c r="E295">
        <v>163461.30420000001</v>
      </c>
      <c r="F295">
        <v>168432.22510000001</v>
      </c>
      <c r="G295">
        <v>175099.23300000001</v>
      </c>
      <c r="H295">
        <v>184375.0638</v>
      </c>
      <c r="I295">
        <v>192030.4235</v>
      </c>
      <c r="J295">
        <v>200640.8302</v>
      </c>
      <c r="K295">
        <v>215030.5569</v>
      </c>
      <c r="L295">
        <v>230856.481</v>
      </c>
      <c r="M295">
        <v>247457.1078</v>
      </c>
      <c r="N295">
        <v>260450.02830000001</v>
      </c>
      <c r="O295">
        <v>261242.96429999999</v>
      </c>
      <c r="P295">
        <v>258856.2923</v>
      </c>
      <c r="Q295">
        <v>254988.948</v>
      </c>
      <c r="R295">
        <v>253654.0907</v>
      </c>
      <c r="S295">
        <v>254237.35339999999</v>
      </c>
      <c r="T295">
        <v>257189.93580000001</v>
      </c>
      <c r="U295">
        <v>258543.78959999999</v>
      </c>
      <c r="V295">
        <v>259386.63159999999</v>
      </c>
      <c r="W295">
        <v>259903.5073</v>
      </c>
      <c r="X295">
        <v>259956.198</v>
      </c>
      <c r="Y295">
        <v>260437.76130000001</v>
      </c>
      <c r="Z295">
        <v>261237.78630000001</v>
      </c>
      <c r="AA295">
        <v>262227.15639999998</v>
      </c>
      <c r="AB295">
        <v>263286.02970000001</v>
      </c>
      <c r="AC295">
        <v>264344.2329</v>
      </c>
      <c r="AD295">
        <v>265424.76549999998</v>
      </c>
      <c r="AE295">
        <v>266439.77189999999</v>
      </c>
      <c r="AF295">
        <v>267368.20740000001</v>
      </c>
      <c r="AG295">
        <v>268203.45500000002</v>
      </c>
      <c r="AH295">
        <v>268956.33779999998</v>
      </c>
      <c r="AI295">
        <v>269612.45480000001</v>
      </c>
      <c r="AJ295">
        <v>270206.88860000001</v>
      </c>
      <c r="AK295">
        <v>270786.21990000003</v>
      </c>
      <c r="AL295">
        <v>271368.24249999999</v>
      </c>
      <c r="AM295">
        <v>271978.18670000002</v>
      </c>
      <c r="AN295">
        <v>272532.17509999999</v>
      </c>
      <c r="AO295">
        <v>273149.50439999998</v>
      </c>
      <c r="AP295">
        <v>273853.734</v>
      </c>
      <c r="AQ295">
        <v>274637.43</v>
      </c>
      <c r="AR295">
        <v>275494.42930000002</v>
      </c>
      <c r="AS295">
        <v>276407.62</v>
      </c>
      <c r="AT295">
        <v>277370.5686</v>
      </c>
      <c r="AU295">
        <v>278382.20299999998</v>
      </c>
      <c r="AV295">
        <v>279442.02380000002</v>
      </c>
      <c r="AW295">
        <v>280541.99550000002</v>
      </c>
    </row>
    <row r="296" spans="2:49" x14ac:dyDescent="0.25">
      <c r="B296" t="s">
        <v>298</v>
      </c>
      <c r="C296">
        <v>516755.579312385</v>
      </c>
      <c r="D296">
        <v>525052.257287574</v>
      </c>
      <c r="E296">
        <v>533482.14110000001</v>
      </c>
      <c r="F296">
        <v>549193.42949999997</v>
      </c>
      <c r="G296">
        <v>552125.20750000002</v>
      </c>
      <c r="H296">
        <v>567689.07709999999</v>
      </c>
      <c r="I296">
        <v>577881.47109999997</v>
      </c>
      <c r="J296">
        <v>590938.95559999999</v>
      </c>
      <c r="K296">
        <v>606348.71059999999</v>
      </c>
      <c r="L296">
        <v>626362.15890000004</v>
      </c>
      <c r="M296">
        <v>651249.59259999997</v>
      </c>
      <c r="N296">
        <v>668543.24080000003</v>
      </c>
      <c r="O296">
        <v>664369.31969999999</v>
      </c>
      <c r="P296">
        <v>663263.02879999997</v>
      </c>
      <c r="Q296">
        <v>661839.09210000001</v>
      </c>
      <c r="R296">
        <v>660077.05740000005</v>
      </c>
      <c r="S296">
        <v>665324.76679999998</v>
      </c>
      <c r="T296">
        <v>667779.48219999997</v>
      </c>
      <c r="U296">
        <v>668194.7977</v>
      </c>
      <c r="V296">
        <v>667866.45589999994</v>
      </c>
      <c r="W296">
        <v>666191.7683</v>
      </c>
      <c r="X296">
        <v>663723.80429999996</v>
      </c>
      <c r="Y296">
        <v>662148.92079999996</v>
      </c>
      <c r="Z296">
        <v>661561.65280000004</v>
      </c>
      <c r="AA296">
        <v>661803.85589999997</v>
      </c>
      <c r="AB296">
        <v>662643.79059999995</v>
      </c>
      <c r="AC296">
        <v>663910.21329999994</v>
      </c>
      <c r="AD296">
        <v>665309.8824</v>
      </c>
      <c r="AE296">
        <v>666794.22259999998</v>
      </c>
      <c r="AF296">
        <v>668312.43180000002</v>
      </c>
      <c r="AG296">
        <v>669848.67509999999</v>
      </c>
      <c r="AH296">
        <v>671418.0013</v>
      </c>
      <c r="AI296">
        <v>672985.6078</v>
      </c>
      <c r="AJ296">
        <v>674579.74950000003</v>
      </c>
      <c r="AK296">
        <v>676204.26850000001</v>
      </c>
      <c r="AL296">
        <v>677886.55689999997</v>
      </c>
      <c r="AM296">
        <v>679625.64029999997</v>
      </c>
      <c r="AN296">
        <v>681632.74459999998</v>
      </c>
      <c r="AO296">
        <v>683790.73210000002</v>
      </c>
      <c r="AP296">
        <v>686022.71840000001</v>
      </c>
      <c r="AQ296">
        <v>688298.93240000005</v>
      </c>
      <c r="AR296">
        <v>690578.65049999999</v>
      </c>
      <c r="AS296">
        <v>692827.38690000004</v>
      </c>
      <c r="AT296">
        <v>695043.68039999995</v>
      </c>
      <c r="AU296">
        <v>697220.10919999995</v>
      </c>
      <c r="AV296">
        <v>699349.23259999999</v>
      </c>
      <c r="AW296">
        <v>701480.72640000004</v>
      </c>
    </row>
    <row r="297" spans="2:49" x14ac:dyDescent="0.25">
      <c r="B297" t="s">
        <v>299</v>
      </c>
      <c r="C297">
        <v>82711.5521017555</v>
      </c>
      <c r="D297">
        <v>84039.512824558697</v>
      </c>
      <c r="E297">
        <v>85388.794389999995</v>
      </c>
      <c r="F297">
        <v>94624.030620000005</v>
      </c>
      <c r="G297">
        <v>97309.61477</v>
      </c>
      <c r="H297">
        <v>103596.51669999999</v>
      </c>
      <c r="I297">
        <v>107572.88219999999</v>
      </c>
      <c r="J297">
        <v>114868.29549999999</v>
      </c>
      <c r="K297">
        <v>120273.13920000001</v>
      </c>
      <c r="L297">
        <v>126785.8879</v>
      </c>
      <c r="M297">
        <v>135784.2187</v>
      </c>
      <c r="N297">
        <v>145687.5558</v>
      </c>
      <c r="O297">
        <v>136449.88690000001</v>
      </c>
      <c r="P297">
        <v>131145.65659999999</v>
      </c>
      <c r="Q297">
        <v>126036.6703</v>
      </c>
      <c r="R297">
        <v>114478.12579999999</v>
      </c>
      <c r="S297">
        <v>113957.5534</v>
      </c>
      <c r="T297">
        <v>113452.2179</v>
      </c>
      <c r="U297">
        <v>113141.73759999999</v>
      </c>
      <c r="V297">
        <v>113072.56299999999</v>
      </c>
      <c r="W297">
        <v>112874.747</v>
      </c>
      <c r="X297">
        <v>112776.14320000001</v>
      </c>
      <c r="Y297">
        <v>112539.6443</v>
      </c>
      <c r="Z297">
        <v>112400.64720000001</v>
      </c>
      <c r="AA297">
        <v>112466.8627</v>
      </c>
      <c r="AB297">
        <v>112592.7674</v>
      </c>
      <c r="AC297">
        <v>112818.2389</v>
      </c>
      <c r="AD297">
        <v>113136.394</v>
      </c>
      <c r="AE297">
        <v>113540.7948</v>
      </c>
      <c r="AF297">
        <v>114008.87699999999</v>
      </c>
      <c r="AG297">
        <v>114528.3138</v>
      </c>
      <c r="AH297">
        <v>115094.8662</v>
      </c>
      <c r="AI297">
        <v>115706.08990000001</v>
      </c>
      <c r="AJ297">
        <v>116349.0866</v>
      </c>
      <c r="AK297">
        <v>117008.68580000001</v>
      </c>
      <c r="AL297">
        <v>117689.6056</v>
      </c>
      <c r="AM297">
        <v>118382.5619</v>
      </c>
      <c r="AN297">
        <v>119126.9765</v>
      </c>
      <c r="AO297">
        <v>119874.96219999999</v>
      </c>
      <c r="AP297">
        <v>120609.4492</v>
      </c>
      <c r="AQ297">
        <v>121335.57369999999</v>
      </c>
      <c r="AR297">
        <v>122046.9359</v>
      </c>
      <c r="AS297">
        <v>122744.4856</v>
      </c>
      <c r="AT297">
        <v>123431.1514</v>
      </c>
      <c r="AU297">
        <v>124102.45110000001</v>
      </c>
      <c r="AV297">
        <v>124754.2381</v>
      </c>
      <c r="AW297">
        <v>125408.1202</v>
      </c>
    </row>
    <row r="298" spans="2:49" x14ac:dyDescent="0.25">
      <c r="B298" t="s">
        <v>300</v>
      </c>
      <c r="C298">
        <v>45689.201708803201</v>
      </c>
      <c r="D298">
        <v>46422.756620829103</v>
      </c>
      <c r="E298">
        <v>47168.089010000003</v>
      </c>
      <c r="F298">
        <v>49526.52895</v>
      </c>
      <c r="G298">
        <v>49189.323729999996</v>
      </c>
      <c r="H298">
        <v>50577.665509999999</v>
      </c>
      <c r="I298">
        <v>51404.659030000003</v>
      </c>
      <c r="J298">
        <v>52652.29189</v>
      </c>
      <c r="K298">
        <v>53240.421770000001</v>
      </c>
      <c r="L298">
        <v>54441.881390000002</v>
      </c>
      <c r="M298">
        <v>56442.274799999999</v>
      </c>
      <c r="N298">
        <v>57916.760419999999</v>
      </c>
      <c r="O298">
        <v>56790.046549999999</v>
      </c>
      <c r="P298">
        <v>56687.282290000003</v>
      </c>
      <c r="Q298">
        <v>56747.768029999999</v>
      </c>
      <c r="R298">
        <v>55974.758280000002</v>
      </c>
      <c r="S298">
        <v>56547.996440000003</v>
      </c>
      <c r="T298">
        <v>56516.294699999999</v>
      </c>
      <c r="U298">
        <v>56388.970679999999</v>
      </c>
      <c r="V298">
        <v>56254.180350000002</v>
      </c>
      <c r="W298">
        <v>55974.155650000001</v>
      </c>
      <c r="X298">
        <v>55664.8626</v>
      </c>
      <c r="Y298">
        <v>55409.21</v>
      </c>
      <c r="Z298">
        <v>55258.398009999997</v>
      </c>
      <c r="AA298">
        <v>55214.919900000001</v>
      </c>
      <c r="AB298">
        <v>55252.533790000001</v>
      </c>
      <c r="AC298">
        <v>55359.742689999999</v>
      </c>
      <c r="AD298">
        <v>55489.44889</v>
      </c>
      <c r="AE298">
        <v>55648.073859999997</v>
      </c>
      <c r="AF298">
        <v>55830.375970000001</v>
      </c>
      <c r="AG298">
        <v>56034.3338</v>
      </c>
      <c r="AH298">
        <v>56260.084049999998</v>
      </c>
      <c r="AI298">
        <v>56504.36969</v>
      </c>
      <c r="AJ298">
        <v>56764.978439999999</v>
      </c>
      <c r="AK298">
        <v>57034.523529999999</v>
      </c>
      <c r="AL298">
        <v>57313.917820000002</v>
      </c>
      <c r="AM298">
        <v>57598.368470000001</v>
      </c>
      <c r="AN298">
        <v>57934.873590000003</v>
      </c>
      <c r="AO298">
        <v>58284.309229999999</v>
      </c>
      <c r="AP298">
        <v>58630.705020000001</v>
      </c>
      <c r="AQ298">
        <v>58970.924299999999</v>
      </c>
      <c r="AR298">
        <v>59299.249909999999</v>
      </c>
      <c r="AS298">
        <v>59613.372049999998</v>
      </c>
      <c r="AT298">
        <v>59914.023410000002</v>
      </c>
      <c r="AU298">
        <v>60199.967960000002</v>
      </c>
      <c r="AV298">
        <v>60470.056900000003</v>
      </c>
      <c r="AW298">
        <v>60734.0939</v>
      </c>
    </row>
    <row r="299" spans="2:49" x14ac:dyDescent="0.25">
      <c r="B299" t="s">
        <v>301</v>
      </c>
      <c r="C299">
        <v>562444.78102118894</v>
      </c>
      <c r="D299">
        <v>571475.01390840299</v>
      </c>
      <c r="E299">
        <v>580650.23010000004</v>
      </c>
      <c r="F299">
        <v>598711.18119999999</v>
      </c>
      <c r="G299">
        <v>601302.35640000005</v>
      </c>
      <c r="H299">
        <v>618254.22450000001</v>
      </c>
      <c r="I299">
        <v>629273.33019999997</v>
      </c>
      <c r="J299">
        <v>643578.0919</v>
      </c>
      <c r="K299">
        <v>659570.36589999998</v>
      </c>
      <c r="L299">
        <v>680782.07160000002</v>
      </c>
      <c r="M299">
        <v>707668.81539999996</v>
      </c>
      <c r="N299">
        <v>726436.33310000005</v>
      </c>
      <c r="O299">
        <v>721131.15060000005</v>
      </c>
      <c r="P299">
        <v>719922.1422</v>
      </c>
      <c r="Q299">
        <v>718558.47479999997</v>
      </c>
      <c r="R299">
        <v>716020.36100000003</v>
      </c>
      <c r="S299">
        <v>721840.91879999998</v>
      </c>
      <c r="T299">
        <v>726382.50430000003</v>
      </c>
      <c r="U299">
        <v>727341.38769999996</v>
      </c>
      <c r="V299">
        <v>727547.01690000005</v>
      </c>
      <c r="W299">
        <v>726252.41949999996</v>
      </c>
      <c r="X299">
        <v>724127.05319999997</v>
      </c>
      <c r="Y299">
        <v>722951.03500000003</v>
      </c>
      <c r="Z299">
        <v>722874.06770000001</v>
      </c>
      <c r="AA299">
        <v>723742.07869999995</v>
      </c>
      <c r="AB299">
        <v>725296.98270000005</v>
      </c>
      <c r="AC299">
        <v>727355.84039999999</v>
      </c>
      <c r="AD299">
        <v>729575.51899999997</v>
      </c>
      <c r="AE299">
        <v>731913.73510000005</v>
      </c>
      <c r="AF299">
        <v>734313.95349999995</v>
      </c>
      <c r="AG299">
        <v>736758.19090000005</v>
      </c>
      <c r="AH299">
        <v>739261.96699999995</v>
      </c>
      <c r="AI299">
        <v>741786.7169</v>
      </c>
      <c r="AJ299">
        <v>744358.98549999995</v>
      </c>
      <c r="AK299">
        <v>746975.28850000002</v>
      </c>
      <c r="AL299">
        <v>749664.6</v>
      </c>
      <c r="AM299">
        <v>752421.23529999994</v>
      </c>
      <c r="AN299">
        <v>755509.09230000002</v>
      </c>
      <c r="AO299">
        <v>758769.34849999996</v>
      </c>
      <c r="AP299">
        <v>762107.46620000002</v>
      </c>
      <c r="AQ299">
        <v>765489.95059999998</v>
      </c>
      <c r="AR299">
        <v>768869.31110000005</v>
      </c>
      <c r="AS299">
        <v>772207.77579999994</v>
      </c>
      <c r="AT299">
        <v>775504.48199999996</v>
      </c>
      <c r="AU299">
        <v>778750.41310000001</v>
      </c>
      <c r="AV299">
        <v>781936.59019999998</v>
      </c>
      <c r="AW299">
        <v>785124.10979999998</v>
      </c>
    </row>
    <row r="300" spans="2:49" x14ac:dyDescent="0.25">
      <c r="B300" t="s">
        <v>302</v>
      </c>
      <c r="C300">
        <v>241047.76327865999</v>
      </c>
      <c r="D300">
        <v>244917.86308720699</v>
      </c>
      <c r="E300">
        <v>248850.0986</v>
      </c>
      <c r="F300">
        <v>262898.27980000002</v>
      </c>
      <c r="G300">
        <v>272241.5797</v>
      </c>
      <c r="H300">
        <v>287790.76390000002</v>
      </c>
      <c r="I300">
        <v>299414.87190000003</v>
      </c>
      <c r="J300">
        <v>315293.48210000002</v>
      </c>
      <c r="K300">
        <v>335053.53840000002</v>
      </c>
      <c r="L300">
        <v>357361.83149999997</v>
      </c>
      <c r="M300">
        <v>382940.67560000002</v>
      </c>
      <c r="N300">
        <v>405801.78539999999</v>
      </c>
      <c r="O300">
        <v>397150.76010000001</v>
      </c>
      <c r="P300">
        <v>389429.723</v>
      </c>
      <c r="Q300">
        <v>380440.76630000002</v>
      </c>
      <c r="R300">
        <v>367234.37349999999</v>
      </c>
      <c r="S300">
        <v>367295.0638</v>
      </c>
      <c r="T300">
        <v>369726.24790000002</v>
      </c>
      <c r="U300">
        <v>370764.53159999999</v>
      </c>
      <c r="V300">
        <v>371535.69420000003</v>
      </c>
      <c r="W300">
        <v>371853.41269999999</v>
      </c>
      <c r="X300">
        <v>371807.56809999997</v>
      </c>
      <c r="Y300">
        <v>372051.41220000002</v>
      </c>
      <c r="Z300">
        <v>372710.0724</v>
      </c>
      <c r="AA300">
        <v>373762.63520000002</v>
      </c>
      <c r="AB300">
        <v>374944.13459999999</v>
      </c>
      <c r="AC300">
        <v>376224.45779999997</v>
      </c>
      <c r="AD300">
        <v>377619.60369999998</v>
      </c>
      <c r="AE300">
        <v>379035.47820000001</v>
      </c>
      <c r="AF300">
        <v>380428.50640000001</v>
      </c>
      <c r="AG300">
        <v>381779.73979999998</v>
      </c>
      <c r="AH300">
        <v>383095.71049999999</v>
      </c>
      <c r="AI300">
        <v>384359.56800000003</v>
      </c>
      <c r="AJ300">
        <v>385593.467</v>
      </c>
      <c r="AK300">
        <v>386828.81060000003</v>
      </c>
      <c r="AL300">
        <v>388088.0601</v>
      </c>
      <c r="AM300">
        <v>389387.17259999999</v>
      </c>
      <c r="AN300">
        <v>390681.59720000002</v>
      </c>
      <c r="AO300">
        <v>392042.84139999998</v>
      </c>
      <c r="AP300">
        <v>393477.4437</v>
      </c>
      <c r="AQ300">
        <v>394983.07640000002</v>
      </c>
      <c r="AR300">
        <v>396547.20289999997</v>
      </c>
      <c r="AS300">
        <v>398153.67320000002</v>
      </c>
      <c r="AT300">
        <v>399798.97330000001</v>
      </c>
      <c r="AU300">
        <v>401477.56089999998</v>
      </c>
      <c r="AV300">
        <v>403184.79690000002</v>
      </c>
      <c r="AW300">
        <v>404934.18900000001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0C0"/>
  </sheetPr>
  <dimension ref="A1:AM56"/>
  <sheetViews>
    <sheetView zoomScale="90" zoomScaleNormal="90" workbookViewId="0">
      <selection activeCell="U5" sqref="U5"/>
    </sheetView>
  </sheetViews>
  <sheetFormatPr baseColWidth="10" defaultRowHeight="15" x14ac:dyDescent="0.25"/>
  <cols>
    <col min="2" max="2" width="14.42578125" customWidth="1"/>
    <col min="3" max="3" width="18.5703125" bestFit="1" customWidth="1"/>
    <col min="4" max="4" width="18.5703125" customWidth="1"/>
    <col min="5" max="6" width="5.5703125" customWidth="1"/>
    <col min="7" max="8" width="7.140625" customWidth="1"/>
    <col min="9" max="23" width="7.42578125" customWidth="1"/>
  </cols>
  <sheetData>
    <row r="1" spans="1:29" ht="28.5" x14ac:dyDescent="0.45">
      <c r="A1" s="224" t="s">
        <v>215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</row>
    <row r="2" spans="1:29" ht="23.25" x14ac:dyDescent="0.35">
      <c r="A2" s="70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9" ht="21" x14ac:dyDescent="0.35">
      <c r="A3" s="225" t="s">
        <v>199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9" ht="23.25" x14ac:dyDescent="0.35">
      <c r="A4" s="193" t="str">
        <f>Résultats!B1</f>
        <v>TEND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</row>
    <row r="5" spans="1:29" ht="23.25" x14ac:dyDescent="0.35">
      <c r="A5" s="70"/>
      <c r="B5" s="3"/>
      <c r="C5" s="3"/>
      <c r="D5" s="7"/>
      <c r="E5" s="237">
        <v>4</v>
      </c>
      <c r="F5" s="237">
        <f>E5+9</f>
        <v>13</v>
      </c>
      <c r="G5" s="237">
        <f>F5+3</f>
        <v>16</v>
      </c>
      <c r="H5" s="237">
        <f t="shared" ref="H5:S5" si="0">G5+1</f>
        <v>17</v>
      </c>
      <c r="I5" s="237">
        <f t="shared" si="0"/>
        <v>18</v>
      </c>
      <c r="J5" s="237">
        <f t="shared" si="0"/>
        <v>19</v>
      </c>
      <c r="K5" s="237">
        <f t="shared" si="0"/>
        <v>20</v>
      </c>
      <c r="L5" s="237">
        <f t="shared" si="0"/>
        <v>21</v>
      </c>
      <c r="M5" s="237">
        <f t="shared" si="0"/>
        <v>22</v>
      </c>
      <c r="N5" s="237">
        <f t="shared" si="0"/>
        <v>23</v>
      </c>
      <c r="O5" s="237">
        <f t="shared" si="0"/>
        <v>24</v>
      </c>
      <c r="P5" s="237">
        <f t="shared" si="0"/>
        <v>25</v>
      </c>
      <c r="Q5" s="237">
        <f t="shared" si="0"/>
        <v>26</v>
      </c>
      <c r="R5" s="237">
        <f t="shared" si="0"/>
        <v>27</v>
      </c>
      <c r="S5" s="237">
        <f t="shared" si="0"/>
        <v>28</v>
      </c>
      <c r="T5" s="237">
        <f>S5+5</f>
        <v>33</v>
      </c>
      <c r="U5" s="237">
        <f>T5+5</f>
        <v>38</v>
      </c>
      <c r="V5" s="237">
        <f>U5+5</f>
        <v>43</v>
      </c>
      <c r="W5" s="237">
        <f>V5+5</f>
        <v>48</v>
      </c>
      <c r="X5" s="3"/>
    </row>
    <row r="6" spans="1:29" x14ac:dyDescent="0.25">
      <c r="A6" s="3"/>
      <c r="B6" s="204"/>
      <c r="C6" s="2"/>
      <c r="D6" s="18"/>
      <c r="E6" s="4">
        <v>2006</v>
      </c>
      <c r="F6" s="4">
        <v>2015</v>
      </c>
      <c r="G6" s="26">
        <v>2018</v>
      </c>
      <c r="H6" s="33">
        <v>2019</v>
      </c>
      <c r="I6" s="108">
        <v>2020</v>
      </c>
      <c r="J6" s="116">
        <v>2021</v>
      </c>
      <c r="K6" s="33">
        <v>2022</v>
      </c>
      <c r="L6" s="33">
        <v>2023</v>
      </c>
      <c r="M6" s="33">
        <v>2024</v>
      </c>
      <c r="N6" s="108">
        <v>2025</v>
      </c>
      <c r="O6" s="116">
        <v>2026</v>
      </c>
      <c r="P6" s="33">
        <v>2027</v>
      </c>
      <c r="Q6" s="33">
        <v>2028</v>
      </c>
      <c r="R6" s="33">
        <v>2029</v>
      </c>
      <c r="S6" s="117">
        <v>2030</v>
      </c>
      <c r="T6" s="118">
        <v>2035</v>
      </c>
      <c r="U6" s="118">
        <v>2040</v>
      </c>
      <c r="V6" s="118">
        <v>2045</v>
      </c>
      <c r="W6" s="118">
        <v>2050</v>
      </c>
      <c r="X6" s="3"/>
      <c r="Y6" s="44"/>
      <c r="Z6" s="51" t="s">
        <v>208</v>
      </c>
      <c r="AA6" s="51"/>
      <c r="AB6" s="51"/>
      <c r="AC6" s="53"/>
    </row>
    <row r="7" spans="1:29" ht="15" customHeight="1" x14ac:dyDescent="0.25">
      <c r="A7" s="3"/>
      <c r="B7" s="273" t="s">
        <v>0</v>
      </c>
      <c r="C7" s="5" t="s">
        <v>1</v>
      </c>
      <c r="D7" s="2"/>
      <c r="E7" s="6" t="e">
        <f>SUM(E8:E9)</f>
        <v>#N/A</v>
      </c>
      <c r="F7" s="6" t="e">
        <f>SUM(F8:F9)</f>
        <v>#N/A</v>
      </c>
      <c r="G7" s="109" t="e">
        <f t="shared" ref="G7:R7" si="1">SUM(G8:G9)</f>
        <v>#N/A</v>
      </c>
      <c r="H7" s="6" t="e">
        <f t="shared" si="1"/>
        <v>#N/A</v>
      </c>
      <c r="I7" s="110" t="e">
        <f t="shared" si="1"/>
        <v>#N/A</v>
      </c>
      <c r="J7" s="109" t="e">
        <f t="shared" si="1"/>
        <v>#N/A</v>
      </c>
      <c r="K7" s="6" t="e">
        <f t="shared" si="1"/>
        <v>#N/A</v>
      </c>
      <c r="L7" s="6" t="e">
        <f t="shared" si="1"/>
        <v>#N/A</v>
      </c>
      <c r="M7" s="6" t="e">
        <f t="shared" si="1"/>
        <v>#N/A</v>
      </c>
      <c r="N7" s="110" t="e">
        <f t="shared" si="1"/>
        <v>#N/A</v>
      </c>
      <c r="O7" s="109" t="e">
        <f t="shared" si="1"/>
        <v>#N/A</v>
      </c>
      <c r="P7" s="6" t="e">
        <f t="shared" si="1"/>
        <v>#N/A</v>
      </c>
      <c r="Q7" s="6" t="e">
        <f t="shared" si="1"/>
        <v>#N/A</v>
      </c>
      <c r="R7" s="6" t="e">
        <f t="shared" si="1"/>
        <v>#N/A</v>
      </c>
      <c r="S7" s="110" t="e">
        <f>SUM(S8:S9)</f>
        <v>#N/A</v>
      </c>
      <c r="T7" s="119" t="e">
        <f>SUM(T8:T9)</f>
        <v>#N/A</v>
      </c>
      <c r="U7" s="119" t="e">
        <f>SUM(U8:U9)</f>
        <v>#N/A</v>
      </c>
      <c r="V7" s="119" t="e">
        <f>SUM(V8:V9)</f>
        <v>#N/A</v>
      </c>
      <c r="W7" s="119" t="e">
        <f>SUM(W8:W9)</f>
        <v>#N/A</v>
      </c>
      <c r="X7" s="3"/>
      <c r="Y7" s="34"/>
      <c r="Z7" s="207"/>
      <c r="AA7" s="208">
        <v>2020</v>
      </c>
      <c r="AB7" s="208">
        <v>2030</v>
      </c>
      <c r="AC7" s="209">
        <v>2050</v>
      </c>
    </row>
    <row r="8" spans="1:29" x14ac:dyDescent="0.25">
      <c r="A8" s="3"/>
      <c r="B8" s="274"/>
      <c r="C8" s="3" t="s">
        <v>2</v>
      </c>
      <c r="D8" s="18" t="s">
        <v>112</v>
      </c>
      <c r="E8" s="19" t="e">
        <f>VLOOKUP($D8,Résultats!$B$2:$AX$476,E$5,FALSE)</f>
        <v>#N/A</v>
      </c>
      <c r="F8" s="19" t="e">
        <f>VLOOKUP($D8,Résultats!$B$2:$AX$476,F$5,FALSE)</f>
        <v>#N/A</v>
      </c>
      <c r="G8" s="28" t="e">
        <f>VLOOKUP($D8,Résultats!$B$2:$AX$476,G$5,FALSE)</f>
        <v>#N/A</v>
      </c>
      <c r="H8" s="19" t="e">
        <f>VLOOKUP($D8,Résultats!$B$2:$AX$476,H$5,FALSE)</f>
        <v>#N/A</v>
      </c>
      <c r="I8" s="111" t="e">
        <f>VLOOKUP($D8,Résultats!$B$2:$AX$476,I$5,FALSE)</f>
        <v>#N/A</v>
      </c>
      <c r="J8" s="28" t="e">
        <f>VLOOKUP($D8,Résultats!$B$2:$AX$476,J$5,FALSE)</f>
        <v>#N/A</v>
      </c>
      <c r="K8" s="19" t="e">
        <f>VLOOKUP($D8,Résultats!$B$2:$AX$476,K$5,FALSE)</f>
        <v>#N/A</v>
      </c>
      <c r="L8" s="19" t="e">
        <f>VLOOKUP($D8,Résultats!$B$2:$AX$476,L$5,FALSE)</f>
        <v>#N/A</v>
      </c>
      <c r="M8" s="19" t="e">
        <f>VLOOKUP($D8,Résultats!$B$2:$AX$476,M$5,FALSE)</f>
        <v>#N/A</v>
      </c>
      <c r="N8" s="111" t="e">
        <f>VLOOKUP($D8,Résultats!$B$2:$AX$476,N$5,FALSE)</f>
        <v>#N/A</v>
      </c>
      <c r="O8" s="28" t="e">
        <f>VLOOKUP($D8,Résultats!$B$2:$AX$476,O$5,FALSE)</f>
        <v>#N/A</v>
      </c>
      <c r="P8" s="19" t="e">
        <f>VLOOKUP($D8,Résultats!$B$2:$AX$476,P$5,FALSE)</f>
        <v>#N/A</v>
      </c>
      <c r="Q8" s="19" t="e">
        <f>VLOOKUP($D8,Résultats!$B$2:$AX$476,Q$5,FALSE)</f>
        <v>#N/A</v>
      </c>
      <c r="R8" s="19" t="e">
        <f>VLOOKUP($D8,Résultats!$B$2:$AX$476,R$5,FALSE)</f>
        <v>#N/A</v>
      </c>
      <c r="S8" s="111" t="e">
        <f>VLOOKUP($D8,Résultats!$B$2:$AX$476,S$5,FALSE)</f>
        <v>#N/A</v>
      </c>
      <c r="T8" s="120" t="e">
        <f>VLOOKUP($D8,Résultats!$B$2:$AX$476,T$5,FALSE)</f>
        <v>#N/A</v>
      </c>
      <c r="U8" s="120" t="e">
        <f>VLOOKUP($D8,Résultats!$B$2:$AX$476,U$5,FALSE)</f>
        <v>#N/A</v>
      </c>
      <c r="V8" s="120" t="e">
        <f>VLOOKUP($D8,Résultats!$B$2:$AX$476,V$5,FALSE)</f>
        <v>#N/A</v>
      </c>
      <c r="W8" s="120" t="e">
        <f>VLOOKUP($D8,Résultats!$B$2:$AX$476,W$5,FALSE)</f>
        <v>#N/A</v>
      </c>
      <c r="X8" s="3"/>
      <c r="Y8" s="34"/>
      <c r="Z8" s="212" t="s">
        <v>150</v>
      </c>
      <c r="AA8" s="214" t="e">
        <f>I27</f>
        <v>#N/A</v>
      </c>
      <c r="AB8" s="214" t="e">
        <f>S27</f>
        <v>#N/A</v>
      </c>
      <c r="AC8" s="215" t="e">
        <f>W27</f>
        <v>#N/A</v>
      </c>
    </row>
    <row r="9" spans="1:29" x14ac:dyDescent="0.25">
      <c r="A9" s="3"/>
      <c r="B9" s="275"/>
      <c r="C9" s="7" t="s">
        <v>3</v>
      </c>
      <c r="D9" s="18" t="s">
        <v>113</v>
      </c>
      <c r="E9" s="19" t="e">
        <f>VLOOKUP($D9,Résultats!$B$2:$AX$476,E$5,FALSE)</f>
        <v>#N/A</v>
      </c>
      <c r="F9" s="19" t="e">
        <f>VLOOKUP($D9,Résultats!$B$2:$AX$476,F$5,FALSE)</f>
        <v>#N/A</v>
      </c>
      <c r="G9" s="28" t="e">
        <f>VLOOKUP($D9,Résultats!$B$2:$AX$476,G$5,FALSE)</f>
        <v>#N/A</v>
      </c>
      <c r="H9" s="19" t="e">
        <f>VLOOKUP($D9,Résultats!$B$2:$AX$476,H$5,FALSE)</f>
        <v>#N/A</v>
      </c>
      <c r="I9" s="111" t="e">
        <f>VLOOKUP($D9,Résultats!$B$2:$AX$476,I$5,FALSE)</f>
        <v>#N/A</v>
      </c>
      <c r="J9" s="28" t="e">
        <f>VLOOKUP($D9,Résultats!$B$2:$AX$476,J$5,FALSE)</f>
        <v>#N/A</v>
      </c>
      <c r="K9" s="19" t="e">
        <f>VLOOKUP($D9,Résultats!$B$2:$AX$476,K$5,FALSE)</f>
        <v>#N/A</v>
      </c>
      <c r="L9" s="19" t="e">
        <f>VLOOKUP($D9,Résultats!$B$2:$AX$476,L$5,FALSE)</f>
        <v>#N/A</v>
      </c>
      <c r="M9" s="19" t="e">
        <f>VLOOKUP($D9,Résultats!$B$2:$AX$476,M$5,FALSE)</f>
        <v>#N/A</v>
      </c>
      <c r="N9" s="111" t="e">
        <f>VLOOKUP($D9,Résultats!$B$2:$AX$476,N$5,FALSE)</f>
        <v>#N/A</v>
      </c>
      <c r="O9" s="28" t="e">
        <f>VLOOKUP($D9,Résultats!$B$2:$AX$476,O$5,FALSE)</f>
        <v>#N/A</v>
      </c>
      <c r="P9" s="19" t="e">
        <f>VLOOKUP($D9,Résultats!$B$2:$AX$476,P$5,FALSE)</f>
        <v>#N/A</v>
      </c>
      <c r="Q9" s="19" t="e">
        <f>VLOOKUP($D9,Résultats!$B$2:$AX$476,Q$5,FALSE)</f>
        <v>#N/A</v>
      </c>
      <c r="R9" s="19" t="e">
        <f>VLOOKUP($D9,Résultats!$B$2:$AX$476,R$5,FALSE)</f>
        <v>#N/A</v>
      </c>
      <c r="S9" s="111" t="e">
        <f>VLOOKUP($D9,Résultats!$B$2:$AX$476,S$5,FALSE)</f>
        <v>#N/A</v>
      </c>
      <c r="T9" s="120" t="e">
        <f>VLOOKUP($D9,Résultats!$B$2:$AX$476,T$5,FALSE)</f>
        <v>#N/A</v>
      </c>
      <c r="U9" s="120" t="e">
        <f>VLOOKUP($D9,Résultats!$B$2:$AX$476,U$5,FALSE)</f>
        <v>#N/A</v>
      </c>
      <c r="V9" s="120" t="e">
        <f>VLOOKUP($D9,Résultats!$B$2:$AX$476,V$5,FALSE)</f>
        <v>#N/A</v>
      </c>
      <c r="W9" s="120" t="e">
        <f>VLOOKUP($D9,Résultats!$B$2:$AX$476,W$5,FALSE)</f>
        <v>#N/A</v>
      </c>
      <c r="X9" s="3"/>
      <c r="Y9" s="34"/>
      <c r="Z9" s="34"/>
      <c r="AA9" s="34"/>
      <c r="AB9" s="34"/>
      <c r="AC9" s="34"/>
    </row>
    <row r="10" spans="1:29" ht="15" customHeight="1" x14ac:dyDescent="0.25">
      <c r="A10" s="3"/>
      <c r="B10" s="273" t="s">
        <v>4</v>
      </c>
      <c r="C10" s="5" t="s">
        <v>1</v>
      </c>
      <c r="D10" s="2"/>
      <c r="E10" s="8" t="e">
        <f>SUM(E11:E18)</f>
        <v>#N/A</v>
      </c>
      <c r="F10" s="8" t="e">
        <f>SUM(F11:F18)</f>
        <v>#N/A</v>
      </c>
      <c r="G10" s="27" t="e">
        <f t="shared" ref="G10:R10" si="2">SUM(G11:G18)</f>
        <v>#N/A</v>
      </c>
      <c r="H10" s="8" t="e">
        <f t="shared" si="2"/>
        <v>#N/A</v>
      </c>
      <c r="I10" s="112" t="e">
        <f t="shared" si="2"/>
        <v>#N/A</v>
      </c>
      <c r="J10" s="27" t="e">
        <f t="shared" si="2"/>
        <v>#N/A</v>
      </c>
      <c r="K10" s="8" t="e">
        <f t="shared" si="2"/>
        <v>#N/A</v>
      </c>
      <c r="L10" s="8" t="e">
        <f t="shared" si="2"/>
        <v>#N/A</v>
      </c>
      <c r="M10" s="8" t="e">
        <f t="shared" si="2"/>
        <v>#N/A</v>
      </c>
      <c r="N10" s="112" t="e">
        <f t="shared" si="2"/>
        <v>#N/A</v>
      </c>
      <c r="O10" s="27" t="e">
        <f t="shared" si="2"/>
        <v>#N/A</v>
      </c>
      <c r="P10" s="8" t="e">
        <f t="shared" si="2"/>
        <v>#N/A</v>
      </c>
      <c r="Q10" s="8" t="e">
        <f t="shared" si="2"/>
        <v>#N/A</v>
      </c>
      <c r="R10" s="8" t="e">
        <f t="shared" si="2"/>
        <v>#N/A</v>
      </c>
      <c r="S10" s="112" t="e">
        <f>SUM(S11:S18)</f>
        <v>#N/A</v>
      </c>
      <c r="T10" s="121" t="e">
        <f>SUM(T11:T18)</f>
        <v>#N/A</v>
      </c>
      <c r="U10" s="121" t="e">
        <f>SUM(U11:U18)</f>
        <v>#N/A</v>
      </c>
      <c r="V10" s="121" t="e">
        <f>SUM(V11:V18)</f>
        <v>#N/A</v>
      </c>
      <c r="W10" s="121" t="e">
        <f>SUM(W11:W18)</f>
        <v>#N/A</v>
      </c>
      <c r="X10" s="3"/>
      <c r="Y10" s="34"/>
      <c r="Z10" s="34"/>
      <c r="AA10" s="34"/>
      <c r="AB10" s="34"/>
      <c r="AC10" s="34"/>
    </row>
    <row r="11" spans="1:29" x14ac:dyDescent="0.25">
      <c r="A11" s="3"/>
      <c r="B11" s="274"/>
      <c r="C11" s="3" t="s">
        <v>5</v>
      </c>
      <c r="D11" s="3" t="s">
        <v>114</v>
      </c>
      <c r="E11" s="19" t="e">
        <f>VLOOKUP($D11,Résultats!$B$2:$AX$476,E$5,FALSE)</f>
        <v>#N/A</v>
      </c>
      <c r="F11" s="19" t="e">
        <f>VLOOKUP($D11,Résultats!$B$2:$AX$476,F$5,FALSE)</f>
        <v>#N/A</v>
      </c>
      <c r="G11" s="28" t="e">
        <f>VLOOKUP($D11,Résultats!$B$2:$AX$476,G$5,FALSE)</f>
        <v>#N/A</v>
      </c>
      <c r="H11" s="19" t="e">
        <f>VLOOKUP($D11,Résultats!$B$2:$AX$476,H$5,FALSE)</f>
        <v>#N/A</v>
      </c>
      <c r="I11" s="111" t="e">
        <f>VLOOKUP($D11,Résultats!$B$2:$AX$476,I$5,FALSE)</f>
        <v>#N/A</v>
      </c>
      <c r="J11" s="28" t="e">
        <f>VLOOKUP($D11,Résultats!$B$2:$AX$476,J$5,FALSE)</f>
        <v>#N/A</v>
      </c>
      <c r="K11" s="19" t="e">
        <f>VLOOKUP($D11,Résultats!$B$2:$AX$476,K$5,FALSE)</f>
        <v>#N/A</v>
      </c>
      <c r="L11" s="19" t="e">
        <f>VLOOKUP($D11,Résultats!$B$2:$AX$476,L$5,FALSE)</f>
        <v>#N/A</v>
      </c>
      <c r="M11" s="19" t="e">
        <f>VLOOKUP($D11,Résultats!$B$2:$AX$476,M$5,FALSE)</f>
        <v>#N/A</v>
      </c>
      <c r="N11" s="111" t="e">
        <f>VLOOKUP($D11,Résultats!$B$2:$AX$476,N$5,FALSE)</f>
        <v>#N/A</v>
      </c>
      <c r="O11" s="28" t="e">
        <f>VLOOKUP($D11,Résultats!$B$2:$AX$476,O$5,FALSE)</f>
        <v>#N/A</v>
      </c>
      <c r="P11" s="19" t="e">
        <f>VLOOKUP($D11,Résultats!$B$2:$AX$476,P$5,FALSE)</f>
        <v>#N/A</v>
      </c>
      <c r="Q11" s="19" t="e">
        <f>VLOOKUP($D11,Résultats!$B$2:$AX$476,Q$5,FALSE)</f>
        <v>#N/A</v>
      </c>
      <c r="R11" s="19" t="e">
        <f>VLOOKUP($D11,Résultats!$B$2:$AX$476,R$5,FALSE)</f>
        <v>#N/A</v>
      </c>
      <c r="S11" s="111" t="e">
        <f>VLOOKUP($D11,Résultats!$B$2:$AX$476,S$5,FALSE)</f>
        <v>#N/A</v>
      </c>
      <c r="T11" s="120" t="e">
        <f>VLOOKUP($D11,Résultats!$B$2:$AX$476,T$5,FALSE)</f>
        <v>#N/A</v>
      </c>
      <c r="U11" s="120" t="e">
        <f>VLOOKUP($D11,Résultats!$B$2:$AX$476,U$5,FALSE)</f>
        <v>#N/A</v>
      </c>
      <c r="V11" s="120" t="e">
        <f>VLOOKUP($D11,Résultats!$B$2:$AX$476,V$5,FALSE)</f>
        <v>#N/A</v>
      </c>
      <c r="W11" s="120" t="e">
        <f>VLOOKUP($D11,Résultats!$B$2:$AX$476,W$5,FALSE)</f>
        <v>#N/A</v>
      </c>
      <c r="X11" s="3"/>
      <c r="Y11" s="34"/>
      <c r="Z11" s="34"/>
      <c r="AA11" s="34"/>
      <c r="AB11" s="34"/>
      <c r="AC11" s="34"/>
    </row>
    <row r="12" spans="1:29" x14ac:dyDescent="0.25">
      <c r="A12" s="3"/>
      <c r="B12" s="274"/>
      <c r="C12" s="3" t="s">
        <v>6</v>
      </c>
      <c r="D12" s="3" t="s">
        <v>115</v>
      </c>
      <c r="E12" s="19" t="e">
        <f>VLOOKUP($D12,Résultats!$B$2:$AX$476,E$5,FALSE)</f>
        <v>#N/A</v>
      </c>
      <c r="F12" s="19" t="e">
        <f>VLOOKUP($D12,Résultats!$B$2:$AX$476,F$5,FALSE)</f>
        <v>#N/A</v>
      </c>
      <c r="G12" s="28" t="e">
        <f>VLOOKUP($D12,Résultats!$B$2:$AX$476,G$5,FALSE)</f>
        <v>#N/A</v>
      </c>
      <c r="H12" s="19" t="e">
        <f>VLOOKUP($D12,Résultats!$B$2:$AX$476,H$5,FALSE)</f>
        <v>#N/A</v>
      </c>
      <c r="I12" s="111" t="e">
        <f>VLOOKUP($D12,Résultats!$B$2:$AX$476,I$5,FALSE)</f>
        <v>#N/A</v>
      </c>
      <c r="J12" s="28" t="e">
        <f>VLOOKUP($D12,Résultats!$B$2:$AX$476,J$5,FALSE)</f>
        <v>#N/A</v>
      </c>
      <c r="K12" s="19" t="e">
        <f>VLOOKUP($D12,Résultats!$B$2:$AX$476,K$5,FALSE)</f>
        <v>#N/A</v>
      </c>
      <c r="L12" s="19" t="e">
        <f>VLOOKUP($D12,Résultats!$B$2:$AX$476,L$5,FALSE)</f>
        <v>#N/A</v>
      </c>
      <c r="M12" s="19" t="e">
        <f>VLOOKUP($D12,Résultats!$B$2:$AX$476,M$5,FALSE)</f>
        <v>#N/A</v>
      </c>
      <c r="N12" s="111" t="e">
        <f>VLOOKUP($D12,Résultats!$B$2:$AX$476,N$5,FALSE)</f>
        <v>#N/A</v>
      </c>
      <c r="O12" s="28" t="e">
        <f>VLOOKUP($D12,Résultats!$B$2:$AX$476,O$5,FALSE)</f>
        <v>#N/A</v>
      </c>
      <c r="P12" s="19" t="e">
        <f>VLOOKUP($D12,Résultats!$B$2:$AX$476,P$5,FALSE)</f>
        <v>#N/A</v>
      </c>
      <c r="Q12" s="19" t="e">
        <f>VLOOKUP($D12,Résultats!$B$2:$AX$476,Q$5,FALSE)</f>
        <v>#N/A</v>
      </c>
      <c r="R12" s="19" t="e">
        <f>VLOOKUP($D12,Résultats!$B$2:$AX$476,R$5,FALSE)</f>
        <v>#N/A</v>
      </c>
      <c r="S12" s="111" t="e">
        <f>VLOOKUP($D12,Résultats!$B$2:$AX$476,S$5,FALSE)</f>
        <v>#N/A</v>
      </c>
      <c r="T12" s="120" t="e">
        <f>VLOOKUP($D12,Résultats!$B$2:$AX$476,T$5,FALSE)</f>
        <v>#N/A</v>
      </c>
      <c r="U12" s="120" t="e">
        <f>VLOOKUP($D12,Résultats!$B$2:$AX$476,U$5,FALSE)</f>
        <v>#N/A</v>
      </c>
      <c r="V12" s="120" t="e">
        <f>VLOOKUP($D12,Résultats!$B$2:$AX$476,V$5,FALSE)</f>
        <v>#N/A</v>
      </c>
      <c r="W12" s="120" t="e">
        <f>VLOOKUP($D12,Résultats!$B$2:$AX$476,W$5,FALSE)</f>
        <v>#N/A</v>
      </c>
      <c r="X12" s="3"/>
      <c r="Y12" s="34"/>
      <c r="Z12" s="216"/>
      <c r="AA12" s="217"/>
      <c r="AB12" s="217"/>
      <c r="AC12" s="217"/>
    </row>
    <row r="13" spans="1:29" x14ac:dyDescent="0.25">
      <c r="A13" s="3"/>
      <c r="B13" s="274"/>
      <c r="C13" s="3" t="s">
        <v>7</v>
      </c>
      <c r="D13" s="3" t="s">
        <v>116</v>
      </c>
      <c r="E13" s="19" t="e">
        <f>VLOOKUP($D13,Résultats!$B$2:$AX$476,E$5,FALSE)</f>
        <v>#N/A</v>
      </c>
      <c r="F13" s="19" t="e">
        <f>VLOOKUP($D13,Résultats!$B$2:$AX$476,F$5,FALSE)</f>
        <v>#N/A</v>
      </c>
      <c r="G13" s="28" t="e">
        <f>VLOOKUP($D13,Résultats!$B$2:$AX$476,G$5,FALSE)</f>
        <v>#N/A</v>
      </c>
      <c r="H13" s="19" t="e">
        <f>VLOOKUP($D13,Résultats!$B$2:$AX$476,H$5,FALSE)</f>
        <v>#N/A</v>
      </c>
      <c r="I13" s="111" t="e">
        <f>VLOOKUP($D13,Résultats!$B$2:$AX$476,I$5,FALSE)</f>
        <v>#N/A</v>
      </c>
      <c r="J13" s="28" t="e">
        <f>VLOOKUP($D13,Résultats!$B$2:$AX$476,J$5,FALSE)</f>
        <v>#N/A</v>
      </c>
      <c r="K13" s="19" t="e">
        <f>VLOOKUP($D13,Résultats!$B$2:$AX$476,K$5,FALSE)</f>
        <v>#N/A</v>
      </c>
      <c r="L13" s="19" t="e">
        <f>VLOOKUP($D13,Résultats!$B$2:$AX$476,L$5,FALSE)</f>
        <v>#N/A</v>
      </c>
      <c r="M13" s="19" t="e">
        <f>VLOOKUP($D13,Résultats!$B$2:$AX$476,M$5,FALSE)</f>
        <v>#N/A</v>
      </c>
      <c r="N13" s="111" t="e">
        <f>VLOOKUP($D13,Résultats!$B$2:$AX$476,N$5,FALSE)</f>
        <v>#N/A</v>
      </c>
      <c r="O13" s="28" t="e">
        <f>VLOOKUP($D13,Résultats!$B$2:$AX$476,O$5,FALSE)</f>
        <v>#N/A</v>
      </c>
      <c r="P13" s="19" t="e">
        <f>VLOOKUP($D13,Résultats!$B$2:$AX$476,P$5,FALSE)</f>
        <v>#N/A</v>
      </c>
      <c r="Q13" s="19" t="e">
        <f>VLOOKUP($D13,Résultats!$B$2:$AX$476,Q$5,FALSE)</f>
        <v>#N/A</v>
      </c>
      <c r="R13" s="19" t="e">
        <f>VLOOKUP($D13,Résultats!$B$2:$AX$476,R$5,FALSE)</f>
        <v>#N/A</v>
      </c>
      <c r="S13" s="111" t="e">
        <f>VLOOKUP($D13,Résultats!$B$2:$AX$476,S$5,FALSE)</f>
        <v>#N/A</v>
      </c>
      <c r="T13" s="120" t="e">
        <f>VLOOKUP($D13,Résultats!$B$2:$AX$476,T$5,FALSE)</f>
        <v>#N/A</v>
      </c>
      <c r="U13" s="120" t="e">
        <f>VLOOKUP($D13,Résultats!$B$2:$AX$476,U$5,FALSE)</f>
        <v>#N/A</v>
      </c>
      <c r="V13" s="120" t="e">
        <f>VLOOKUP($D13,Résultats!$B$2:$AX$476,V$5,FALSE)</f>
        <v>#N/A</v>
      </c>
      <c r="W13" s="120" t="e">
        <f>VLOOKUP($D13,Résultats!$B$2:$AX$476,W$5,FALSE)</f>
        <v>#N/A</v>
      </c>
      <c r="X13" s="3"/>
      <c r="Y13" s="34"/>
    </row>
    <row r="14" spans="1:29" x14ac:dyDescent="0.25">
      <c r="A14" s="3"/>
      <c r="B14" s="274"/>
      <c r="C14" s="3" t="s">
        <v>8</v>
      </c>
      <c r="D14" s="3" t="s">
        <v>117</v>
      </c>
      <c r="E14" s="19" t="e">
        <f>VLOOKUP($D14,Résultats!$B$2:$AX$476,E$5,FALSE)</f>
        <v>#N/A</v>
      </c>
      <c r="F14" s="19" t="e">
        <f>VLOOKUP($D14,Résultats!$B$2:$AX$476,F$5,FALSE)</f>
        <v>#N/A</v>
      </c>
      <c r="G14" s="28" t="e">
        <f>VLOOKUP($D14,Résultats!$B$2:$AX$476,G$5,FALSE)</f>
        <v>#N/A</v>
      </c>
      <c r="H14" s="19" t="e">
        <f>VLOOKUP($D14,Résultats!$B$2:$AX$476,H$5,FALSE)</f>
        <v>#N/A</v>
      </c>
      <c r="I14" s="111" t="e">
        <f>VLOOKUP($D14,Résultats!$B$2:$AX$476,I$5,FALSE)</f>
        <v>#N/A</v>
      </c>
      <c r="J14" s="28" t="e">
        <f>VLOOKUP($D14,Résultats!$B$2:$AX$476,J$5,FALSE)</f>
        <v>#N/A</v>
      </c>
      <c r="K14" s="19" t="e">
        <f>VLOOKUP($D14,Résultats!$B$2:$AX$476,K$5,FALSE)</f>
        <v>#N/A</v>
      </c>
      <c r="L14" s="19" t="e">
        <f>VLOOKUP($D14,Résultats!$B$2:$AX$476,L$5,FALSE)</f>
        <v>#N/A</v>
      </c>
      <c r="M14" s="19" t="e">
        <f>VLOOKUP($D14,Résultats!$B$2:$AX$476,M$5,FALSE)</f>
        <v>#N/A</v>
      </c>
      <c r="N14" s="111" t="e">
        <f>VLOOKUP($D14,Résultats!$B$2:$AX$476,N$5,FALSE)</f>
        <v>#N/A</v>
      </c>
      <c r="O14" s="28" t="e">
        <f>VLOOKUP($D14,Résultats!$B$2:$AX$476,O$5,FALSE)</f>
        <v>#N/A</v>
      </c>
      <c r="P14" s="19" t="e">
        <f>VLOOKUP($D14,Résultats!$B$2:$AX$476,P$5,FALSE)</f>
        <v>#N/A</v>
      </c>
      <c r="Q14" s="19" t="e">
        <f>VLOOKUP($D14,Résultats!$B$2:$AX$476,Q$5,FALSE)</f>
        <v>#N/A</v>
      </c>
      <c r="R14" s="19" t="e">
        <f>VLOOKUP($D14,Résultats!$B$2:$AX$476,R$5,FALSE)</f>
        <v>#N/A</v>
      </c>
      <c r="S14" s="111" t="e">
        <f>VLOOKUP($D14,Résultats!$B$2:$AX$476,S$5,FALSE)</f>
        <v>#N/A</v>
      </c>
      <c r="T14" s="120" t="e">
        <f>VLOOKUP($D14,Résultats!$B$2:$AX$476,T$5,FALSE)</f>
        <v>#N/A</v>
      </c>
      <c r="U14" s="120" t="e">
        <f>VLOOKUP($D14,Résultats!$B$2:$AX$476,U$5,FALSE)</f>
        <v>#N/A</v>
      </c>
      <c r="V14" s="120" t="e">
        <f>VLOOKUP($D14,Résultats!$B$2:$AX$476,V$5,FALSE)</f>
        <v>#N/A</v>
      </c>
      <c r="W14" s="120" t="e">
        <f>VLOOKUP($D14,Résultats!$B$2:$AX$476,W$5,FALSE)</f>
        <v>#N/A</v>
      </c>
      <c r="X14" s="3"/>
      <c r="Y14" s="34"/>
    </row>
    <row r="15" spans="1:29" x14ac:dyDescent="0.25">
      <c r="A15" s="3"/>
      <c r="B15" s="274"/>
      <c r="C15" s="3" t="s">
        <v>9</v>
      </c>
      <c r="D15" s="3" t="s">
        <v>118</v>
      </c>
      <c r="E15" s="19" t="e">
        <f>VLOOKUP($D15,Résultats!$B$2:$AX$476,E$5,FALSE)</f>
        <v>#N/A</v>
      </c>
      <c r="F15" s="19" t="e">
        <f>VLOOKUP($D15,Résultats!$B$2:$AX$476,F$5,FALSE)</f>
        <v>#N/A</v>
      </c>
      <c r="G15" s="28" t="e">
        <f>VLOOKUP($D15,Résultats!$B$2:$AX$476,G$5,FALSE)</f>
        <v>#N/A</v>
      </c>
      <c r="H15" s="19" t="e">
        <f>VLOOKUP($D15,Résultats!$B$2:$AX$476,H$5,FALSE)</f>
        <v>#N/A</v>
      </c>
      <c r="I15" s="111" t="e">
        <f>VLOOKUP($D15,Résultats!$B$2:$AX$476,I$5,FALSE)</f>
        <v>#N/A</v>
      </c>
      <c r="J15" s="28" t="e">
        <f>VLOOKUP($D15,Résultats!$B$2:$AX$476,J$5,FALSE)</f>
        <v>#N/A</v>
      </c>
      <c r="K15" s="19" t="e">
        <f>VLOOKUP($D15,Résultats!$B$2:$AX$476,K$5,FALSE)</f>
        <v>#N/A</v>
      </c>
      <c r="L15" s="19" t="e">
        <f>VLOOKUP($D15,Résultats!$B$2:$AX$476,L$5,FALSE)</f>
        <v>#N/A</v>
      </c>
      <c r="M15" s="19" t="e">
        <f>VLOOKUP($D15,Résultats!$B$2:$AX$476,M$5,FALSE)</f>
        <v>#N/A</v>
      </c>
      <c r="N15" s="111" t="e">
        <f>VLOOKUP($D15,Résultats!$B$2:$AX$476,N$5,FALSE)</f>
        <v>#N/A</v>
      </c>
      <c r="O15" s="28" t="e">
        <f>VLOOKUP($D15,Résultats!$B$2:$AX$476,O$5,FALSE)</f>
        <v>#N/A</v>
      </c>
      <c r="P15" s="19" t="e">
        <f>VLOOKUP($D15,Résultats!$B$2:$AX$476,P$5,FALSE)</f>
        <v>#N/A</v>
      </c>
      <c r="Q15" s="19" t="e">
        <f>VLOOKUP($D15,Résultats!$B$2:$AX$476,Q$5,FALSE)</f>
        <v>#N/A</v>
      </c>
      <c r="R15" s="19" t="e">
        <f>VLOOKUP($D15,Résultats!$B$2:$AX$476,R$5,FALSE)</f>
        <v>#N/A</v>
      </c>
      <c r="S15" s="111" t="e">
        <f>VLOOKUP($D15,Résultats!$B$2:$AX$476,S$5,FALSE)</f>
        <v>#N/A</v>
      </c>
      <c r="T15" s="120" t="e">
        <f>VLOOKUP($D15,Résultats!$B$2:$AX$476,T$5,FALSE)</f>
        <v>#N/A</v>
      </c>
      <c r="U15" s="120" t="e">
        <f>VLOOKUP($D15,Résultats!$B$2:$AX$476,U$5,FALSE)</f>
        <v>#N/A</v>
      </c>
      <c r="V15" s="120" t="e">
        <f>VLOOKUP($D15,Résultats!$B$2:$AX$476,V$5,FALSE)</f>
        <v>#N/A</v>
      </c>
      <c r="W15" s="120" t="e">
        <f>VLOOKUP($D15,Résultats!$B$2:$AX$476,W$5,FALSE)</f>
        <v>#N/A</v>
      </c>
      <c r="X15" s="3"/>
      <c r="Y15" s="34"/>
    </row>
    <row r="16" spans="1:29" x14ac:dyDescent="0.25">
      <c r="A16" s="3"/>
      <c r="B16" s="274"/>
      <c r="C16" s="3" t="s">
        <v>10</v>
      </c>
      <c r="D16" s="3" t="s">
        <v>119</v>
      </c>
      <c r="E16" s="19" t="e">
        <f>VLOOKUP($D16,Résultats!$B$2:$AX$476,E$5,FALSE)</f>
        <v>#N/A</v>
      </c>
      <c r="F16" s="19" t="e">
        <f>VLOOKUP($D16,Résultats!$B$2:$AX$476,F$5,FALSE)</f>
        <v>#N/A</v>
      </c>
      <c r="G16" s="28" t="e">
        <f>VLOOKUP($D16,Résultats!$B$2:$AX$476,G$5,FALSE)</f>
        <v>#N/A</v>
      </c>
      <c r="H16" s="19" t="e">
        <f>VLOOKUP($D16,Résultats!$B$2:$AX$476,H$5,FALSE)</f>
        <v>#N/A</v>
      </c>
      <c r="I16" s="111" t="e">
        <f>VLOOKUP($D16,Résultats!$B$2:$AX$476,I$5,FALSE)</f>
        <v>#N/A</v>
      </c>
      <c r="J16" s="28" t="e">
        <f>VLOOKUP($D16,Résultats!$B$2:$AX$476,J$5,FALSE)</f>
        <v>#N/A</v>
      </c>
      <c r="K16" s="19" t="e">
        <f>VLOOKUP($D16,Résultats!$B$2:$AX$476,K$5,FALSE)</f>
        <v>#N/A</v>
      </c>
      <c r="L16" s="19" t="e">
        <f>VLOOKUP($D16,Résultats!$B$2:$AX$476,L$5,FALSE)</f>
        <v>#N/A</v>
      </c>
      <c r="M16" s="19" t="e">
        <f>VLOOKUP($D16,Résultats!$B$2:$AX$476,M$5,FALSE)</f>
        <v>#N/A</v>
      </c>
      <c r="N16" s="111" t="e">
        <f>VLOOKUP($D16,Résultats!$B$2:$AX$476,N$5,FALSE)</f>
        <v>#N/A</v>
      </c>
      <c r="O16" s="28" t="e">
        <f>VLOOKUP($D16,Résultats!$B$2:$AX$476,O$5,FALSE)</f>
        <v>#N/A</v>
      </c>
      <c r="P16" s="19" t="e">
        <f>VLOOKUP($D16,Résultats!$B$2:$AX$476,P$5,FALSE)</f>
        <v>#N/A</v>
      </c>
      <c r="Q16" s="19" t="e">
        <f>VLOOKUP($D16,Résultats!$B$2:$AX$476,Q$5,FALSE)</f>
        <v>#N/A</v>
      </c>
      <c r="R16" s="19" t="e">
        <f>VLOOKUP($D16,Résultats!$B$2:$AX$476,R$5,FALSE)</f>
        <v>#N/A</v>
      </c>
      <c r="S16" s="111" t="e">
        <f>VLOOKUP($D16,Résultats!$B$2:$AX$476,S$5,FALSE)</f>
        <v>#N/A</v>
      </c>
      <c r="T16" s="120" t="e">
        <f>VLOOKUP($D16,Résultats!$B$2:$AX$476,T$5,FALSE)</f>
        <v>#N/A</v>
      </c>
      <c r="U16" s="120" t="e">
        <f>VLOOKUP($D16,Résultats!$B$2:$AX$476,U$5,FALSE)</f>
        <v>#N/A</v>
      </c>
      <c r="V16" s="120" t="e">
        <f>VLOOKUP($D16,Résultats!$B$2:$AX$476,V$5,FALSE)</f>
        <v>#N/A</v>
      </c>
      <c r="W16" s="120" t="e">
        <f>VLOOKUP($D16,Résultats!$B$2:$AX$476,W$5,FALSE)</f>
        <v>#N/A</v>
      </c>
      <c r="X16" s="3"/>
      <c r="Y16" s="34"/>
    </row>
    <row r="17" spans="1:39" x14ac:dyDescent="0.25">
      <c r="A17" s="3"/>
      <c r="B17" s="274"/>
      <c r="C17" s="3" t="s">
        <v>11</v>
      </c>
      <c r="D17" s="3" t="s">
        <v>120</v>
      </c>
      <c r="E17" s="19" t="e">
        <f>VLOOKUP($D17,Résultats!$B$2:$AX$476,E$5,FALSE)</f>
        <v>#N/A</v>
      </c>
      <c r="F17" s="19" t="e">
        <f>VLOOKUP($D17,Résultats!$B$2:$AX$476,F$5,FALSE)</f>
        <v>#N/A</v>
      </c>
      <c r="G17" s="28" t="e">
        <f>VLOOKUP($D17,Résultats!$B$2:$AX$476,G$5,FALSE)</f>
        <v>#N/A</v>
      </c>
      <c r="H17" s="19" t="e">
        <f>VLOOKUP($D17,Résultats!$B$2:$AX$476,H$5,FALSE)</f>
        <v>#N/A</v>
      </c>
      <c r="I17" s="111" t="e">
        <f>VLOOKUP($D17,Résultats!$B$2:$AX$476,I$5,FALSE)</f>
        <v>#N/A</v>
      </c>
      <c r="J17" s="28" t="e">
        <f>VLOOKUP($D17,Résultats!$B$2:$AX$476,J$5,FALSE)</f>
        <v>#N/A</v>
      </c>
      <c r="K17" s="19" t="e">
        <f>VLOOKUP($D17,Résultats!$B$2:$AX$476,K$5,FALSE)</f>
        <v>#N/A</v>
      </c>
      <c r="L17" s="19" t="e">
        <f>VLOOKUP($D17,Résultats!$B$2:$AX$476,L$5,FALSE)</f>
        <v>#N/A</v>
      </c>
      <c r="M17" s="19" t="e">
        <f>VLOOKUP($D17,Résultats!$B$2:$AX$476,M$5,FALSE)</f>
        <v>#N/A</v>
      </c>
      <c r="N17" s="111" t="e">
        <f>VLOOKUP($D17,Résultats!$B$2:$AX$476,N$5,FALSE)</f>
        <v>#N/A</v>
      </c>
      <c r="O17" s="28" t="e">
        <f>VLOOKUP($D17,Résultats!$B$2:$AX$476,O$5,FALSE)</f>
        <v>#N/A</v>
      </c>
      <c r="P17" s="19" t="e">
        <f>VLOOKUP($D17,Résultats!$B$2:$AX$476,P$5,FALSE)</f>
        <v>#N/A</v>
      </c>
      <c r="Q17" s="19" t="e">
        <f>VLOOKUP($D17,Résultats!$B$2:$AX$476,Q$5,FALSE)</f>
        <v>#N/A</v>
      </c>
      <c r="R17" s="19" t="e">
        <f>VLOOKUP($D17,Résultats!$B$2:$AX$476,R$5,FALSE)</f>
        <v>#N/A</v>
      </c>
      <c r="S17" s="111" t="e">
        <f>VLOOKUP($D17,Résultats!$B$2:$AX$476,S$5,FALSE)</f>
        <v>#N/A</v>
      </c>
      <c r="T17" s="120" t="e">
        <f>VLOOKUP($D17,Résultats!$B$2:$AX$476,T$5,FALSE)</f>
        <v>#N/A</v>
      </c>
      <c r="U17" s="120" t="e">
        <f>VLOOKUP($D17,Résultats!$B$2:$AX$476,U$5,FALSE)</f>
        <v>#N/A</v>
      </c>
      <c r="V17" s="120" t="e">
        <f>VLOOKUP($D17,Résultats!$B$2:$AX$476,V$5,FALSE)</f>
        <v>#N/A</v>
      </c>
      <c r="W17" s="120" t="e">
        <f>VLOOKUP($D17,Résultats!$B$2:$AX$476,W$5,FALSE)</f>
        <v>#N/A</v>
      </c>
      <c r="X17" s="3"/>
      <c r="Y17" s="34"/>
    </row>
    <row r="18" spans="1:39" x14ac:dyDescent="0.25">
      <c r="A18" s="3"/>
      <c r="B18" s="275"/>
      <c r="C18" s="7" t="s">
        <v>12</v>
      </c>
      <c r="D18" s="3" t="s">
        <v>121</v>
      </c>
      <c r="E18" s="20" t="e">
        <f>VLOOKUP($D18,Résultats!$B$2:$AX$476,E$5,FALSE)</f>
        <v>#N/A</v>
      </c>
      <c r="F18" s="20" t="e">
        <f>VLOOKUP($D18,Résultats!$B$2:$AX$476,F$5,FALSE)</f>
        <v>#N/A</v>
      </c>
      <c r="G18" s="113" t="e">
        <f>VLOOKUP($D18,Résultats!$B$2:$AX$476,G$5,FALSE)</f>
        <v>#N/A</v>
      </c>
      <c r="H18" s="20" t="e">
        <f>VLOOKUP($D18,Résultats!$B$2:$AX$476,H$5,FALSE)</f>
        <v>#N/A</v>
      </c>
      <c r="I18" s="114" t="e">
        <f>VLOOKUP($D18,Résultats!$B$2:$AX$476,I$5,FALSE)</f>
        <v>#N/A</v>
      </c>
      <c r="J18" s="113" t="e">
        <f>VLOOKUP($D18,Résultats!$B$2:$AX$476,J$5,FALSE)</f>
        <v>#N/A</v>
      </c>
      <c r="K18" s="20" t="e">
        <f>VLOOKUP($D18,Résultats!$B$2:$AX$476,K$5,FALSE)</f>
        <v>#N/A</v>
      </c>
      <c r="L18" s="20" t="e">
        <f>VLOOKUP($D18,Résultats!$B$2:$AX$476,L$5,FALSE)</f>
        <v>#N/A</v>
      </c>
      <c r="M18" s="20" t="e">
        <f>VLOOKUP($D18,Résultats!$B$2:$AX$476,M$5,FALSE)</f>
        <v>#N/A</v>
      </c>
      <c r="N18" s="114" t="e">
        <f>VLOOKUP($D18,Résultats!$B$2:$AX$476,N$5,FALSE)</f>
        <v>#N/A</v>
      </c>
      <c r="O18" s="113" t="e">
        <f>VLOOKUP($D18,Résultats!$B$2:$AX$476,O$5,FALSE)</f>
        <v>#N/A</v>
      </c>
      <c r="P18" s="20" t="e">
        <f>VLOOKUP($D18,Résultats!$B$2:$AX$476,P$5,FALSE)</f>
        <v>#N/A</v>
      </c>
      <c r="Q18" s="20" t="e">
        <f>VLOOKUP($D18,Résultats!$B$2:$AX$476,Q$5,FALSE)</f>
        <v>#N/A</v>
      </c>
      <c r="R18" s="20" t="e">
        <f>VLOOKUP($D18,Résultats!$B$2:$AX$476,R$5,FALSE)</f>
        <v>#N/A</v>
      </c>
      <c r="S18" s="114" t="e">
        <f>VLOOKUP($D18,Résultats!$B$2:$AX$476,S$5,FALSE)</f>
        <v>#N/A</v>
      </c>
      <c r="T18" s="122" t="e">
        <f>VLOOKUP($D18,Résultats!$B$2:$AX$476,T$5,FALSE)</f>
        <v>#N/A</v>
      </c>
      <c r="U18" s="122" t="e">
        <f>VLOOKUP($D18,Résultats!$B$2:$AX$476,U$5,FALSE)</f>
        <v>#N/A</v>
      </c>
      <c r="V18" s="122" t="e">
        <f>VLOOKUP($D18,Résultats!$B$2:$AX$476,V$5,FALSE)</f>
        <v>#N/A</v>
      </c>
      <c r="W18" s="122" t="e">
        <f>VLOOKUP($D18,Résultats!$B$2:$AX$476,W$5,FALSE)</f>
        <v>#N/A</v>
      </c>
      <c r="X18" s="3"/>
      <c r="Y18" s="34"/>
    </row>
    <row r="19" spans="1:39" ht="15" customHeight="1" x14ac:dyDescent="0.25">
      <c r="A19" s="3"/>
      <c r="B19" s="273" t="s">
        <v>135</v>
      </c>
      <c r="C19" s="5" t="s">
        <v>1</v>
      </c>
      <c r="D19" s="2"/>
      <c r="E19" s="6" t="e">
        <f>SUM(E20:E25)</f>
        <v>#N/A</v>
      </c>
      <c r="F19" s="6" t="e">
        <f>SUM(F20:F25)</f>
        <v>#N/A</v>
      </c>
      <c r="G19" s="109" t="e">
        <f t="shared" ref="G19:R19" si="3">SUM(G20:G25)</f>
        <v>#N/A</v>
      </c>
      <c r="H19" s="6" t="e">
        <f t="shared" si="3"/>
        <v>#N/A</v>
      </c>
      <c r="I19" s="110" t="e">
        <f t="shared" si="3"/>
        <v>#N/A</v>
      </c>
      <c r="J19" s="109" t="e">
        <f t="shared" si="3"/>
        <v>#N/A</v>
      </c>
      <c r="K19" s="6" t="e">
        <f t="shared" si="3"/>
        <v>#N/A</v>
      </c>
      <c r="L19" s="6" t="e">
        <f t="shared" si="3"/>
        <v>#N/A</v>
      </c>
      <c r="M19" s="6" t="e">
        <f t="shared" si="3"/>
        <v>#N/A</v>
      </c>
      <c r="N19" s="110" t="e">
        <f t="shared" si="3"/>
        <v>#N/A</v>
      </c>
      <c r="O19" s="109" t="e">
        <f t="shared" si="3"/>
        <v>#N/A</v>
      </c>
      <c r="P19" s="6" t="e">
        <f t="shared" si="3"/>
        <v>#N/A</v>
      </c>
      <c r="Q19" s="6" t="e">
        <f t="shared" si="3"/>
        <v>#N/A</v>
      </c>
      <c r="R19" s="6" t="e">
        <f t="shared" si="3"/>
        <v>#N/A</v>
      </c>
      <c r="S19" s="110" t="e">
        <f>SUM(S20:S25)</f>
        <v>#N/A</v>
      </c>
      <c r="T19" s="119" t="e">
        <f>SUM(T20:T25)</f>
        <v>#N/A</v>
      </c>
      <c r="U19" s="119" t="e">
        <f>SUM(U20:U25)</f>
        <v>#N/A</v>
      </c>
      <c r="V19" s="119" t="e">
        <f>SUM(V20:V25)</f>
        <v>#N/A</v>
      </c>
      <c r="W19" s="119" t="e">
        <f>SUM(W20:W25)</f>
        <v>#N/A</v>
      </c>
      <c r="X19" s="3"/>
      <c r="Y19" s="34"/>
    </row>
    <row r="20" spans="1:39" x14ac:dyDescent="0.25">
      <c r="A20" s="3"/>
      <c r="B20" s="274"/>
      <c r="C20" s="3" t="s">
        <v>13</v>
      </c>
      <c r="D20" s="3" t="s">
        <v>122</v>
      </c>
      <c r="E20" s="19" t="e">
        <f>VLOOKUP($D20,Résultats!$B$2:$AX$476,E$5,FALSE)</f>
        <v>#N/A</v>
      </c>
      <c r="F20" s="19" t="e">
        <f>VLOOKUP($D20,Résultats!$B$2:$AX$476,F$5,FALSE)</f>
        <v>#N/A</v>
      </c>
      <c r="G20" s="28" t="e">
        <f>VLOOKUP($D20,Résultats!$B$2:$AX$476,G$5,FALSE)</f>
        <v>#N/A</v>
      </c>
      <c r="H20" s="19" t="e">
        <f>VLOOKUP($D20,Résultats!$B$2:$AX$476,H$5,FALSE)</f>
        <v>#N/A</v>
      </c>
      <c r="I20" s="111" t="e">
        <f>VLOOKUP($D20,Résultats!$B$2:$AX$476,I$5,FALSE)</f>
        <v>#N/A</v>
      </c>
      <c r="J20" s="28" t="e">
        <f>VLOOKUP($D20,Résultats!$B$2:$AX$476,J$5,FALSE)</f>
        <v>#N/A</v>
      </c>
      <c r="K20" s="19" t="e">
        <f>VLOOKUP($D20,Résultats!$B$2:$AX$476,K$5,FALSE)</f>
        <v>#N/A</v>
      </c>
      <c r="L20" s="19" t="e">
        <f>VLOOKUP($D20,Résultats!$B$2:$AX$476,L$5,FALSE)</f>
        <v>#N/A</v>
      </c>
      <c r="M20" s="19" t="e">
        <f>VLOOKUP($D20,Résultats!$B$2:$AX$476,M$5,FALSE)</f>
        <v>#N/A</v>
      </c>
      <c r="N20" s="111" t="e">
        <f>VLOOKUP($D20,Résultats!$B$2:$AX$476,N$5,FALSE)</f>
        <v>#N/A</v>
      </c>
      <c r="O20" s="28" t="e">
        <f>VLOOKUP($D20,Résultats!$B$2:$AX$476,O$5,FALSE)</f>
        <v>#N/A</v>
      </c>
      <c r="P20" s="19" t="e">
        <f>VLOOKUP($D20,Résultats!$B$2:$AX$476,P$5,FALSE)</f>
        <v>#N/A</v>
      </c>
      <c r="Q20" s="19" t="e">
        <f>VLOOKUP($D20,Résultats!$B$2:$AX$476,Q$5,FALSE)</f>
        <v>#N/A</v>
      </c>
      <c r="R20" s="19" t="e">
        <f>VLOOKUP($D20,Résultats!$B$2:$AX$476,R$5,FALSE)</f>
        <v>#N/A</v>
      </c>
      <c r="S20" s="111" t="e">
        <f>VLOOKUP($D20,Résultats!$B$2:$AX$476,S$5,FALSE)</f>
        <v>#N/A</v>
      </c>
      <c r="T20" s="120" t="e">
        <f>VLOOKUP($D20,Résultats!$B$2:$AX$476,T$5,FALSE)</f>
        <v>#N/A</v>
      </c>
      <c r="U20" s="120" t="e">
        <f>VLOOKUP($D20,Résultats!$B$2:$AX$476,U$5,FALSE)</f>
        <v>#N/A</v>
      </c>
      <c r="V20" s="120" t="e">
        <f>VLOOKUP($D20,Résultats!$B$2:$AX$476,V$5,FALSE)</f>
        <v>#N/A</v>
      </c>
      <c r="W20" s="120" t="e">
        <f>VLOOKUP($D20,Résultats!$B$2:$AX$476,W$5,FALSE)</f>
        <v>#N/A</v>
      </c>
      <c r="X20" s="3"/>
      <c r="Y20" s="34"/>
    </row>
    <row r="21" spans="1:39" x14ac:dyDescent="0.25">
      <c r="A21" s="3"/>
      <c r="B21" s="274"/>
      <c r="C21" s="3" t="s">
        <v>14</v>
      </c>
      <c r="D21" s="3" t="s">
        <v>123</v>
      </c>
      <c r="E21" s="19" t="e">
        <f>VLOOKUP($D21,Résultats!$B$2:$AX$476,E$5,FALSE)</f>
        <v>#N/A</v>
      </c>
      <c r="F21" s="19" t="e">
        <f>VLOOKUP($D21,Résultats!$B$2:$AX$476,F$5,FALSE)</f>
        <v>#N/A</v>
      </c>
      <c r="G21" s="28" t="e">
        <f>VLOOKUP($D21,Résultats!$B$2:$AX$476,G$5,FALSE)</f>
        <v>#N/A</v>
      </c>
      <c r="H21" s="19" t="e">
        <f>VLOOKUP($D21,Résultats!$B$2:$AX$476,H$5,FALSE)</f>
        <v>#N/A</v>
      </c>
      <c r="I21" s="111" t="e">
        <f>VLOOKUP($D21,Résultats!$B$2:$AX$476,I$5,FALSE)</f>
        <v>#N/A</v>
      </c>
      <c r="J21" s="28" t="e">
        <f>VLOOKUP($D21,Résultats!$B$2:$AX$476,J$5,FALSE)</f>
        <v>#N/A</v>
      </c>
      <c r="K21" s="19" t="e">
        <f>VLOOKUP($D21,Résultats!$B$2:$AX$476,K$5,FALSE)</f>
        <v>#N/A</v>
      </c>
      <c r="L21" s="19" t="e">
        <f>VLOOKUP($D21,Résultats!$B$2:$AX$476,L$5,FALSE)</f>
        <v>#N/A</v>
      </c>
      <c r="M21" s="19" t="e">
        <f>VLOOKUP($D21,Résultats!$B$2:$AX$476,M$5,FALSE)</f>
        <v>#N/A</v>
      </c>
      <c r="N21" s="111" t="e">
        <f>VLOOKUP($D21,Résultats!$B$2:$AX$476,N$5,FALSE)</f>
        <v>#N/A</v>
      </c>
      <c r="O21" s="28" t="e">
        <f>VLOOKUP($D21,Résultats!$B$2:$AX$476,O$5,FALSE)</f>
        <v>#N/A</v>
      </c>
      <c r="P21" s="19" t="e">
        <f>VLOOKUP($D21,Résultats!$B$2:$AX$476,P$5,FALSE)</f>
        <v>#N/A</v>
      </c>
      <c r="Q21" s="19" t="e">
        <f>VLOOKUP($D21,Résultats!$B$2:$AX$476,Q$5,FALSE)</f>
        <v>#N/A</v>
      </c>
      <c r="R21" s="19" t="e">
        <f>VLOOKUP($D21,Résultats!$B$2:$AX$476,R$5,FALSE)</f>
        <v>#N/A</v>
      </c>
      <c r="S21" s="111" t="e">
        <f>VLOOKUP($D21,Résultats!$B$2:$AX$476,S$5,FALSE)</f>
        <v>#N/A</v>
      </c>
      <c r="T21" s="120" t="e">
        <f>VLOOKUP($D21,Résultats!$B$2:$AX$476,T$5,FALSE)</f>
        <v>#N/A</v>
      </c>
      <c r="U21" s="120" t="e">
        <f>VLOOKUP($D21,Résultats!$B$2:$AX$476,U$5,FALSE)</f>
        <v>#N/A</v>
      </c>
      <c r="V21" s="120" t="e">
        <f>VLOOKUP($D21,Résultats!$B$2:$AX$476,V$5,FALSE)</f>
        <v>#N/A</v>
      </c>
      <c r="W21" s="120" t="e">
        <f>VLOOKUP($D21,Résultats!$B$2:$AX$476,W$5,FALSE)</f>
        <v>#N/A</v>
      </c>
      <c r="X21" s="3"/>
      <c r="Y21" s="34"/>
    </row>
    <row r="22" spans="1:39" x14ac:dyDescent="0.25">
      <c r="A22" s="3"/>
      <c r="B22" s="274"/>
      <c r="C22" s="3" t="s">
        <v>15</v>
      </c>
      <c r="D22" s="3" t="s">
        <v>124</v>
      </c>
      <c r="E22" s="19" t="e">
        <f>VLOOKUP($D22,Résultats!$B$2:$AX$476,E$5,FALSE)</f>
        <v>#N/A</v>
      </c>
      <c r="F22" s="19" t="e">
        <f>VLOOKUP($D22,Résultats!$B$2:$AX$476,F$5,FALSE)</f>
        <v>#N/A</v>
      </c>
      <c r="G22" s="28" t="e">
        <f>VLOOKUP($D22,Résultats!$B$2:$AX$476,G$5,FALSE)</f>
        <v>#N/A</v>
      </c>
      <c r="H22" s="19" t="e">
        <f>VLOOKUP($D22,Résultats!$B$2:$AX$476,H$5,FALSE)</f>
        <v>#N/A</v>
      </c>
      <c r="I22" s="111" t="e">
        <f>VLOOKUP($D22,Résultats!$B$2:$AX$476,I$5,FALSE)</f>
        <v>#N/A</v>
      </c>
      <c r="J22" s="28" t="e">
        <f>VLOOKUP($D22,Résultats!$B$2:$AX$476,J$5,FALSE)</f>
        <v>#N/A</v>
      </c>
      <c r="K22" s="19" t="e">
        <f>VLOOKUP($D22,Résultats!$B$2:$AX$476,K$5,FALSE)</f>
        <v>#N/A</v>
      </c>
      <c r="L22" s="19" t="e">
        <f>VLOOKUP($D22,Résultats!$B$2:$AX$476,L$5,FALSE)</f>
        <v>#N/A</v>
      </c>
      <c r="M22" s="19" t="e">
        <f>VLOOKUP($D22,Résultats!$B$2:$AX$476,M$5,FALSE)</f>
        <v>#N/A</v>
      </c>
      <c r="N22" s="111" t="e">
        <f>VLOOKUP($D22,Résultats!$B$2:$AX$476,N$5,FALSE)</f>
        <v>#N/A</v>
      </c>
      <c r="O22" s="28" t="e">
        <f>VLOOKUP($D22,Résultats!$B$2:$AX$476,O$5,FALSE)</f>
        <v>#N/A</v>
      </c>
      <c r="P22" s="19" t="e">
        <f>VLOOKUP($D22,Résultats!$B$2:$AX$476,P$5,FALSE)</f>
        <v>#N/A</v>
      </c>
      <c r="Q22" s="19" t="e">
        <f>VLOOKUP($D22,Résultats!$B$2:$AX$476,Q$5,FALSE)</f>
        <v>#N/A</v>
      </c>
      <c r="R22" s="19" t="e">
        <f>VLOOKUP($D22,Résultats!$B$2:$AX$476,R$5,FALSE)</f>
        <v>#N/A</v>
      </c>
      <c r="S22" s="111" t="e">
        <f>VLOOKUP($D22,Résultats!$B$2:$AX$476,S$5,FALSE)</f>
        <v>#N/A</v>
      </c>
      <c r="T22" s="120" t="e">
        <f>VLOOKUP($D22,Résultats!$B$2:$AX$476,T$5,FALSE)</f>
        <v>#N/A</v>
      </c>
      <c r="U22" s="120" t="e">
        <f>VLOOKUP($D22,Résultats!$B$2:$AX$476,U$5,FALSE)</f>
        <v>#N/A</v>
      </c>
      <c r="V22" s="120" t="e">
        <f>VLOOKUP($D22,Résultats!$B$2:$AX$476,V$5,FALSE)</f>
        <v>#N/A</v>
      </c>
      <c r="W22" s="120" t="e">
        <f>VLOOKUP($D22,Résultats!$B$2:$AX$476,W$5,FALSE)</f>
        <v>#N/A</v>
      </c>
      <c r="X22" s="3"/>
      <c r="Y22" s="34"/>
      <c r="Z22" s="34"/>
      <c r="AA22" s="34"/>
    </row>
    <row r="23" spans="1:39" x14ac:dyDescent="0.25">
      <c r="A23" s="3"/>
      <c r="B23" s="274"/>
      <c r="C23" s="3" t="s">
        <v>16</v>
      </c>
      <c r="D23" s="3" t="s">
        <v>125</v>
      </c>
      <c r="E23" s="19" t="e">
        <f>VLOOKUP($D23,Résultats!$B$2:$AX$476,E$5,FALSE)</f>
        <v>#N/A</v>
      </c>
      <c r="F23" s="19" t="e">
        <f>VLOOKUP($D23,Résultats!$B$2:$AX$476,F$5,FALSE)</f>
        <v>#N/A</v>
      </c>
      <c r="G23" s="28" t="e">
        <f>VLOOKUP($D23,Résultats!$B$2:$AX$476,G$5,FALSE)</f>
        <v>#N/A</v>
      </c>
      <c r="H23" s="19" t="e">
        <f>VLOOKUP($D23,Résultats!$B$2:$AX$476,H$5,FALSE)</f>
        <v>#N/A</v>
      </c>
      <c r="I23" s="111" t="e">
        <f>VLOOKUP($D23,Résultats!$B$2:$AX$476,I$5,FALSE)</f>
        <v>#N/A</v>
      </c>
      <c r="J23" s="28" t="e">
        <f>VLOOKUP($D23,Résultats!$B$2:$AX$476,J$5,FALSE)</f>
        <v>#N/A</v>
      </c>
      <c r="K23" s="19" t="e">
        <f>VLOOKUP($D23,Résultats!$B$2:$AX$476,K$5,FALSE)</f>
        <v>#N/A</v>
      </c>
      <c r="L23" s="19" t="e">
        <f>VLOOKUP($D23,Résultats!$B$2:$AX$476,L$5,FALSE)</f>
        <v>#N/A</v>
      </c>
      <c r="M23" s="19" t="e">
        <f>VLOOKUP($D23,Résultats!$B$2:$AX$476,M$5,FALSE)</f>
        <v>#N/A</v>
      </c>
      <c r="N23" s="111" t="e">
        <f>VLOOKUP($D23,Résultats!$B$2:$AX$476,N$5,FALSE)</f>
        <v>#N/A</v>
      </c>
      <c r="O23" s="28" t="e">
        <f>VLOOKUP($D23,Résultats!$B$2:$AX$476,O$5,FALSE)</f>
        <v>#N/A</v>
      </c>
      <c r="P23" s="19" t="e">
        <f>VLOOKUP($D23,Résultats!$B$2:$AX$476,P$5,FALSE)</f>
        <v>#N/A</v>
      </c>
      <c r="Q23" s="19" t="e">
        <f>VLOOKUP($D23,Résultats!$B$2:$AX$476,Q$5,FALSE)</f>
        <v>#N/A</v>
      </c>
      <c r="R23" s="19" t="e">
        <f>VLOOKUP($D23,Résultats!$B$2:$AX$476,R$5,FALSE)</f>
        <v>#N/A</v>
      </c>
      <c r="S23" s="111" t="e">
        <f>VLOOKUP($D23,Résultats!$B$2:$AX$476,S$5,FALSE)</f>
        <v>#N/A</v>
      </c>
      <c r="T23" s="120" t="e">
        <f>VLOOKUP($D23,Résultats!$B$2:$AX$476,T$5,FALSE)</f>
        <v>#N/A</v>
      </c>
      <c r="U23" s="120" t="e">
        <f>VLOOKUP($D23,Résultats!$B$2:$AX$476,U$5,FALSE)</f>
        <v>#N/A</v>
      </c>
      <c r="V23" s="120" t="e">
        <f>VLOOKUP($D23,Résultats!$B$2:$AX$476,V$5,FALSE)</f>
        <v>#N/A</v>
      </c>
      <c r="W23" s="120" t="e">
        <f>VLOOKUP($D23,Résultats!$B$2:$AX$476,W$5,FALSE)</f>
        <v>#N/A</v>
      </c>
      <c r="X23" s="3"/>
      <c r="Y23" s="34"/>
      <c r="Z23" s="34"/>
      <c r="AA23" s="34"/>
    </row>
    <row r="24" spans="1:39" x14ac:dyDescent="0.25">
      <c r="A24" s="3"/>
      <c r="B24" s="274"/>
      <c r="C24" s="3" t="s">
        <v>17</v>
      </c>
      <c r="D24" s="3" t="s">
        <v>126</v>
      </c>
      <c r="E24" s="19" t="e">
        <f>VLOOKUP($D24,Résultats!$B$2:$AX$476,E$5,FALSE)</f>
        <v>#N/A</v>
      </c>
      <c r="F24" s="19" t="e">
        <f>VLOOKUP($D24,Résultats!$B$2:$AX$476,F$5,FALSE)</f>
        <v>#N/A</v>
      </c>
      <c r="G24" s="28" t="e">
        <f>VLOOKUP($D24,Résultats!$B$2:$AX$476,G$5,FALSE)</f>
        <v>#N/A</v>
      </c>
      <c r="H24" s="19" t="e">
        <f>VLOOKUP($D24,Résultats!$B$2:$AX$476,H$5,FALSE)</f>
        <v>#N/A</v>
      </c>
      <c r="I24" s="111" t="e">
        <f>VLOOKUP($D24,Résultats!$B$2:$AX$476,I$5,FALSE)</f>
        <v>#N/A</v>
      </c>
      <c r="J24" s="28" t="e">
        <f>VLOOKUP($D24,Résultats!$B$2:$AX$476,J$5,FALSE)</f>
        <v>#N/A</v>
      </c>
      <c r="K24" s="19" t="e">
        <f>VLOOKUP($D24,Résultats!$B$2:$AX$476,K$5,FALSE)</f>
        <v>#N/A</v>
      </c>
      <c r="L24" s="19" t="e">
        <f>VLOOKUP($D24,Résultats!$B$2:$AX$476,L$5,FALSE)</f>
        <v>#N/A</v>
      </c>
      <c r="M24" s="19" t="e">
        <f>VLOOKUP($D24,Résultats!$B$2:$AX$476,M$5,FALSE)</f>
        <v>#N/A</v>
      </c>
      <c r="N24" s="111" t="e">
        <f>VLOOKUP($D24,Résultats!$B$2:$AX$476,N$5,FALSE)</f>
        <v>#N/A</v>
      </c>
      <c r="O24" s="28" t="e">
        <f>VLOOKUP($D24,Résultats!$B$2:$AX$476,O$5,FALSE)</f>
        <v>#N/A</v>
      </c>
      <c r="P24" s="19" t="e">
        <f>VLOOKUP($D24,Résultats!$B$2:$AX$476,P$5,FALSE)</f>
        <v>#N/A</v>
      </c>
      <c r="Q24" s="19" t="e">
        <f>VLOOKUP($D24,Résultats!$B$2:$AX$476,Q$5,FALSE)</f>
        <v>#N/A</v>
      </c>
      <c r="R24" s="19" t="e">
        <f>VLOOKUP($D24,Résultats!$B$2:$AX$476,R$5,FALSE)</f>
        <v>#N/A</v>
      </c>
      <c r="S24" s="111" t="e">
        <f>VLOOKUP($D24,Résultats!$B$2:$AX$476,S$5,FALSE)</f>
        <v>#N/A</v>
      </c>
      <c r="T24" s="120" t="e">
        <f>VLOOKUP($D24,Résultats!$B$2:$AX$476,T$5,FALSE)</f>
        <v>#N/A</v>
      </c>
      <c r="U24" s="120" t="e">
        <f>VLOOKUP($D24,Résultats!$B$2:$AX$476,U$5,FALSE)</f>
        <v>#N/A</v>
      </c>
      <c r="V24" s="120" t="e">
        <f>VLOOKUP($D24,Résultats!$B$2:$AX$476,V$5,FALSE)</f>
        <v>#N/A</v>
      </c>
      <c r="W24" s="120" t="e">
        <f>VLOOKUP($D24,Résultats!$B$2:$AX$476,W$5,FALSE)</f>
        <v>#N/A</v>
      </c>
      <c r="X24" s="3"/>
      <c r="Y24" s="34"/>
      <c r="Z24" s="34"/>
      <c r="AA24" s="34"/>
    </row>
    <row r="25" spans="1:39" x14ac:dyDescent="0.25">
      <c r="A25" s="3"/>
      <c r="B25" s="275"/>
      <c r="C25" s="7" t="s">
        <v>12</v>
      </c>
      <c r="D25" s="3" t="s">
        <v>127</v>
      </c>
      <c r="E25" s="20" t="e">
        <f>VLOOKUP($D25,Résultats!$B$2:$AX$476,E$5,FALSE)</f>
        <v>#N/A</v>
      </c>
      <c r="F25" s="20" t="e">
        <f>VLOOKUP($D25,Résultats!$B$2:$AX$476,F$5,FALSE)</f>
        <v>#N/A</v>
      </c>
      <c r="G25" s="113" t="e">
        <f>VLOOKUP($D25,Résultats!$B$2:$AX$476,G$5,FALSE)</f>
        <v>#N/A</v>
      </c>
      <c r="H25" s="20" t="e">
        <f>VLOOKUP($D25,Résultats!$B$2:$AX$476,H$5,FALSE)</f>
        <v>#N/A</v>
      </c>
      <c r="I25" s="114" t="e">
        <f>VLOOKUP($D25,Résultats!$B$2:$AX$476,I$5,FALSE)</f>
        <v>#N/A</v>
      </c>
      <c r="J25" s="113" t="e">
        <f>VLOOKUP($D25,Résultats!$B$2:$AX$476,J$5,FALSE)</f>
        <v>#N/A</v>
      </c>
      <c r="K25" s="20" t="e">
        <f>VLOOKUP($D25,Résultats!$B$2:$AX$476,K$5,FALSE)</f>
        <v>#N/A</v>
      </c>
      <c r="L25" s="20" t="e">
        <f>VLOOKUP($D25,Résultats!$B$2:$AX$476,L$5,FALSE)</f>
        <v>#N/A</v>
      </c>
      <c r="M25" s="20" t="e">
        <f>VLOOKUP($D25,Résultats!$B$2:$AX$476,M$5,FALSE)</f>
        <v>#N/A</v>
      </c>
      <c r="N25" s="114" t="e">
        <f>VLOOKUP($D25,Résultats!$B$2:$AX$476,N$5,FALSE)</f>
        <v>#N/A</v>
      </c>
      <c r="O25" s="113" t="e">
        <f>VLOOKUP($D25,Résultats!$B$2:$AX$476,O$5,FALSE)</f>
        <v>#N/A</v>
      </c>
      <c r="P25" s="20" t="e">
        <f>VLOOKUP($D25,Résultats!$B$2:$AX$476,P$5,FALSE)</f>
        <v>#N/A</v>
      </c>
      <c r="Q25" s="20" t="e">
        <f>VLOOKUP($D25,Résultats!$B$2:$AX$476,Q$5,FALSE)</f>
        <v>#N/A</v>
      </c>
      <c r="R25" s="20" t="e">
        <f>VLOOKUP($D25,Résultats!$B$2:$AX$476,R$5,FALSE)</f>
        <v>#N/A</v>
      </c>
      <c r="S25" s="114" t="e">
        <f>VLOOKUP($D25,Résultats!$B$2:$AX$476,S$5,FALSE)</f>
        <v>#N/A</v>
      </c>
      <c r="T25" s="122" t="e">
        <f>VLOOKUP($D25,Résultats!$B$2:$AX$476,T$5,FALSE)</f>
        <v>#N/A</v>
      </c>
      <c r="U25" s="122" t="e">
        <f>VLOOKUP($D25,Résultats!$B$2:$AX$476,U$5,FALSE)</f>
        <v>#N/A</v>
      </c>
      <c r="V25" s="122" t="e">
        <f>VLOOKUP($D25,Résultats!$B$2:$AX$476,V$5,FALSE)</f>
        <v>#N/A</v>
      </c>
      <c r="W25" s="122" t="e">
        <f>VLOOKUP($D25,Résultats!$B$2:$AX$476,W$5,FALSE)</f>
        <v>#N/A</v>
      </c>
      <c r="X25" s="3"/>
      <c r="Y25" s="34"/>
      <c r="Z25" s="34"/>
      <c r="AA25" s="34"/>
    </row>
    <row r="26" spans="1:39" x14ac:dyDescent="0.25">
      <c r="A26" s="3"/>
      <c r="B26" s="206" t="s">
        <v>8</v>
      </c>
      <c r="C26" s="2"/>
      <c r="D26" s="17" t="s">
        <v>128</v>
      </c>
      <c r="E26" s="6" t="e">
        <f>VLOOKUP($D26,Résultats!$B$2:$AX$476,E$5,FALSE)</f>
        <v>#N/A</v>
      </c>
      <c r="F26" s="6" t="e">
        <f>VLOOKUP($D26,Résultats!$B$2:$AX$476,F$5,FALSE)</f>
        <v>#N/A</v>
      </c>
      <c r="G26" s="109" t="e">
        <f>VLOOKUP($D26,Résultats!$B$2:$AX$476,G$5,FALSE)</f>
        <v>#N/A</v>
      </c>
      <c r="H26" s="6" t="e">
        <f>VLOOKUP($D26,Résultats!$B$2:$AX$476,H$5,FALSE)</f>
        <v>#N/A</v>
      </c>
      <c r="I26" s="110" t="e">
        <f>VLOOKUP($D26,Résultats!$B$2:$AX$476,I$5,FALSE)</f>
        <v>#N/A</v>
      </c>
      <c r="J26" s="109" t="e">
        <f>VLOOKUP($D26,Résultats!$B$2:$AX$476,J$5,FALSE)</f>
        <v>#N/A</v>
      </c>
      <c r="K26" s="6" t="e">
        <f>VLOOKUP($D26,Résultats!$B$2:$AX$476,K$5,FALSE)</f>
        <v>#N/A</v>
      </c>
      <c r="L26" s="6" t="e">
        <f>VLOOKUP($D26,Résultats!$B$2:$AX$476,L$5,FALSE)</f>
        <v>#N/A</v>
      </c>
      <c r="M26" s="6" t="e">
        <f>VLOOKUP($D26,Résultats!$B$2:$AX$476,M$5,FALSE)</f>
        <v>#N/A</v>
      </c>
      <c r="N26" s="110" t="e">
        <f>VLOOKUP($D26,Résultats!$B$2:$AX$476,N$5,FALSE)</f>
        <v>#N/A</v>
      </c>
      <c r="O26" s="109" t="e">
        <f>VLOOKUP($D26,Résultats!$B$2:$AX$476,O$5,FALSE)</f>
        <v>#N/A</v>
      </c>
      <c r="P26" s="6" t="e">
        <f>VLOOKUP($D26,Résultats!$B$2:$AX$476,P$5,FALSE)</f>
        <v>#N/A</v>
      </c>
      <c r="Q26" s="6" t="e">
        <f>VLOOKUP($D26,Résultats!$B$2:$AX$476,Q$5,FALSE)</f>
        <v>#N/A</v>
      </c>
      <c r="R26" s="6" t="e">
        <f>VLOOKUP($D26,Résultats!$B$2:$AX$476,R$5,FALSE)</f>
        <v>#N/A</v>
      </c>
      <c r="S26" s="110" t="e">
        <f>VLOOKUP($D26,Résultats!$B$2:$AX$476,S$5,FALSE)</f>
        <v>#N/A</v>
      </c>
      <c r="T26" s="119" t="e">
        <f>VLOOKUP($D26,Résultats!$B$2:$AX$476,T$5,FALSE)</f>
        <v>#N/A</v>
      </c>
      <c r="U26" s="119" t="e">
        <f>VLOOKUP($D26,Résultats!$B$2:$AX$476,U$5,FALSE)</f>
        <v>#N/A</v>
      </c>
      <c r="V26" s="119" t="e">
        <f>VLOOKUP($D26,Résultats!$B$2:$AX$476,V$5,FALSE)</f>
        <v>#N/A</v>
      </c>
      <c r="W26" s="119" t="e">
        <f>VLOOKUP($D26,Résultats!$B$2:$AX$476,W$5,FALSE)</f>
        <v>#N/A</v>
      </c>
      <c r="X26" s="3"/>
      <c r="Y26" s="34"/>
      <c r="Z26" s="34"/>
      <c r="AA26" s="34"/>
    </row>
    <row r="27" spans="1:39" x14ac:dyDescent="0.25">
      <c r="A27" s="3"/>
      <c r="B27" s="205" t="s">
        <v>1</v>
      </c>
      <c r="C27" s="2"/>
      <c r="D27" s="2"/>
      <c r="E27" s="9" t="e">
        <f>E26+E19+E10+E7</f>
        <v>#N/A</v>
      </c>
      <c r="F27" s="9" t="e">
        <f>F26+F19+F10+F7</f>
        <v>#N/A</v>
      </c>
      <c r="G27" s="29" t="e">
        <f t="shared" ref="G27:R27" si="4">G26+G19+G10+G7</f>
        <v>#N/A</v>
      </c>
      <c r="H27" s="9" t="e">
        <f t="shared" si="4"/>
        <v>#N/A</v>
      </c>
      <c r="I27" s="115" t="e">
        <f t="shared" si="4"/>
        <v>#N/A</v>
      </c>
      <c r="J27" s="29" t="e">
        <f t="shared" si="4"/>
        <v>#N/A</v>
      </c>
      <c r="K27" s="9" t="e">
        <f t="shared" si="4"/>
        <v>#N/A</v>
      </c>
      <c r="L27" s="9" t="e">
        <f t="shared" si="4"/>
        <v>#N/A</v>
      </c>
      <c r="M27" s="9" t="e">
        <f t="shared" si="4"/>
        <v>#N/A</v>
      </c>
      <c r="N27" s="115" t="e">
        <f t="shared" si="4"/>
        <v>#N/A</v>
      </c>
      <c r="O27" s="29" t="e">
        <f t="shared" si="4"/>
        <v>#N/A</v>
      </c>
      <c r="P27" s="9" t="e">
        <f t="shared" si="4"/>
        <v>#N/A</v>
      </c>
      <c r="Q27" s="9" t="e">
        <f t="shared" si="4"/>
        <v>#N/A</v>
      </c>
      <c r="R27" s="9" t="e">
        <f t="shared" si="4"/>
        <v>#N/A</v>
      </c>
      <c r="S27" s="115" t="e">
        <f>S26+S19+S10+S7</f>
        <v>#N/A</v>
      </c>
      <c r="T27" s="123" t="e">
        <f>T26+T19+T10+T7</f>
        <v>#N/A</v>
      </c>
      <c r="U27" s="123" t="e">
        <f>U26+U19+U10+U7</f>
        <v>#N/A</v>
      </c>
      <c r="V27" s="123" t="e">
        <f>V26+V19+V10+V7</f>
        <v>#N/A</v>
      </c>
      <c r="W27" s="123" t="e">
        <f>W26+W19+W10+W7</f>
        <v>#N/A</v>
      </c>
      <c r="X27" s="3"/>
      <c r="Y27" s="34"/>
      <c r="Z27" s="34"/>
      <c r="AA27" s="34"/>
    </row>
    <row r="28" spans="1:39" x14ac:dyDescent="0.25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39" x14ac:dyDescent="0.25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39" ht="21" x14ac:dyDescent="0.35">
      <c r="A30" s="225" t="s">
        <v>200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39" ht="23.25" x14ac:dyDescent="0.35">
      <c r="A31" s="193" t="str">
        <f>Résultats!B1</f>
        <v>TEND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Z31" s="51" t="s">
        <v>209</v>
      </c>
      <c r="AA31" s="51"/>
      <c r="AB31" s="51"/>
      <c r="AC31" s="53"/>
      <c r="AE31" s="51" t="s">
        <v>212</v>
      </c>
      <c r="AF31" s="51"/>
      <c r="AG31" s="51"/>
      <c r="AH31" s="53"/>
      <c r="AJ31" s="51" t="s">
        <v>213</v>
      </c>
      <c r="AK31" s="51"/>
      <c r="AL31" s="51"/>
      <c r="AM31" s="53"/>
    </row>
    <row r="32" spans="1:39" x14ac:dyDescent="0.25">
      <c r="A32" s="3"/>
      <c r="B32" s="204"/>
      <c r="C32" s="2"/>
      <c r="D32" s="18"/>
      <c r="E32" s="4">
        <v>2006</v>
      </c>
      <c r="F32" s="4">
        <v>2015</v>
      </c>
      <c r="G32" s="26">
        <v>2018</v>
      </c>
      <c r="H32" s="33">
        <v>2019</v>
      </c>
      <c r="I32" s="108">
        <v>2020</v>
      </c>
      <c r="J32" s="116">
        <v>2021</v>
      </c>
      <c r="K32" s="33">
        <v>2022</v>
      </c>
      <c r="L32" s="33">
        <v>2023</v>
      </c>
      <c r="M32" s="33">
        <v>2024</v>
      </c>
      <c r="N32" s="108">
        <v>2025</v>
      </c>
      <c r="O32" s="116">
        <v>2026</v>
      </c>
      <c r="P32" s="33">
        <v>2027</v>
      </c>
      <c r="Q32" s="33">
        <v>2028</v>
      </c>
      <c r="R32" s="33">
        <v>2029</v>
      </c>
      <c r="S32" s="117">
        <v>2030</v>
      </c>
      <c r="T32" s="118">
        <v>2035</v>
      </c>
      <c r="U32" s="118">
        <v>2040</v>
      </c>
      <c r="V32" s="118">
        <v>2045</v>
      </c>
      <c r="W32" s="118">
        <v>2050</v>
      </c>
      <c r="X32" s="3"/>
      <c r="Z32" s="207"/>
      <c r="AA32" s="208">
        <v>2020</v>
      </c>
      <c r="AB32" s="208">
        <v>2030</v>
      </c>
      <c r="AC32" s="209">
        <v>2050</v>
      </c>
      <c r="AE32" s="207"/>
      <c r="AF32" s="208">
        <v>2020</v>
      </c>
      <c r="AG32" s="208">
        <v>2030</v>
      </c>
      <c r="AH32" s="209">
        <v>2050</v>
      </c>
      <c r="AJ32" s="207"/>
      <c r="AK32" s="208">
        <v>2020</v>
      </c>
      <c r="AL32" s="208">
        <v>2030</v>
      </c>
      <c r="AM32" s="209">
        <v>2050</v>
      </c>
    </row>
    <row r="33" spans="1:39" x14ac:dyDescent="0.25">
      <c r="A33" s="3"/>
      <c r="B33" s="273" t="s">
        <v>0</v>
      </c>
      <c r="C33" s="5" t="s">
        <v>1</v>
      </c>
      <c r="D33" s="2" t="s">
        <v>89</v>
      </c>
      <c r="E33" s="6" t="e">
        <f>SUM(E34:E35)</f>
        <v>#N/A</v>
      </c>
      <c r="F33" s="6" t="e">
        <f>SUM(F34:F35)</f>
        <v>#N/A</v>
      </c>
      <c r="G33" s="109" t="e">
        <f t="shared" ref="G33:R33" si="5">SUM(G34:G35)</f>
        <v>#N/A</v>
      </c>
      <c r="H33" s="6" t="e">
        <f t="shared" si="5"/>
        <v>#N/A</v>
      </c>
      <c r="I33" s="110" t="e">
        <f t="shared" si="5"/>
        <v>#N/A</v>
      </c>
      <c r="J33" s="109" t="e">
        <f t="shared" si="5"/>
        <v>#N/A</v>
      </c>
      <c r="K33" s="6" t="e">
        <f t="shared" si="5"/>
        <v>#N/A</v>
      </c>
      <c r="L33" s="6" t="e">
        <f t="shared" si="5"/>
        <v>#N/A</v>
      </c>
      <c r="M33" s="6" t="e">
        <f t="shared" si="5"/>
        <v>#N/A</v>
      </c>
      <c r="N33" s="110" t="e">
        <f t="shared" si="5"/>
        <v>#N/A</v>
      </c>
      <c r="O33" s="109" t="e">
        <f t="shared" si="5"/>
        <v>#N/A</v>
      </c>
      <c r="P33" s="6" t="e">
        <f t="shared" si="5"/>
        <v>#N/A</v>
      </c>
      <c r="Q33" s="6" t="e">
        <f t="shared" si="5"/>
        <v>#N/A</v>
      </c>
      <c r="R33" s="6" t="e">
        <f t="shared" si="5"/>
        <v>#N/A</v>
      </c>
      <c r="S33" s="110" t="e">
        <f>SUM(S34:S35)</f>
        <v>#N/A</v>
      </c>
      <c r="T33" s="119" t="e">
        <f>SUM(T34:T35)</f>
        <v>#N/A</v>
      </c>
      <c r="U33" s="119" t="e">
        <f>SUM(U34:U35)</f>
        <v>#N/A</v>
      </c>
      <c r="V33" s="119" t="e">
        <f>SUM(V34:V35)</f>
        <v>#N/A</v>
      </c>
      <c r="W33" s="119" t="e">
        <f>SUM(W34:W35)</f>
        <v>#N/A</v>
      </c>
      <c r="X33" s="3"/>
      <c r="Z33" s="210" t="s">
        <v>42</v>
      </c>
      <c r="AA33" s="219" t="e">
        <f>(I38+I40)/I36</f>
        <v>#N/A</v>
      </c>
      <c r="AB33" s="219" t="e">
        <f>(S38+S40)/S36</f>
        <v>#N/A</v>
      </c>
      <c r="AC33" s="220" t="e">
        <f>(W38+W40)/W36</f>
        <v>#N/A</v>
      </c>
      <c r="AE33" s="210" t="s">
        <v>214</v>
      </c>
      <c r="AF33" s="219" t="e">
        <f>I34/I33</f>
        <v>#N/A</v>
      </c>
      <c r="AG33" s="219" t="e">
        <f>S34/S33</f>
        <v>#N/A</v>
      </c>
      <c r="AH33" s="220" t="e">
        <f>W34/W33</f>
        <v>#N/A</v>
      </c>
      <c r="AJ33" s="210" t="s">
        <v>148</v>
      </c>
      <c r="AK33" s="219" t="e">
        <f>I46/(I46+I48)</f>
        <v>#N/A</v>
      </c>
      <c r="AL33" s="219" t="e">
        <f>S46/(S46+S48)</f>
        <v>#N/A</v>
      </c>
      <c r="AM33" s="220" t="e">
        <f>W46/(W46+W48)</f>
        <v>#N/A</v>
      </c>
    </row>
    <row r="34" spans="1:39" x14ac:dyDescent="0.25">
      <c r="A34" s="3"/>
      <c r="B34" s="274"/>
      <c r="C34" s="3" t="s">
        <v>2</v>
      </c>
      <c r="D34" s="18" t="s">
        <v>104</v>
      </c>
      <c r="E34" s="19" t="e">
        <f>VLOOKUP($D34,Résultats!$B$2:$AX$476,E$5,FALSE)</f>
        <v>#N/A</v>
      </c>
      <c r="F34" s="19" t="e">
        <f>VLOOKUP($D34,Résultats!$B$2:$AX$476,F$5,FALSE)</f>
        <v>#N/A</v>
      </c>
      <c r="G34" s="28" t="e">
        <f>VLOOKUP($D34,Résultats!$B$2:$AX$476,G$5,FALSE)</f>
        <v>#N/A</v>
      </c>
      <c r="H34" s="19" t="e">
        <f>VLOOKUP($D34,Résultats!$B$2:$AX$476,H$5,FALSE)</f>
        <v>#N/A</v>
      </c>
      <c r="I34" s="111" t="e">
        <f>VLOOKUP($D34,Résultats!$B$2:$AX$476,I$5,FALSE)</f>
        <v>#N/A</v>
      </c>
      <c r="J34" s="28" t="e">
        <f>VLOOKUP($D34,Résultats!$B$2:$AX$476,J$5,FALSE)</f>
        <v>#N/A</v>
      </c>
      <c r="K34" s="19" t="e">
        <f>VLOOKUP($D34,Résultats!$B$2:$AX$476,K$5,FALSE)</f>
        <v>#N/A</v>
      </c>
      <c r="L34" s="19" t="e">
        <f>VLOOKUP($D34,Résultats!$B$2:$AX$476,L$5,FALSE)</f>
        <v>#N/A</v>
      </c>
      <c r="M34" s="19" t="e">
        <f>VLOOKUP($D34,Résultats!$B$2:$AX$476,M$5,FALSE)</f>
        <v>#N/A</v>
      </c>
      <c r="N34" s="111" t="e">
        <f>VLOOKUP($D34,Résultats!$B$2:$AX$476,N$5,FALSE)</f>
        <v>#N/A</v>
      </c>
      <c r="O34" s="28" t="e">
        <f>VLOOKUP($D34,Résultats!$B$2:$AX$476,O$5,FALSE)</f>
        <v>#N/A</v>
      </c>
      <c r="P34" s="19" t="e">
        <f>VLOOKUP($D34,Résultats!$B$2:$AX$476,P$5,FALSE)</f>
        <v>#N/A</v>
      </c>
      <c r="Q34" s="19" t="e">
        <f>VLOOKUP($D34,Résultats!$B$2:$AX$476,Q$5,FALSE)</f>
        <v>#N/A</v>
      </c>
      <c r="R34" s="19" t="e">
        <f>VLOOKUP($D34,Résultats!$B$2:$AX$476,R$5,FALSE)</f>
        <v>#N/A</v>
      </c>
      <c r="S34" s="111" t="e">
        <f>VLOOKUP($D34,Résultats!$B$2:$AX$476,S$5,FALSE)</f>
        <v>#N/A</v>
      </c>
      <c r="T34" s="120" t="e">
        <f>VLOOKUP($D34,Résultats!$B$2:$AX$476,T$5,FALSE)</f>
        <v>#N/A</v>
      </c>
      <c r="U34" s="120" t="e">
        <f>VLOOKUP($D34,Résultats!$B$2:$AX$476,U$5,FALSE)</f>
        <v>#N/A</v>
      </c>
      <c r="V34" s="120" t="e">
        <f>VLOOKUP($D34,Résultats!$B$2:$AX$476,V$5,FALSE)</f>
        <v>#N/A</v>
      </c>
      <c r="W34" s="120" t="e">
        <f>VLOOKUP($D34,Résultats!$B$2:$AX$476,W$5,FALSE)</f>
        <v>#N/A</v>
      </c>
      <c r="X34" s="3"/>
      <c r="Z34" s="210" t="s">
        <v>143</v>
      </c>
      <c r="AA34" s="219" t="e">
        <f>I37/I36</f>
        <v>#N/A</v>
      </c>
      <c r="AB34" s="219" t="e">
        <f>S37/S36</f>
        <v>#N/A</v>
      </c>
      <c r="AC34" s="220" t="e">
        <f>W37/W36</f>
        <v>#N/A</v>
      </c>
      <c r="AE34" s="212" t="s">
        <v>147</v>
      </c>
      <c r="AF34" s="221" t="e">
        <f>I35/I33</f>
        <v>#N/A</v>
      </c>
      <c r="AG34" s="221" t="e">
        <f>S35/S33</f>
        <v>#N/A</v>
      </c>
      <c r="AH34" s="222" t="e">
        <f>W35/W33</f>
        <v>#N/A</v>
      </c>
      <c r="AJ34" s="212" t="s">
        <v>149</v>
      </c>
      <c r="AK34" s="221" t="e">
        <f>I48/(I46+I48)</f>
        <v>#N/A</v>
      </c>
      <c r="AL34" s="221" t="e">
        <f>S48/(S46+S48)</f>
        <v>#N/A</v>
      </c>
      <c r="AM34" s="222" t="e">
        <f>W48/(W46+W48)</f>
        <v>#N/A</v>
      </c>
    </row>
    <row r="35" spans="1:39" x14ac:dyDescent="0.25">
      <c r="A35" s="3"/>
      <c r="B35" s="275"/>
      <c r="C35" s="7" t="s">
        <v>3</v>
      </c>
      <c r="D35" s="3" t="s">
        <v>105</v>
      </c>
      <c r="E35" s="19" t="e">
        <f>VLOOKUP($D35,Résultats!$B$2:$AX$476,E$5,FALSE)</f>
        <v>#N/A</v>
      </c>
      <c r="F35" s="19" t="e">
        <f>VLOOKUP($D35,Résultats!$B$2:$AX$476,F$5,FALSE)</f>
        <v>#N/A</v>
      </c>
      <c r="G35" s="28" t="e">
        <f>VLOOKUP($D35,Résultats!$B$2:$AX$476,G$5,FALSE)</f>
        <v>#N/A</v>
      </c>
      <c r="H35" s="19" t="e">
        <f>VLOOKUP($D35,Résultats!$B$2:$AX$476,H$5,FALSE)</f>
        <v>#N/A</v>
      </c>
      <c r="I35" s="111" t="e">
        <f>VLOOKUP($D35,Résultats!$B$2:$AX$476,I$5,FALSE)</f>
        <v>#N/A</v>
      </c>
      <c r="J35" s="28" t="e">
        <f>VLOOKUP($D35,Résultats!$B$2:$AX$476,J$5,FALSE)</f>
        <v>#N/A</v>
      </c>
      <c r="K35" s="19" t="e">
        <f>VLOOKUP($D35,Résultats!$B$2:$AX$476,K$5,FALSE)</f>
        <v>#N/A</v>
      </c>
      <c r="L35" s="19" t="e">
        <f>VLOOKUP($D35,Résultats!$B$2:$AX$476,L$5,FALSE)</f>
        <v>#N/A</v>
      </c>
      <c r="M35" s="19" t="e">
        <f>VLOOKUP($D35,Résultats!$B$2:$AX$476,M$5,FALSE)</f>
        <v>#N/A</v>
      </c>
      <c r="N35" s="111" t="e">
        <f>VLOOKUP($D35,Résultats!$B$2:$AX$476,N$5,FALSE)</f>
        <v>#N/A</v>
      </c>
      <c r="O35" s="28" t="e">
        <f>VLOOKUP($D35,Résultats!$B$2:$AX$476,O$5,FALSE)</f>
        <v>#N/A</v>
      </c>
      <c r="P35" s="19" t="e">
        <f>VLOOKUP($D35,Résultats!$B$2:$AX$476,P$5,FALSE)</f>
        <v>#N/A</v>
      </c>
      <c r="Q35" s="19" t="e">
        <f>VLOOKUP($D35,Résultats!$B$2:$AX$476,Q$5,FALSE)</f>
        <v>#N/A</v>
      </c>
      <c r="R35" s="19" t="e">
        <f>VLOOKUP($D35,Résultats!$B$2:$AX$476,R$5,FALSE)</f>
        <v>#N/A</v>
      </c>
      <c r="S35" s="111" t="e">
        <f>VLOOKUP($D35,Résultats!$B$2:$AX$476,S$5,FALSE)</f>
        <v>#N/A</v>
      </c>
      <c r="T35" s="120" t="e">
        <f>VLOOKUP($D35,Résultats!$B$2:$AX$476,T$5,FALSE)</f>
        <v>#N/A</v>
      </c>
      <c r="U35" s="120" t="e">
        <f>VLOOKUP($D35,Résultats!$B$2:$AX$476,U$5,FALSE)</f>
        <v>#N/A</v>
      </c>
      <c r="V35" s="120" t="e">
        <f>VLOOKUP($D35,Résultats!$B$2:$AX$476,V$5,FALSE)</f>
        <v>#N/A</v>
      </c>
      <c r="W35" s="120" t="e">
        <f>VLOOKUP($D35,Résultats!$B$2:$AX$476,W$5,FALSE)</f>
        <v>#N/A</v>
      </c>
      <c r="X35" s="3"/>
      <c r="Z35" s="210" t="s">
        <v>211</v>
      </c>
      <c r="AA35" s="219" t="e">
        <f>I43/I36</f>
        <v>#N/A</v>
      </c>
      <c r="AB35" s="219" t="e">
        <f>S43/S36</f>
        <v>#N/A</v>
      </c>
      <c r="AC35" s="220" t="e">
        <f>W43/W36</f>
        <v>#N/A</v>
      </c>
      <c r="AE35" s="218" t="s">
        <v>210</v>
      </c>
      <c r="AF35" s="223" t="e">
        <f>SUM(AF33:AF34)</f>
        <v>#N/A</v>
      </c>
      <c r="AG35" s="223" t="e">
        <f t="shared" ref="AG35:AH35" si="6">SUM(AG33:AG34)</f>
        <v>#N/A</v>
      </c>
      <c r="AH35" s="223" t="e">
        <f t="shared" si="6"/>
        <v>#N/A</v>
      </c>
      <c r="AJ35" s="218" t="s">
        <v>210</v>
      </c>
      <c r="AK35" s="223" t="e">
        <f>SUM(AK33:AK34)</f>
        <v>#N/A</v>
      </c>
      <c r="AL35" s="223" t="e">
        <f t="shared" ref="AL35" si="7">SUM(AL33:AL34)</f>
        <v>#N/A</v>
      </c>
      <c r="AM35" s="223" t="e">
        <f t="shared" ref="AM35" si="8">SUM(AM33:AM34)</f>
        <v>#N/A</v>
      </c>
    </row>
    <row r="36" spans="1:39" x14ac:dyDescent="0.25">
      <c r="A36" s="3"/>
      <c r="B36" s="273" t="s">
        <v>4</v>
      </c>
      <c r="C36" s="5" t="s">
        <v>1</v>
      </c>
      <c r="D36" s="2" t="s">
        <v>90</v>
      </c>
      <c r="E36" s="8" t="e">
        <f>SUM(E37:E44)</f>
        <v>#N/A</v>
      </c>
      <c r="F36" s="8" t="e">
        <f>SUM(F37:F44)</f>
        <v>#N/A</v>
      </c>
      <c r="G36" s="27" t="e">
        <f t="shared" ref="G36:R36" si="9">SUM(G37:G44)</f>
        <v>#N/A</v>
      </c>
      <c r="H36" s="8" t="e">
        <f t="shared" si="9"/>
        <v>#N/A</v>
      </c>
      <c r="I36" s="112" t="e">
        <f t="shared" si="9"/>
        <v>#N/A</v>
      </c>
      <c r="J36" s="27" t="e">
        <f t="shared" si="9"/>
        <v>#N/A</v>
      </c>
      <c r="K36" s="8" t="e">
        <f t="shared" si="9"/>
        <v>#N/A</v>
      </c>
      <c r="L36" s="8" t="e">
        <f t="shared" si="9"/>
        <v>#N/A</v>
      </c>
      <c r="M36" s="8" t="e">
        <f t="shared" si="9"/>
        <v>#N/A</v>
      </c>
      <c r="N36" s="112" t="e">
        <f t="shared" si="9"/>
        <v>#N/A</v>
      </c>
      <c r="O36" s="27" t="e">
        <f t="shared" si="9"/>
        <v>#N/A</v>
      </c>
      <c r="P36" s="8" t="e">
        <f t="shared" si="9"/>
        <v>#N/A</v>
      </c>
      <c r="Q36" s="8" t="e">
        <f t="shared" si="9"/>
        <v>#N/A</v>
      </c>
      <c r="R36" s="8" t="e">
        <f t="shared" si="9"/>
        <v>#N/A</v>
      </c>
      <c r="S36" s="112" t="e">
        <f>SUM(S37:S44)</f>
        <v>#N/A</v>
      </c>
      <c r="T36" s="121" t="e">
        <f>SUM(T37:T44)</f>
        <v>#N/A</v>
      </c>
      <c r="U36" s="121" t="e">
        <f>SUM(U37:U44)</f>
        <v>#N/A</v>
      </c>
      <c r="V36" s="121" t="e">
        <f>SUM(V37:V44)</f>
        <v>#N/A</v>
      </c>
      <c r="W36" s="121" t="e">
        <f>SUM(W37:W44)</f>
        <v>#N/A</v>
      </c>
      <c r="X36" s="3"/>
      <c r="Z36" s="210" t="s">
        <v>144</v>
      </c>
      <c r="AA36" s="219" t="e">
        <f>I42/I36</f>
        <v>#N/A</v>
      </c>
      <c r="AB36" s="219" t="e">
        <f>S42/S36</f>
        <v>#N/A</v>
      </c>
      <c r="AC36" s="220" t="e">
        <f>W42/W36</f>
        <v>#N/A</v>
      </c>
    </row>
    <row r="37" spans="1:39" x14ac:dyDescent="0.25">
      <c r="A37" s="3"/>
      <c r="B37" s="274"/>
      <c r="C37" s="3" t="s">
        <v>5</v>
      </c>
      <c r="D37" s="3" t="s">
        <v>96</v>
      </c>
      <c r="E37" s="19" t="e">
        <f>VLOOKUP($D37,Résultats!$B$2:$AX$476,E$5,FALSE)</f>
        <v>#N/A</v>
      </c>
      <c r="F37" s="19" t="e">
        <f>VLOOKUP($D37,Résultats!$B$2:$AX$476,F$5,FALSE)</f>
        <v>#N/A</v>
      </c>
      <c r="G37" s="28" t="e">
        <f>VLOOKUP($D37,Résultats!$B$2:$AX$476,G$5,FALSE)</f>
        <v>#N/A</v>
      </c>
      <c r="H37" s="19" t="e">
        <f>VLOOKUP($D37,Résultats!$B$2:$AX$476,H$5,FALSE)</f>
        <v>#N/A</v>
      </c>
      <c r="I37" s="111" t="e">
        <f>VLOOKUP($D37,Résultats!$B$2:$AX$476,I$5,FALSE)</f>
        <v>#N/A</v>
      </c>
      <c r="J37" s="28" t="e">
        <f>VLOOKUP($D37,Résultats!$B$2:$AX$476,J$5,FALSE)</f>
        <v>#N/A</v>
      </c>
      <c r="K37" s="19" t="e">
        <f>VLOOKUP($D37,Résultats!$B$2:$AX$476,K$5,FALSE)</f>
        <v>#N/A</v>
      </c>
      <c r="L37" s="19" t="e">
        <f>VLOOKUP($D37,Résultats!$B$2:$AX$476,L$5,FALSE)</f>
        <v>#N/A</v>
      </c>
      <c r="M37" s="19" t="e">
        <f>VLOOKUP($D37,Résultats!$B$2:$AX$476,M$5,FALSE)</f>
        <v>#N/A</v>
      </c>
      <c r="N37" s="111" t="e">
        <f>VLOOKUP($D37,Résultats!$B$2:$AX$476,N$5,FALSE)</f>
        <v>#N/A</v>
      </c>
      <c r="O37" s="28" t="e">
        <f>VLOOKUP($D37,Résultats!$B$2:$AX$476,O$5,FALSE)</f>
        <v>#N/A</v>
      </c>
      <c r="P37" s="19" t="e">
        <f>VLOOKUP($D37,Résultats!$B$2:$AX$476,P$5,FALSE)</f>
        <v>#N/A</v>
      </c>
      <c r="Q37" s="19" t="e">
        <f>VLOOKUP($D37,Résultats!$B$2:$AX$476,Q$5,FALSE)</f>
        <v>#N/A</v>
      </c>
      <c r="R37" s="19" t="e">
        <f>VLOOKUP($D37,Résultats!$B$2:$AX$476,R$5,FALSE)</f>
        <v>#N/A</v>
      </c>
      <c r="S37" s="111" t="e">
        <f>VLOOKUP($D37,Résultats!$B$2:$AX$476,S$5,FALSE)</f>
        <v>#N/A</v>
      </c>
      <c r="T37" s="120" t="e">
        <f>VLOOKUP($D37,Résultats!$B$2:$AX$476,T$5,FALSE)</f>
        <v>#N/A</v>
      </c>
      <c r="U37" s="120" t="e">
        <f>VLOOKUP($D37,Résultats!$B$2:$AX$476,U$5,FALSE)</f>
        <v>#N/A</v>
      </c>
      <c r="V37" s="120" t="e">
        <f>VLOOKUP($D37,Résultats!$B$2:$AX$476,V$5,FALSE)</f>
        <v>#N/A</v>
      </c>
      <c r="W37" s="120" t="e">
        <f>VLOOKUP($D37,Résultats!$B$2:$AX$476,W$5,FALSE)</f>
        <v>#N/A</v>
      </c>
      <c r="X37" s="3"/>
      <c r="Z37" s="210" t="s">
        <v>145</v>
      </c>
      <c r="AA37" s="219" t="e">
        <f>I41/I36</f>
        <v>#N/A</v>
      </c>
      <c r="AB37" s="219" t="e">
        <f>S41/S36</f>
        <v>#N/A</v>
      </c>
      <c r="AC37" s="220" t="e">
        <f>W41/W36</f>
        <v>#N/A</v>
      </c>
    </row>
    <row r="38" spans="1:39" x14ac:dyDescent="0.25">
      <c r="A38" s="3"/>
      <c r="B38" s="274"/>
      <c r="C38" s="3" t="s">
        <v>6</v>
      </c>
      <c r="D38" s="3" t="s">
        <v>97</v>
      </c>
      <c r="E38" s="19" t="e">
        <f>VLOOKUP($D38,Résultats!$B$2:$AX$476,E$5,FALSE)</f>
        <v>#N/A</v>
      </c>
      <c r="F38" s="19" t="e">
        <f>VLOOKUP($D38,Résultats!$B$2:$AX$476,F$5,FALSE)</f>
        <v>#N/A</v>
      </c>
      <c r="G38" s="28" t="e">
        <f>VLOOKUP($D38,Résultats!$B$2:$AX$476,G$5,FALSE)</f>
        <v>#N/A</v>
      </c>
      <c r="H38" s="19" t="e">
        <f>VLOOKUP($D38,Résultats!$B$2:$AX$476,H$5,FALSE)</f>
        <v>#N/A</v>
      </c>
      <c r="I38" s="111" t="e">
        <f>VLOOKUP($D38,Résultats!$B$2:$AX$476,I$5,FALSE)</f>
        <v>#N/A</v>
      </c>
      <c r="J38" s="28" t="e">
        <f>VLOOKUP($D38,Résultats!$B$2:$AX$476,J$5,FALSE)</f>
        <v>#N/A</v>
      </c>
      <c r="K38" s="19" t="e">
        <f>VLOOKUP($D38,Résultats!$B$2:$AX$476,K$5,FALSE)</f>
        <v>#N/A</v>
      </c>
      <c r="L38" s="19" t="e">
        <f>VLOOKUP($D38,Résultats!$B$2:$AX$476,L$5,FALSE)</f>
        <v>#N/A</v>
      </c>
      <c r="M38" s="19" t="e">
        <f>VLOOKUP($D38,Résultats!$B$2:$AX$476,M$5,FALSE)</f>
        <v>#N/A</v>
      </c>
      <c r="N38" s="111" t="e">
        <f>VLOOKUP($D38,Résultats!$B$2:$AX$476,N$5,FALSE)</f>
        <v>#N/A</v>
      </c>
      <c r="O38" s="28" t="e">
        <f>VLOOKUP($D38,Résultats!$B$2:$AX$476,O$5,FALSE)</f>
        <v>#N/A</v>
      </c>
      <c r="P38" s="19" t="e">
        <f>VLOOKUP($D38,Résultats!$B$2:$AX$476,P$5,FALSE)</f>
        <v>#N/A</v>
      </c>
      <c r="Q38" s="19" t="e">
        <f>VLOOKUP($D38,Résultats!$B$2:$AX$476,Q$5,FALSE)</f>
        <v>#N/A</v>
      </c>
      <c r="R38" s="19" t="e">
        <f>VLOOKUP($D38,Résultats!$B$2:$AX$476,R$5,FALSE)</f>
        <v>#N/A</v>
      </c>
      <c r="S38" s="111" t="e">
        <f>VLOOKUP($D38,Résultats!$B$2:$AX$476,S$5,FALSE)</f>
        <v>#N/A</v>
      </c>
      <c r="T38" s="120" t="e">
        <f>VLOOKUP($D38,Résultats!$B$2:$AX$476,T$5,FALSE)</f>
        <v>#N/A</v>
      </c>
      <c r="U38" s="120" t="e">
        <f>VLOOKUP($D38,Résultats!$B$2:$AX$476,U$5,FALSE)</f>
        <v>#N/A</v>
      </c>
      <c r="V38" s="120" t="e">
        <f>VLOOKUP($D38,Résultats!$B$2:$AX$476,V$5,FALSE)</f>
        <v>#N/A</v>
      </c>
      <c r="W38" s="120" t="e">
        <f>VLOOKUP($D38,Résultats!$B$2:$AX$476,W$5,FALSE)</f>
        <v>#N/A</v>
      </c>
      <c r="X38" s="3"/>
      <c r="Z38" s="212" t="s">
        <v>146</v>
      </c>
      <c r="AA38" s="221" t="e">
        <f>(I39+I44)/I36</f>
        <v>#N/A</v>
      </c>
      <c r="AB38" s="221" t="e">
        <f>(S39+S44)/S36</f>
        <v>#N/A</v>
      </c>
      <c r="AC38" s="222" t="e">
        <f>(W39+W44)/W36</f>
        <v>#N/A</v>
      </c>
    </row>
    <row r="39" spans="1:39" x14ac:dyDescent="0.25">
      <c r="A39" s="3"/>
      <c r="B39" s="274"/>
      <c r="C39" s="3" t="s">
        <v>7</v>
      </c>
      <c r="D39" s="3" t="s">
        <v>98</v>
      </c>
      <c r="E39" s="19" t="e">
        <f>VLOOKUP($D39,Résultats!$B$2:$AX$476,E$5,FALSE)</f>
        <v>#N/A</v>
      </c>
      <c r="F39" s="19" t="e">
        <f>VLOOKUP($D39,Résultats!$B$2:$AX$476,F$5,FALSE)</f>
        <v>#N/A</v>
      </c>
      <c r="G39" s="28" t="e">
        <f>VLOOKUP($D39,Résultats!$B$2:$AX$476,G$5,FALSE)</f>
        <v>#N/A</v>
      </c>
      <c r="H39" s="19" t="e">
        <f>VLOOKUP($D39,Résultats!$B$2:$AX$476,H$5,FALSE)</f>
        <v>#N/A</v>
      </c>
      <c r="I39" s="111" t="e">
        <f>VLOOKUP($D39,Résultats!$B$2:$AX$476,I$5,FALSE)</f>
        <v>#N/A</v>
      </c>
      <c r="J39" s="28" t="e">
        <f>VLOOKUP($D39,Résultats!$B$2:$AX$476,J$5,FALSE)</f>
        <v>#N/A</v>
      </c>
      <c r="K39" s="19" t="e">
        <f>VLOOKUP($D39,Résultats!$B$2:$AX$476,K$5,FALSE)</f>
        <v>#N/A</v>
      </c>
      <c r="L39" s="19" t="e">
        <f>VLOOKUP($D39,Résultats!$B$2:$AX$476,L$5,FALSE)</f>
        <v>#N/A</v>
      </c>
      <c r="M39" s="19" t="e">
        <f>VLOOKUP($D39,Résultats!$B$2:$AX$476,M$5,FALSE)</f>
        <v>#N/A</v>
      </c>
      <c r="N39" s="111" t="e">
        <f>VLOOKUP($D39,Résultats!$B$2:$AX$476,N$5,FALSE)</f>
        <v>#N/A</v>
      </c>
      <c r="O39" s="28" t="e">
        <f>VLOOKUP($D39,Résultats!$B$2:$AX$476,O$5,FALSE)</f>
        <v>#N/A</v>
      </c>
      <c r="P39" s="19" t="e">
        <f>VLOOKUP($D39,Résultats!$B$2:$AX$476,P$5,FALSE)</f>
        <v>#N/A</v>
      </c>
      <c r="Q39" s="19" t="e">
        <f>VLOOKUP($D39,Résultats!$B$2:$AX$476,Q$5,FALSE)</f>
        <v>#N/A</v>
      </c>
      <c r="R39" s="19" t="e">
        <f>VLOOKUP($D39,Résultats!$B$2:$AX$476,R$5,FALSE)</f>
        <v>#N/A</v>
      </c>
      <c r="S39" s="111" t="e">
        <f>VLOOKUP($D39,Résultats!$B$2:$AX$476,S$5,FALSE)</f>
        <v>#N/A</v>
      </c>
      <c r="T39" s="120" t="e">
        <f>VLOOKUP($D39,Résultats!$B$2:$AX$476,T$5,FALSE)</f>
        <v>#N/A</v>
      </c>
      <c r="U39" s="120" t="e">
        <f>VLOOKUP($D39,Résultats!$B$2:$AX$476,U$5,FALSE)</f>
        <v>#N/A</v>
      </c>
      <c r="V39" s="120" t="e">
        <f>VLOOKUP($D39,Résultats!$B$2:$AX$476,V$5,FALSE)</f>
        <v>#N/A</v>
      </c>
      <c r="W39" s="120" t="e">
        <f>VLOOKUP($D39,Résultats!$B$2:$AX$476,W$5,FALSE)</f>
        <v>#N/A</v>
      </c>
      <c r="X39" s="3"/>
      <c r="Z39" s="218" t="s">
        <v>210</v>
      </c>
      <c r="AA39" s="223" t="e">
        <f>SUM(AA33:AA38)</f>
        <v>#N/A</v>
      </c>
      <c r="AB39" s="223" t="e">
        <f t="shared" ref="AB39:AC39" si="10">SUM(AB33:AB38)</f>
        <v>#N/A</v>
      </c>
      <c r="AC39" s="223" t="e">
        <f t="shared" si="10"/>
        <v>#N/A</v>
      </c>
      <c r="AJ39" s="218"/>
      <c r="AK39" s="223"/>
      <c r="AL39" s="223"/>
      <c r="AM39" s="223"/>
    </row>
    <row r="40" spans="1:39" x14ac:dyDescent="0.25">
      <c r="A40" s="3"/>
      <c r="B40" s="274"/>
      <c r="C40" s="3" t="s">
        <v>8</v>
      </c>
      <c r="D40" s="3" t="s">
        <v>99</v>
      </c>
      <c r="E40" s="19" t="e">
        <f>VLOOKUP($D40,Résultats!$B$2:$AX$476,E$5,FALSE)</f>
        <v>#N/A</v>
      </c>
      <c r="F40" s="19" t="e">
        <f>VLOOKUP($D40,Résultats!$B$2:$AX$476,F$5,FALSE)</f>
        <v>#N/A</v>
      </c>
      <c r="G40" s="28" t="e">
        <f>VLOOKUP($D40,Résultats!$B$2:$AX$476,G$5,FALSE)</f>
        <v>#N/A</v>
      </c>
      <c r="H40" s="19" t="e">
        <f>VLOOKUP($D40,Résultats!$B$2:$AX$476,H$5,FALSE)</f>
        <v>#N/A</v>
      </c>
      <c r="I40" s="111" t="e">
        <f>VLOOKUP($D40,Résultats!$B$2:$AX$476,I$5,FALSE)</f>
        <v>#N/A</v>
      </c>
      <c r="J40" s="28" t="e">
        <f>VLOOKUP($D40,Résultats!$B$2:$AX$476,J$5,FALSE)</f>
        <v>#N/A</v>
      </c>
      <c r="K40" s="19" t="e">
        <f>VLOOKUP($D40,Résultats!$B$2:$AX$476,K$5,FALSE)</f>
        <v>#N/A</v>
      </c>
      <c r="L40" s="19" t="e">
        <f>VLOOKUP($D40,Résultats!$B$2:$AX$476,L$5,FALSE)</f>
        <v>#N/A</v>
      </c>
      <c r="M40" s="19" t="e">
        <f>VLOOKUP($D40,Résultats!$B$2:$AX$476,M$5,FALSE)</f>
        <v>#N/A</v>
      </c>
      <c r="N40" s="111" t="e">
        <f>VLOOKUP($D40,Résultats!$B$2:$AX$476,N$5,FALSE)</f>
        <v>#N/A</v>
      </c>
      <c r="O40" s="28" t="e">
        <f>VLOOKUP($D40,Résultats!$B$2:$AX$476,O$5,FALSE)</f>
        <v>#N/A</v>
      </c>
      <c r="P40" s="19" t="e">
        <f>VLOOKUP($D40,Résultats!$B$2:$AX$476,P$5,FALSE)</f>
        <v>#N/A</v>
      </c>
      <c r="Q40" s="19" t="e">
        <f>VLOOKUP($D40,Résultats!$B$2:$AX$476,Q$5,FALSE)</f>
        <v>#N/A</v>
      </c>
      <c r="R40" s="19" t="e">
        <f>VLOOKUP($D40,Résultats!$B$2:$AX$476,R$5,FALSE)</f>
        <v>#N/A</v>
      </c>
      <c r="S40" s="111" t="e">
        <f>VLOOKUP($D40,Résultats!$B$2:$AX$476,S$5,FALSE)</f>
        <v>#N/A</v>
      </c>
      <c r="T40" s="120" t="e">
        <f>VLOOKUP($D40,Résultats!$B$2:$AX$476,T$5,FALSE)</f>
        <v>#N/A</v>
      </c>
      <c r="U40" s="120" t="e">
        <f>VLOOKUP($D40,Résultats!$B$2:$AX$476,U$5,FALSE)</f>
        <v>#N/A</v>
      </c>
      <c r="V40" s="120" t="e">
        <f>VLOOKUP($D40,Résultats!$B$2:$AX$476,V$5,FALSE)</f>
        <v>#N/A</v>
      </c>
      <c r="W40" s="120" t="e">
        <f>VLOOKUP($D40,Résultats!$B$2:$AX$476,W$5,FALSE)</f>
        <v>#N/A</v>
      </c>
      <c r="X40" s="3"/>
    </row>
    <row r="41" spans="1:39" x14ac:dyDescent="0.25">
      <c r="A41" s="3"/>
      <c r="B41" s="274"/>
      <c r="C41" s="3" t="s">
        <v>9</v>
      </c>
      <c r="D41" s="3" t="s">
        <v>100</v>
      </c>
      <c r="E41" s="19" t="e">
        <f>VLOOKUP($D41,Résultats!$B$2:$AX$476,E$5,FALSE)</f>
        <v>#N/A</v>
      </c>
      <c r="F41" s="19" t="e">
        <f>VLOOKUP($D41,Résultats!$B$2:$AX$476,F$5,FALSE)</f>
        <v>#N/A</v>
      </c>
      <c r="G41" s="28" t="e">
        <f>VLOOKUP($D41,Résultats!$B$2:$AX$476,G$5,FALSE)</f>
        <v>#N/A</v>
      </c>
      <c r="H41" s="19" t="e">
        <f>VLOOKUP($D41,Résultats!$B$2:$AX$476,H$5,FALSE)</f>
        <v>#N/A</v>
      </c>
      <c r="I41" s="111" t="e">
        <f>VLOOKUP($D41,Résultats!$B$2:$AX$476,I$5,FALSE)</f>
        <v>#N/A</v>
      </c>
      <c r="J41" s="28" t="e">
        <f>VLOOKUP($D41,Résultats!$B$2:$AX$476,J$5,FALSE)</f>
        <v>#N/A</v>
      </c>
      <c r="K41" s="19" t="e">
        <f>VLOOKUP($D41,Résultats!$B$2:$AX$476,K$5,FALSE)</f>
        <v>#N/A</v>
      </c>
      <c r="L41" s="19" t="e">
        <f>VLOOKUP($D41,Résultats!$B$2:$AX$476,L$5,FALSE)</f>
        <v>#N/A</v>
      </c>
      <c r="M41" s="19" t="e">
        <f>VLOOKUP($D41,Résultats!$B$2:$AX$476,M$5,FALSE)</f>
        <v>#N/A</v>
      </c>
      <c r="N41" s="111" t="e">
        <f>VLOOKUP($D41,Résultats!$B$2:$AX$476,N$5,FALSE)</f>
        <v>#N/A</v>
      </c>
      <c r="O41" s="28" t="e">
        <f>VLOOKUP($D41,Résultats!$B$2:$AX$476,O$5,FALSE)</f>
        <v>#N/A</v>
      </c>
      <c r="P41" s="19" t="e">
        <f>VLOOKUP($D41,Résultats!$B$2:$AX$476,P$5,FALSE)</f>
        <v>#N/A</v>
      </c>
      <c r="Q41" s="19" t="e">
        <f>VLOOKUP($D41,Résultats!$B$2:$AX$476,Q$5,FALSE)</f>
        <v>#N/A</v>
      </c>
      <c r="R41" s="19" t="e">
        <f>VLOOKUP($D41,Résultats!$B$2:$AX$476,R$5,FALSE)</f>
        <v>#N/A</v>
      </c>
      <c r="S41" s="111" t="e">
        <f>VLOOKUP($D41,Résultats!$B$2:$AX$476,S$5,FALSE)</f>
        <v>#N/A</v>
      </c>
      <c r="T41" s="120" t="e">
        <f>VLOOKUP($D41,Résultats!$B$2:$AX$476,T$5,FALSE)</f>
        <v>#N/A</v>
      </c>
      <c r="U41" s="120" t="e">
        <f>VLOOKUP($D41,Résultats!$B$2:$AX$476,U$5,FALSE)</f>
        <v>#N/A</v>
      </c>
      <c r="V41" s="120" t="e">
        <f>VLOOKUP($D41,Résultats!$B$2:$AX$476,V$5,FALSE)</f>
        <v>#N/A</v>
      </c>
      <c r="W41" s="120" t="e">
        <f>VLOOKUP($D41,Résultats!$B$2:$AX$476,W$5,FALSE)</f>
        <v>#N/A</v>
      </c>
      <c r="X41" s="3"/>
    </row>
    <row r="42" spans="1:39" x14ac:dyDescent="0.25">
      <c r="A42" s="3"/>
      <c r="B42" s="274"/>
      <c r="C42" s="3" t="s">
        <v>10</v>
      </c>
      <c r="D42" s="3" t="s">
        <v>101</v>
      </c>
      <c r="E42" s="19" t="e">
        <f>VLOOKUP($D42,Résultats!$B$2:$AX$476,E$5,FALSE)</f>
        <v>#N/A</v>
      </c>
      <c r="F42" s="19" t="e">
        <f>VLOOKUP($D42,Résultats!$B$2:$AX$476,F$5,FALSE)</f>
        <v>#N/A</v>
      </c>
      <c r="G42" s="28" t="e">
        <f>VLOOKUP($D42,Résultats!$B$2:$AX$476,G$5,FALSE)</f>
        <v>#N/A</v>
      </c>
      <c r="H42" s="19" t="e">
        <f>VLOOKUP($D42,Résultats!$B$2:$AX$476,H$5,FALSE)</f>
        <v>#N/A</v>
      </c>
      <c r="I42" s="111" t="e">
        <f>VLOOKUP($D42,Résultats!$B$2:$AX$476,I$5,FALSE)</f>
        <v>#N/A</v>
      </c>
      <c r="J42" s="28" t="e">
        <f>VLOOKUP($D42,Résultats!$B$2:$AX$476,J$5,FALSE)</f>
        <v>#N/A</v>
      </c>
      <c r="K42" s="19" t="e">
        <f>VLOOKUP($D42,Résultats!$B$2:$AX$476,K$5,FALSE)</f>
        <v>#N/A</v>
      </c>
      <c r="L42" s="19" t="e">
        <f>VLOOKUP($D42,Résultats!$B$2:$AX$476,L$5,FALSE)</f>
        <v>#N/A</v>
      </c>
      <c r="M42" s="19" t="e">
        <f>VLOOKUP($D42,Résultats!$B$2:$AX$476,M$5,FALSE)</f>
        <v>#N/A</v>
      </c>
      <c r="N42" s="111" t="e">
        <f>VLOOKUP($D42,Résultats!$B$2:$AX$476,N$5,FALSE)</f>
        <v>#N/A</v>
      </c>
      <c r="O42" s="28" t="e">
        <f>VLOOKUP($D42,Résultats!$B$2:$AX$476,O$5,FALSE)</f>
        <v>#N/A</v>
      </c>
      <c r="P42" s="19" t="e">
        <f>VLOOKUP($D42,Résultats!$B$2:$AX$476,P$5,FALSE)</f>
        <v>#N/A</v>
      </c>
      <c r="Q42" s="19" t="e">
        <f>VLOOKUP($D42,Résultats!$B$2:$AX$476,Q$5,FALSE)</f>
        <v>#N/A</v>
      </c>
      <c r="R42" s="19" t="e">
        <f>VLOOKUP($D42,Résultats!$B$2:$AX$476,R$5,FALSE)</f>
        <v>#N/A</v>
      </c>
      <c r="S42" s="111" t="e">
        <f>VLOOKUP($D42,Résultats!$B$2:$AX$476,S$5,FALSE)</f>
        <v>#N/A</v>
      </c>
      <c r="T42" s="120" t="e">
        <f>VLOOKUP($D42,Résultats!$B$2:$AX$476,T$5,FALSE)</f>
        <v>#N/A</v>
      </c>
      <c r="U42" s="120" t="e">
        <f>VLOOKUP($D42,Résultats!$B$2:$AX$476,U$5,FALSE)</f>
        <v>#N/A</v>
      </c>
      <c r="V42" s="120" t="e">
        <f>VLOOKUP($D42,Résultats!$B$2:$AX$476,V$5,FALSE)</f>
        <v>#N/A</v>
      </c>
      <c r="W42" s="120" t="e">
        <f>VLOOKUP($D42,Résultats!$B$2:$AX$476,W$5,FALSE)</f>
        <v>#N/A</v>
      </c>
      <c r="X42" s="3"/>
    </row>
    <row r="43" spans="1:39" x14ac:dyDescent="0.25">
      <c r="A43" s="3"/>
      <c r="B43" s="274"/>
      <c r="C43" s="3" t="s">
        <v>11</v>
      </c>
      <c r="D43" s="3" t="s">
        <v>102</v>
      </c>
      <c r="E43" s="19" t="e">
        <f>VLOOKUP($D43,Résultats!$B$2:$AX$476,E$5,FALSE)</f>
        <v>#N/A</v>
      </c>
      <c r="F43" s="19" t="e">
        <f>VLOOKUP($D43,Résultats!$B$2:$AX$476,F$5,FALSE)</f>
        <v>#N/A</v>
      </c>
      <c r="G43" s="28" t="e">
        <f>VLOOKUP($D43,Résultats!$B$2:$AX$476,G$5,FALSE)</f>
        <v>#N/A</v>
      </c>
      <c r="H43" s="19" t="e">
        <f>VLOOKUP($D43,Résultats!$B$2:$AX$476,H$5,FALSE)</f>
        <v>#N/A</v>
      </c>
      <c r="I43" s="111" t="e">
        <f>VLOOKUP($D43,Résultats!$B$2:$AX$476,I$5,FALSE)</f>
        <v>#N/A</v>
      </c>
      <c r="J43" s="28" t="e">
        <f>VLOOKUP($D43,Résultats!$B$2:$AX$476,J$5,FALSE)</f>
        <v>#N/A</v>
      </c>
      <c r="K43" s="19" t="e">
        <f>VLOOKUP($D43,Résultats!$B$2:$AX$476,K$5,FALSE)</f>
        <v>#N/A</v>
      </c>
      <c r="L43" s="19" t="e">
        <f>VLOOKUP($D43,Résultats!$B$2:$AX$476,L$5,FALSE)</f>
        <v>#N/A</v>
      </c>
      <c r="M43" s="19" t="e">
        <f>VLOOKUP($D43,Résultats!$B$2:$AX$476,M$5,FALSE)</f>
        <v>#N/A</v>
      </c>
      <c r="N43" s="111" t="e">
        <f>VLOOKUP($D43,Résultats!$B$2:$AX$476,N$5,FALSE)</f>
        <v>#N/A</v>
      </c>
      <c r="O43" s="28" t="e">
        <f>VLOOKUP($D43,Résultats!$B$2:$AX$476,O$5,FALSE)</f>
        <v>#N/A</v>
      </c>
      <c r="P43" s="19" t="e">
        <f>VLOOKUP($D43,Résultats!$B$2:$AX$476,P$5,FALSE)</f>
        <v>#N/A</v>
      </c>
      <c r="Q43" s="19" t="e">
        <f>VLOOKUP($D43,Résultats!$B$2:$AX$476,Q$5,FALSE)</f>
        <v>#N/A</v>
      </c>
      <c r="R43" s="19" t="e">
        <f>VLOOKUP($D43,Résultats!$B$2:$AX$476,R$5,FALSE)</f>
        <v>#N/A</v>
      </c>
      <c r="S43" s="111" t="e">
        <f>VLOOKUP($D43,Résultats!$B$2:$AX$476,S$5,FALSE)</f>
        <v>#N/A</v>
      </c>
      <c r="T43" s="120" t="e">
        <f>VLOOKUP($D43,Résultats!$B$2:$AX$476,T$5,FALSE)</f>
        <v>#N/A</v>
      </c>
      <c r="U43" s="120" t="e">
        <f>VLOOKUP($D43,Résultats!$B$2:$AX$476,U$5,FALSE)</f>
        <v>#N/A</v>
      </c>
      <c r="V43" s="120" t="e">
        <f>VLOOKUP($D43,Résultats!$B$2:$AX$476,V$5,FALSE)</f>
        <v>#N/A</v>
      </c>
      <c r="W43" s="120" t="e">
        <f>VLOOKUP($D43,Résultats!$B$2:$AX$476,W$5,FALSE)</f>
        <v>#N/A</v>
      </c>
      <c r="X43" s="3"/>
    </row>
    <row r="44" spans="1:39" x14ac:dyDescent="0.25">
      <c r="A44" s="3"/>
      <c r="B44" s="275"/>
      <c r="C44" s="7" t="s">
        <v>12</v>
      </c>
      <c r="D44" s="3" t="s">
        <v>103</v>
      </c>
      <c r="E44" s="20" t="e">
        <f>VLOOKUP($D44,Résultats!$B$2:$AX$476,E$5,FALSE)</f>
        <v>#N/A</v>
      </c>
      <c r="F44" s="20" t="e">
        <f>VLOOKUP($D44,Résultats!$B$2:$AX$476,F$5,FALSE)</f>
        <v>#N/A</v>
      </c>
      <c r="G44" s="113" t="e">
        <f>VLOOKUP($D44,Résultats!$B$2:$AX$476,G$5,FALSE)</f>
        <v>#N/A</v>
      </c>
      <c r="H44" s="20" t="e">
        <f>VLOOKUP($D44,Résultats!$B$2:$AX$476,H$5,FALSE)</f>
        <v>#N/A</v>
      </c>
      <c r="I44" s="114" t="e">
        <f>VLOOKUP($D44,Résultats!$B$2:$AX$476,I$5,FALSE)</f>
        <v>#N/A</v>
      </c>
      <c r="J44" s="113" t="e">
        <f>VLOOKUP($D44,Résultats!$B$2:$AX$476,J$5,FALSE)</f>
        <v>#N/A</v>
      </c>
      <c r="K44" s="20" t="e">
        <f>VLOOKUP($D44,Résultats!$B$2:$AX$476,K$5,FALSE)</f>
        <v>#N/A</v>
      </c>
      <c r="L44" s="20" t="e">
        <f>VLOOKUP($D44,Résultats!$B$2:$AX$476,L$5,FALSE)</f>
        <v>#N/A</v>
      </c>
      <c r="M44" s="20" t="e">
        <f>VLOOKUP($D44,Résultats!$B$2:$AX$476,M$5,FALSE)</f>
        <v>#N/A</v>
      </c>
      <c r="N44" s="114" t="e">
        <f>VLOOKUP($D44,Résultats!$B$2:$AX$476,N$5,FALSE)</f>
        <v>#N/A</v>
      </c>
      <c r="O44" s="113" t="e">
        <f>VLOOKUP($D44,Résultats!$B$2:$AX$476,O$5,FALSE)</f>
        <v>#N/A</v>
      </c>
      <c r="P44" s="20" t="e">
        <f>VLOOKUP($D44,Résultats!$B$2:$AX$476,P$5,FALSE)</f>
        <v>#N/A</v>
      </c>
      <c r="Q44" s="20" t="e">
        <f>VLOOKUP($D44,Résultats!$B$2:$AX$476,Q$5,FALSE)</f>
        <v>#N/A</v>
      </c>
      <c r="R44" s="20" t="e">
        <f>VLOOKUP($D44,Résultats!$B$2:$AX$476,R$5,FALSE)</f>
        <v>#N/A</v>
      </c>
      <c r="S44" s="114" t="e">
        <f>VLOOKUP($D44,Résultats!$B$2:$AX$476,S$5,FALSE)</f>
        <v>#N/A</v>
      </c>
      <c r="T44" s="122" t="e">
        <f>VLOOKUP($D44,Résultats!$B$2:$AX$476,T$5,FALSE)</f>
        <v>#N/A</v>
      </c>
      <c r="U44" s="122" t="e">
        <f>VLOOKUP($D44,Résultats!$B$2:$AX$476,U$5,FALSE)</f>
        <v>#N/A</v>
      </c>
      <c r="V44" s="122" t="e">
        <f>VLOOKUP($D44,Résultats!$B$2:$AX$476,V$5,FALSE)</f>
        <v>#N/A</v>
      </c>
      <c r="W44" s="122" t="e">
        <f>VLOOKUP($D44,Résultats!$B$2:$AX$476,W$5,FALSE)</f>
        <v>#N/A</v>
      </c>
      <c r="X44" s="3"/>
    </row>
    <row r="45" spans="1:39" x14ac:dyDescent="0.25">
      <c r="A45" s="3"/>
      <c r="B45" s="273" t="s">
        <v>135</v>
      </c>
      <c r="C45" s="5" t="s">
        <v>1</v>
      </c>
      <c r="D45" s="2" t="s">
        <v>91</v>
      </c>
      <c r="E45" s="6" t="e">
        <f>SUM(E46:E51)</f>
        <v>#N/A</v>
      </c>
      <c r="F45" s="6" t="e">
        <f>SUM(F46:F51)</f>
        <v>#N/A</v>
      </c>
      <c r="G45" s="109" t="e">
        <f t="shared" ref="G45:R45" si="11">SUM(G46:G51)</f>
        <v>#N/A</v>
      </c>
      <c r="H45" s="6" t="e">
        <f t="shared" si="11"/>
        <v>#N/A</v>
      </c>
      <c r="I45" s="110" t="e">
        <f t="shared" si="11"/>
        <v>#N/A</v>
      </c>
      <c r="J45" s="109" t="e">
        <f t="shared" si="11"/>
        <v>#N/A</v>
      </c>
      <c r="K45" s="6" t="e">
        <f t="shared" si="11"/>
        <v>#N/A</v>
      </c>
      <c r="L45" s="6" t="e">
        <f t="shared" si="11"/>
        <v>#N/A</v>
      </c>
      <c r="M45" s="6" t="e">
        <f t="shared" si="11"/>
        <v>#N/A</v>
      </c>
      <c r="N45" s="110" t="e">
        <f t="shared" si="11"/>
        <v>#N/A</v>
      </c>
      <c r="O45" s="109" t="e">
        <f t="shared" si="11"/>
        <v>#N/A</v>
      </c>
      <c r="P45" s="6" t="e">
        <f t="shared" si="11"/>
        <v>#N/A</v>
      </c>
      <c r="Q45" s="6" t="e">
        <f t="shared" si="11"/>
        <v>#N/A</v>
      </c>
      <c r="R45" s="6" t="e">
        <f t="shared" si="11"/>
        <v>#N/A</v>
      </c>
      <c r="S45" s="110" t="e">
        <f>SUM(S46:S51)</f>
        <v>#N/A</v>
      </c>
      <c r="T45" s="119" t="e">
        <f>SUM(T46:T51)</f>
        <v>#N/A</v>
      </c>
      <c r="U45" s="119" t="e">
        <f>SUM(U46:U51)</f>
        <v>#N/A</v>
      </c>
      <c r="V45" s="119" t="e">
        <f>SUM(V46:V51)</f>
        <v>#N/A</v>
      </c>
      <c r="W45" s="119" t="e">
        <f>SUM(W46:W51)</f>
        <v>#N/A</v>
      </c>
      <c r="X45" s="3"/>
    </row>
    <row r="46" spans="1:39" x14ac:dyDescent="0.25">
      <c r="A46" s="3"/>
      <c r="B46" s="274"/>
      <c r="C46" s="3" t="s">
        <v>13</v>
      </c>
      <c r="D46" s="3" t="s">
        <v>106</v>
      </c>
      <c r="E46" s="19" t="e">
        <f>VLOOKUP($D46,Résultats!$B$2:$AX$476,E$5,FALSE)</f>
        <v>#N/A</v>
      </c>
      <c r="F46" s="19" t="e">
        <f>VLOOKUP($D46,Résultats!$B$2:$AX$476,F$5,FALSE)</f>
        <v>#N/A</v>
      </c>
      <c r="G46" s="28" t="e">
        <f>VLOOKUP($D46,Résultats!$B$2:$AX$476,G$5,FALSE)</f>
        <v>#N/A</v>
      </c>
      <c r="H46" s="19" t="e">
        <f>VLOOKUP($D46,Résultats!$B$2:$AX$476,H$5,FALSE)</f>
        <v>#N/A</v>
      </c>
      <c r="I46" s="111" t="e">
        <f>VLOOKUP($D46,Résultats!$B$2:$AX$476,I$5,FALSE)</f>
        <v>#N/A</v>
      </c>
      <c r="J46" s="28" t="e">
        <f>VLOOKUP($D46,Résultats!$B$2:$AX$476,J$5,FALSE)</f>
        <v>#N/A</v>
      </c>
      <c r="K46" s="19" t="e">
        <f>VLOOKUP($D46,Résultats!$B$2:$AX$476,K$5,FALSE)</f>
        <v>#N/A</v>
      </c>
      <c r="L46" s="19" t="e">
        <f>VLOOKUP($D46,Résultats!$B$2:$AX$476,L$5,FALSE)</f>
        <v>#N/A</v>
      </c>
      <c r="M46" s="19" t="e">
        <f>VLOOKUP($D46,Résultats!$B$2:$AX$476,M$5,FALSE)</f>
        <v>#N/A</v>
      </c>
      <c r="N46" s="111" t="e">
        <f>VLOOKUP($D46,Résultats!$B$2:$AX$476,N$5,FALSE)</f>
        <v>#N/A</v>
      </c>
      <c r="O46" s="28" t="e">
        <f>VLOOKUP($D46,Résultats!$B$2:$AX$476,O$5,FALSE)</f>
        <v>#N/A</v>
      </c>
      <c r="P46" s="19" t="e">
        <f>VLOOKUP($D46,Résultats!$B$2:$AX$476,P$5,FALSE)</f>
        <v>#N/A</v>
      </c>
      <c r="Q46" s="19" t="e">
        <f>VLOOKUP($D46,Résultats!$B$2:$AX$476,Q$5,FALSE)</f>
        <v>#N/A</v>
      </c>
      <c r="R46" s="19" t="e">
        <f>VLOOKUP($D46,Résultats!$B$2:$AX$476,R$5,FALSE)</f>
        <v>#N/A</v>
      </c>
      <c r="S46" s="111" t="e">
        <f>VLOOKUP($D46,Résultats!$B$2:$AX$476,S$5,FALSE)</f>
        <v>#N/A</v>
      </c>
      <c r="T46" s="120" t="e">
        <f>VLOOKUP($D46,Résultats!$B$2:$AX$476,T$5,FALSE)</f>
        <v>#N/A</v>
      </c>
      <c r="U46" s="120" t="e">
        <f>VLOOKUP($D46,Résultats!$B$2:$AX$476,U$5,FALSE)</f>
        <v>#N/A</v>
      </c>
      <c r="V46" s="120" t="e">
        <f>VLOOKUP($D46,Résultats!$B$2:$AX$476,V$5,FALSE)</f>
        <v>#N/A</v>
      </c>
      <c r="W46" s="120" t="e">
        <f>VLOOKUP($D46,Résultats!$B$2:$AX$476,W$5,FALSE)</f>
        <v>#N/A</v>
      </c>
      <c r="X46" s="3"/>
    </row>
    <row r="47" spans="1:39" x14ac:dyDescent="0.25">
      <c r="A47" s="3"/>
      <c r="B47" s="274"/>
      <c r="C47" s="3" t="s">
        <v>14</v>
      </c>
      <c r="D47" s="3" t="s">
        <v>107</v>
      </c>
      <c r="E47" s="19" t="e">
        <f>VLOOKUP($D47,Résultats!$B$2:$AX$476,E$5,FALSE)</f>
        <v>#N/A</v>
      </c>
      <c r="F47" s="19" t="e">
        <f>VLOOKUP($D47,Résultats!$B$2:$AX$476,F$5,FALSE)</f>
        <v>#N/A</v>
      </c>
      <c r="G47" s="28" t="e">
        <f>VLOOKUP($D47,Résultats!$B$2:$AX$476,G$5,FALSE)</f>
        <v>#N/A</v>
      </c>
      <c r="H47" s="19" t="e">
        <f>VLOOKUP($D47,Résultats!$B$2:$AX$476,H$5,FALSE)</f>
        <v>#N/A</v>
      </c>
      <c r="I47" s="111" t="e">
        <f>VLOOKUP($D47,Résultats!$B$2:$AX$476,I$5,FALSE)</f>
        <v>#N/A</v>
      </c>
      <c r="J47" s="28" t="e">
        <f>VLOOKUP($D47,Résultats!$B$2:$AX$476,J$5,FALSE)</f>
        <v>#N/A</v>
      </c>
      <c r="K47" s="19" t="e">
        <f>VLOOKUP($D47,Résultats!$B$2:$AX$476,K$5,FALSE)</f>
        <v>#N/A</v>
      </c>
      <c r="L47" s="19" t="e">
        <f>VLOOKUP($D47,Résultats!$B$2:$AX$476,L$5,FALSE)</f>
        <v>#N/A</v>
      </c>
      <c r="M47" s="19" t="e">
        <f>VLOOKUP($D47,Résultats!$B$2:$AX$476,M$5,FALSE)</f>
        <v>#N/A</v>
      </c>
      <c r="N47" s="111" t="e">
        <f>VLOOKUP($D47,Résultats!$B$2:$AX$476,N$5,FALSE)</f>
        <v>#N/A</v>
      </c>
      <c r="O47" s="28" t="e">
        <f>VLOOKUP($D47,Résultats!$B$2:$AX$476,O$5,FALSE)</f>
        <v>#N/A</v>
      </c>
      <c r="P47" s="19" t="e">
        <f>VLOOKUP($D47,Résultats!$B$2:$AX$476,P$5,FALSE)</f>
        <v>#N/A</v>
      </c>
      <c r="Q47" s="19" t="e">
        <f>VLOOKUP($D47,Résultats!$B$2:$AX$476,Q$5,FALSE)</f>
        <v>#N/A</v>
      </c>
      <c r="R47" s="19" t="e">
        <f>VLOOKUP($D47,Résultats!$B$2:$AX$476,R$5,FALSE)</f>
        <v>#N/A</v>
      </c>
      <c r="S47" s="111" t="e">
        <f>VLOOKUP($D47,Résultats!$B$2:$AX$476,S$5,FALSE)</f>
        <v>#N/A</v>
      </c>
      <c r="T47" s="120" t="e">
        <f>VLOOKUP($D47,Résultats!$B$2:$AX$476,T$5,FALSE)</f>
        <v>#N/A</v>
      </c>
      <c r="U47" s="120" t="e">
        <f>VLOOKUP($D47,Résultats!$B$2:$AX$476,U$5,FALSE)</f>
        <v>#N/A</v>
      </c>
      <c r="V47" s="120" t="e">
        <f>VLOOKUP($D47,Résultats!$B$2:$AX$476,V$5,FALSE)</f>
        <v>#N/A</v>
      </c>
      <c r="W47" s="120" t="e">
        <f>VLOOKUP($D47,Résultats!$B$2:$AX$476,W$5,FALSE)</f>
        <v>#N/A</v>
      </c>
      <c r="X47" s="3"/>
    </row>
    <row r="48" spans="1:39" x14ac:dyDescent="0.25">
      <c r="A48" s="3"/>
      <c r="B48" s="274"/>
      <c r="C48" s="3" t="s">
        <v>15</v>
      </c>
      <c r="D48" s="3" t="s">
        <v>108</v>
      </c>
      <c r="E48" s="19" t="e">
        <f>VLOOKUP($D48,Résultats!$B$2:$AX$476,E$5,FALSE)</f>
        <v>#N/A</v>
      </c>
      <c r="F48" s="19" t="e">
        <f>VLOOKUP($D48,Résultats!$B$2:$AX$476,F$5,FALSE)</f>
        <v>#N/A</v>
      </c>
      <c r="G48" s="28" t="e">
        <f>VLOOKUP($D48,Résultats!$B$2:$AX$476,G$5,FALSE)</f>
        <v>#N/A</v>
      </c>
      <c r="H48" s="19" t="e">
        <f>VLOOKUP($D48,Résultats!$B$2:$AX$476,H$5,FALSE)</f>
        <v>#N/A</v>
      </c>
      <c r="I48" s="111" t="e">
        <f>VLOOKUP($D48,Résultats!$B$2:$AX$476,I$5,FALSE)</f>
        <v>#N/A</v>
      </c>
      <c r="J48" s="28" t="e">
        <f>VLOOKUP($D48,Résultats!$B$2:$AX$476,J$5,FALSE)</f>
        <v>#N/A</v>
      </c>
      <c r="K48" s="19" t="e">
        <f>VLOOKUP($D48,Résultats!$B$2:$AX$476,K$5,FALSE)</f>
        <v>#N/A</v>
      </c>
      <c r="L48" s="19" t="e">
        <f>VLOOKUP($D48,Résultats!$B$2:$AX$476,L$5,FALSE)</f>
        <v>#N/A</v>
      </c>
      <c r="M48" s="19" t="e">
        <f>VLOOKUP($D48,Résultats!$B$2:$AX$476,M$5,FALSE)</f>
        <v>#N/A</v>
      </c>
      <c r="N48" s="111" t="e">
        <f>VLOOKUP($D48,Résultats!$B$2:$AX$476,N$5,FALSE)</f>
        <v>#N/A</v>
      </c>
      <c r="O48" s="28" t="e">
        <f>VLOOKUP($D48,Résultats!$B$2:$AX$476,O$5,FALSE)</f>
        <v>#N/A</v>
      </c>
      <c r="P48" s="19" t="e">
        <f>VLOOKUP($D48,Résultats!$B$2:$AX$476,P$5,FALSE)</f>
        <v>#N/A</v>
      </c>
      <c r="Q48" s="19" t="e">
        <f>VLOOKUP($D48,Résultats!$B$2:$AX$476,Q$5,FALSE)</f>
        <v>#N/A</v>
      </c>
      <c r="R48" s="19" t="e">
        <f>VLOOKUP($D48,Résultats!$B$2:$AX$476,R$5,FALSE)</f>
        <v>#N/A</v>
      </c>
      <c r="S48" s="111" t="e">
        <f>VLOOKUP($D48,Résultats!$B$2:$AX$476,S$5,FALSE)</f>
        <v>#N/A</v>
      </c>
      <c r="T48" s="120" t="e">
        <f>VLOOKUP($D48,Résultats!$B$2:$AX$476,T$5,FALSE)</f>
        <v>#N/A</v>
      </c>
      <c r="U48" s="120" t="e">
        <f>VLOOKUP($D48,Résultats!$B$2:$AX$476,U$5,FALSE)</f>
        <v>#N/A</v>
      </c>
      <c r="V48" s="120" t="e">
        <f>VLOOKUP($D48,Résultats!$B$2:$AX$476,V$5,FALSE)</f>
        <v>#N/A</v>
      </c>
      <c r="W48" s="120" t="e">
        <f>VLOOKUP($D48,Résultats!$B$2:$AX$476,W$5,FALSE)</f>
        <v>#N/A</v>
      </c>
      <c r="X48" s="3"/>
    </row>
    <row r="49" spans="1:24" x14ac:dyDescent="0.25">
      <c r="A49" s="3"/>
      <c r="B49" s="274"/>
      <c r="C49" s="3" t="s">
        <v>16</v>
      </c>
      <c r="D49" s="3" t="s">
        <v>109</v>
      </c>
      <c r="E49" s="19" t="e">
        <f>VLOOKUP($D49,Résultats!$B$2:$AX$476,E$5,FALSE)</f>
        <v>#N/A</v>
      </c>
      <c r="F49" s="19" t="e">
        <f>VLOOKUP($D49,Résultats!$B$2:$AX$476,F$5,FALSE)</f>
        <v>#N/A</v>
      </c>
      <c r="G49" s="28" t="e">
        <f>VLOOKUP($D49,Résultats!$B$2:$AX$476,G$5,FALSE)</f>
        <v>#N/A</v>
      </c>
      <c r="H49" s="19" t="e">
        <f>VLOOKUP($D49,Résultats!$B$2:$AX$476,H$5,FALSE)</f>
        <v>#N/A</v>
      </c>
      <c r="I49" s="111" t="e">
        <f>VLOOKUP($D49,Résultats!$B$2:$AX$476,I$5,FALSE)</f>
        <v>#N/A</v>
      </c>
      <c r="J49" s="28" t="e">
        <f>VLOOKUP($D49,Résultats!$B$2:$AX$476,J$5,FALSE)</f>
        <v>#N/A</v>
      </c>
      <c r="K49" s="19" t="e">
        <f>VLOOKUP($D49,Résultats!$B$2:$AX$476,K$5,FALSE)</f>
        <v>#N/A</v>
      </c>
      <c r="L49" s="19" t="e">
        <f>VLOOKUP($D49,Résultats!$B$2:$AX$476,L$5,FALSE)</f>
        <v>#N/A</v>
      </c>
      <c r="M49" s="19" t="e">
        <f>VLOOKUP($D49,Résultats!$B$2:$AX$476,M$5,FALSE)</f>
        <v>#N/A</v>
      </c>
      <c r="N49" s="111" t="e">
        <f>VLOOKUP($D49,Résultats!$B$2:$AX$476,N$5,FALSE)</f>
        <v>#N/A</v>
      </c>
      <c r="O49" s="28" t="e">
        <f>VLOOKUP($D49,Résultats!$B$2:$AX$476,O$5,FALSE)</f>
        <v>#N/A</v>
      </c>
      <c r="P49" s="19" t="e">
        <f>VLOOKUP($D49,Résultats!$B$2:$AX$476,P$5,FALSE)</f>
        <v>#N/A</v>
      </c>
      <c r="Q49" s="19" t="e">
        <f>VLOOKUP($D49,Résultats!$B$2:$AX$476,Q$5,FALSE)</f>
        <v>#N/A</v>
      </c>
      <c r="R49" s="19" t="e">
        <f>VLOOKUP($D49,Résultats!$B$2:$AX$476,R$5,FALSE)</f>
        <v>#N/A</v>
      </c>
      <c r="S49" s="111" t="e">
        <f>VLOOKUP($D49,Résultats!$B$2:$AX$476,S$5,FALSE)</f>
        <v>#N/A</v>
      </c>
      <c r="T49" s="120" t="e">
        <f>VLOOKUP($D49,Résultats!$B$2:$AX$476,T$5,FALSE)</f>
        <v>#N/A</v>
      </c>
      <c r="U49" s="120" t="e">
        <f>VLOOKUP($D49,Résultats!$B$2:$AX$476,U$5,FALSE)</f>
        <v>#N/A</v>
      </c>
      <c r="V49" s="120" t="e">
        <f>VLOOKUP($D49,Résultats!$B$2:$AX$476,V$5,FALSE)</f>
        <v>#N/A</v>
      </c>
      <c r="W49" s="120" t="e">
        <f>VLOOKUP($D49,Résultats!$B$2:$AX$476,W$5,FALSE)</f>
        <v>#N/A</v>
      </c>
      <c r="X49" s="3"/>
    </row>
    <row r="50" spans="1:24" x14ac:dyDescent="0.25">
      <c r="A50" s="3"/>
      <c r="B50" s="274"/>
      <c r="C50" s="3" t="s">
        <v>17</v>
      </c>
      <c r="D50" s="3" t="s">
        <v>110</v>
      </c>
      <c r="E50" s="19" t="e">
        <f>VLOOKUP($D50,Résultats!$B$2:$AX$476,E$5,FALSE)</f>
        <v>#N/A</v>
      </c>
      <c r="F50" s="19" t="e">
        <f>VLOOKUP($D50,Résultats!$B$2:$AX$476,F$5,FALSE)</f>
        <v>#N/A</v>
      </c>
      <c r="G50" s="28" t="e">
        <f>VLOOKUP($D50,Résultats!$B$2:$AX$476,G$5,FALSE)</f>
        <v>#N/A</v>
      </c>
      <c r="H50" s="19" t="e">
        <f>VLOOKUP($D50,Résultats!$B$2:$AX$476,H$5,FALSE)</f>
        <v>#N/A</v>
      </c>
      <c r="I50" s="111" t="e">
        <f>VLOOKUP($D50,Résultats!$B$2:$AX$476,I$5,FALSE)</f>
        <v>#N/A</v>
      </c>
      <c r="J50" s="28" t="e">
        <f>VLOOKUP($D50,Résultats!$B$2:$AX$476,J$5,FALSE)</f>
        <v>#N/A</v>
      </c>
      <c r="K50" s="19" t="e">
        <f>VLOOKUP($D50,Résultats!$B$2:$AX$476,K$5,FALSE)</f>
        <v>#N/A</v>
      </c>
      <c r="L50" s="19" t="e">
        <f>VLOOKUP($D50,Résultats!$B$2:$AX$476,L$5,FALSE)</f>
        <v>#N/A</v>
      </c>
      <c r="M50" s="19" t="e">
        <f>VLOOKUP($D50,Résultats!$B$2:$AX$476,M$5,FALSE)</f>
        <v>#N/A</v>
      </c>
      <c r="N50" s="111" t="e">
        <f>VLOOKUP($D50,Résultats!$B$2:$AX$476,N$5,FALSE)</f>
        <v>#N/A</v>
      </c>
      <c r="O50" s="28" t="e">
        <f>VLOOKUP($D50,Résultats!$B$2:$AX$476,O$5,FALSE)</f>
        <v>#N/A</v>
      </c>
      <c r="P50" s="19" t="e">
        <f>VLOOKUP($D50,Résultats!$B$2:$AX$476,P$5,FALSE)</f>
        <v>#N/A</v>
      </c>
      <c r="Q50" s="19" t="e">
        <f>VLOOKUP($D50,Résultats!$B$2:$AX$476,Q$5,FALSE)</f>
        <v>#N/A</v>
      </c>
      <c r="R50" s="19" t="e">
        <f>VLOOKUP($D50,Résultats!$B$2:$AX$476,R$5,FALSE)</f>
        <v>#N/A</v>
      </c>
      <c r="S50" s="111" t="e">
        <f>VLOOKUP($D50,Résultats!$B$2:$AX$476,S$5,FALSE)</f>
        <v>#N/A</v>
      </c>
      <c r="T50" s="120" t="e">
        <f>VLOOKUP($D50,Résultats!$B$2:$AX$476,T$5,FALSE)</f>
        <v>#N/A</v>
      </c>
      <c r="U50" s="120" t="e">
        <f>VLOOKUP($D50,Résultats!$B$2:$AX$476,U$5,FALSE)</f>
        <v>#N/A</v>
      </c>
      <c r="V50" s="120" t="e">
        <f>VLOOKUP($D50,Résultats!$B$2:$AX$476,V$5,FALSE)</f>
        <v>#N/A</v>
      </c>
      <c r="W50" s="120" t="e">
        <f>VLOOKUP($D50,Résultats!$B$2:$AX$476,W$5,FALSE)</f>
        <v>#N/A</v>
      </c>
      <c r="X50" s="3"/>
    </row>
    <row r="51" spans="1:24" x14ac:dyDescent="0.25">
      <c r="A51" s="3"/>
      <c r="B51" s="275"/>
      <c r="C51" s="7" t="s">
        <v>12</v>
      </c>
      <c r="D51" s="3" t="s">
        <v>111</v>
      </c>
      <c r="E51" s="20" t="e">
        <f>VLOOKUP($D51,Résultats!$B$2:$AX$476,E$5,FALSE)</f>
        <v>#N/A</v>
      </c>
      <c r="F51" s="20" t="e">
        <f>VLOOKUP($D51,Résultats!$B$2:$AX$476,F$5,FALSE)</f>
        <v>#N/A</v>
      </c>
      <c r="G51" s="113" t="e">
        <f>VLOOKUP($D51,Résultats!$B$2:$AX$476,G$5,FALSE)</f>
        <v>#N/A</v>
      </c>
      <c r="H51" s="20" t="e">
        <f>VLOOKUP($D51,Résultats!$B$2:$AX$476,H$5,FALSE)</f>
        <v>#N/A</v>
      </c>
      <c r="I51" s="114" t="e">
        <f>VLOOKUP($D51,Résultats!$B$2:$AX$476,I$5,FALSE)</f>
        <v>#N/A</v>
      </c>
      <c r="J51" s="113" t="e">
        <f>VLOOKUP($D51,Résultats!$B$2:$AX$476,J$5,FALSE)</f>
        <v>#N/A</v>
      </c>
      <c r="K51" s="20" t="e">
        <f>VLOOKUP($D51,Résultats!$B$2:$AX$476,K$5,FALSE)</f>
        <v>#N/A</v>
      </c>
      <c r="L51" s="20" t="e">
        <f>VLOOKUP($D51,Résultats!$B$2:$AX$476,L$5,FALSE)</f>
        <v>#N/A</v>
      </c>
      <c r="M51" s="20" t="e">
        <f>VLOOKUP($D51,Résultats!$B$2:$AX$476,M$5,FALSE)</f>
        <v>#N/A</v>
      </c>
      <c r="N51" s="114" t="e">
        <f>VLOOKUP($D51,Résultats!$B$2:$AX$476,N$5,FALSE)</f>
        <v>#N/A</v>
      </c>
      <c r="O51" s="113" t="e">
        <f>VLOOKUP($D51,Résultats!$B$2:$AX$476,O$5,FALSE)</f>
        <v>#N/A</v>
      </c>
      <c r="P51" s="20" t="e">
        <f>VLOOKUP($D51,Résultats!$B$2:$AX$476,P$5,FALSE)</f>
        <v>#N/A</v>
      </c>
      <c r="Q51" s="20" t="e">
        <f>VLOOKUP($D51,Résultats!$B$2:$AX$476,Q$5,FALSE)</f>
        <v>#N/A</v>
      </c>
      <c r="R51" s="20" t="e">
        <f>VLOOKUP($D51,Résultats!$B$2:$AX$476,R$5,FALSE)</f>
        <v>#N/A</v>
      </c>
      <c r="S51" s="114" t="e">
        <f>VLOOKUP($D51,Résultats!$B$2:$AX$476,S$5,FALSE)</f>
        <v>#N/A</v>
      </c>
      <c r="T51" s="122" t="e">
        <f>VLOOKUP($D51,Résultats!$B$2:$AX$476,T$5,FALSE)</f>
        <v>#N/A</v>
      </c>
      <c r="U51" s="122" t="e">
        <f>VLOOKUP($D51,Résultats!$B$2:$AX$476,U$5,FALSE)</f>
        <v>#N/A</v>
      </c>
      <c r="V51" s="122" t="e">
        <f>VLOOKUP($D51,Résultats!$B$2:$AX$476,V$5,FALSE)</f>
        <v>#N/A</v>
      </c>
      <c r="W51" s="122" t="e">
        <f>VLOOKUP($D51,Résultats!$B$2:$AX$476,W$5,FALSE)</f>
        <v>#N/A</v>
      </c>
      <c r="X51" s="3"/>
    </row>
    <row r="52" spans="1:24" x14ac:dyDescent="0.25">
      <c r="A52" s="3"/>
      <c r="B52" s="206" t="s">
        <v>8</v>
      </c>
      <c r="C52" s="2"/>
      <c r="D52" s="17" t="s">
        <v>92</v>
      </c>
      <c r="E52" s="6" t="e">
        <f>VLOOKUP($D52,Résultats!$B$2:$AX$476,E$5,FALSE)</f>
        <v>#N/A</v>
      </c>
      <c r="F52" s="6" t="e">
        <f>VLOOKUP($D52,Résultats!$B$2:$AX$476,F$5,FALSE)</f>
        <v>#N/A</v>
      </c>
      <c r="G52" s="109" t="e">
        <f>VLOOKUP($D52,Résultats!$B$2:$AX$476,G$5,FALSE)</f>
        <v>#N/A</v>
      </c>
      <c r="H52" s="6" t="e">
        <f>VLOOKUP($D52,Résultats!$B$2:$AX$476,H$5,FALSE)</f>
        <v>#N/A</v>
      </c>
      <c r="I52" s="110" t="e">
        <f>VLOOKUP($D52,Résultats!$B$2:$AX$476,I$5,FALSE)</f>
        <v>#N/A</v>
      </c>
      <c r="J52" s="109" t="e">
        <f>VLOOKUP($D52,Résultats!$B$2:$AX$476,J$5,FALSE)</f>
        <v>#N/A</v>
      </c>
      <c r="K52" s="6" t="e">
        <f>VLOOKUP($D52,Résultats!$B$2:$AX$476,K$5,FALSE)</f>
        <v>#N/A</v>
      </c>
      <c r="L52" s="6" t="e">
        <f>VLOOKUP($D52,Résultats!$B$2:$AX$476,L$5,FALSE)</f>
        <v>#N/A</v>
      </c>
      <c r="M52" s="6" t="e">
        <f>VLOOKUP($D52,Résultats!$B$2:$AX$476,M$5,FALSE)</f>
        <v>#N/A</v>
      </c>
      <c r="N52" s="110" t="e">
        <f>VLOOKUP($D52,Résultats!$B$2:$AX$476,N$5,FALSE)</f>
        <v>#N/A</v>
      </c>
      <c r="O52" s="109" t="e">
        <f>VLOOKUP($D52,Résultats!$B$2:$AX$476,O$5,FALSE)</f>
        <v>#N/A</v>
      </c>
      <c r="P52" s="6" t="e">
        <f>VLOOKUP($D52,Résultats!$B$2:$AX$476,P$5,FALSE)</f>
        <v>#N/A</v>
      </c>
      <c r="Q52" s="6" t="e">
        <f>VLOOKUP($D52,Résultats!$B$2:$AX$476,Q$5,FALSE)</f>
        <v>#N/A</v>
      </c>
      <c r="R52" s="6" t="e">
        <f>VLOOKUP($D52,Résultats!$B$2:$AX$476,R$5,FALSE)</f>
        <v>#N/A</v>
      </c>
      <c r="S52" s="110" t="e">
        <f>VLOOKUP($D52,Résultats!$B$2:$AX$476,S$5,FALSE)</f>
        <v>#N/A</v>
      </c>
      <c r="T52" s="119" t="e">
        <f>VLOOKUP($D52,Résultats!$B$2:$AX$476,T$5,FALSE)</f>
        <v>#N/A</v>
      </c>
      <c r="U52" s="119" t="e">
        <f>VLOOKUP($D52,Résultats!$B$2:$AX$476,U$5,FALSE)</f>
        <v>#N/A</v>
      </c>
      <c r="V52" s="119" t="e">
        <f>VLOOKUP($D52,Résultats!$B$2:$AX$476,V$5,FALSE)</f>
        <v>#N/A</v>
      </c>
      <c r="W52" s="119" t="e">
        <f>VLOOKUP($D52,Résultats!$B$2:$AX$476,W$5,FALSE)</f>
        <v>#N/A</v>
      </c>
      <c r="X52" s="3"/>
    </row>
    <row r="53" spans="1:24" x14ac:dyDescent="0.25">
      <c r="A53" s="3"/>
      <c r="B53" s="205" t="s">
        <v>1</v>
      </c>
      <c r="C53" s="2"/>
      <c r="D53" s="2" t="s">
        <v>93</v>
      </c>
      <c r="E53" s="9" t="e">
        <f>E52+E45+E36+E33</f>
        <v>#N/A</v>
      </c>
      <c r="F53" s="9" t="e">
        <f>F52+F45+F36+F33</f>
        <v>#N/A</v>
      </c>
      <c r="G53" s="29" t="e">
        <f t="shared" ref="G53:R53" si="12">G52+G45+G36+G33</f>
        <v>#N/A</v>
      </c>
      <c r="H53" s="9" t="e">
        <f t="shared" si="12"/>
        <v>#N/A</v>
      </c>
      <c r="I53" s="115" t="e">
        <f t="shared" si="12"/>
        <v>#N/A</v>
      </c>
      <c r="J53" s="29" t="e">
        <f t="shared" si="12"/>
        <v>#N/A</v>
      </c>
      <c r="K53" s="9" t="e">
        <f t="shared" si="12"/>
        <v>#N/A</v>
      </c>
      <c r="L53" s="9" t="e">
        <f t="shared" si="12"/>
        <v>#N/A</v>
      </c>
      <c r="M53" s="9" t="e">
        <f t="shared" si="12"/>
        <v>#N/A</v>
      </c>
      <c r="N53" s="115" t="e">
        <f t="shared" si="12"/>
        <v>#N/A</v>
      </c>
      <c r="O53" s="29" t="e">
        <f t="shared" si="12"/>
        <v>#N/A</v>
      </c>
      <c r="P53" s="9" t="e">
        <f t="shared" si="12"/>
        <v>#N/A</v>
      </c>
      <c r="Q53" s="9" t="e">
        <f t="shared" si="12"/>
        <v>#N/A</v>
      </c>
      <c r="R53" s="9" t="e">
        <f t="shared" si="12"/>
        <v>#N/A</v>
      </c>
      <c r="S53" s="115" t="e">
        <f>S52+S45+S36+S33</f>
        <v>#N/A</v>
      </c>
      <c r="T53" s="123" t="e">
        <f>T52+T45+T36+T33</f>
        <v>#N/A</v>
      </c>
      <c r="U53" s="123" t="e">
        <f>U52+U45+U36+U33</f>
        <v>#N/A</v>
      </c>
      <c r="V53" s="123" t="e">
        <f>V52+V45+V36+V33</f>
        <v>#N/A</v>
      </c>
      <c r="W53" s="123" t="e">
        <f>W52+W45+W36+W33</f>
        <v>#N/A</v>
      </c>
      <c r="X53" s="3"/>
    </row>
    <row r="54" spans="1:24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</row>
    <row r="55" spans="1:24" x14ac:dyDescent="0.2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</row>
    <row r="56" spans="1:24" x14ac:dyDescent="0.2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</row>
  </sheetData>
  <mergeCells count="6">
    <mergeCell ref="B45:B51"/>
    <mergeCell ref="B7:B9"/>
    <mergeCell ref="B10:B18"/>
    <mergeCell ref="B19:B25"/>
    <mergeCell ref="B33:B35"/>
    <mergeCell ref="B36:B44"/>
  </mergeCells>
  <pageMargins left="0.7" right="0.7" top="0.75" bottom="0.75" header="0.3" footer="0.3"/>
  <ignoredErrors>
    <ignoredError sqref="F10:W10 E19:W19 E10" formula="1"/>
  </ignoredErrors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0C0"/>
  </sheetPr>
  <dimension ref="A1:AG371"/>
  <sheetViews>
    <sheetView topLeftCell="B113" zoomScale="77" zoomScaleNormal="77" workbookViewId="0">
      <selection activeCell="Q149" sqref="Q149"/>
    </sheetView>
  </sheetViews>
  <sheetFormatPr baseColWidth="10" defaultRowHeight="15" x14ac:dyDescent="0.25"/>
  <cols>
    <col min="1" max="1" width="11.42578125" style="3"/>
    <col min="2" max="2" width="11.42578125" style="3" customWidth="1"/>
    <col min="3" max="3" width="24.85546875" customWidth="1"/>
    <col min="4" max="4" width="15.7109375" hidden="1" customWidth="1"/>
    <col min="5" max="5" width="24" hidden="1" customWidth="1"/>
    <col min="6" max="6" width="25.42578125" hidden="1" customWidth="1"/>
    <col min="7" max="7" width="24.5703125" hidden="1" customWidth="1"/>
    <col min="8" max="8" width="15.7109375" customWidth="1"/>
    <col min="9" max="9" width="14" customWidth="1"/>
    <col min="11" max="11" width="11.42578125" customWidth="1"/>
    <col min="14" max="14" width="24.85546875" style="3" customWidth="1"/>
    <col min="20" max="20" width="11.42578125" style="3"/>
    <col min="21" max="21" width="15.7109375" customWidth="1"/>
    <col min="22" max="22" width="15.7109375" hidden="1" customWidth="1"/>
    <col min="23" max="23" width="24" hidden="1" customWidth="1"/>
    <col min="24" max="24" width="25.42578125" hidden="1" customWidth="1"/>
    <col min="25" max="25" width="24.5703125" hidden="1" customWidth="1"/>
    <col min="26" max="26" width="15.7109375" customWidth="1"/>
    <col min="27" max="27" width="14" customWidth="1"/>
    <col min="29" max="29" width="11.42578125" customWidth="1"/>
    <col min="31" max="33" width="11.42578125" style="3"/>
  </cols>
  <sheetData>
    <row r="1" spans="1:30" ht="28.5" x14ac:dyDescent="0.45">
      <c r="A1" s="224" t="s">
        <v>216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O1" s="3"/>
      <c r="P1" s="3"/>
      <c r="Q1" s="3"/>
      <c r="R1" s="3"/>
      <c r="S1" s="3"/>
      <c r="U1" s="3"/>
      <c r="V1" s="3"/>
      <c r="W1" s="3"/>
      <c r="X1" s="3"/>
      <c r="Y1" s="3"/>
      <c r="Z1" s="3"/>
      <c r="AA1" s="3"/>
      <c r="AB1" s="3"/>
      <c r="AC1" s="3"/>
      <c r="AD1" s="3"/>
    </row>
    <row r="2" spans="1:30" x14ac:dyDescent="0.25">
      <c r="B2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O2" s="3"/>
      <c r="P2" s="3"/>
      <c r="Q2" s="3"/>
      <c r="R2" s="3"/>
      <c r="S2" s="3"/>
      <c r="U2" s="3"/>
      <c r="V2" s="3"/>
      <c r="W2" s="3"/>
      <c r="X2" s="3"/>
      <c r="Y2" s="3"/>
      <c r="Z2" s="3"/>
      <c r="AA2" s="3"/>
      <c r="AB2" s="3"/>
      <c r="AC2" s="3"/>
      <c r="AD2" s="3"/>
    </row>
    <row r="3" spans="1:30" ht="23.25" x14ac:dyDescent="0.35">
      <c r="A3" s="1" t="s">
        <v>200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O3" s="3"/>
      <c r="P3" s="3"/>
      <c r="Q3" s="3"/>
      <c r="R3" s="65"/>
      <c r="S3" s="3"/>
      <c r="U3" s="3"/>
      <c r="V3" s="3"/>
      <c r="W3" s="3"/>
      <c r="X3" s="3"/>
      <c r="Y3" s="3"/>
      <c r="Z3" s="3"/>
      <c r="AA3" s="3"/>
      <c r="AB3" s="3"/>
      <c r="AC3" s="3"/>
      <c r="AD3" s="3"/>
    </row>
    <row r="4" spans="1:30" ht="23.25" x14ac:dyDescent="0.35">
      <c r="A4" s="193" t="str">
        <f>Résultats!B1</f>
        <v>TEND</v>
      </c>
      <c r="C4" s="3"/>
      <c r="D4" s="3"/>
      <c r="E4" s="3"/>
      <c r="F4" s="3"/>
      <c r="G4" s="3"/>
      <c r="H4" s="3"/>
      <c r="I4" s="3"/>
      <c r="J4" s="3"/>
      <c r="K4" s="3"/>
      <c r="L4" s="3"/>
      <c r="M4" s="3"/>
      <c r="O4" s="3"/>
      <c r="P4" s="3"/>
      <c r="Q4" s="3"/>
      <c r="R4" s="65"/>
      <c r="S4" s="3"/>
      <c r="U4" s="3"/>
      <c r="V4" s="3"/>
      <c r="W4" s="3"/>
      <c r="X4" s="3"/>
      <c r="Y4" s="3"/>
      <c r="Z4" s="3"/>
      <c r="AA4" s="3"/>
      <c r="AB4" s="3"/>
      <c r="AC4" s="3"/>
      <c r="AD4" s="3"/>
    </row>
    <row r="5" spans="1:30" ht="23.25" x14ac:dyDescent="0.35">
      <c r="A5" s="1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O5" s="3"/>
      <c r="P5" s="3"/>
      <c r="Q5" s="3"/>
      <c r="R5" s="65"/>
      <c r="S5" s="3"/>
      <c r="U5" s="3"/>
      <c r="V5" s="3"/>
      <c r="W5" s="3"/>
      <c r="X5" s="3"/>
      <c r="Y5" s="3"/>
      <c r="Z5" s="3"/>
      <c r="AA5" s="3"/>
      <c r="AB5" s="3"/>
      <c r="AC5" s="3"/>
      <c r="AD5" s="3"/>
    </row>
    <row r="6" spans="1:30" ht="18.75" x14ac:dyDescent="0.3">
      <c r="B6" s="66"/>
      <c r="C6" s="66"/>
      <c r="D6" s="66"/>
      <c r="E6" s="66"/>
      <c r="F6" s="66"/>
      <c r="G6" s="66"/>
      <c r="H6" s="66"/>
      <c r="I6" s="66"/>
      <c r="J6" s="3"/>
      <c r="K6" s="3"/>
      <c r="M6" s="3"/>
      <c r="O6" s="3"/>
      <c r="P6" s="3"/>
      <c r="Q6" s="3"/>
      <c r="R6" s="65"/>
      <c r="S6" s="65"/>
      <c r="T6" s="66"/>
      <c r="U6" s="66"/>
      <c r="V6" s="66"/>
      <c r="W6" s="66"/>
      <c r="X6" s="66"/>
      <c r="Y6" s="66"/>
      <c r="Z6" s="66"/>
      <c r="AA6" s="66"/>
      <c r="AB6" s="3"/>
      <c r="AC6" s="3"/>
    </row>
    <row r="7" spans="1:30" ht="18.75" x14ac:dyDescent="0.3">
      <c r="C7" s="65" t="s">
        <v>201</v>
      </c>
      <c r="I7" s="3"/>
      <c r="J7" s="3"/>
      <c r="K7" s="3"/>
      <c r="L7" s="3"/>
      <c r="M7" s="3"/>
      <c r="N7" s="65" t="s">
        <v>202</v>
      </c>
      <c r="O7" s="3"/>
      <c r="P7" s="3"/>
      <c r="Q7" s="3"/>
      <c r="R7" s="3"/>
      <c r="S7" s="3"/>
      <c r="U7" s="65" t="s">
        <v>201</v>
      </c>
      <c r="AA7" s="3"/>
      <c r="AB7" s="3"/>
      <c r="AC7" s="3"/>
      <c r="AD7" s="3"/>
    </row>
    <row r="8" spans="1:30" ht="23.25" x14ac:dyDescent="0.35">
      <c r="B8" s="70"/>
      <c r="C8" s="66" t="s">
        <v>132</v>
      </c>
      <c r="D8" s="3"/>
      <c r="E8" s="66"/>
      <c r="F8" s="66"/>
      <c r="G8" s="66"/>
      <c r="H8" s="66"/>
      <c r="I8" s="66"/>
      <c r="J8" s="66"/>
      <c r="K8" s="66"/>
      <c r="L8" s="3"/>
      <c r="M8" s="3"/>
      <c r="N8" t="s">
        <v>203</v>
      </c>
      <c r="U8" s="66" t="s">
        <v>132</v>
      </c>
      <c r="V8" s="3"/>
      <c r="W8" s="66"/>
      <c r="X8" s="66"/>
      <c r="Y8" s="66"/>
      <c r="Z8" s="66"/>
      <c r="AA8" s="66"/>
      <c r="AB8" s="66"/>
      <c r="AC8" s="66"/>
      <c r="AD8" s="3"/>
    </row>
    <row r="9" spans="1:30" x14ac:dyDescent="0.25">
      <c r="B9" s="66"/>
      <c r="C9" s="3"/>
      <c r="D9" s="3"/>
      <c r="E9" s="3"/>
      <c r="F9" s="3"/>
      <c r="G9" s="3"/>
      <c r="H9" s="66"/>
      <c r="I9" s="66"/>
      <c r="J9" s="66"/>
      <c r="K9" s="66"/>
      <c r="L9" s="3"/>
      <c r="M9" s="3"/>
      <c r="O9" s="3"/>
      <c r="P9" s="3"/>
      <c r="Q9" s="3"/>
      <c r="R9" s="3"/>
      <c r="S9" s="3"/>
      <c r="U9" s="3"/>
      <c r="V9" s="3"/>
      <c r="W9" s="3"/>
      <c r="X9" s="3"/>
      <c r="Y9" s="3"/>
      <c r="Z9" s="66"/>
      <c r="AA9" s="66"/>
      <c r="AB9" s="66"/>
      <c r="AC9" s="66"/>
      <c r="AD9" s="3"/>
    </row>
    <row r="10" spans="1:30" ht="31.5" x14ac:dyDescent="0.35">
      <c r="B10" s="66"/>
      <c r="C10" s="173">
        <v>2015</v>
      </c>
      <c r="D10" s="174"/>
      <c r="E10" s="174"/>
      <c r="F10" s="174"/>
      <c r="G10" s="174"/>
      <c r="H10" s="101" t="s">
        <v>36</v>
      </c>
      <c r="I10" s="101" t="s">
        <v>131</v>
      </c>
      <c r="J10" s="101" t="s">
        <v>38</v>
      </c>
      <c r="K10" s="101" t="s">
        <v>130</v>
      </c>
      <c r="L10" s="118" t="s">
        <v>1</v>
      </c>
      <c r="M10" s="25"/>
      <c r="N10" s="173">
        <v>2015</v>
      </c>
      <c r="O10" s="169" t="s">
        <v>36</v>
      </c>
      <c r="P10" s="101" t="s">
        <v>131</v>
      </c>
      <c r="Q10" s="101" t="s">
        <v>38</v>
      </c>
      <c r="R10" s="101" t="s">
        <v>130</v>
      </c>
      <c r="S10" s="118" t="s">
        <v>1</v>
      </c>
      <c r="T10" s="270" t="s">
        <v>580</v>
      </c>
      <c r="U10" s="173">
        <v>2015</v>
      </c>
      <c r="V10" s="174"/>
      <c r="W10" s="174"/>
      <c r="X10" s="174"/>
      <c r="Y10" s="174"/>
      <c r="Z10" s="101" t="s">
        <v>36</v>
      </c>
      <c r="AA10" s="101" t="s">
        <v>131</v>
      </c>
      <c r="AB10" s="101" t="s">
        <v>38</v>
      </c>
      <c r="AC10" s="101" t="s">
        <v>130</v>
      </c>
      <c r="AD10" s="118" t="s">
        <v>1</v>
      </c>
    </row>
    <row r="11" spans="1:30" x14ac:dyDescent="0.25">
      <c r="C11" s="175" t="s">
        <v>18</v>
      </c>
      <c r="H11" s="8">
        <f>SUM(H12:H13)</f>
        <v>0</v>
      </c>
      <c r="I11" s="8">
        <f>SUM(I12:I13)</f>
        <v>43.161995869999998</v>
      </c>
      <c r="J11" s="8">
        <f>SUM(J12:J13)</f>
        <v>1.2870233845000001</v>
      </c>
      <c r="K11" s="8">
        <f>SUM(K12:K13)</f>
        <v>0.24937945204260001</v>
      </c>
      <c r="L11" s="121">
        <f>SUM(H11:K11)</f>
        <v>44.698398706542598</v>
      </c>
      <c r="M11" s="99"/>
      <c r="N11" s="178" t="s">
        <v>18</v>
      </c>
      <c r="O11" s="36">
        <f>'[1]Bilan 2015'!$X$46</f>
        <v>0</v>
      </c>
      <c r="P11" s="35">
        <f>SUM('[1]Bilan 2015'!$X$41:$X$43)</f>
        <v>42.748696780825377</v>
      </c>
      <c r="Q11" s="35">
        <f>'[1]Bilan 2015'!$X$13</f>
        <v>0.94471195184866696</v>
      </c>
      <c r="R11" s="35">
        <f>('[1]Bilan 2015'!$X$22+'[1]Bilan 2015'!$X$30+SUM('[1]Bilan 2015'!$X$36:$X$40)+SUM('[1]Bilan 2015'!$X$44:$X$45)+'[1]Bilan 2015'!$X$47)</f>
        <v>7.267406707154804E-2</v>
      </c>
      <c r="S11" s="170">
        <f>SUM(O11:R11)</f>
        <v>43.76608279974559</v>
      </c>
      <c r="T11" s="272">
        <f>S11</f>
        <v>43.76608279974559</v>
      </c>
      <c r="U11" s="175" t="s">
        <v>18</v>
      </c>
      <c r="Z11" s="8">
        <v>0</v>
      </c>
      <c r="AA11" s="8">
        <v>43.159550379999999</v>
      </c>
      <c r="AB11" s="8">
        <v>1.2867468161000002</v>
      </c>
      <c r="AC11" s="8">
        <v>0.24934661375279998</v>
      </c>
      <c r="AD11" s="121">
        <v>44.695643809852797</v>
      </c>
    </row>
    <row r="12" spans="1:30" x14ac:dyDescent="0.25">
      <c r="C12" s="176" t="s">
        <v>19</v>
      </c>
      <c r="D12" t="s">
        <v>552</v>
      </c>
      <c r="E12" t="s">
        <v>553</v>
      </c>
      <c r="F12" t="s">
        <v>554</v>
      </c>
      <c r="G12" t="s">
        <v>555</v>
      </c>
      <c r="H12" s="19">
        <f>VLOOKUP(D12,Résultats!$B$2:$AX$476,'T energie vecteurs'!F5,FALSE)</f>
        <v>0</v>
      </c>
      <c r="I12" s="19">
        <f>VLOOKUP(E12,Résultats!$B$2:$AX$476,'T energie vecteurs'!F5,FALSE)</f>
        <v>24.199172430000001</v>
      </c>
      <c r="J12" s="19">
        <f>VLOOKUP(F12,Résultats!$B$2:$AX$476,'T energie vecteurs'!F5,FALSE)</f>
        <v>1.8184398500000001E-2</v>
      </c>
      <c r="K12" s="19">
        <f>VLOOKUP(G12,Résultats!$B$2:$AX$476,'T energie vecteurs'!F5,FALSE)</f>
        <v>1.06100426E-5</v>
      </c>
      <c r="L12" s="120">
        <f t="shared" ref="L12:L20" si="0">SUM(H12:K12)</f>
        <v>24.217367438542603</v>
      </c>
      <c r="M12" s="19"/>
      <c r="N12" s="176" t="s">
        <v>19</v>
      </c>
      <c r="O12" s="171"/>
      <c r="P12" s="19"/>
      <c r="Q12" s="55"/>
      <c r="R12" s="19"/>
      <c r="S12" s="120"/>
      <c r="T12" s="120"/>
      <c r="U12" s="176" t="s">
        <v>19</v>
      </c>
      <c r="V12" t="s">
        <v>552</v>
      </c>
      <c r="W12" t="s">
        <v>553</v>
      </c>
      <c r="X12" t="s">
        <v>554</v>
      </c>
      <c r="Y12" t="s">
        <v>555</v>
      </c>
      <c r="Z12" s="19">
        <v>0</v>
      </c>
      <c r="AA12" s="19">
        <v>24.198347609999999</v>
      </c>
      <c r="AB12" s="19">
        <v>1.8187780099999998E-2</v>
      </c>
      <c r="AC12" s="19">
        <v>1.06309528E-5</v>
      </c>
      <c r="AD12" s="120">
        <v>24.2165460210528</v>
      </c>
    </row>
    <row r="13" spans="1:30" x14ac:dyDescent="0.25">
      <c r="C13" s="177" t="s">
        <v>20</v>
      </c>
      <c r="D13" t="s">
        <v>556</v>
      </c>
      <c r="E13" t="s">
        <v>557</v>
      </c>
      <c r="F13" t="s">
        <v>558</v>
      </c>
      <c r="G13" t="s">
        <v>559</v>
      </c>
      <c r="H13" s="19">
        <f>VLOOKUP(D13,Résultats!$B$2:$AX$476,'T energie vecteurs'!F5,FALSE)</f>
        <v>0</v>
      </c>
      <c r="I13" s="19">
        <f>VLOOKUP(E13,Résultats!$B$2:$AX$476,'T energie vecteurs'!F5,FALSE)</f>
        <v>18.962823440000001</v>
      </c>
      <c r="J13" s="19">
        <f>VLOOKUP(F13,Résultats!$B$2:$AX$476,'T energie vecteurs'!F5,FALSE)</f>
        <v>1.268838986</v>
      </c>
      <c r="K13" s="19">
        <f>VLOOKUP(G13,Résultats!$B$2:$AX$476,'T energie vecteurs'!F5,FALSE)</f>
        <v>0.24936884200000001</v>
      </c>
      <c r="L13" s="120">
        <f t="shared" si="0"/>
        <v>20.481031267999999</v>
      </c>
      <c r="M13" s="19"/>
      <c r="N13" s="177" t="s">
        <v>20</v>
      </c>
      <c r="O13" s="171"/>
      <c r="P13" s="19"/>
      <c r="Q13" s="55"/>
      <c r="R13" s="19"/>
      <c r="S13" s="120"/>
      <c r="T13" s="120"/>
      <c r="U13" s="177" t="s">
        <v>20</v>
      </c>
      <c r="V13" t="s">
        <v>556</v>
      </c>
      <c r="W13" t="s">
        <v>557</v>
      </c>
      <c r="X13" t="s">
        <v>558</v>
      </c>
      <c r="Y13" t="s">
        <v>559</v>
      </c>
      <c r="Z13" s="19">
        <v>0</v>
      </c>
      <c r="AA13" s="19">
        <v>18.96120277</v>
      </c>
      <c r="AB13" s="19">
        <v>1.2685590360000001</v>
      </c>
      <c r="AC13" s="19">
        <v>0.24933598279999999</v>
      </c>
      <c r="AD13" s="120">
        <v>20.479097788800001</v>
      </c>
    </row>
    <row r="14" spans="1:30" x14ac:dyDescent="0.25">
      <c r="C14" s="175" t="s">
        <v>21</v>
      </c>
      <c r="D14" t="s">
        <v>560</v>
      </c>
      <c r="E14" t="s">
        <v>561</v>
      </c>
      <c r="F14" t="s">
        <v>562</v>
      </c>
      <c r="G14" t="s">
        <v>563</v>
      </c>
      <c r="H14" s="8">
        <f>VLOOKUP(D14,Résultats!$B$2:$AX$476,'T energie vecteurs'!F5,FALSE)</f>
        <v>0.33140152020000002</v>
      </c>
      <c r="I14" s="8">
        <f>VLOOKUP(E14,Résultats!$B$2:$AX$476,'T energie vecteurs'!F5,FALSE)</f>
        <v>7.2407211670000002</v>
      </c>
      <c r="J14" s="8">
        <f>VLOOKUP(F14,Résultats!$B$2:$AX$476,'T energie vecteurs'!F5,FALSE)</f>
        <v>13.752200009999999</v>
      </c>
      <c r="K14" s="8">
        <f>VLOOKUP(G14,Résultats!$B$2:$AX$476,'T energie vecteurs'!F5,FALSE)+2</f>
        <v>19.706069859999999</v>
      </c>
      <c r="L14" s="121">
        <f>SUM(H14:K14)</f>
        <v>41.030392557200003</v>
      </c>
      <c r="M14" s="99"/>
      <c r="N14" s="178" t="s">
        <v>21</v>
      </c>
      <c r="O14" s="36">
        <f>'[1]Bilan 2015'!$V$46</f>
        <v>3.6764196608413298E-2</v>
      </c>
      <c r="P14" s="35">
        <f>SUM('[1]Bilan 2015'!$V$41:$V$43)</f>
        <v>6.6752954110546101</v>
      </c>
      <c r="Q14" s="35">
        <f>'[1]Bilan 2015'!$V$13</f>
        <v>13.6203670581426</v>
      </c>
      <c r="R14" s="35">
        <f>('[1]Bilan 2015'!$V$22+'[1]Bilan 2015'!$V$30+SUM('[1]Bilan 2015'!$V$36:$V$40)+SUM('[1]Bilan 2015'!$V$44:$V$45)+'[1]Bilan 2015'!$V$47)</f>
        <v>21.832863706323721</v>
      </c>
      <c r="S14" s="170">
        <f t="shared" ref="S14:S19" si="1">SUM(O14:R14)</f>
        <v>42.165290372129348</v>
      </c>
      <c r="T14" s="272">
        <f>S14-'[1]Bilan 2015'!$V$40</f>
        <v>39.648468942279031</v>
      </c>
      <c r="U14" s="175" t="s">
        <v>21</v>
      </c>
      <c r="V14" t="s">
        <v>560</v>
      </c>
      <c r="W14" t="s">
        <v>561</v>
      </c>
      <c r="X14" t="s">
        <v>562</v>
      </c>
      <c r="Y14" t="s">
        <v>563</v>
      </c>
      <c r="Z14" s="8">
        <v>0.33135185830000002</v>
      </c>
      <c r="AA14" s="8">
        <v>7.2415499370000003</v>
      </c>
      <c r="AB14" s="8">
        <v>13.75064688</v>
      </c>
      <c r="AC14" s="8">
        <v>19.702249729999998</v>
      </c>
      <c r="AD14" s="121">
        <v>41.025798405299994</v>
      </c>
    </row>
    <row r="15" spans="1:30" x14ac:dyDescent="0.25">
      <c r="C15" s="175" t="s">
        <v>22</v>
      </c>
      <c r="D15" t="s">
        <v>564</v>
      </c>
      <c r="E15" t="s">
        <v>565</v>
      </c>
      <c r="F15" t="s">
        <v>566</v>
      </c>
      <c r="G15" t="s">
        <v>567</v>
      </c>
      <c r="H15" s="8">
        <f>VLOOKUP(D15,Résultats!$B$2:$AX$476,'T energie vecteurs'!F5,FALSE)</f>
        <v>0</v>
      </c>
      <c r="I15" s="8">
        <f>VLOOKUP(E15,Résultats!$B$2:$AX$476,'T energie vecteurs'!F5,FALSE)</f>
        <v>3.7806868680000001</v>
      </c>
      <c r="J15" s="8">
        <f>VLOOKUP(F15,Résultats!$B$2:$AX$476,'T energie vecteurs'!F5,FALSE)</f>
        <v>11.577119919999999</v>
      </c>
      <c r="K15" s="8">
        <f>VLOOKUP(G15,Résultats!$B$2:$AX$476,'T energie vecteurs'!F5,FALSE)</f>
        <v>9.1415614349999998</v>
      </c>
      <c r="L15" s="121">
        <f t="shared" si="0"/>
        <v>24.499368222999998</v>
      </c>
      <c r="M15" s="99"/>
      <c r="N15" s="178" t="s">
        <v>22</v>
      </c>
      <c r="O15" s="36">
        <f>'[1]Bilan 2015'!$W$46</f>
        <v>4.3073392295861899E-2</v>
      </c>
      <c r="P15" s="35">
        <f>SUM('[1]Bilan 2015'!$W$41:$W$43)</f>
        <v>3.01546564464017</v>
      </c>
      <c r="Q15" s="35">
        <f>'[1]Bilan 2015'!$W$13</f>
        <v>12.701365476499801</v>
      </c>
      <c r="R15" s="35">
        <f>('[1]Bilan 2015'!$W$22+'[1]Bilan 2015'!$W$30+SUM('[1]Bilan 2015'!$W$36:$W$40)+SUM('[1]Bilan 2015'!$W$44:$W$45)+'[1]Bilan 2015'!$W$47)</f>
        <v>8.7461122445901367</v>
      </c>
      <c r="S15" s="170">
        <f t="shared" si="1"/>
        <v>24.506016758025968</v>
      </c>
      <c r="T15" s="272">
        <f>S15-'[1]Bilan 2015'!$W$40</f>
        <v>24.067510417302429</v>
      </c>
      <c r="U15" s="175" t="s">
        <v>22</v>
      </c>
      <c r="V15" t="s">
        <v>564</v>
      </c>
      <c r="W15" t="s">
        <v>565</v>
      </c>
      <c r="X15" t="s">
        <v>566</v>
      </c>
      <c r="Y15" t="s">
        <v>567</v>
      </c>
      <c r="Z15" s="8">
        <v>0</v>
      </c>
      <c r="AA15" s="269">
        <v>3.781346439</v>
      </c>
      <c r="AB15" s="269">
        <v>11.57522413</v>
      </c>
      <c r="AC15" s="269">
        <v>9.1357402780000001</v>
      </c>
      <c r="AD15" s="121">
        <v>24.492310846999999</v>
      </c>
    </row>
    <row r="16" spans="1:30" x14ac:dyDescent="0.25">
      <c r="C16" s="175" t="s">
        <v>23</v>
      </c>
      <c r="H16" s="8">
        <f>SUM(H17:H19)</f>
        <v>5.0055986214000008</v>
      </c>
      <c r="I16" s="8">
        <f>SUM(I17:I19)</f>
        <v>19.271894138</v>
      </c>
      <c r="J16" s="8">
        <f>SUM(J17:J19)</f>
        <v>11.2865924902</v>
      </c>
      <c r="K16" s="8">
        <f>SUM(K17:K19)</f>
        <v>14.727309915100001</v>
      </c>
      <c r="L16" s="121">
        <f>SUM(H16:K16)</f>
        <v>50.291395164699999</v>
      </c>
      <c r="M16" s="99"/>
      <c r="N16" s="178" t="s">
        <v>252</v>
      </c>
      <c r="O16" s="36">
        <f>O17+O18</f>
        <v>4.2636280705371687</v>
      </c>
      <c r="P16" s="35">
        <f t="shared" ref="P16:R16" si="2">P17+P18</f>
        <v>14.865720748941945</v>
      </c>
      <c r="Q16" s="35">
        <f t="shared" si="2"/>
        <v>10.069552160228</v>
      </c>
      <c r="R16" s="35">
        <f t="shared" si="2"/>
        <v>13.756399814544654</v>
      </c>
      <c r="S16" s="170">
        <f t="shared" si="1"/>
        <v>42.95530079425177</v>
      </c>
      <c r="T16" s="272">
        <f t="shared" ref="T16" si="3">S16</f>
        <v>42.95530079425177</v>
      </c>
      <c r="U16" s="175" t="s">
        <v>23</v>
      </c>
      <c r="Z16" s="8">
        <v>5.0051719447999998</v>
      </c>
      <c r="AA16" s="8">
        <v>19.268936912000001</v>
      </c>
      <c r="AB16" s="8">
        <v>11.2831353071</v>
      </c>
      <c r="AC16" s="8">
        <v>14.723692886699999</v>
      </c>
      <c r="AD16" s="121">
        <v>50.280937050600002</v>
      </c>
    </row>
    <row r="17" spans="2:30" x14ac:dyDescent="0.25">
      <c r="C17" s="177" t="s">
        <v>24</v>
      </c>
      <c r="D17" t="s">
        <v>568</v>
      </c>
      <c r="E17" t="s">
        <v>569</v>
      </c>
      <c r="F17" t="s">
        <v>570</v>
      </c>
      <c r="G17" t="s">
        <v>571</v>
      </c>
      <c r="H17" s="19">
        <f>VLOOKUP(D17,Résultats!$B$2:$AX$476,'T energie vecteurs'!F5,FALSE)</f>
        <v>4.0066068560000003</v>
      </c>
      <c r="I17" s="19">
        <f>VLOOKUP(E17,Résultats!$B$2:$AX$476,'T energie vecteurs'!F5,FALSE)</f>
        <v>14.89950777</v>
      </c>
      <c r="J17" s="19">
        <f>VLOOKUP(F17,Résultats!$B$2:$AX$476,'T energie vecteurs'!F5,FALSE)</f>
        <v>10.966752</v>
      </c>
      <c r="K17" s="19">
        <f>VLOOKUP(G17,Résultats!$B$2:$AX$476,'T energie vecteurs'!F5,FALSE)</f>
        <v>12.564611360000001</v>
      </c>
      <c r="L17" s="120">
        <f t="shared" si="0"/>
        <v>42.437477986000005</v>
      </c>
      <c r="M17" s="19"/>
      <c r="N17" s="177" t="s">
        <v>253</v>
      </c>
      <c r="O17" s="171">
        <f>'[1]Bilan 2015'!$U$46</f>
        <v>1.0493092649428299</v>
      </c>
      <c r="P17" s="37">
        <f>SUM('[1]Bilan 2015'!$U$41:$U$43)</f>
        <v>2.4127207489419455</v>
      </c>
      <c r="Q17" s="37">
        <f>'[1]Bilan 2015'!$U$13</f>
        <v>10.069552160228</v>
      </c>
      <c r="R17" s="37">
        <f>('[1]Bilan 2015'!$U$22+'[1]Bilan 2015'!$U$30+SUM('[1]Bilan 2015'!$U$36:$U$40)+SUM('[1]Bilan 2015'!$U$44:$U$45)+'[1]Bilan 2015'!$U$47)</f>
        <v>12.654813573219924</v>
      </c>
      <c r="S17" s="120">
        <f t="shared" si="1"/>
        <v>26.186395747332696</v>
      </c>
      <c r="T17" s="120"/>
      <c r="U17" s="177" t="s">
        <v>24</v>
      </c>
      <c r="V17" t="s">
        <v>568</v>
      </c>
      <c r="W17" t="s">
        <v>569</v>
      </c>
      <c r="X17" t="s">
        <v>570</v>
      </c>
      <c r="Y17" t="s">
        <v>571</v>
      </c>
      <c r="Z17" s="19">
        <v>4.0062869540000001</v>
      </c>
      <c r="AA17" s="19">
        <v>14.89787492</v>
      </c>
      <c r="AB17" s="19">
        <v>10.963478520000001</v>
      </c>
      <c r="AC17" s="19">
        <v>12.561497709999999</v>
      </c>
      <c r="AD17" s="120">
        <v>42.429138103999996</v>
      </c>
    </row>
    <row r="18" spans="2:30" x14ac:dyDescent="0.25">
      <c r="C18" s="177" t="s">
        <v>129</v>
      </c>
      <c r="D18" t="s">
        <v>572</v>
      </c>
      <c r="E18" t="s">
        <v>573</v>
      </c>
      <c r="F18" t="s">
        <v>574</v>
      </c>
      <c r="G18" t="s">
        <v>575</v>
      </c>
      <c r="H18" s="19">
        <f>VLOOKUP(D18,Résultats!$B$2:$AX$476,'T energie vecteurs'!F5,FALSE)</f>
        <v>0.99899176540000001</v>
      </c>
      <c r="I18" s="19">
        <f>VLOOKUP(E18,Résultats!$B$2:$AX$476,'T energie vecteurs'!F5,FALSE)</f>
        <v>1.8927321319999999</v>
      </c>
      <c r="J18" s="19">
        <f>VLOOKUP(F18,Résultats!$B$2:$AX$476,'T energie vecteurs'!F5,FALSE)</f>
        <v>0</v>
      </c>
      <c r="K18" s="19">
        <f>VLOOKUP(G18,Résultats!$B$2:$AX$476,'T energie vecteurs'!F5,FALSE)</f>
        <v>1.7681220660000001</v>
      </c>
      <c r="L18" s="120">
        <f t="shared" si="0"/>
        <v>4.6598459634000005</v>
      </c>
      <c r="M18" s="19"/>
      <c r="N18" s="177" t="s">
        <v>129</v>
      </c>
      <c r="O18" s="28">
        <f>'[1]Bilan 2015'!$E$52</f>
        <v>3.2143188055943388</v>
      </c>
      <c r="P18" s="19">
        <f>('[1]Bilan 2015'!$E$54+'[1]Bilan 2015'!$E$56)</f>
        <v>12.452999999999999</v>
      </c>
      <c r="Q18" s="19">
        <v>0</v>
      </c>
      <c r="R18" s="19">
        <f>('[1]Bilan 2015'!$E$53+'[1]Bilan 2015'!$E$55+'[1]Bilan 2015'!$E$57)</f>
        <v>1.1015862413247299</v>
      </c>
      <c r="S18" s="120">
        <f t="shared" si="1"/>
        <v>16.768905046919066</v>
      </c>
      <c r="T18" s="120"/>
      <c r="U18" s="177" t="s">
        <v>129</v>
      </c>
      <c r="V18" t="s">
        <v>572</v>
      </c>
      <c r="W18" t="s">
        <v>573</v>
      </c>
      <c r="X18" t="s">
        <v>574</v>
      </c>
      <c r="Y18" t="s">
        <v>575</v>
      </c>
      <c r="Z18" s="19">
        <v>0.99888499080000004</v>
      </c>
      <c r="AA18" s="19">
        <v>1.892492522</v>
      </c>
      <c r="AB18" s="19">
        <v>0</v>
      </c>
      <c r="AC18" s="19">
        <v>1.767834417</v>
      </c>
      <c r="AD18" s="120">
        <v>4.6592119297999997</v>
      </c>
    </row>
    <row r="19" spans="2:30" x14ac:dyDescent="0.25">
      <c r="C19" s="177" t="s">
        <v>25</v>
      </c>
      <c r="D19" t="s">
        <v>576</v>
      </c>
      <c r="E19" t="s">
        <v>577</v>
      </c>
      <c r="F19" t="s">
        <v>578</v>
      </c>
      <c r="G19" t="s">
        <v>579</v>
      </c>
      <c r="H19" s="19">
        <f>VLOOKUP(D19,Résultats!$B$2:$AX$476,'T energie vecteurs'!F5,FALSE)</f>
        <v>0</v>
      </c>
      <c r="I19" s="19">
        <f>VLOOKUP(E19,Résultats!$B$2:$AX$476,'T energie vecteurs'!F5,FALSE)</f>
        <v>2.479654236</v>
      </c>
      <c r="J19" s="19">
        <f>VLOOKUP(F19,Résultats!$B$2:$AX$476,'T energie vecteurs'!F5,FALSE)</f>
        <v>0.31984049019999999</v>
      </c>
      <c r="K19" s="19">
        <f>VLOOKUP(G19,Résultats!$B$2:$AX$476,'T energie vecteurs'!F5,FALSE)</f>
        <v>0.39457648909999998</v>
      </c>
      <c r="L19" s="120">
        <f t="shared" si="0"/>
        <v>3.1940712152999997</v>
      </c>
      <c r="M19" s="19"/>
      <c r="N19" s="178" t="s">
        <v>25</v>
      </c>
      <c r="O19" s="36">
        <f>'[1]Bilan 2015'!$T$46</f>
        <v>2.2137192704974398E-3</v>
      </c>
      <c r="P19" s="35">
        <f>SUM('[1]Bilan 2015'!$T$41:$T$43)</f>
        <v>3.4936667755496749</v>
      </c>
      <c r="Q19" s="35">
        <f>'[1]Bilan 2015'!$T$13</f>
        <v>0.74651762682717104</v>
      </c>
      <c r="R19" s="35">
        <f>('[1]Bilan 2015'!$T$22+'[1]Bilan 2015'!$T$30+SUM('[1]Bilan 2015'!$T$36:$T$40)+SUM('[1]Bilan 2015'!$T$44:$T$45)+'[1]Bilan 2015'!$T$47)</f>
        <v>0.24365267378081518</v>
      </c>
      <c r="S19" s="170">
        <f t="shared" si="1"/>
        <v>4.4860507954281585</v>
      </c>
      <c r="T19" s="272">
        <f>S19</f>
        <v>4.4860507954281585</v>
      </c>
      <c r="U19" s="177" t="s">
        <v>25</v>
      </c>
      <c r="V19" t="s">
        <v>576</v>
      </c>
      <c r="W19" t="s">
        <v>577</v>
      </c>
      <c r="X19" t="s">
        <v>578</v>
      </c>
      <c r="Y19" t="s">
        <v>579</v>
      </c>
      <c r="Z19" s="19">
        <v>0</v>
      </c>
      <c r="AA19" s="19">
        <v>2.4785694700000001</v>
      </c>
      <c r="AB19" s="19">
        <v>0.31965678710000001</v>
      </c>
      <c r="AC19" s="19">
        <v>0.39436075970000001</v>
      </c>
      <c r="AD19" s="120">
        <v>3.1925870168000001</v>
      </c>
    </row>
    <row r="20" spans="2:30" x14ac:dyDescent="0.25">
      <c r="C20" s="29" t="s">
        <v>26</v>
      </c>
      <c r="D20" s="10"/>
      <c r="E20" s="10"/>
      <c r="F20" s="10"/>
      <c r="G20" s="10"/>
      <c r="H20" s="9">
        <f>SUM(H11,H14:H16)</f>
        <v>5.3370001416000008</v>
      </c>
      <c r="I20" s="9">
        <f>SUM(I11,I14:I16)</f>
        <v>73.455298042999999</v>
      </c>
      <c r="J20" s="9">
        <f>SUM(J11,J14:J16)</f>
        <v>37.9029358047</v>
      </c>
      <c r="K20" s="9">
        <f>SUM(K11,K14:K16)</f>
        <v>43.824320662142597</v>
      </c>
      <c r="L20" s="123">
        <f t="shared" si="0"/>
        <v>160.5195546514426</v>
      </c>
      <c r="M20" s="105"/>
      <c r="N20" s="179" t="s">
        <v>26</v>
      </c>
      <c r="O20" s="40">
        <f>O11+O14+O15+O16+O19</f>
        <v>4.3456793787119414</v>
      </c>
      <c r="P20" s="38">
        <f>P11+P14+P15+P16+P19</f>
        <v>70.798845361011772</v>
      </c>
      <c r="Q20" s="38">
        <f>Q11+Q14+Q15+Q16+Q19</f>
        <v>38.082514273546238</v>
      </c>
      <c r="R20" s="38">
        <f>R11+R14+R15+R16+R19</f>
        <v>44.651702506310876</v>
      </c>
      <c r="S20" s="172">
        <f>SUM(O20:R20)</f>
        <v>157.87874151958081</v>
      </c>
      <c r="T20" s="271">
        <f>SUM(T11:T19)</f>
        <v>154.92341374900698</v>
      </c>
      <c r="U20" s="29" t="s">
        <v>26</v>
      </c>
      <c r="V20" s="10"/>
      <c r="W20" s="10"/>
      <c r="X20" s="10"/>
      <c r="Y20" s="10"/>
      <c r="Z20" s="9">
        <v>5.3365238030999995</v>
      </c>
      <c r="AA20" s="9">
        <v>73.451383668000005</v>
      </c>
      <c r="AB20" s="9">
        <v>37.895753133200003</v>
      </c>
      <c r="AC20" s="9">
        <v>43.811029508452798</v>
      </c>
      <c r="AD20" s="123">
        <v>160.49469011275281</v>
      </c>
    </row>
    <row r="21" spans="2:30" s="3" customFormat="1" x14ac:dyDescent="0.25">
      <c r="B21" s="84"/>
      <c r="H21" s="69"/>
      <c r="I21" s="69"/>
      <c r="J21" s="69"/>
      <c r="K21" s="69"/>
      <c r="L21" s="69"/>
      <c r="M21" s="69"/>
      <c r="N21" s="69"/>
      <c r="O21" s="103"/>
      <c r="P21" s="103"/>
      <c r="Q21" s="103"/>
      <c r="R21" s="104"/>
      <c r="S21" s="69">
        <f>S11+S14+S15+S16+S19</f>
        <v>157.87874151958081</v>
      </c>
      <c r="Z21" s="69"/>
      <c r="AA21" s="69"/>
      <c r="AB21" s="69"/>
      <c r="AC21" s="69"/>
      <c r="AD21" s="69"/>
    </row>
    <row r="22" spans="2:30" s="3" customFormat="1" x14ac:dyDescent="0.25">
      <c r="I22" s="69"/>
      <c r="J22" s="69"/>
      <c r="K22" s="69"/>
      <c r="AA22" s="69"/>
      <c r="AB22" s="69"/>
      <c r="AC22" s="69"/>
    </row>
    <row r="23" spans="2:30" ht="31.5" x14ac:dyDescent="0.35">
      <c r="C23" s="173">
        <v>2020</v>
      </c>
      <c r="D23" s="174"/>
      <c r="E23" s="174"/>
      <c r="F23" s="174"/>
      <c r="G23" s="174"/>
      <c r="H23" s="101" t="s">
        <v>36</v>
      </c>
      <c r="I23" s="101" t="s">
        <v>131</v>
      </c>
      <c r="J23" s="101" t="s">
        <v>38</v>
      </c>
      <c r="K23" s="101" t="s">
        <v>130</v>
      </c>
      <c r="L23" s="118" t="s">
        <v>1</v>
      </c>
      <c r="M23" s="25"/>
      <c r="N23" s="173">
        <v>2020</v>
      </c>
      <c r="O23" s="169" t="s">
        <v>36</v>
      </c>
      <c r="P23" s="101" t="s">
        <v>131</v>
      </c>
      <c r="Q23" s="101" t="s">
        <v>38</v>
      </c>
      <c r="R23" s="101" t="s">
        <v>130</v>
      </c>
      <c r="S23" s="118" t="s">
        <v>1</v>
      </c>
      <c r="T23" s="270" t="s">
        <v>580</v>
      </c>
      <c r="U23" s="173">
        <v>2020</v>
      </c>
      <c r="V23" s="174"/>
      <c r="W23" s="174"/>
      <c r="X23" s="174"/>
      <c r="Y23" s="174"/>
      <c r="Z23" s="101" t="s">
        <v>36</v>
      </c>
      <c r="AA23" s="101" t="s">
        <v>131</v>
      </c>
      <c r="AB23" s="101" t="s">
        <v>38</v>
      </c>
      <c r="AC23" s="101" t="s">
        <v>130</v>
      </c>
      <c r="AD23" s="118" t="s">
        <v>1</v>
      </c>
    </row>
    <row r="24" spans="2:30" x14ac:dyDescent="0.25">
      <c r="C24" s="175" t="s">
        <v>18</v>
      </c>
      <c r="H24" s="8">
        <f>SUM(H25:H26)</f>
        <v>0</v>
      </c>
      <c r="I24" s="8">
        <f>SUM(I25:I26)</f>
        <v>41.607530240000003</v>
      </c>
      <c r="J24" s="8">
        <f>SUM(J25:J26)</f>
        <v>1.5073659663999999</v>
      </c>
      <c r="K24" s="8">
        <f>SUM(K25:K26)</f>
        <v>0.2786062078596</v>
      </c>
      <c r="L24" s="121">
        <f t="shared" ref="L24:L33" si="4">SUM(H24:K24)</f>
        <v>43.393502414259608</v>
      </c>
      <c r="M24" s="99"/>
      <c r="N24" s="178" t="s">
        <v>18</v>
      </c>
      <c r="O24" s="36">
        <f>'[1]Bilan 2020'!$X$46/11.63</f>
        <v>0</v>
      </c>
      <c r="P24" s="35">
        <f>SUM('[1]Bilan 2020'!$X$41:$X$43)/11.63</f>
        <v>35.668036461633939</v>
      </c>
      <c r="Q24" s="35">
        <f>'[1]Bilan 2020'!$X$13/11.63</f>
        <v>0.71687008340498715</v>
      </c>
      <c r="R24" s="35">
        <f>('[1]Bilan 2020'!$X$22+'[1]Bilan 2020'!$X$30+SUM('[1]Bilan 2020'!$X$36:$X$40)+SUM('[1]Bilan 2020'!$X$44:$X$45)+'[1]Bilan 2020'!$X$47)/11.63</f>
        <v>0.19326865864144452</v>
      </c>
      <c r="S24" s="170">
        <f>SUM(O24:R24)</f>
        <v>36.578175203680367</v>
      </c>
      <c r="T24" s="272">
        <f>S24</f>
        <v>36.578175203680367</v>
      </c>
      <c r="U24" s="175" t="s">
        <v>18</v>
      </c>
      <c r="Z24" s="8">
        <v>0</v>
      </c>
      <c r="AA24" s="8">
        <v>41.602539239999999</v>
      </c>
      <c r="AB24" s="8">
        <v>1.5063126045999999</v>
      </c>
      <c r="AC24" s="8">
        <v>0.27860242240440003</v>
      </c>
      <c r="AD24" s="121">
        <v>43.387454267004394</v>
      </c>
    </row>
    <row r="25" spans="2:30" x14ac:dyDescent="0.25">
      <c r="C25" s="176" t="s">
        <v>19</v>
      </c>
      <c r="D25" t="s">
        <v>552</v>
      </c>
      <c r="E25" t="s">
        <v>553</v>
      </c>
      <c r="F25" t="s">
        <v>554</v>
      </c>
      <c r="G25" t="s">
        <v>555</v>
      </c>
      <c r="H25" s="19">
        <f>VLOOKUP(D25,Résultats!$B$2:$AX$476,'T energie vecteurs'!I5,FALSE)</f>
        <v>0</v>
      </c>
      <c r="I25" s="19">
        <f>VLOOKUP(E25,Résultats!$B$2:$AX$476,'T energie vecteurs'!I5,FALSE)</f>
        <v>23.2464543</v>
      </c>
      <c r="J25" s="19">
        <f>VLOOKUP(F25,Résultats!$B$2:$AX$476,'T energie vecteurs'!I5,FALSE)</f>
        <v>7.2456006399999995E-2</v>
      </c>
      <c r="K25" s="19">
        <f>VLOOKUP(G77,Résultats!$B$2:$AX$476,'T energie vecteurs'!I5,FALSE)</f>
        <v>1.46634596E-5</v>
      </c>
      <c r="L25" s="120">
        <f t="shared" si="4"/>
        <v>23.318924969859598</v>
      </c>
      <c r="M25" s="19"/>
      <c r="N25" s="176" t="s">
        <v>19</v>
      </c>
      <c r="O25" s="171"/>
      <c r="P25" s="19"/>
      <c r="Q25" s="55"/>
      <c r="R25" s="19"/>
      <c r="S25" s="120"/>
      <c r="T25" s="120"/>
      <c r="U25" s="176" t="s">
        <v>19</v>
      </c>
      <c r="V25" t="s">
        <v>552</v>
      </c>
      <c r="W25" t="s">
        <v>553</v>
      </c>
      <c r="X25" t="s">
        <v>554</v>
      </c>
      <c r="Y25" t="s">
        <v>555</v>
      </c>
      <c r="Z25" s="19">
        <v>0</v>
      </c>
      <c r="AA25" s="19">
        <v>23.244407129999999</v>
      </c>
      <c r="AB25" s="19">
        <v>7.25068886E-2</v>
      </c>
      <c r="AC25" s="19">
        <v>1.4761104400000001E-5</v>
      </c>
      <c r="AD25" s="120">
        <v>23.316928779704398</v>
      </c>
    </row>
    <row r="26" spans="2:30" x14ac:dyDescent="0.25">
      <c r="C26" s="177" t="s">
        <v>20</v>
      </c>
      <c r="D26" t="s">
        <v>556</v>
      </c>
      <c r="E26" t="s">
        <v>557</v>
      </c>
      <c r="F26" t="s">
        <v>558</v>
      </c>
      <c r="G26" t="s">
        <v>559</v>
      </c>
      <c r="H26" s="19">
        <f>VLOOKUP(D26,Résultats!$B$2:$AX$476,'T energie vecteurs'!I5,FALSE)</f>
        <v>0</v>
      </c>
      <c r="I26" s="19">
        <f>VLOOKUP(E26,Résultats!$B$2:$AX$476,'T energie vecteurs'!I5,FALSE)</f>
        <v>18.361075939999999</v>
      </c>
      <c r="J26" s="19">
        <f>VLOOKUP(F26,Résultats!$B$2:$AX$476,'T energie vecteurs'!I5,FALSE)</f>
        <v>1.4349099599999999</v>
      </c>
      <c r="K26" s="19">
        <f>VLOOKUP(G26,Résultats!$B$2:$AX$476,'T energie vecteurs'!I5,FALSE)</f>
        <v>0.2785915444</v>
      </c>
      <c r="L26" s="120">
        <f t="shared" si="4"/>
        <v>20.074577444399999</v>
      </c>
      <c r="M26" s="19"/>
      <c r="N26" s="177" t="s">
        <v>20</v>
      </c>
      <c r="O26" s="171"/>
      <c r="P26" s="19"/>
      <c r="Q26" s="55"/>
      <c r="R26" s="19"/>
      <c r="S26" s="120"/>
      <c r="T26" s="120"/>
      <c r="U26" s="177" t="s">
        <v>20</v>
      </c>
      <c r="V26" t="s">
        <v>556</v>
      </c>
      <c r="W26" t="s">
        <v>557</v>
      </c>
      <c r="X26" t="s">
        <v>558</v>
      </c>
      <c r="Y26" t="s">
        <v>559</v>
      </c>
      <c r="Z26" s="19">
        <v>0</v>
      </c>
      <c r="AA26" s="19">
        <v>18.35813211</v>
      </c>
      <c r="AB26" s="19">
        <v>1.433805716</v>
      </c>
      <c r="AC26" s="19">
        <v>0.27858766130000001</v>
      </c>
      <c r="AD26" s="120">
        <v>20.070525487299999</v>
      </c>
    </row>
    <row r="27" spans="2:30" x14ac:dyDescent="0.25">
      <c r="C27" s="175" t="s">
        <v>21</v>
      </c>
      <c r="D27" t="s">
        <v>560</v>
      </c>
      <c r="E27" t="s">
        <v>561</v>
      </c>
      <c r="F27" t="s">
        <v>562</v>
      </c>
      <c r="G27" t="s">
        <v>563</v>
      </c>
      <c r="H27" s="8">
        <f>VLOOKUP(D27,Résultats!$B$2:$AX$476,'T energie vecteurs'!I5,FALSE)</f>
        <v>0.31875528339999998</v>
      </c>
      <c r="I27" s="8">
        <f>VLOOKUP(E27,Résultats!$B$2:$AX$476,'T energie vecteurs'!I5,FALSE)</f>
        <v>6.4528228150000002</v>
      </c>
      <c r="J27" s="8">
        <f>VLOOKUP(F27,Résultats!$B$2:$AX$476,'T energie vecteurs'!I5,FALSE)</f>
        <v>14.445102029999999</v>
      </c>
      <c r="K27" s="8">
        <f>VLOOKUP(G27,Résultats!$B$2:$AX$476,'T energie vecteurs'!I5,FALSE)+2</f>
        <v>19.18079925</v>
      </c>
      <c r="L27" s="121">
        <f t="shared" si="4"/>
        <v>40.3974793784</v>
      </c>
      <c r="M27" s="99"/>
      <c r="N27" s="178" t="s">
        <v>21</v>
      </c>
      <c r="O27" s="36">
        <f>'[1]Bilan 2020'!$V$46/11.63</f>
        <v>2.0700734999999998E-2</v>
      </c>
      <c r="P27" s="35">
        <f>SUM('[1]Bilan 2020'!$V$41:$V$43)/11.63</f>
        <v>4.2874727518867157</v>
      </c>
      <c r="Q27" s="35">
        <f>'[1]Bilan 2020'!$V$13/11.63</f>
        <v>13.618731599337918</v>
      </c>
      <c r="R27" s="35">
        <f>('[1]Bilan 2020'!$V$22+'[1]Bilan 2020'!$V$30+SUM('[1]Bilan 2020'!$V$36:$V$40)+SUM('[1]Bilan 2020'!$V$44:$V$45)+'[1]Bilan 2020'!$V$47)/11.63</f>
        <v>20.408410382607048</v>
      </c>
      <c r="S27" s="170">
        <f t="shared" ref="S27:S33" si="5">SUM(O27:R27)</f>
        <v>38.335315468831681</v>
      </c>
      <c r="T27" s="272">
        <f>S27-'[1]Bilan 2020'!$V$40/11.63</f>
        <v>35.977053263806368</v>
      </c>
      <c r="U27" s="175" t="s">
        <v>21</v>
      </c>
      <c r="V27" t="s">
        <v>560</v>
      </c>
      <c r="W27" t="s">
        <v>561</v>
      </c>
      <c r="X27" t="s">
        <v>562</v>
      </c>
      <c r="Y27" t="s">
        <v>563</v>
      </c>
      <c r="Z27" s="8">
        <v>0.31862762230000002</v>
      </c>
      <c r="AA27" s="8">
        <v>6.45680254</v>
      </c>
      <c r="AB27" s="8">
        <v>14.43867376</v>
      </c>
      <c r="AC27" s="8">
        <v>19.172349069999999</v>
      </c>
      <c r="AD27" s="121">
        <v>40.386452992300001</v>
      </c>
    </row>
    <row r="28" spans="2:30" x14ac:dyDescent="0.25">
      <c r="C28" s="175" t="s">
        <v>22</v>
      </c>
      <c r="D28" t="s">
        <v>564</v>
      </c>
      <c r="E28" t="s">
        <v>565</v>
      </c>
      <c r="F28" t="s">
        <v>566</v>
      </c>
      <c r="G28" t="s">
        <v>567</v>
      </c>
      <c r="H28" s="8">
        <f>VLOOKUP(D28,Résultats!$B$2:$AX$476,'T energie vecteurs'!I5,FALSE)</f>
        <v>0</v>
      </c>
      <c r="I28" s="8">
        <f>VLOOKUP(E28,Résultats!$B$2:$AX$476,'T energie vecteurs'!I5,FALSE)</f>
        <v>2.7276801470000001</v>
      </c>
      <c r="J28" s="8">
        <f>VLOOKUP(F28,Résultats!$B$2:$AX$476,'T energie vecteurs'!I5,FALSE)</f>
        <v>11.13643673</v>
      </c>
      <c r="K28" s="8">
        <f>VLOOKUP(G28,Résultats!$B$2:$AX$476,'T energie vecteurs'!I5,FALSE)</f>
        <v>7.8846948670000003</v>
      </c>
      <c r="L28" s="121">
        <f t="shared" si="4"/>
        <v>21.748811744000001</v>
      </c>
      <c r="M28" s="99"/>
      <c r="N28" s="178" t="s">
        <v>22</v>
      </c>
      <c r="O28" s="36">
        <f>('[1]Bilan 2020'!$W$46)/11.63</f>
        <v>3.0546421000000001E-2</v>
      </c>
      <c r="P28" s="35">
        <f>SUM('[1]Bilan 2020'!$W$41:$W$43)/11.63</f>
        <v>2.7068355531694666</v>
      </c>
      <c r="Q28" s="35">
        <f>('[1]Bilan 2020'!$W$13)/11.63</f>
        <v>10.724850576412381</v>
      </c>
      <c r="R28" s="35">
        <f>('[1]Bilan 2020'!$W$22+'[1]Bilan 2020'!$W$30+SUM('[1]Bilan 2020'!$W$36:$W$40)+SUM('[1]Bilan 2020'!$W$44:$W$45)+'[1]Bilan 2020'!$W$47)/11.63</f>
        <v>7.1906336380053082</v>
      </c>
      <c r="S28" s="170">
        <f t="shared" si="5"/>
        <v>20.652866188587154</v>
      </c>
      <c r="T28" s="272">
        <f>S28-'[1]Bilan 2020'!$W$40/11.63</f>
        <v>20.267160637808516</v>
      </c>
      <c r="U28" s="175" t="s">
        <v>22</v>
      </c>
      <c r="V28" t="s">
        <v>564</v>
      </c>
      <c r="W28" t="s">
        <v>565</v>
      </c>
      <c r="X28" t="s">
        <v>566</v>
      </c>
      <c r="Y28" t="s">
        <v>567</v>
      </c>
      <c r="Z28" s="8">
        <v>0</v>
      </c>
      <c r="AA28" s="8">
        <v>2.7306023239999999</v>
      </c>
      <c r="AB28" s="8">
        <v>11.12795966</v>
      </c>
      <c r="AC28" s="8">
        <v>7.8713221820000001</v>
      </c>
      <c r="AD28" s="121">
        <v>21.729884165999998</v>
      </c>
    </row>
    <row r="29" spans="2:30" x14ac:dyDescent="0.25">
      <c r="C29" s="175" t="s">
        <v>23</v>
      </c>
      <c r="H29" s="8">
        <f>SUM(H30:H32)</f>
        <v>2.6457174971000001</v>
      </c>
      <c r="I29" s="8">
        <f>SUM(I30:I32)</f>
        <v>13.62045114199999</v>
      </c>
      <c r="J29" s="8">
        <f>SUM(J30:J32)</f>
        <v>9.2953369404000004</v>
      </c>
      <c r="K29" s="8">
        <f>SUM(K30:K32)</f>
        <v>15.195416906799998</v>
      </c>
      <c r="L29" s="121">
        <f t="shared" si="4"/>
        <v>40.756922486299992</v>
      </c>
      <c r="M29" s="99"/>
      <c r="N29" s="178" t="s">
        <v>252</v>
      </c>
      <c r="O29" s="36">
        <f>O30+O31</f>
        <v>3.1626378182920636</v>
      </c>
      <c r="P29" s="35">
        <f t="shared" ref="P29:R29" si="6">P30+P31</f>
        <v>13.919973516612528</v>
      </c>
      <c r="Q29" s="35">
        <f t="shared" si="6"/>
        <v>9.0413234941421319</v>
      </c>
      <c r="R29" s="35">
        <f t="shared" si="6"/>
        <v>14.312071337572707</v>
      </c>
      <c r="S29" s="170">
        <f t="shared" si="5"/>
        <v>40.436006166619435</v>
      </c>
      <c r="T29" s="272">
        <f t="shared" ref="T29" si="7">S29</f>
        <v>40.436006166619435</v>
      </c>
      <c r="U29" s="175" t="s">
        <v>23</v>
      </c>
      <c r="Z29" s="8">
        <v>2.6480606495000001</v>
      </c>
      <c r="AA29" s="8">
        <v>13.624185702000002</v>
      </c>
      <c r="AB29" s="8">
        <v>9.2932629193</v>
      </c>
      <c r="AC29" s="8">
        <v>15.1844512908</v>
      </c>
      <c r="AD29" s="121">
        <v>40.749960561599998</v>
      </c>
    </row>
    <row r="30" spans="2:30" x14ac:dyDescent="0.25">
      <c r="C30" s="177" t="s">
        <v>24</v>
      </c>
      <c r="D30" t="s">
        <v>568</v>
      </c>
      <c r="E30" t="s">
        <v>569</v>
      </c>
      <c r="F30" t="s">
        <v>570</v>
      </c>
      <c r="G30" t="s">
        <v>571</v>
      </c>
      <c r="H30" s="19">
        <f>VLOOKUP(D30,Résultats!$B$2:$AX$476,'T energie vecteurs'!I5,FALSE)</f>
        <v>1.78210523</v>
      </c>
      <c r="I30" s="19">
        <f>VLOOKUP(E30,Résultats!$B$2:$AX$476,'T energie vecteurs'!I5,FALSE)</f>
        <v>9.3444810749999903</v>
      </c>
      <c r="J30" s="19">
        <f>VLOOKUP(F30,Résultats!$B$2:$AX$476,'T energie vecteurs'!I5,FALSE)</f>
        <v>8.9832429129999998</v>
      </c>
      <c r="K30" s="19">
        <f>VLOOKUP(G30,Résultats!$B$2:$AX$476,'T energie vecteurs'!I5,FALSE)</f>
        <v>12.72188557</v>
      </c>
      <c r="L30" s="120">
        <f t="shared" si="4"/>
        <v>32.831714787999985</v>
      </c>
      <c r="M30" s="19"/>
      <c r="N30" s="177" t="s">
        <v>253</v>
      </c>
      <c r="O30" s="171">
        <f>'[1]Bilan 2020'!$U$46/11.63</f>
        <v>0.77267988499999996</v>
      </c>
      <c r="P30" s="37">
        <f>SUM('[1]Bilan 2020'!$U$41:$U$43)/11.63</f>
        <v>2.7003587770125286</v>
      </c>
      <c r="Q30" s="37">
        <f>'[1]Bilan 2020'!$U$13/11.63</f>
        <v>9.0413234941421319</v>
      </c>
      <c r="R30" s="37">
        <f>('[1]Bilan 2020'!$U$22+'[1]Bilan 2020'!$U$30+SUM('[1]Bilan 2020'!$U$36:$U$40)+SUM('[1]Bilan 2020'!$U$44:$U$45)+'[1]Bilan 2020'!$U$47)/11.63</f>
        <v>13.277854957521116</v>
      </c>
      <c r="S30" s="120">
        <f t="shared" si="5"/>
        <v>25.792217113675775</v>
      </c>
      <c r="T30" s="120"/>
      <c r="U30" s="177" t="s">
        <v>24</v>
      </c>
      <c r="V30" t="s">
        <v>568</v>
      </c>
      <c r="W30" t="s">
        <v>569</v>
      </c>
      <c r="X30" t="s">
        <v>570</v>
      </c>
      <c r="Y30" t="s">
        <v>571</v>
      </c>
      <c r="Z30" s="19">
        <v>1.7843252570000001</v>
      </c>
      <c r="AA30" s="19">
        <v>9.3529290360000008</v>
      </c>
      <c r="AB30" s="19">
        <v>8.9819417030000004</v>
      </c>
      <c r="AC30" s="19">
        <v>12.71331762</v>
      </c>
      <c r="AD30" s="120">
        <v>32.832513616</v>
      </c>
    </row>
    <row r="31" spans="2:30" x14ac:dyDescent="0.25">
      <c r="C31" s="177" t="s">
        <v>129</v>
      </c>
      <c r="D31" t="s">
        <v>572</v>
      </c>
      <c r="E31" t="s">
        <v>573</v>
      </c>
      <c r="F31" t="s">
        <v>574</v>
      </c>
      <c r="G31" t="s">
        <v>575</v>
      </c>
      <c r="H31" s="19">
        <f>VLOOKUP(D31,Résultats!$B$2:$AX$476,'T energie vecteurs'!I5,FALSE)</f>
        <v>0.86361226710000005</v>
      </c>
      <c r="I31" s="19">
        <f>VLOOKUP(E31,Résultats!$B$2:$AX$476,'T energie vecteurs'!I5,FALSE)</f>
        <v>1.8762786469999999</v>
      </c>
      <c r="J31" s="19">
        <f>VLOOKUP(F31,Résultats!$B$2:$AX$476,'T energie vecteurs'!I5,FALSE)</f>
        <v>0</v>
      </c>
      <c r="K31" s="19">
        <f>VLOOKUP(G31,Résultats!$B$2:$AX$476,'T energie vecteurs'!I5,FALSE)</f>
        <v>2.1026682569999999</v>
      </c>
      <c r="L31" s="120">
        <f t="shared" si="4"/>
        <v>4.8425591710999996</v>
      </c>
      <c r="M31" s="19"/>
      <c r="N31" s="177" t="s">
        <v>129</v>
      </c>
      <c r="O31" s="28">
        <f>'[1]Bilan 2020'!$E$52/11.63</f>
        <v>2.3899579332920635</v>
      </c>
      <c r="P31" s="19">
        <f>('[1]Bilan 2020'!$E$54+'[1]Bilan 2020'!$E$56)/11.63</f>
        <v>11.219614739599999</v>
      </c>
      <c r="Q31" s="19">
        <v>0</v>
      </c>
      <c r="R31" s="19">
        <f>('[1]Bilan 2020'!$E$53+'[1]Bilan 2020'!$E$55+'[1]Bilan 2020'!$E$57)/11.63</f>
        <v>1.0342163800515907</v>
      </c>
      <c r="S31" s="120">
        <f t="shared" si="5"/>
        <v>14.643789052943653</v>
      </c>
      <c r="T31" s="120"/>
      <c r="U31" s="177" t="s">
        <v>129</v>
      </c>
      <c r="V31" t="s">
        <v>572</v>
      </c>
      <c r="W31" t="s">
        <v>573</v>
      </c>
      <c r="X31" t="s">
        <v>574</v>
      </c>
      <c r="Y31" t="s">
        <v>575</v>
      </c>
      <c r="Z31" s="19">
        <v>0.86373539249999998</v>
      </c>
      <c r="AA31" s="19">
        <v>1.876008898</v>
      </c>
      <c r="AB31" s="19">
        <v>0</v>
      </c>
      <c r="AC31" s="19">
        <v>2.10102419</v>
      </c>
      <c r="AD31" s="120">
        <v>4.8407684804999995</v>
      </c>
    </row>
    <row r="32" spans="2:30" x14ac:dyDescent="0.25">
      <c r="C32" s="177" t="s">
        <v>25</v>
      </c>
      <c r="D32" t="s">
        <v>576</v>
      </c>
      <c r="E32" t="s">
        <v>577</v>
      </c>
      <c r="F32" t="s">
        <v>578</v>
      </c>
      <c r="G32" t="s">
        <v>579</v>
      </c>
      <c r="H32" s="19">
        <f>VLOOKUP(D32,Résultats!$B$2:$AX$476,'T energie vecteurs'!I5,FALSE)</f>
        <v>0</v>
      </c>
      <c r="I32" s="19">
        <f>VLOOKUP(E32,Résultats!$B$2:$AX$476,'T energie vecteurs'!I5,FALSE)</f>
        <v>2.3996914199999999</v>
      </c>
      <c r="J32" s="19">
        <f>VLOOKUP(F32,Résultats!$B$2:$AX$476,'T energie vecteurs'!I5,FALSE)</f>
        <v>0.31209402739999997</v>
      </c>
      <c r="K32" s="19">
        <f>VLOOKUP(G32,Résultats!$B$2:$AX$476,'T energie vecteurs'!I5,FALSE)</f>
        <v>0.3708630798</v>
      </c>
      <c r="L32" s="120">
        <f t="shared" si="4"/>
        <v>3.0826485271999999</v>
      </c>
      <c r="M32" s="19"/>
      <c r="N32" s="178" t="s">
        <v>25</v>
      </c>
      <c r="O32" s="36">
        <f>'[1]Bilan 2020'!$T$46/11.63</f>
        <v>1.3217009999999998E-3</v>
      </c>
      <c r="P32" s="35">
        <f>SUM('[1]Bilan 2020'!$T$41:$T$43)/11.63</f>
        <v>3.3486884684627563</v>
      </c>
      <c r="Q32" s="35">
        <f>'[1]Bilan 2020'!$T$13/11.63</f>
        <v>0.69143728159498707</v>
      </c>
      <c r="R32" s="35">
        <f>('[1]Bilan 2020'!$T$22+'[1]Bilan 2020'!$T$30+SUM('[1]Bilan 2020'!$T$36:$T$40)+SUM('[1]Bilan 2020'!$T$44:$T$45)+'[1]Bilan 2020'!$T$47)/11.63</f>
        <v>0.41959097162510717</v>
      </c>
      <c r="S32" s="170">
        <f t="shared" si="5"/>
        <v>4.4610384226828508</v>
      </c>
      <c r="T32" s="272">
        <f>S32</f>
        <v>4.4610384226828508</v>
      </c>
      <c r="U32" s="177" t="s">
        <v>25</v>
      </c>
      <c r="V32" t="s">
        <v>576</v>
      </c>
      <c r="W32" t="s">
        <v>577</v>
      </c>
      <c r="X32" t="s">
        <v>578</v>
      </c>
      <c r="Y32" t="s">
        <v>579</v>
      </c>
      <c r="Z32" s="19">
        <v>0</v>
      </c>
      <c r="AA32" s="19">
        <v>2.3952477679999999</v>
      </c>
      <c r="AB32" s="19">
        <v>0.31132121629999998</v>
      </c>
      <c r="AC32" s="19">
        <v>0.3701094808</v>
      </c>
      <c r="AD32" s="120">
        <v>3.0766784651000001</v>
      </c>
    </row>
    <row r="33" spans="3:30" x14ac:dyDescent="0.25">
      <c r="C33" s="29" t="s">
        <v>26</v>
      </c>
      <c r="D33" s="10"/>
      <c r="E33" s="10"/>
      <c r="F33" s="10"/>
      <c r="G33" s="10"/>
      <c r="H33" s="9">
        <f>SUM(H24,H27:H29)</f>
        <v>2.9644727805</v>
      </c>
      <c r="I33" s="9">
        <f>SUM(I24,I27:I29)</f>
        <v>64.408484343999987</v>
      </c>
      <c r="J33" s="9">
        <f>SUM(J24,J27:J29)</f>
        <v>36.384241666800001</v>
      </c>
      <c r="K33" s="9">
        <f>SUM(K24,K27:K29)</f>
        <v>42.539517231659602</v>
      </c>
      <c r="L33" s="123">
        <f t="shared" si="4"/>
        <v>146.2967160229596</v>
      </c>
      <c r="M33" s="105"/>
      <c r="N33" s="179" t="s">
        <v>26</v>
      </c>
      <c r="O33" s="40">
        <f>O24+O27+O28+O29+O32</f>
        <v>3.2152066752920638</v>
      </c>
      <c r="P33" s="38">
        <f>P24+P27+P28+P29+P32</f>
        <v>59.931006751765409</v>
      </c>
      <c r="Q33" s="38">
        <f>Q24+Q27+Q28+Q29+Q32</f>
        <v>34.793213034892403</v>
      </c>
      <c r="R33" s="38">
        <f>R24+R27+R28+R29+R32</f>
        <v>42.523974988451613</v>
      </c>
      <c r="S33" s="172">
        <f t="shared" si="5"/>
        <v>140.46340145040148</v>
      </c>
      <c r="T33" s="271">
        <f>SUM(T24:T32)</f>
        <v>137.71943369459754</v>
      </c>
      <c r="U33" s="29" t="s">
        <v>26</v>
      </c>
      <c r="V33" s="10"/>
      <c r="W33" s="10"/>
      <c r="X33" s="10"/>
      <c r="Y33" s="10"/>
      <c r="Z33" s="9">
        <v>2.9666882718000003</v>
      </c>
      <c r="AA33" s="9">
        <v>64.414129806000005</v>
      </c>
      <c r="AB33" s="9">
        <v>36.366208943899998</v>
      </c>
      <c r="AC33" s="9">
        <v>42.506724965204398</v>
      </c>
      <c r="AD33" s="123">
        <v>146.2537519869044</v>
      </c>
    </row>
    <row r="34" spans="3:30" s="3" customFormat="1" x14ac:dyDescent="0.25">
      <c r="H34" s="69"/>
      <c r="I34" s="69"/>
      <c r="J34" s="69"/>
      <c r="K34" s="69"/>
      <c r="L34" s="69"/>
      <c r="M34" s="69"/>
      <c r="N34" s="69"/>
      <c r="O34" s="103"/>
      <c r="P34" s="103"/>
      <c r="Q34" s="103"/>
      <c r="R34" s="104"/>
      <c r="S34" s="69"/>
      <c r="T34" s="69"/>
      <c r="Z34" s="69"/>
      <c r="AA34" s="69"/>
      <c r="AB34" s="69"/>
      <c r="AC34" s="69"/>
      <c r="AD34" s="69"/>
    </row>
    <row r="35" spans="3:30" s="3" customFormat="1" x14ac:dyDescent="0.25"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Z35" s="69"/>
      <c r="AA35" s="69"/>
      <c r="AB35" s="69"/>
      <c r="AC35" s="69"/>
      <c r="AD35" s="69"/>
    </row>
    <row r="36" spans="3:30" ht="31.5" x14ac:dyDescent="0.35">
      <c r="C36" s="173">
        <v>2022</v>
      </c>
      <c r="D36" s="174"/>
      <c r="E36" s="174"/>
      <c r="F36" s="174"/>
      <c r="G36" s="174"/>
      <c r="H36" s="101" t="s">
        <v>36</v>
      </c>
      <c r="I36" s="101" t="s">
        <v>131</v>
      </c>
      <c r="J36" s="101" t="s">
        <v>38</v>
      </c>
      <c r="K36" s="101" t="s">
        <v>130</v>
      </c>
      <c r="L36" s="118" t="s">
        <v>1</v>
      </c>
      <c r="M36" s="25"/>
      <c r="N36" s="173">
        <v>2022</v>
      </c>
      <c r="O36" s="169" t="s">
        <v>36</v>
      </c>
      <c r="P36" s="101" t="s">
        <v>131</v>
      </c>
      <c r="Q36" s="101" t="s">
        <v>38</v>
      </c>
      <c r="R36" s="101" t="s">
        <v>130</v>
      </c>
      <c r="S36" s="118" t="s">
        <v>1</v>
      </c>
      <c r="T36" s="270" t="s">
        <v>580</v>
      </c>
      <c r="U36" s="173">
        <v>2022</v>
      </c>
      <c r="V36" s="174"/>
      <c r="W36" s="174"/>
      <c r="X36" s="174"/>
      <c r="Y36" s="174"/>
      <c r="Z36" s="101" t="s">
        <v>36</v>
      </c>
      <c r="AA36" s="101" t="s">
        <v>131</v>
      </c>
      <c r="AB36" s="101" t="s">
        <v>38</v>
      </c>
      <c r="AC36" s="101" t="s">
        <v>130</v>
      </c>
      <c r="AD36" s="118" t="s">
        <v>1</v>
      </c>
    </row>
    <row r="37" spans="3:30" x14ac:dyDescent="0.25">
      <c r="C37" s="175" t="s">
        <v>18</v>
      </c>
      <c r="H37" s="8">
        <f>SUM(H38:H39)</f>
        <v>0</v>
      </c>
      <c r="I37" s="8">
        <f>SUM(I38:I39)</f>
        <v>41.601878470000003</v>
      </c>
      <c r="J37" s="8">
        <f>SUM(J38:J39)</f>
        <v>1.8218638476000002</v>
      </c>
      <c r="K37" s="8">
        <f>SUM(K38:K39)</f>
        <v>0.38875774748410002</v>
      </c>
      <c r="L37" s="121">
        <f t="shared" ref="L37:L46" si="8">SUM(H37:K37)</f>
        <v>43.812500065084102</v>
      </c>
      <c r="M37" s="99"/>
      <c r="N37" s="178" t="s">
        <v>18</v>
      </c>
      <c r="O37" s="36">
        <f>'[1]Bilan 2022 réel'!$X$46/11.63</f>
        <v>0</v>
      </c>
      <c r="P37" s="35">
        <f>SUM('[1]Bilan 2022 réel'!$X$41:$X$43)/11.63</f>
        <v>43.395882986244146</v>
      </c>
      <c r="Q37" s="35">
        <f>'[1]Bilan 2022 réel'!$X$13/11.63</f>
        <v>0.93062751504729158</v>
      </c>
      <c r="R37" s="35">
        <f>('[1]Bilan 2022 réel'!$X$22+'[1]Bilan 2022 réel'!$X$30+SUM('[1]Bilan 2022 réel'!$X$36:$X$40)+SUM('[1]Bilan 2022 réel'!$X$44:$X$45)+'[1]Bilan 2022 réel'!$X$47)/11.63</f>
        <v>0.31885683576956142</v>
      </c>
      <c r="S37" s="170">
        <f>SUM(O37:R37)</f>
        <v>44.645367337060996</v>
      </c>
      <c r="T37" s="272">
        <f>S37</f>
        <v>44.645367337060996</v>
      </c>
      <c r="U37" s="175" t="s">
        <v>18</v>
      </c>
      <c r="Z37" s="8">
        <v>0</v>
      </c>
      <c r="AA37" s="8">
        <v>41.601707860000005</v>
      </c>
      <c r="AB37" s="8">
        <v>1.8231850832999998</v>
      </c>
      <c r="AC37" s="8">
        <v>0.38884310470799999</v>
      </c>
      <c r="AD37" s="121">
        <v>43.813736048008003</v>
      </c>
    </row>
    <row r="38" spans="3:30" x14ac:dyDescent="0.25">
      <c r="C38" s="176" t="s">
        <v>19</v>
      </c>
      <c r="D38" t="s">
        <v>552</v>
      </c>
      <c r="E38" t="s">
        <v>553</v>
      </c>
      <c r="F38" t="s">
        <v>554</v>
      </c>
      <c r="G38" t="s">
        <v>555</v>
      </c>
      <c r="H38" s="19">
        <f>VLOOKUP(D38,Résultats!$B$2:$AX$476,'T energie vecteurs'!K5,FALSE)</f>
        <v>0</v>
      </c>
      <c r="I38" s="19">
        <f>VLOOKUP(E38,Résultats!$B$2:$AX$476,'T energie vecteurs'!K5,FALSE)</f>
        <v>22.925047580000001</v>
      </c>
      <c r="J38" s="19">
        <f>VLOOKUP(F38,Résultats!$B$2:$AX$476,'T energie vecteurs'!K5,FALSE)</f>
        <v>0.1185033176</v>
      </c>
      <c r="K38" s="19">
        <f>VLOOKUP(G51,Résultats!$B$2:$AX$476,'T energie vecteurs'!K5,FALSE)</f>
        <v>1.8267784099999999E-5</v>
      </c>
      <c r="L38" s="120">
        <f t="shared" si="8"/>
        <v>23.043569165384099</v>
      </c>
      <c r="M38" s="19"/>
      <c r="N38" s="176" t="s">
        <v>19</v>
      </c>
      <c r="O38" s="171"/>
      <c r="P38" s="19"/>
      <c r="Q38" s="55"/>
      <c r="R38" s="19"/>
      <c r="S38" s="120"/>
      <c r="T38" s="120"/>
      <c r="U38" s="176" t="s">
        <v>19</v>
      </c>
      <c r="V38" t="s">
        <v>552</v>
      </c>
      <c r="W38" t="s">
        <v>553</v>
      </c>
      <c r="X38" t="s">
        <v>554</v>
      </c>
      <c r="Y38" t="s">
        <v>555</v>
      </c>
      <c r="Z38" s="19">
        <v>0</v>
      </c>
      <c r="AA38" s="19">
        <v>22.924826800000002</v>
      </c>
      <c r="AB38" s="19">
        <v>0.11862449730000001</v>
      </c>
      <c r="AC38" s="19">
        <v>1.8382907999999998E-5</v>
      </c>
      <c r="AD38" s="120">
        <v>23.043469680208002</v>
      </c>
    </row>
    <row r="39" spans="3:30" x14ac:dyDescent="0.25">
      <c r="C39" s="177" t="s">
        <v>20</v>
      </c>
      <c r="D39" t="s">
        <v>556</v>
      </c>
      <c r="E39" t="s">
        <v>557</v>
      </c>
      <c r="F39" t="s">
        <v>558</v>
      </c>
      <c r="G39" t="s">
        <v>559</v>
      </c>
      <c r="H39" s="19">
        <f>VLOOKUP(D39,Résultats!$B$2:$AX$476,'T energie vecteurs'!K5,FALSE)</f>
        <v>0</v>
      </c>
      <c r="I39" s="19">
        <f>VLOOKUP(E39,Résultats!$B$2:$AX$476,'T energie vecteurs'!K5,FALSE)</f>
        <v>18.676830890000002</v>
      </c>
      <c r="J39" s="19">
        <f>VLOOKUP(F39,Résultats!$B$2:$AX$476,'T energie vecteurs'!K5,FALSE)</f>
        <v>1.7033605300000001</v>
      </c>
      <c r="K39" s="19">
        <f>VLOOKUP(G39,Résultats!$B$2:$AX$476,'T energie vecteurs'!K5,FALSE)</f>
        <v>0.3887394797</v>
      </c>
      <c r="L39" s="120">
        <f t="shared" si="8"/>
        <v>20.768930899700003</v>
      </c>
      <c r="M39" s="19"/>
      <c r="N39" s="177" t="s">
        <v>20</v>
      </c>
      <c r="O39" s="171"/>
      <c r="P39" s="19"/>
      <c r="Q39" s="55"/>
      <c r="R39" s="19"/>
      <c r="S39" s="120"/>
      <c r="T39" s="120"/>
      <c r="U39" s="177" t="s">
        <v>20</v>
      </c>
      <c r="V39" t="s">
        <v>556</v>
      </c>
      <c r="W39" t="s">
        <v>557</v>
      </c>
      <c r="X39" t="s">
        <v>558</v>
      </c>
      <c r="Y39" t="s">
        <v>559</v>
      </c>
      <c r="Z39" s="19">
        <v>0</v>
      </c>
      <c r="AA39" s="19">
        <v>18.676881059999999</v>
      </c>
      <c r="AB39" s="19">
        <v>1.7045605859999999</v>
      </c>
      <c r="AC39" s="19">
        <v>0.38882472179999999</v>
      </c>
      <c r="AD39" s="120">
        <v>20.770266367799998</v>
      </c>
    </row>
    <row r="40" spans="3:30" x14ac:dyDescent="0.25">
      <c r="C40" s="175" t="s">
        <v>21</v>
      </c>
      <c r="D40" t="s">
        <v>560</v>
      </c>
      <c r="E40" t="s">
        <v>561</v>
      </c>
      <c r="F40" t="s">
        <v>562</v>
      </c>
      <c r="G40" t="s">
        <v>563</v>
      </c>
      <c r="H40" s="8">
        <f>VLOOKUP(D40,Résultats!$B$2:$AX$476,'T energie vecteurs'!K5,FALSE)</f>
        <v>0.30519817570000002</v>
      </c>
      <c r="I40" s="8">
        <f>VLOOKUP(E40,Résultats!$B$2:$AX$476,'T energie vecteurs'!K5,FALSE)</f>
        <v>6.3040235940000002</v>
      </c>
      <c r="J40" s="8">
        <f>VLOOKUP(F40,Résultats!$B$2:$AX$476,'T energie vecteurs'!K5,FALSE)</f>
        <v>14.51751367</v>
      </c>
      <c r="K40" s="8">
        <f>VLOOKUP(G40,Résultats!$B$2:$AX$476,'T energie vecteurs'!K5,FALSE)+2</f>
        <v>18.647852969999999</v>
      </c>
      <c r="L40" s="121">
        <f t="shared" si="8"/>
        <v>39.774588409700002</v>
      </c>
      <c r="M40" s="99"/>
      <c r="N40" s="178" t="s">
        <v>21</v>
      </c>
      <c r="O40" s="36">
        <f>'[1]Bilan 2022 réel'!$V$46/11.63</f>
        <v>2.6476317000000003E-2</v>
      </c>
      <c r="P40" s="35">
        <f>SUM('[1]Bilan 2022 réel'!$V$41:$V$43)/11.63</f>
        <v>3.5006052343</v>
      </c>
      <c r="Q40" s="35">
        <f>'[1]Bilan 2022 réel'!$V$13/11.63</f>
        <v>13.359407222699915</v>
      </c>
      <c r="R40" s="35">
        <f>('[1]Bilan 2022 réel'!$V$22+'[1]Bilan 2022 réel'!$V$30+SUM('[1]Bilan 2022 réel'!$V$36:$V$40)+SUM('[1]Bilan 2022 réel'!$V$44:$V$45)+'[1]Bilan 2022 réel'!$V$47)/11.63</f>
        <v>20.358936597126686</v>
      </c>
      <c r="S40" s="170">
        <f t="shared" ref="S40:S46" si="9">SUM(O40:R40)</f>
        <v>37.245425371126601</v>
      </c>
      <c r="T40" s="272">
        <f>S40-'[1]Bilan 2022 réel'!$V$40/11.63</f>
        <v>33.84496208174091</v>
      </c>
      <c r="U40" s="175" t="s">
        <v>21</v>
      </c>
      <c r="V40" t="s">
        <v>560</v>
      </c>
      <c r="W40" t="s">
        <v>561</v>
      </c>
      <c r="X40" t="s">
        <v>562</v>
      </c>
      <c r="Y40" t="s">
        <v>563</v>
      </c>
      <c r="Z40" s="261">
        <v>0.30501769029999998</v>
      </c>
      <c r="AA40" s="261">
        <v>6.3077541640000003</v>
      </c>
      <c r="AB40" s="261">
        <v>14.509550369999999</v>
      </c>
      <c r="AC40" s="261">
        <v>18.635775750000001</v>
      </c>
      <c r="AD40" s="262">
        <v>39.7580979743</v>
      </c>
    </row>
    <row r="41" spans="3:30" x14ac:dyDescent="0.25">
      <c r="C41" s="175" t="s">
        <v>22</v>
      </c>
      <c r="D41" t="s">
        <v>564</v>
      </c>
      <c r="E41" t="s">
        <v>565</v>
      </c>
      <c r="F41" t="s">
        <v>566</v>
      </c>
      <c r="G41" t="s">
        <v>567</v>
      </c>
      <c r="H41" s="8">
        <f>VLOOKUP(D41,Résultats!$B$2:$AX$476,'T energie vecteurs'!K5,FALSE)</f>
        <v>0</v>
      </c>
      <c r="I41" s="8">
        <f>VLOOKUP(E41,Résultats!$B$2:$AX$476,'T energie vecteurs'!K5,FALSE)</f>
        <v>2.752774252</v>
      </c>
      <c r="J41" s="8">
        <f>VLOOKUP(F41,Résultats!$B$2:$AX$476,'T energie vecteurs'!K5,FALSE)</f>
        <v>11.09293415</v>
      </c>
      <c r="K41" s="8">
        <f>VLOOKUP(G41,Résultats!$B$2:$AX$476,'T energie vecteurs'!K5,FALSE)</f>
        <v>7.7682315610000003</v>
      </c>
      <c r="L41" s="121">
        <f t="shared" si="8"/>
        <v>21.613939963</v>
      </c>
      <c r="M41" s="99"/>
      <c r="N41" s="178" t="s">
        <v>22</v>
      </c>
      <c r="O41" s="36">
        <f>('[1]Bilan 2022 réel'!$W$46)/11.63</f>
        <v>3.2835727999999995E-2</v>
      </c>
      <c r="P41" s="35">
        <f>SUM('[1]Bilan 2022 réel'!$W$41:$W$43)/11.63</f>
        <v>2.0815720291000002</v>
      </c>
      <c r="Q41" s="35">
        <f>('[1]Bilan 2022 réel'!$W$13)/11.63</f>
        <v>11.4388796216681</v>
      </c>
      <c r="R41" s="35">
        <f>('[1]Bilan 2022 réel'!$W$22+'[1]Bilan 2022 réel'!$W$30+SUM('[1]Bilan 2022 réel'!$W$36:$W$40)+SUM('[1]Bilan 2022 réel'!$W$44:$W$45)+'[1]Bilan 2022 réel'!$W$47)/11.63</f>
        <v>7.4016622456291197</v>
      </c>
      <c r="S41" s="170">
        <f t="shared" si="9"/>
        <v>20.954949624397219</v>
      </c>
      <c r="T41" s="272">
        <f>S41-'[1]Bilan 2022 réel'!$W$40/11.63</f>
        <v>20.534610033301394</v>
      </c>
      <c r="U41" s="175" t="s">
        <v>22</v>
      </c>
      <c r="V41" t="s">
        <v>564</v>
      </c>
      <c r="W41" t="s">
        <v>565</v>
      </c>
      <c r="X41" t="s">
        <v>566</v>
      </c>
      <c r="Y41" t="s">
        <v>567</v>
      </c>
      <c r="Z41" s="8">
        <v>0</v>
      </c>
      <c r="AA41" s="8">
        <v>2.7557859630000001</v>
      </c>
      <c r="AB41" s="8">
        <v>11.08335205</v>
      </c>
      <c r="AC41" s="8">
        <v>7.7555464409999999</v>
      </c>
      <c r="AD41" s="121">
        <v>21.594684453999999</v>
      </c>
    </row>
    <row r="42" spans="3:30" x14ac:dyDescent="0.25">
      <c r="C42" s="175" t="s">
        <v>23</v>
      </c>
      <c r="H42" s="8">
        <f>SUM(H43:H45)</f>
        <v>2.6032201598000002</v>
      </c>
      <c r="I42" s="8">
        <f>SUM(I43:I45)</f>
        <v>13.584402706999992</v>
      </c>
      <c r="J42" s="8">
        <f>SUM(J43:J45)</f>
        <v>9.5614857152999999</v>
      </c>
      <c r="K42" s="8">
        <f>SUM(K43:K45)</f>
        <v>15.4398574531</v>
      </c>
      <c r="L42" s="121">
        <f t="shared" si="8"/>
        <v>41.188966035199996</v>
      </c>
      <c r="M42" s="99"/>
      <c r="N42" s="178" t="s">
        <v>252</v>
      </c>
      <c r="O42" s="36">
        <f>O43+O44</f>
        <v>4.5030917883254036</v>
      </c>
      <c r="P42" s="35">
        <f t="shared" ref="P42:R42" si="10">P43+P44</f>
        <v>11.747675010745624</v>
      </c>
      <c r="Q42" s="35">
        <f t="shared" si="10"/>
        <v>9.2559822012037838</v>
      </c>
      <c r="R42" s="35">
        <f t="shared" si="10"/>
        <v>13.798624448265977</v>
      </c>
      <c r="S42" s="170">
        <f t="shared" si="9"/>
        <v>39.305373448540784</v>
      </c>
      <c r="T42" s="272">
        <f t="shared" ref="T42" si="11">S42</f>
        <v>39.305373448540784</v>
      </c>
      <c r="U42" s="175" t="s">
        <v>23</v>
      </c>
      <c r="Z42" s="8">
        <v>2.6055347496999999</v>
      </c>
      <c r="AA42" s="8">
        <v>13.593338827</v>
      </c>
      <c r="AB42" s="8">
        <v>9.5610732662000011</v>
      </c>
      <c r="AC42" s="8">
        <v>15.4321639817</v>
      </c>
      <c r="AD42" s="121">
        <v>41.1921108246</v>
      </c>
    </row>
    <row r="43" spans="3:30" x14ac:dyDescent="0.25">
      <c r="C43" s="177" t="s">
        <v>24</v>
      </c>
      <c r="D43" t="s">
        <v>568</v>
      </c>
      <c r="E43" t="s">
        <v>569</v>
      </c>
      <c r="F43" t="s">
        <v>570</v>
      </c>
      <c r="G43" t="s">
        <v>571</v>
      </c>
      <c r="H43" s="19">
        <f>VLOOKUP(D43,Résultats!$B$2:$AX$476,'T energie vecteurs'!K5,FALSE)</f>
        <v>1.7307843510000001</v>
      </c>
      <c r="I43" s="19">
        <f>VLOOKUP(E43,Résultats!$B$2:$AX$476,'T energie vecteurs'!K5,FALSE)</f>
        <v>9.1537849359999903</v>
      </c>
      <c r="J43" s="19">
        <f>VLOOKUP(F43,Résultats!$B$2:$AX$476,'T energie vecteurs'!K5,FALSE)</f>
        <v>9.2418766580000007</v>
      </c>
      <c r="K43" s="19">
        <f>VLOOKUP(G43,Résultats!$B$2:$AX$476,'T energie vecteurs'!K5,FALSE)</f>
        <v>12.918975870000001</v>
      </c>
      <c r="L43" s="120">
        <f t="shared" si="8"/>
        <v>33.045421814999997</v>
      </c>
      <c r="M43" s="19"/>
      <c r="N43" s="177" t="s">
        <v>253</v>
      </c>
      <c r="O43" s="171">
        <f>'[1]Bilan 2022 réel'!$U$46/11.63</f>
        <v>0.63402045200000001</v>
      </c>
      <c r="P43" s="37">
        <f>SUM('[1]Bilan 2022 réel'!$U$41:$U$43)/11.63</f>
        <v>2.4775829957456241</v>
      </c>
      <c r="Q43" s="37">
        <f>'[1]Bilan 2022 réel'!$U$13/11.63</f>
        <v>9.2559822012037838</v>
      </c>
      <c r="R43" s="37">
        <f>('[1]Bilan 2022 réel'!$U$22+'[1]Bilan 2022 réel'!$U$30+SUM('[1]Bilan 2022 réel'!$U$36:$U$40)+SUM('[1]Bilan 2022 réel'!$U$44:$U$45)+'[1]Bilan 2022 réel'!$U$47)/11.63</f>
        <v>12.926272664087129</v>
      </c>
      <c r="S43" s="120">
        <f t="shared" si="9"/>
        <v>25.293858313036537</v>
      </c>
      <c r="T43" s="120"/>
      <c r="U43" s="177" t="s">
        <v>24</v>
      </c>
      <c r="V43" t="s">
        <v>568</v>
      </c>
      <c r="W43" t="s">
        <v>569</v>
      </c>
      <c r="X43" t="s">
        <v>570</v>
      </c>
      <c r="Y43" t="s">
        <v>571</v>
      </c>
      <c r="Z43" s="19">
        <v>1.7329112229999999</v>
      </c>
      <c r="AA43" s="19">
        <v>9.1647792429999999</v>
      </c>
      <c r="AB43" s="19">
        <v>9.2421086750000008</v>
      </c>
      <c r="AC43" s="19">
        <v>12.913079939999999</v>
      </c>
      <c r="AD43" s="120">
        <v>33.052879081</v>
      </c>
    </row>
    <row r="44" spans="3:30" x14ac:dyDescent="0.25">
      <c r="C44" s="177" t="s">
        <v>129</v>
      </c>
      <c r="D44" t="s">
        <v>572</v>
      </c>
      <c r="E44" t="s">
        <v>573</v>
      </c>
      <c r="F44" t="s">
        <v>574</v>
      </c>
      <c r="G44" t="s">
        <v>575</v>
      </c>
      <c r="H44" s="19">
        <f>VLOOKUP(D44,Résultats!$B$2:$AX$476,'T energie vecteurs'!K5,FALSE)</f>
        <v>0.87243580880000005</v>
      </c>
      <c r="I44" s="19">
        <f>VLOOKUP(E44,Résultats!$B$2:$AX$476,'T energie vecteurs'!K5,FALSE)</f>
        <v>1.916383094</v>
      </c>
      <c r="J44" s="19">
        <f>VLOOKUP(F44,Résultats!$B$2:$AX$476,'T energie vecteurs'!K5,FALSE)</f>
        <v>0</v>
      </c>
      <c r="K44" s="19">
        <f>VLOOKUP(G44,Résultats!$B$2:$AX$476,'T energie vecteurs'!K5,FALSE)</f>
        <v>2.1388606550000002</v>
      </c>
      <c r="L44" s="120">
        <f t="shared" si="8"/>
        <v>4.9276795578000003</v>
      </c>
      <c r="M44" s="19"/>
      <c r="N44" s="177" t="s">
        <v>129</v>
      </c>
      <c r="O44" s="28">
        <f>'[1]Bilan 2022 réel'!$E$52/11.63</f>
        <v>3.8690713363254039</v>
      </c>
      <c r="P44" s="19">
        <f>('[1]Bilan 2022 réel'!$E$54+'[1]Bilan 2022 réel'!$E$56)/11.63</f>
        <v>9.2700920149999995</v>
      </c>
      <c r="Q44" s="19">
        <v>0</v>
      </c>
      <c r="R44" s="19">
        <f>('[1]Bilan 2022 réel'!$E$53+'[1]Bilan 2022 réel'!$E$55+'[1]Bilan 2022 réel'!$E$57)/11.63</f>
        <v>0.87235178417884784</v>
      </c>
      <c r="S44" s="120">
        <f t="shared" si="9"/>
        <v>14.011515135504252</v>
      </c>
      <c r="T44" s="120"/>
      <c r="U44" s="177" t="s">
        <v>129</v>
      </c>
      <c r="V44" t="s">
        <v>572</v>
      </c>
      <c r="W44" t="s">
        <v>573</v>
      </c>
      <c r="X44" t="s">
        <v>574</v>
      </c>
      <c r="Y44" t="s">
        <v>575</v>
      </c>
      <c r="Z44" s="19">
        <v>0.87262352669999999</v>
      </c>
      <c r="AA44" s="19">
        <v>1.9166294210000001</v>
      </c>
      <c r="AB44" s="19">
        <v>0</v>
      </c>
      <c r="AC44" s="19">
        <v>2.1376735500000001</v>
      </c>
      <c r="AD44" s="120">
        <v>4.9269264977000002</v>
      </c>
    </row>
    <row r="45" spans="3:30" x14ac:dyDescent="0.25">
      <c r="C45" s="177" t="s">
        <v>25</v>
      </c>
      <c r="D45" t="s">
        <v>576</v>
      </c>
      <c r="E45" t="s">
        <v>577</v>
      </c>
      <c r="F45" t="s">
        <v>578</v>
      </c>
      <c r="G45" t="s">
        <v>579</v>
      </c>
      <c r="H45" s="19">
        <f>VLOOKUP(D45,Résultats!$B$2:$AX$476,'T energie vecteurs'!K5,FALSE)</f>
        <v>0</v>
      </c>
      <c r="I45" s="19">
        <f>VLOOKUP(E45,Résultats!$B$2:$AX$476,'T energie vecteurs'!K5,FALSE)</f>
        <v>2.5142346770000001</v>
      </c>
      <c r="J45" s="19">
        <f>VLOOKUP(F45,Résultats!$B$2:$AX$476,'T energie vecteurs'!K5,FALSE)</f>
        <v>0.3196090573</v>
      </c>
      <c r="K45" s="19">
        <f>VLOOKUP(G45,Résultats!$B$2:$AX$476,'T energie vecteurs'!K5,FALSE)</f>
        <v>0.38202092809999999</v>
      </c>
      <c r="L45" s="120">
        <f t="shared" si="8"/>
        <v>3.2158646624000005</v>
      </c>
      <c r="M45" s="19"/>
      <c r="N45" s="178" t="s">
        <v>25</v>
      </c>
      <c r="O45" s="36">
        <f>'[1]Bilan 2022 réel'!$T$46/11.63</f>
        <v>1.651664E-3</v>
      </c>
      <c r="P45" s="35">
        <f>SUM('[1]Bilan 2022 réel'!$T$41:$T$43)/11.63</f>
        <v>3.5697769387513203</v>
      </c>
      <c r="Q45" s="35">
        <f>'[1]Bilan 2022 réel'!$T$13/11.63</f>
        <v>0.67291487532244199</v>
      </c>
      <c r="R45" s="35">
        <f>('[1]Bilan 2022 réel'!$T$22+'[1]Bilan 2022 réel'!$T$30+SUM('[1]Bilan 2022 réel'!$T$36:$T$40)+SUM('[1]Bilan 2022 réel'!$T$44:$T$45)+'[1]Bilan 2022 réel'!$T$47)/11.63</f>
        <v>0.43996563007547523</v>
      </c>
      <c r="S45" s="170">
        <f t="shared" si="9"/>
        <v>4.6843091081492378</v>
      </c>
      <c r="T45" s="272">
        <f>S45</f>
        <v>4.6843091081492378</v>
      </c>
      <c r="U45" s="177" t="s">
        <v>25</v>
      </c>
      <c r="V45" t="s">
        <v>576</v>
      </c>
      <c r="W45" t="s">
        <v>577</v>
      </c>
      <c r="X45" t="s">
        <v>578</v>
      </c>
      <c r="Y45" t="s">
        <v>579</v>
      </c>
      <c r="Z45" s="19">
        <v>0</v>
      </c>
      <c r="AA45" s="19">
        <v>2.5119301630000002</v>
      </c>
      <c r="AB45" s="19">
        <v>0.31896459119999998</v>
      </c>
      <c r="AC45" s="19">
        <v>0.38141049170000002</v>
      </c>
      <c r="AD45" s="120">
        <v>3.2123052459000001</v>
      </c>
    </row>
    <row r="46" spans="3:30" x14ac:dyDescent="0.25">
      <c r="C46" s="29" t="s">
        <v>26</v>
      </c>
      <c r="D46" s="10"/>
      <c r="E46" s="10"/>
      <c r="F46" s="10"/>
      <c r="G46" s="10"/>
      <c r="H46" s="9">
        <f>SUM(H37,H40:H42)</f>
        <v>2.9084183355000004</v>
      </c>
      <c r="I46" s="9">
        <f>SUM(I37,I40:I42)</f>
        <v>64.243079022999993</v>
      </c>
      <c r="J46" s="9">
        <f>SUM(J37,J40:J42)</f>
        <v>36.993797382899999</v>
      </c>
      <c r="K46" s="9">
        <f>SUM(K37,K40:K42)</f>
        <v>42.244699731584099</v>
      </c>
      <c r="L46" s="123">
        <f t="shared" si="8"/>
        <v>146.38999447298409</v>
      </c>
      <c r="M46" s="105"/>
      <c r="N46" s="179" t="s">
        <v>26</v>
      </c>
      <c r="O46" s="40">
        <f>O37+O40+O41+O42+O45</f>
        <v>4.5640554973254037</v>
      </c>
      <c r="P46" s="38">
        <f>P37+P40+P41+P42+P45</f>
        <v>64.295512199141086</v>
      </c>
      <c r="Q46" s="38">
        <f>Q37+Q40+Q41+Q42+Q45</f>
        <v>35.657811435941532</v>
      </c>
      <c r="R46" s="38">
        <f>R37+R40+R41+R42+R45</f>
        <v>42.318045756866823</v>
      </c>
      <c r="S46" s="172">
        <f t="shared" si="9"/>
        <v>146.83542488927486</v>
      </c>
      <c r="T46" s="271">
        <f>SUM(T37:T45)</f>
        <v>143.01462200879334</v>
      </c>
      <c r="U46" s="29" t="s">
        <v>26</v>
      </c>
      <c r="V46" s="10"/>
      <c r="W46" s="10"/>
      <c r="X46" s="10"/>
      <c r="Y46" s="10"/>
      <c r="Z46" s="9">
        <v>2.91055244</v>
      </c>
      <c r="AA46" s="9">
        <v>64.258586814000012</v>
      </c>
      <c r="AB46" s="9">
        <v>36.977160769500003</v>
      </c>
      <c r="AC46" s="9">
        <v>42.212329277408003</v>
      </c>
      <c r="AD46" s="123">
        <v>146.35862930090804</v>
      </c>
    </row>
    <row r="47" spans="3:30" s="3" customFormat="1" x14ac:dyDescent="0.25">
      <c r="H47" s="69"/>
      <c r="I47" s="69"/>
      <c r="J47" s="69"/>
      <c r="K47" s="69"/>
      <c r="L47" s="69"/>
      <c r="M47" s="69"/>
      <c r="N47" s="69"/>
      <c r="O47" s="103"/>
      <c r="P47" s="103"/>
      <c r="Q47" s="103"/>
      <c r="R47" s="104"/>
      <c r="S47" s="69"/>
      <c r="T47" s="69"/>
      <c r="Z47" s="69"/>
      <c r="AA47" s="69"/>
      <c r="AB47" s="69"/>
      <c r="AC47" s="69"/>
      <c r="AD47" s="69"/>
    </row>
    <row r="48" spans="3:30" s="3" customFormat="1" x14ac:dyDescent="0.25"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Z48" s="69"/>
      <c r="AA48" s="69"/>
      <c r="AB48" s="69"/>
      <c r="AC48" s="69"/>
      <c r="AD48" s="69"/>
    </row>
    <row r="49" spans="2:30" ht="31.5" x14ac:dyDescent="0.35">
      <c r="C49" s="173">
        <v>2023</v>
      </c>
      <c r="D49" s="174"/>
      <c r="E49" s="174"/>
      <c r="F49" s="174"/>
      <c r="G49" s="174"/>
      <c r="H49" s="101" t="s">
        <v>36</v>
      </c>
      <c r="I49" s="101" t="s">
        <v>131</v>
      </c>
      <c r="J49" s="101" t="s">
        <v>38</v>
      </c>
      <c r="K49" s="101" t="s">
        <v>130</v>
      </c>
      <c r="L49" s="118" t="s">
        <v>1</v>
      </c>
      <c r="M49" s="25"/>
      <c r="N49" s="173">
        <v>2023</v>
      </c>
      <c r="O49" s="169" t="s">
        <v>36</v>
      </c>
      <c r="P49" s="101" t="s">
        <v>131</v>
      </c>
      <c r="Q49" s="101" t="s">
        <v>38</v>
      </c>
      <c r="R49" s="101" t="s">
        <v>130</v>
      </c>
      <c r="S49" s="118" t="s">
        <v>1</v>
      </c>
      <c r="T49" s="270" t="s">
        <v>580</v>
      </c>
      <c r="U49" s="173">
        <v>2023</v>
      </c>
      <c r="V49" s="174"/>
      <c r="W49" s="174"/>
      <c r="X49" s="174"/>
      <c r="Y49" s="174"/>
      <c r="Z49" s="101" t="s">
        <v>36</v>
      </c>
      <c r="AA49" s="101" t="s">
        <v>131</v>
      </c>
      <c r="AB49" s="101" t="s">
        <v>38</v>
      </c>
      <c r="AC49" s="101" t="s">
        <v>130</v>
      </c>
      <c r="AD49" s="118" t="s">
        <v>1</v>
      </c>
    </row>
    <row r="50" spans="2:30" x14ac:dyDescent="0.25">
      <c r="C50" s="175" t="s">
        <v>18</v>
      </c>
      <c r="H50" s="8">
        <f>SUM(H51:H52)</f>
        <v>0</v>
      </c>
      <c r="I50" s="8">
        <f>SUM(I51:I52)</f>
        <v>41.527101639999998</v>
      </c>
      <c r="J50" s="8">
        <f>SUM(J51:J52)</f>
        <v>1.9904681355</v>
      </c>
      <c r="K50" s="8">
        <f>SUM(K51:K52)</f>
        <v>0.43187794956449999</v>
      </c>
      <c r="L50" s="121">
        <f>SUM(H50:K50)</f>
        <v>43.949447725064502</v>
      </c>
      <c r="M50" s="99"/>
      <c r="N50" s="178" t="s">
        <v>18</v>
      </c>
      <c r="O50" s="36">
        <f>'[1]Bilan 2023 réel'!$X$46/11.63</f>
        <v>0</v>
      </c>
      <c r="P50" s="35">
        <f>SUM('[1]Bilan 2023 réel'!$X$41:$X$43)/11.63</f>
        <v>42.139633010859157</v>
      </c>
      <c r="Q50" s="35">
        <f>'[1]Bilan 2023 réel'!$X$13/11.63</f>
        <v>0.9065512467755803</v>
      </c>
      <c r="R50" s="35">
        <f>('[1]Bilan 2023 réel'!$X$22+'[1]Bilan 2023 réel'!$X$30+SUM('[1]Bilan 2023 réel'!$X$36:$X$40)+SUM('[1]Bilan 2023 réel'!$X$44:$X$45)+'[1]Bilan 2023 réel'!$X$47)/11.63</f>
        <v>0.31885683576956142</v>
      </c>
      <c r="S50" s="170">
        <f>SUM(O50:R50)</f>
        <v>43.365041093404294</v>
      </c>
      <c r="T50" s="272">
        <f>S50</f>
        <v>43.365041093404294</v>
      </c>
      <c r="U50" s="175" t="s">
        <v>18</v>
      </c>
      <c r="Z50" s="8">
        <v>0</v>
      </c>
      <c r="AA50" s="8">
        <v>41.527970179999997</v>
      </c>
      <c r="AB50" s="8">
        <v>1.9933211236999999</v>
      </c>
      <c r="AC50" s="8">
        <v>0.43203814114899997</v>
      </c>
      <c r="AD50" s="121">
        <v>43.953329444848997</v>
      </c>
    </row>
    <row r="51" spans="2:30" x14ac:dyDescent="0.25">
      <c r="C51" s="176" t="s">
        <v>19</v>
      </c>
      <c r="D51" t="s">
        <v>552</v>
      </c>
      <c r="E51" t="s">
        <v>553</v>
      </c>
      <c r="F51" t="s">
        <v>554</v>
      </c>
      <c r="G51" t="s">
        <v>555</v>
      </c>
      <c r="H51" s="19">
        <f>VLOOKUP(D51,Résultats!$B$2:$AX$476,'T energie vecteurs'!L5,FALSE)</f>
        <v>0</v>
      </c>
      <c r="I51" s="19">
        <f>VLOOKUP(E51,Résultats!$B$2:$AX$476,'T energie vecteurs'!L5,FALSE)</f>
        <v>22.596756110000001</v>
      </c>
      <c r="J51" s="19">
        <f>VLOOKUP(F51,Résultats!$B$2:$AX$476,'T energie vecteurs'!L5,FALSE)</f>
        <v>0.1496639015</v>
      </c>
      <c r="K51" s="19">
        <f>VLOOKUP(G51,Résultats!$B$2:$AX$476,'T energie vecteurs'!L5,FALSE)</f>
        <v>2.07440645E-5</v>
      </c>
      <c r="L51" s="120">
        <f t="shared" ref="L51:L52" si="12">SUM(H51:K51)</f>
        <v>22.7464407555645</v>
      </c>
      <c r="M51" s="19"/>
      <c r="N51" s="176" t="s">
        <v>19</v>
      </c>
      <c r="O51" s="171"/>
      <c r="P51" s="19"/>
      <c r="Q51" s="55"/>
      <c r="R51" s="19"/>
      <c r="S51" s="120"/>
      <c r="T51" s="120"/>
      <c r="U51" s="176" t="s">
        <v>19</v>
      </c>
      <c r="V51" t="s">
        <v>552</v>
      </c>
      <c r="W51" t="s">
        <v>553</v>
      </c>
      <c r="X51" t="s">
        <v>554</v>
      </c>
      <c r="Y51" t="s">
        <v>555</v>
      </c>
      <c r="Z51" s="19">
        <v>0</v>
      </c>
      <c r="AA51" s="19">
        <v>22.596907009999999</v>
      </c>
      <c r="AB51" s="19">
        <v>0.1498123147</v>
      </c>
      <c r="AC51" s="19">
        <v>2.0864649000000001E-5</v>
      </c>
      <c r="AD51" s="120">
        <v>22.746740189348998</v>
      </c>
    </row>
    <row r="52" spans="2:30" x14ac:dyDescent="0.25">
      <c r="C52" s="177" t="s">
        <v>20</v>
      </c>
      <c r="D52" t="s">
        <v>556</v>
      </c>
      <c r="E52" t="s">
        <v>557</v>
      </c>
      <c r="F52" t="s">
        <v>558</v>
      </c>
      <c r="G52" t="s">
        <v>559</v>
      </c>
      <c r="H52" s="19">
        <f>VLOOKUP(D52,Résultats!$B$2:$AX$476,'T energie vecteurs'!L5,FALSE)</f>
        <v>0</v>
      </c>
      <c r="I52" s="19">
        <f>VLOOKUP(E52,Résultats!$B$2:$AX$476,'T energie vecteurs'!L5,FALSE)</f>
        <v>18.93034553</v>
      </c>
      <c r="J52" s="19">
        <f>VLOOKUP(F52,Résultats!$B$2:$AX$476,'T energie vecteurs'!L5,FALSE)</f>
        <v>1.8408042339999999</v>
      </c>
      <c r="K52" s="19">
        <f>VLOOKUP(G52,Résultats!$B$2:$AX$476,'T energie vecteurs'!L5,FALSE)</f>
        <v>0.43185720550000001</v>
      </c>
      <c r="L52" s="120">
        <f t="shared" si="12"/>
        <v>21.203006969499999</v>
      </c>
      <c r="M52" s="19"/>
      <c r="N52" s="177" t="s">
        <v>20</v>
      </c>
      <c r="O52" s="171"/>
      <c r="P52" s="19"/>
      <c r="Q52" s="55"/>
      <c r="R52" s="19"/>
      <c r="S52" s="120"/>
      <c r="T52" s="120"/>
      <c r="U52" s="177" t="s">
        <v>20</v>
      </c>
      <c r="V52" t="s">
        <v>556</v>
      </c>
      <c r="W52" t="s">
        <v>557</v>
      </c>
      <c r="X52" t="s">
        <v>558</v>
      </c>
      <c r="Y52" t="s">
        <v>559</v>
      </c>
      <c r="Z52" s="19">
        <v>0</v>
      </c>
      <c r="AA52" s="19">
        <v>18.931063170000002</v>
      </c>
      <c r="AB52" s="19">
        <v>1.843508809</v>
      </c>
      <c r="AC52" s="19">
        <v>0.43201727649999999</v>
      </c>
      <c r="AD52" s="120">
        <v>21.206589255500003</v>
      </c>
    </row>
    <row r="53" spans="2:30" x14ac:dyDescent="0.25">
      <c r="C53" s="175" t="s">
        <v>21</v>
      </c>
      <c r="D53" t="s">
        <v>560</v>
      </c>
      <c r="E53" t="s">
        <v>561</v>
      </c>
      <c r="F53" t="s">
        <v>562</v>
      </c>
      <c r="G53" t="s">
        <v>563</v>
      </c>
      <c r="H53" s="8">
        <f>VLOOKUP(D53,Résultats!$B$2:$AX$476,'T energie vecteurs'!L5,FALSE)</f>
        <v>0.29894364029999998</v>
      </c>
      <c r="I53" s="8">
        <f>VLOOKUP(E53,Résultats!$B$2:$AX$476,'T energie vecteurs'!L5,FALSE)</f>
        <v>6.231540689</v>
      </c>
      <c r="J53" s="8">
        <f>VLOOKUP(F53,Résultats!$B$2:$AX$476,'T energie vecteurs'!L5,FALSE)</f>
        <v>14.615124310000001</v>
      </c>
      <c r="K53" s="8">
        <f>VLOOKUP(G53,Résultats!$B$2:$AX$476,'T energie vecteurs'!L5,FALSE)+2</f>
        <v>18.5235953</v>
      </c>
      <c r="L53" s="121">
        <f>SUM(H53:K53)</f>
        <v>39.669203939300004</v>
      </c>
      <c r="M53" s="99"/>
      <c r="N53" s="178" t="s">
        <v>21</v>
      </c>
      <c r="O53" s="36">
        <f>'[1]Bilan 2023 réel'!$V$46/11.63</f>
        <v>1.9785054E-2</v>
      </c>
      <c r="P53" s="35">
        <f>SUM('[1]Bilan 2023 réel'!$V$41:$V$43)/11.63</f>
        <v>3.0423469738</v>
      </c>
      <c r="Q53" s="35">
        <f>'[1]Bilan 2023 réel'!$V$13/11.63</f>
        <v>13.020267239896821</v>
      </c>
      <c r="R53" s="35">
        <f>('[1]Bilan 2023 réel'!$V$22+'[1]Bilan 2023 réel'!$V$30+SUM('[1]Bilan 2023 réel'!$V$36:$V$40)+SUM('[1]Bilan 2023 réel'!$V$44:$V$45)+'[1]Bilan 2023 réel'!$V$47)/11.63</f>
        <v>20.330842243575045</v>
      </c>
      <c r="S53" s="170">
        <f t="shared" ref="S53:S59" si="13">SUM(O53:R53)</f>
        <v>36.413241511271863</v>
      </c>
      <c r="T53" s="272">
        <f>S53-'[1]Bilan 2023 réel'!$V$40/11.63</f>
        <v>32.592131092813851</v>
      </c>
      <c r="U53" s="175" t="s">
        <v>21</v>
      </c>
      <c r="V53" t="s">
        <v>560</v>
      </c>
      <c r="W53" t="s">
        <v>561</v>
      </c>
      <c r="X53" t="s">
        <v>562</v>
      </c>
      <c r="Y53" t="s">
        <v>563</v>
      </c>
      <c r="Z53" s="261">
        <v>0.2987554912</v>
      </c>
      <c r="AA53" s="261">
        <v>6.2333251660000002</v>
      </c>
      <c r="AB53" s="261">
        <v>14.60764086</v>
      </c>
      <c r="AC53" s="261">
        <v>18.512269589999999</v>
      </c>
      <c r="AD53" s="262">
        <v>39.651991107200004</v>
      </c>
    </row>
    <row r="54" spans="2:30" x14ac:dyDescent="0.25">
      <c r="C54" s="175" t="s">
        <v>22</v>
      </c>
      <c r="D54" t="s">
        <v>564</v>
      </c>
      <c r="E54" t="s">
        <v>565</v>
      </c>
      <c r="F54" t="s">
        <v>566</v>
      </c>
      <c r="G54" t="s">
        <v>567</v>
      </c>
      <c r="H54" s="8">
        <f>VLOOKUP(D54,Résultats!$B$2:$AX$476,'T energie vecteurs'!L5,FALSE)</f>
        <v>0</v>
      </c>
      <c r="I54" s="8">
        <f>VLOOKUP(E54,Résultats!$B$2:$AX$476,'T energie vecteurs'!L5,FALSE)</f>
        <v>2.7707803900000001</v>
      </c>
      <c r="J54" s="8">
        <f>VLOOKUP(F54,Résultats!$B$2:$AX$476,'T energie vecteurs'!L5,FALSE)</f>
        <v>11.019922129999999</v>
      </c>
      <c r="K54" s="8">
        <f>VLOOKUP(G54,Résultats!$B$2:$AX$476,'T energie vecteurs'!L5,FALSE)</f>
        <v>7.7343846579999997</v>
      </c>
      <c r="L54" s="121">
        <f t="shared" ref="L54:L56" si="14">SUM(H54:K54)</f>
        <v>21.525087178</v>
      </c>
      <c r="M54" s="99"/>
      <c r="N54" s="178" t="s">
        <v>22</v>
      </c>
      <c r="O54" s="36">
        <f>('[1]Bilan 2023 réel'!$W$46)/11.63</f>
        <v>2.9470376E-2</v>
      </c>
      <c r="P54" s="35">
        <f>SUM('[1]Bilan 2023 réel'!$W$41:$W$43)/11.63</f>
        <v>2.063881609425366</v>
      </c>
      <c r="Q54" s="35">
        <f>('[1]Bilan 2023 réel'!$W$13)/11.63</f>
        <v>11.200373602751505</v>
      </c>
      <c r="R54" s="35">
        <f>('[1]Bilan 2023 réel'!$W$22+'[1]Bilan 2023 réel'!$W$30+SUM('[1]Bilan 2023 réel'!$W$36:$W$40)+SUM('[1]Bilan 2023 réel'!$W$44:$W$45)+'[1]Bilan 2023 réel'!$W$47)/11.63</f>
        <v>7.0633917765357781</v>
      </c>
      <c r="S54" s="170">
        <f t="shared" si="13"/>
        <v>20.35711736471265</v>
      </c>
      <c r="T54" s="272">
        <f>S54-'[1]Bilan 2023 réel'!$W$40/11.63</f>
        <v>19.922166758044071</v>
      </c>
      <c r="U54" s="175" t="s">
        <v>22</v>
      </c>
      <c r="V54" t="s">
        <v>564</v>
      </c>
      <c r="W54" t="s">
        <v>565</v>
      </c>
      <c r="X54" t="s">
        <v>566</v>
      </c>
      <c r="Y54" t="s">
        <v>567</v>
      </c>
      <c r="Z54" s="8">
        <v>0</v>
      </c>
      <c r="AA54" s="8">
        <v>2.7734083780000001</v>
      </c>
      <c r="AB54" s="8">
        <v>11.01166184</v>
      </c>
      <c r="AC54" s="8">
        <v>7.7228417240000002</v>
      </c>
      <c r="AD54" s="121">
        <v>21.507911942</v>
      </c>
    </row>
    <row r="55" spans="2:30" x14ac:dyDescent="0.25">
      <c r="C55" s="175" t="s">
        <v>23</v>
      </c>
      <c r="H55" s="8">
        <f>SUM(H56:H58)</f>
        <v>2.6157263766000001</v>
      </c>
      <c r="I55" s="8">
        <f>SUM(I56:I58)</f>
        <v>13.690546705999999</v>
      </c>
      <c r="J55" s="8">
        <f>SUM(J56:J58)</f>
        <v>9.8202265522000012</v>
      </c>
      <c r="K55" s="8">
        <f>SUM(K56:K58)</f>
        <v>15.6685585212</v>
      </c>
      <c r="L55" s="121">
        <f t="shared" si="14"/>
        <v>41.795058156000003</v>
      </c>
      <c r="M55" s="99"/>
      <c r="N55" s="178" t="s">
        <v>252</v>
      </c>
      <c r="O55" s="36">
        <f>O56+O57</f>
        <v>3.8091541290558895</v>
      </c>
      <c r="P55" s="35">
        <f t="shared" ref="P55:R55" si="15">P56+P57</f>
        <v>12.120619615422576</v>
      </c>
      <c r="Q55" s="35">
        <f t="shared" si="15"/>
        <v>8.8688043852106624</v>
      </c>
      <c r="R55" s="35">
        <f t="shared" si="15"/>
        <v>13.009554326375659</v>
      </c>
      <c r="S55" s="170">
        <f t="shared" si="13"/>
        <v>37.808132456064783</v>
      </c>
      <c r="T55" s="272">
        <f t="shared" ref="T55" si="16">S55</f>
        <v>37.808132456064783</v>
      </c>
      <c r="U55" s="175" t="s">
        <v>23</v>
      </c>
      <c r="Z55" s="243">
        <v>2.6179059876999999</v>
      </c>
      <c r="AA55" s="243">
        <v>13.698187717</v>
      </c>
      <c r="AB55" s="8">
        <v>9.8210197594999986</v>
      </c>
      <c r="AC55" s="243">
        <v>15.6630008965</v>
      </c>
      <c r="AD55" s="121">
        <v>41.8001143607</v>
      </c>
    </row>
    <row r="56" spans="2:30" x14ac:dyDescent="0.25">
      <c r="C56" s="177" t="s">
        <v>24</v>
      </c>
      <c r="D56" t="s">
        <v>568</v>
      </c>
      <c r="E56" t="s">
        <v>569</v>
      </c>
      <c r="F56" t="s">
        <v>570</v>
      </c>
      <c r="G56" t="s">
        <v>571</v>
      </c>
      <c r="H56" s="19">
        <f>VLOOKUP(D56,Résultats!$B$2:$AX$476,'T energie vecteurs'!L5,FALSE)</f>
        <v>1.728604518</v>
      </c>
      <c r="I56" s="19">
        <f>VLOOKUP(E56,Résultats!$B$2:$AX$476,'T energie vecteurs'!L5,FALSE)</f>
        <v>9.140644322</v>
      </c>
      <c r="J56" s="19">
        <f>VLOOKUP(F56,Résultats!$B$2:$AX$476,'T energie vecteurs'!L5,FALSE)</f>
        <v>9.4948497140000008</v>
      </c>
      <c r="K56" s="19">
        <f>VLOOKUP(G56,Résultats!$B$2:$AX$476,'T energie vecteurs'!L5,FALSE)</f>
        <v>13.10311113</v>
      </c>
      <c r="L56" s="120">
        <f t="shared" si="14"/>
        <v>33.467209684000004</v>
      </c>
      <c r="M56" s="19"/>
      <c r="N56" s="177" t="s">
        <v>253</v>
      </c>
      <c r="O56" s="171">
        <f>'[1]Bilan 2023 réel'!$U$46/11.63</f>
        <v>0.58092196100000004</v>
      </c>
      <c r="P56" s="37">
        <f>SUM('[1]Bilan 2023 réel'!$U$41:$U$43)/11.63</f>
        <v>2.395717067522579</v>
      </c>
      <c r="Q56" s="37">
        <f>'[1]Bilan 2023 réel'!$U$13/11.63</f>
        <v>8.8688043852106624</v>
      </c>
      <c r="R56" s="37">
        <f>('[1]Bilan 2023 réel'!$U$22+'[1]Bilan 2023 réel'!$U$30+SUM('[1]Bilan 2023 réel'!$U$36:$U$40)+SUM('[1]Bilan 2023 réel'!$U$44:$U$45)+'[1]Bilan 2023 réel'!$U$47)/11.63</f>
        <v>12.148361914509794</v>
      </c>
      <c r="S56" s="120">
        <f t="shared" si="13"/>
        <v>23.993805328243035</v>
      </c>
      <c r="T56" s="120"/>
      <c r="U56" s="177" t="s">
        <v>24</v>
      </c>
      <c r="V56" t="s">
        <v>568</v>
      </c>
      <c r="W56" t="s">
        <v>569</v>
      </c>
      <c r="X56" t="s">
        <v>570</v>
      </c>
      <c r="Y56" t="s">
        <v>571</v>
      </c>
      <c r="Z56" s="19">
        <v>1.7305862000000001</v>
      </c>
      <c r="AA56" s="19">
        <v>9.150321151</v>
      </c>
      <c r="AB56" s="19">
        <v>9.4961797479999994</v>
      </c>
      <c r="AC56" s="19">
        <v>13.098904940000001</v>
      </c>
      <c r="AD56" s="120">
        <v>33.475992039000005</v>
      </c>
    </row>
    <row r="57" spans="2:30" x14ac:dyDescent="0.25">
      <c r="C57" s="177" t="s">
        <v>129</v>
      </c>
      <c r="D57" t="s">
        <v>572</v>
      </c>
      <c r="E57" t="s">
        <v>573</v>
      </c>
      <c r="F57" t="s">
        <v>574</v>
      </c>
      <c r="G57" t="s">
        <v>575</v>
      </c>
      <c r="H57" s="19">
        <f>VLOOKUP(D57,Résultats!$B$2:$AX$476,'T energie vecteurs'!L5,FALSE)</f>
        <v>0.88712185860000004</v>
      </c>
      <c r="I57" s="19">
        <f>VLOOKUP(E57,Résultats!$B$2:$AX$476,'T energie vecteurs'!L5,FALSE)</f>
        <v>1.957863626</v>
      </c>
      <c r="J57" s="19">
        <f>VLOOKUP(F57,Résultats!$B$2:$AX$476,'T energie vecteurs'!L5,FALSE)</f>
        <v>0</v>
      </c>
      <c r="K57" s="19">
        <f>VLOOKUP(G57,Résultats!$B$2:$AX$476,'T energie vecteurs'!L5,FALSE)</f>
        <v>2.1736646529999999</v>
      </c>
      <c r="L57" s="120">
        <f>SUM(H57:K57)</f>
        <v>5.0186501375999999</v>
      </c>
      <c r="M57" s="19"/>
      <c r="N57" s="177" t="s">
        <v>129</v>
      </c>
      <c r="O57" s="28">
        <f>'[1]Bilan 2023 réel'!$E$52/11.63</f>
        <v>3.2282321680558894</v>
      </c>
      <c r="P57" s="19">
        <f>('[1]Bilan 2023 réel'!$E$54+'[1]Bilan 2023 réel'!$E$56)/11.63</f>
        <v>9.7249025478999975</v>
      </c>
      <c r="Q57" s="19">
        <v>0</v>
      </c>
      <c r="R57" s="19">
        <f>('[1]Bilan 2023 réel'!$E$53+'[1]Bilan 2023 réel'!$E$55+'[1]Bilan 2023 réel'!$E$57)/11.63</f>
        <v>0.86119241186586415</v>
      </c>
      <c r="S57" s="120">
        <f t="shared" si="13"/>
        <v>13.814327127821752</v>
      </c>
      <c r="T57" s="120"/>
      <c r="U57" s="177" t="s">
        <v>129</v>
      </c>
      <c r="V57" t="s">
        <v>572</v>
      </c>
      <c r="W57" t="s">
        <v>573</v>
      </c>
      <c r="X57" t="s">
        <v>574</v>
      </c>
      <c r="Y57" t="s">
        <v>575</v>
      </c>
      <c r="Z57" s="19">
        <v>0.88731978769999997</v>
      </c>
      <c r="AA57" s="19">
        <v>1.9582483660000001</v>
      </c>
      <c r="AB57" s="19">
        <v>0</v>
      </c>
      <c r="AC57" s="19">
        <v>2.1728115809999999</v>
      </c>
      <c r="AD57" s="120">
        <v>5.0183797346999999</v>
      </c>
    </row>
    <row r="58" spans="2:30" x14ac:dyDescent="0.25">
      <c r="C58" s="177" t="s">
        <v>25</v>
      </c>
      <c r="D58" t="s">
        <v>576</v>
      </c>
      <c r="E58" t="s">
        <v>577</v>
      </c>
      <c r="F58" t="s">
        <v>578</v>
      </c>
      <c r="G58" t="s">
        <v>579</v>
      </c>
      <c r="H58" s="19">
        <f>VLOOKUP(D58,Résultats!$B$2:$AX$476,'T energie vecteurs'!L5,FALSE)</f>
        <v>0</v>
      </c>
      <c r="I58" s="19">
        <f>VLOOKUP(E58,Résultats!$B$2:$AX$476,'T energie vecteurs'!L5,FALSE)</f>
        <v>2.5920387580000002</v>
      </c>
      <c r="J58" s="19">
        <f>VLOOKUP(F58,Résultats!$B$2:$AX$476,'T energie vecteurs'!L5,FALSE)</f>
        <v>0.32537683820000002</v>
      </c>
      <c r="K58" s="19">
        <f>VLOOKUP(G58,Résultats!$B$2:$AX$476,'T energie vecteurs'!L5,FALSE)</f>
        <v>0.39178273819999998</v>
      </c>
      <c r="L58" s="120">
        <f t="shared" ref="L58" si="17">SUM(H58:K58)</f>
        <v>3.3091983344</v>
      </c>
      <c r="M58" s="19"/>
      <c r="N58" s="178" t="s">
        <v>25</v>
      </c>
      <c r="O58" s="36">
        <f>'[1]Bilan 2023 réel'!$T$46/11.63</f>
        <v>1.221354E-3</v>
      </c>
      <c r="P58" s="35">
        <f>SUM('[1]Bilan 2023 réel'!$T$41:$T$43)/11.63</f>
        <v>3.4194391444513199</v>
      </c>
      <c r="Q58" s="35">
        <f>'[1]Bilan 2023 réel'!$T$13/11.63</f>
        <v>0.65647798796216683</v>
      </c>
      <c r="R58" s="35">
        <f>('[1]Bilan 2023 réel'!$T$22+'[1]Bilan 2023 réel'!$T$30+SUM('[1]Bilan 2023 réel'!$T$36:$T$40)+SUM('[1]Bilan 2023 réel'!$T$44:$T$45)+'[1]Bilan 2023 réel'!$T$47)/11.63</f>
        <v>0.44186481322250887</v>
      </c>
      <c r="S58" s="170">
        <f t="shared" si="13"/>
        <v>4.5190032996359957</v>
      </c>
      <c r="T58" s="272">
        <f>S58</f>
        <v>4.5190032996359957</v>
      </c>
      <c r="U58" s="177" t="s">
        <v>25</v>
      </c>
      <c r="V58" t="s">
        <v>576</v>
      </c>
      <c r="W58" t="s">
        <v>577</v>
      </c>
      <c r="X58" t="s">
        <v>578</v>
      </c>
      <c r="Y58" t="s">
        <v>579</v>
      </c>
      <c r="Z58" s="19">
        <v>0</v>
      </c>
      <c r="AA58" s="19">
        <v>2.5896181999999999</v>
      </c>
      <c r="AB58" s="19">
        <v>0.32484001150000003</v>
      </c>
      <c r="AC58" s="19">
        <v>0.3912843755</v>
      </c>
      <c r="AD58" s="120">
        <v>3.3057425870000001</v>
      </c>
    </row>
    <row r="59" spans="2:30" x14ac:dyDescent="0.25">
      <c r="C59" s="29" t="s">
        <v>26</v>
      </c>
      <c r="D59" s="10"/>
      <c r="E59" s="10"/>
      <c r="F59" s="10"/>
      <c r="G59" s="10"/>
      <c r="H59" s="9">
        <f>SUM(H50,H53:H55)</f>
        <v>2.9146700169000002</v>
      </c>
      <c r="I59" s="9">
        <f>SUM(I50,I53:I55)</f>
        <v>64.219969424999988</v>
      </c>
      <c r="J59" s="9">
        <f>SUM(J50,J53:J55)</f>
        <v>37.445741127700003</v>
      </c>
      <c r="K59" s="9">
        <f>SUM(K50,K53:K55)</f>
        <v>42.3584164287645</v>
      </c>
      <c r="L59" s="123">
        <f>SUM(H59:K59)</f>
        <v>146.9387969983645</v>
      </c>
      <c r="M59" s="105"/>
      <c r="N59" s="179" t="s">
        <v>26</v>
      </c>
      <c r="O59" s="40">
        <f>O50+O53+O54+O55+O58</f>
        <v>3.8596309130558897</v>
      </c>
      <c r="P59" s="38">
        <f>P50+P53+P54+P55+P58</f>
        <v>62.785920353958417</v>
      </c>
      <c r="Q59" s="38">
        <f>Q50+Q53+Q54+Q55+Q58</f>
        <v>34.652474462596736</v>
      </c>
      <c r="R59" s="38">
        <f>R50+R53+R54+R55+R58</f>
        <v>41.164509995478554</v>
      </c>
      <c r="S59" s="172">
        <f t="shared" si="13"/>
        <v>142.46253572508959</v>
      </c>
      <c r="T59" s="271">
        <f>SUM(T50:T58)</f>
        <v>138.206474699963</v>
      </c>
      <c r="U59" s="29" t="s">
        <v>26</v>
      </c>
      <c r="V59" s="10"/>
      <c r="W59" s="10"/>
      <c r="X59" s="10"/>
      <c r="Y59" s="10"/>
      <c r="Z59" s="9">
        <v>2.9166614789</v>
      </c>
      <c r="AA59" s="9">
        <v>64.232891440999992</v>
      </c>
      <c r="AB59" s="9">
        <v>37.433643583199995</v>
      </c>
      <c r="AC59" s="9">
        <v>42.330150351649003</v>
      </c>
      <c r="AD59" s="123">
        <v>146.91334685474899</v>
      </c>
    </row>
    <row r="60" spans="2:30" s="3" customFormat="1" x14ac:dyDescent="0.25">
      <c r="O60" s="103"/>
      <c r="P60" s="103"/>
      <c r="Q60" s="103"/>
      <c r="R60" s="104"/>
      <c r="S60" s="69"/>
    </row>
    <row r="61" spans="2:30" s="3" customFormat="1" x14ac:dyDescent="0.25">
      <c r="B61" s="84"/>
      <c r="K61" s="71"/>
      <c r="O61" s="105"/>
      <c r="P61" s="105"/>
      <c r="Q61" s="105"/>
      <c r="R61" s="106"/>
      <c r="S61" s="107"/>
      <c r="AC61" s="71"/>
    </row>
    <row r="62" spans="2:30" ht="31.5" x14ac:dyDescent="0.35">
      <c r="C62" s="173">
        <v>2025</v>
      </c>
      <c r="D62" s="174"/>
      <c r="E62" s="174"/>
      <c r="F62" s="174"/>
      <c r="G62" s="174"/>
      <c r="H62" s="101" t="s">
        <v>36</v>
      </c>
      <c r="I62" s="101" t="s">
        <v>131</v>
      </c>
      <c r="J62" s="101" t="s">
        <v>38</v>
      </c>
      <c r="K62" s="101" t="s">
        <v>130</v>
      </c>
      <c r="L62" s="118" t="s">
        <v>1</v>
      </c>
      <c r="M62" s="25"/>
      <c r="N62" s="173">
        <v>2025</v>
      </c>
      <c r="O62" s="169" t="s">
        <v>36</v>
      </c>
      <c r="P62" s="101" t="s">
        <v>131</v>
      </c>
      <c r="Q62" s="101" t="s">
        <v>38</v>
      </c>
      <c r="R62" s="101" t="s">
        <v>130</v>
      </c>
      <c r="S62" s="118" t="s">
        <v>1</v>
      </c>
      <c r="T62" s="270" t="s">
        <v>580</v>
      </c>
      <c r="U62" s="173">
        <v>2025</v>
      </c>
      <c r="V62" s="174"/>
      <c r="W62" s="174"/>
      <c r="X62" s="174"/>
      <c r="Y62" s="174"/>
      <c r="Z62" s="101" t="s">
        <v>36</v>
      </c>
      <c r="AA62" s="101" t="s">
        <v>131</v>
      </c>
      <c r="AB62" s="101" t="s">
        <v>38</v>
      </c>
      <c r="AC62" s="101" t="s">
        <v>130</v>
      </c>
      <c r="AD62" s="118" t="s">
        <v>1</v>
      </c>
    </row>
    <row r="63" spans="2:30" x14ac:dyDescent="0.25">
      <c r="C63" s="175" t="s">
        <v>18</v>
      </c>
      <c r="H63" s="8">
        <f>SUM(H64:H65)</f>
        <v>0</v>
      </c>
      <c r="I63" s="8">
        <f>SUM(I64:I65)</f>
        <v>40.683524579999997</v>
      </c>
      <c r="J63" s="8">
        <f>SUM(J64:J65)</f>
        <v>2.4120924542000002</v>
      </c>
      <c r="K63" s="8">
        <f>SUM(K64:K65)</f>
        <v>0.59297527509840009</v>
      </c>
      <c r="L63" s="121">
        <f t="shared" ref="L63:L72" si="18">SUM(H63:K63)</f>
        <v>43.6885923092984</v>
      </c>
      <c r="M63" s="99"/>
      <c r="N63" s="178" t="s">
        <v>18</v>
      </c>
      <c r="O63" s="36">
        <f>'[1]Bilan 2025'!$X$46/11.63</f>
        <v>0</v>
      </c>
      <c r="P63" s="35">
        <f>SUM('[1]Bilan 2025'!$X$41:$X$43)/11.63</f>
        <v>38.545929814739537</v>
      </c>
      <c r="Q63" s="35">
        <f>'[1]Bilan 2025'!$X$13/11.63</f>
        <v>1.5398477407339692</v>
      </c>
      <c r="R63" s="35">
        <f>('[1]Bilan 2025'!$X$22+'[1]Bilan 2025'!$X$30+SUM('[1]Bilan 2025'!$X$36:$X$40)+SUM('[1]Bilan 2025'!$X$44:$X$45)+'[1]Bilan 2025'!$X$47)/11.63</f>
        <v>0.58333134363889538</v>
      </c>
      <c r="S63" s="170">
        <f>SUM(O63:R63)</f>
        <v>40.669108899112402</v>
      </c>
      <c r="T63" s="272">
        <f>S63</f>
        <v>40.669108899112402</v>
      </c>
      <c r="U63" s="175" t="s">
        <v>18</v>
      </c>
      <c r="Z63" s="8">
        <v>0</v>
      </c>
      <c r="AA63" s="8">
        <v>40.699701430000005</v>
      </c>
      <c r="AB63" s="8">
        <v>2.4265071440000003</v>
      </c>
      <c r="AC63" s="8">
        <v>0.59041854558220008</v>
      </c>
      <c r="AD63" s="121">
        <v>43.716627119582206</v>
      </c>
    </row>
    <row r="64" spans="2:30" x14ac:dyDescent="0.25">
      <c r="C64" s="176" t="s">
        <v>19</v>
      </c>
      <c r="D64" t="s">
        <v>552</v>
      </c>
      <c r="E64" t="s">
        <v>553</v>
      </c>
      <c r="F64" t="s">
        <v>554</v>
      </c>
      <c r="G64" t="s">
        <v>555</v>
      </c>
      <c r="H64" s="19">
        <f>VLOOKUP(D64,Résultats!$B$2:$AX$476,'T energie vecteurs'!N5,FALSE)</f>
        <v>0</v>
      </c>
      <c r="I64" s="19">
        <f>VLOOKUP(E64,Résultats!$B$2:$AX$476,'T energie vecteurs'!N5,FALSE)</f>
        <v>21.682156509999999</v>
      </c>
      <c r="J64" s="19">
        <f>VLOOKUP(F64,Résultats!$B$2:$AX$476,'T energie vecteurs'!N5,FALSE)</f>
        <v>0.21876744519999999</v>
      </c>
      <c r="K64" s="19">
        <f>VLOOKUP(G77,Résultats!$B$2:$AX$476,'T energie vecteurs'!N5,FALSE)</f>
        <v>2.4761798400000002E-5</v>
      </c>
      <c r="L64" s="120">
        <f t="shared" si="18"/>
        <v>21.9009487169984</v>
      </c>
      <c r="M64" s="19"/>
      <c r="N64" s="176" t="s">
        <v>19</v>
      </c>
      <c r="O64" s="171"/>
      <c r="P64" s="19"/>
      <c r="Q64" s="55"/>
      <c r="R64" s="19"/>
      <c r="S64" s="120"/>
      <c r="T64" s="120"/>
      <c r="U64" s="176" t="s">
        <v>19</v>
      </c>
      <c r="V64" t="s">
        <v>552</v>
      </c>
      <c r="W64" t="s">
        <v>553</v>
      </c>
      <c r="X64" t="s">
        <v>554</v>
      </c>
      <c r="Y64" t="s">
        <v>555</v>
      </c>
      <c r="Z64" s="19">
        <v>0</v>
      </c>
      <c r="AA64" s="19">
        <v>21.683941870000002</v>
      </c>
      <c r="AB64" s="19">
        <v>0.219046135</v>
      </c>
      <c r="AC64" s="19">
        <v>2.4893582199999999E-5</v>
      </c>
      <c r="AD64" s="120">
        <v>21.903012898582201</v>
      </c>
    </row>
    <row r="65" spans="3:30" x14ac:dyDescent="0.25">
      <c r="C65" s="177" t="s">
        <v>20</v>
      </c>
      <c r="D65" t="s">
        <v>556</v>
      </c>
      <c r="E65" t="s">
        <v>557</v>
      </c>
      <c r="F65" t="s">
        <v>558</v>
      </c>
      <c r="G65" t="s">
        <v>559</v>
      </c>
      <c r="H65" s="19">
        <f>VLOOKUP(D65,Résultats!$B$2:$AX$476,'T energie vecteurs'!N5,FALSE)</f>
        <v>0</v>
      </c>
      <c r="I65" s="19">
        <f>VLOOKUP(E65,Résultats!$B$2:$AX$476,'T energie vecteurs'!N5,FALSE)</f>
        <v>19.001368070000002</v>
      </c>
      <c r="J65" s="19">
        <f>VLOOKUP(F65,Résultats!$B$2:$AX$476,'T energie vecteurs'!N5,FALSE)</f>
        <v>2.193325009</v>
      </c>
      <c r="K65" s="19">
        <f>VLOOKUP(G65,Résultats!$B$2:$AX$476,'T energie vecteurs'!N5,FALSE)</f>
        <v>0.59295051330000004</v>
      </c>
      <c r="L65" s="120">
        <f t="shared" si="18"/>
        <v>21.7876435923</v>
      </c>
      <c r="M65" s="19"/>
      <c r="N65" s="177" t="s">
        <v>20</v>
      </c>
      <c r="O65" s="171"/>
      <c r="P65" s="19"/>
      <c r="Q65" s="55"/>
      <c r="R65" s="19"/>
      <c r="S65" s="120"/>
      <c r="T65" s="120"/>
      <c r="U65" s="177" t="s">
        <v>20</v>
      </c>
      <c r="V65" t="s">
        <v>556</v>
      </c>
      <c r="W65" t="s">
        <v>557</v>
      </c>
      <c r="X65" t="s">
        <v>558</v>
      </c>
      <c r="Y65" t="s">
        <v>559</v>
      </c>
      <c r="Z65" s="19">
        <v>0</v>
      </c>
      <c r="AA65" s="19">
        <v>19.015759559999999</v>
      </c>
      <c r="AB65" s="19">
        <v>2.2074610090000002</v>
      </c>
      <c r="AC65" s="19">
        <v>0.59039365200000005</v>
      </c>
      <c r="AD65" s="120">
        <v>21.813614220999998</v>
      </c>
    </row>
    <row r="66" spans="3:30" x14ac:dyDescent="0.25">
      <c r="C66" s="175" t="s">
        <v>21</v>
      </c>
      <c r="D66" t="s">
        <v>560</v>
      </c>
      <c r="E66" t="s">
        <v>561</v>
      </c>
      <c r="F66" t="s">
        <v>562</v>
      </c>
      <c r="G66" t="s">
        <v>563</v>
      </c>
      <c r="H66" s="8">
        <f>VLOOKUP(D66,Résultats!$B$2:$AX$476,'T energie vecteurs'!N5,FALSE)</f>
        <v>0.29103877569999997</v>
      </c>
      <c r="I66" s="8">
        <f>VLOOKUP(E66,Résultats!$B$2:$AX$476,'T energie vecteurs'!N5,FALSE)</f>
        <v>6.1922222199999997</v>
      </c>
      <c r="J66" s="8">
        <f>VLOOKUP(F66,Résultats!$B$2:$AX$476,'T energie vecteurs'!N5,FALSE)</f>
        <v>14.83491006</v>
      </c>
      <c r="K66" s="8">
        <f>VLOOKUP(G66,Résultats!$B$2:$AX$476,'T energie vecteurs'!N5,FALSE)+2</f>
        <v>18.575198010000001</v>
      </c>
      <c r="L66" s="121">
        <f t="shared" si="18"/>
        <v>39.8933690657</v>
      </c>
      <c r="M66" s="99"/>
      <c r="N66" s="178" t="s">
        <v>21</v>
      </c>
      <c r="O66" s="36">
        <f>'[1]Bilan 2025'!$V$46/11.63</f>
        <v>0</v>
      </c>
      <c r="P66" s="35">
        <f>SUM('[1]Bilan 2025'!$V$41:$V$43)/11.63</f>
        <v>3.5326526805330594</v>
      </c>
      <c r="Q66" s="35">
        <f>'[1]Bilan 2025'!$V$13/11.63</f>
        <v>14.460312572692807</v>
      </c>
      <c r="R66" s="35">
        <f>('[1]Bilan 2025'!$V$22+'[1]Bilan 2025'!$V$30+SUM('[1]Bilan 2025'!$V$36:$V$40)+SUM('[1]Bilan 2025'!$V$44:$V$45)+'[1]Bilan 2025'!$V$47)/11.63</f>
        <v>21.112528803330196</v>
      </c>
      <c r="S66" s="170">
        <f t="shared" ref="S66:S72" si="19">SUM(O66:R66)</f>
        <v>39.105494056556061</v>
      </c>
      <c r="T66" s="272">
        <f>S66-'[1]Bilan 2025'!$V$40/11.63</f>
        <v>36.284238189921979</v>
      </c>
      <c r="U66" s="175" t="s">
        <v>21</v>
      </c>
      <c r="V66" t="s">
        <v>560</v>
      </c>
      <c r="W66" t="s">
        <v>561</v>
      </c>
      <c r="X66" t="s">
        <v>562</v>
      </c>
      <c r="Y66" t="s">
        <v>563</v>
      </c>
      <c r="Z66" s="261">
        <v>0.2908558618</v>
      </c>
      <c r="AA66" s="261">
        <v>6.1691089359999998</v>
      </c>
      <c r="AB66" s="261">
        <v>14.843837690000001</v>
      </c>
      <c r="AC66" s="261">
        <v>18.572748560000001</v>
      </c>
      <c r="AD66" s="262">
        <v>39.8765510478</v>
      </c>
    </row>
    <row r="67" spans="3:30" x14ac:dyDescent="0.25">
      <c r="C67" s="175" t="s">
        <v>22</v>
      </c>
      <c r="D67" t="s">
        <v>564</v>
      </c>
      <c r="E67" t="s">
        <v>565</v>
      </c>
      <c r="F67" t="s">
        <v>566</v>
      </c>
      <c r="G67" t="s">
        <v>567</v>
      </c>
      <c r="H67" s="8">
        <f>VLOOKUP(D67,Résultats!$B$2:$AX$476,'T energie vecteurs'!N5,FALSE)</f>
        <v>0</v>
      </c>
      <c r="I67" s="8">
        <f>VLOOKUP(E67,Résultats!$B$2:$AX$476,'T energie vecteurs'!N5,FALSE)</f>
        <v>2.6087533820000002</v>
      </c>
      <c r="J67" s="8">
        <f>VLOOKUP(F67,Résultats!$B$2:$AX$476,'T energie vecteurs'!N5,FALSE)</f>
        <v>11.26652449</v>
      </c>
      <c r="K67" s="8">
        <f>VLOOKUP(G67,Résultats!$B$2:$AX$476,'T energie vecteurs'!N5,FALSE)</f>
        <v>7.9821322539999997</v>
      </c>
      <c r="L67" s="121">
        <f t="shared" si="18"/>
        <v>21.857410125999998</v>
      </c>
      <c r="M67" s="99"/>
      <c r="N67" s="178" t="s">
        <v>22</v>
      </c>
      <c r="O67" s="36">
        <f>('[1]Bilan 2025'!$W$46)/11.63</f>
        <v>0</v>
      </c>
      <c r="P67" s="35">
        <f>SUM('[1]Bilan 2025'!$W$41:$W$43)/11.63</f>
        <v>1.829600236722577</v>
      </c>
      <c r="Q67" s="35">
        <f>('[1]Bilan 2025'!$W$13)/11.63</f>
        <v>11.310258924417251</v>
      </c>
      <c r="R67" s="35">
        <f>('[1]Bilan 2025'!$W$22+'[1]Bilan 2025'!$W$30+SUM('[1]Bilan 2025'!$W$36:$W$40)+SUM('[1]Bilan 2025'!$W$44:$W$45)+'[1]Bilan 2025'!$W$47)/11.63</f>
        <v>7.3063892907205394</v>
      </c>
      <c r="S67" s="170">
        <f t="shared" si="19"/>
        <v>20.446248451860367</v>
      </c>
      <c r="T67" s="272">
        <f>S67-'[1]Bilan 2025'!$W$40/11.63</f>
        <v>19.886658071626901</v>
      </c>
      <c r="U67" s="175" t="s">
        <v>22</v>
      </c>
      <c r="V67" t="s">
        <v>564</v>
      </c>
      <c r="W67" t="s">
        <v>565</v>
      </c>
      <c r="X67" t="s">
        <v>566</v>
      </c>
      <c r="Y67" t="s">
        <v>567</v>
      </c>
      <c r="Z67" s="8">
        <v>0</v>
      </c>
      <c r="AA67" s="8">
        <v>2.6081854419999999</v>
      </c>
      <c r="AB67" s="8">
        <v>11.29978311</v>
      </c>
      <c r="AC67" s="8">
        <v>7.9434976160000001</v>
      </c>
      <c r="AD67" s="121">
        <v>21.851466168000002</v>
      </c>
    </row>
    <row r="68" spans="3:30" x14ac:dyDescent="0.25">
      <c r="C68" s="175" t="s">
        <v>23</v>
      </c>
      <c r="H68" s="8">
        <f>SUM(H69:H71)</f>
        <v>2.4956731311000002</v>
      </c>
      <c r="I68" s="8">
        <f>SUM(I69:I71)</f>
        <v>13.464376853999999</v>
      </c>
      <c r="J68" s="8">
        <f>SUM(J69:J71)</f>
        <v>10.0445626986</v>
      </c>
      <c r="K68" s="8">
        <f>SUM(K69:K71)</f>
        <v>15.5391178523</v>
      </c>
      <c r="L68" s="121">
        <f t="shared" si="18"/>
        <v>41.543730535999998</v>
      </c>
      <c r="M68" s="99"/>
      <c r="N68" s="178" t="s">
        <v>252</v>
      </c>
      <c r="O68" s="36">
        <f>O69+O70</f>
        <v>4.2119673749809596</v>
      </c>
      <c r="P68" s="35">
        <f t="shared" ref="P68:R68" si="20">P69+P70</f>
        <v>13.344099936220454</v>
      </c>
      <c r="Q68" s="35">
        <f t="shared" si="20"/>
        <v>9.4854890713287645</v>
      </c>
      <c r="R68" s="35">
        <f t="shared" si="20"/>
        <v>13.855608235952786</v>
      </c>
      <c r="S68" s="170">
        <f t="shared" si="19"/>
        <v>40.897164618482961</v>
      </c>
      <c r="T68" s="272">
        <f t="shared" ref="T68" si="21">S68</f>
        <v>40.897164618482961</v>
      </c>
      <c r="U68" s="175" t="s">
        <v>23</v>
      </c>
      <c r="Z68" s="8">
        <v>2.4964859699000002</v>
      </c>
      <c r="AA68" s="8">
        <v>13.49723883399999</v>
      </c>
      <c r="AB68" s="8">
        <v>10.105529705999999</v>
      </c>
      <c r="AC68" s="8">
        <v>15.389842977000001</v>
      </c>
      <c r="AD68" s="121">
        <v>41.489097486899993</v>
      </c>
    </row>
    <row r="69" spans="3:30" x14ac:dyDescent="0.25">
      <c r="C69" s="177" t="s">
        <v>24</v>
      </c>
      <c r="D69" t="s">
        <v>568</v>
      </c>
      <c r="E69" t="s">
        <v>569</v>
      </c>
      <c r="F69" t="s">
        <v>570</v>
      </c>
      <c r="G69" t="s">
        <v>571</v>
      </c>
      <c r="H69" s="19">
        <f>VLOOKUP(D69,Résultats!$B$2:$AX$476,'T energie vecteurs'!N5,FALSE)</f>
        <v>1.627131315</v>
      </c>
      <c r="I69" s="19">
        <f>VLOOKUP(E69,Résultats!$B$2:$AX$476,'T energie vecteurs'!N5,FALSE)</f>
        <v>8.7112238049999995</v>
      </c>
      <c r="J69" s="19">
        <f>VLOOKUP(F69,Résultats!$B$2:$AX$476,'T energie vecteurs'!N5,FALSE)</f>
        <v>9.7141922279999999</v>
      </c>
      <c r="K69" s="19">
        <f>VLOOKUP(G69,Résultats!$B$2:$AX$476,'T energie vecteurs'!N5,FALSE)</f>
        <v>12.900303940000001</v>
      </c>
      <c r="L69" s="120">
        <f t="shared" si="18"/>
        <v>32.952851287999998</v>
      </c>
      <c r="M69" s="19"/>
      <c r="N69" s="177" t="s">
        <v>253</v>
      </c>
      <c r="O69" s="171">
        <f>'[1]Bilan 2025'!$U$46/11.63</f>
        <v>0.6091486948433853</v>
      </c>
      <c r="P69" s="37">
        <f>SUM('[1]Bilan 2025'!$U$41:$U$43)/11.63</f>
        <v>2.4024529807619608</v>
      </c>
      <c r="Q69" s="37">
        <f>'[1]Bilan 2025'!$U$13/11.63</f>
        <v>9.4854890713287645</v>
      </c>
      <c r="R69" s="37">
        <f>('[1]Bilan 2025'!$U$22+'[1]Bilan 2025'!$U$30+SUM('[1]Bilan 2025'!$U$36:$U$40)+SUM('[1]Bilan 2025'!$U$44:$U$45)+'[1]Bilan 2025'!$U$47)/11.63</f>
        <v>12.777479857495365</v>
      </c>
      <c r="S69" s="120">
        <f t="shared" si="19"/>
        <v>25.274570604429478</v>
      </c>
      <c r="T69" s="120"/>
      <c r="U69" s="177" t="s">
        <v>24</v>
      </c>
      <c r="V69" t="s">
        <v>568</v>
      </c>
      <c r="W69" t="s">
        <v>569</v>
      </c>
      <c r="X69" t="s">
        <v>570</v>
      </c>
      <c r="Y69" t="s">
        <v>571</v>
      </c>
      <c r="Z69" s="19">
        <v>1.6276424629999999</v>
      </c>
      <c r="AA69" s="19">
        <v>8.7466416729999903</v>
      </c>
      <c r="AB69" s="19">
        <v>9.7739915229999994</v>
      </c>
      <c r="AC69" s="19">
        <v>12.75028402</v>
      </c>
      <c r="AD69" s="120">
        <v>32.898559678999987</v>
      </c>
    </row>
    <row r="70" spans="3:30" x14ac:dyDescent="0.25">
      <c r="C70" s="177" t="s">
        <v>129</v>
      </c>
      <c r="D70" t="s">
        <v>572</v>
      </c>
      <c r="E70" t="s">
        <v>573</v>
      </c>
      <c r="F70" t="s">
        <v>574</v>
      </c>
      <c r="G70" t="s">
        <v>575</v>
      </c>
      <c r="H70" s="19">
        <f>VLOOKUP(D70,Résultats!$B$2:$AX$476,'T energie vecteurs'!N5,FALSE)</f>
        <v>0.86854181610000003</v>
      </c>
      <c r="I70" s="19">
        <f>VLOOKUP(E70,Résultats!$B$2:$AX$476,'T energie vecteurs'!N5,FALSE)</f>
        <v>2.0256761999999999</v>
      </c>
      <c r="J70" s="19">
        <f>VLOOKUP(F70,Résultats!$B$2:$AX$476,'T energie vecteurs'!N5,FALSE)</f>
        <v>0</v>
      </c>
      <c r="K70" s="19">
        <f>VLOOKUP(G70,Résultats!$B$2:$AX$476,'T energie vecteurs'!N5,FALSE)</f>
        <v>2.2301335510000002</v>
      </c>
      <c r="L70" s="120">
        <f t="shared" si="18"/>
        <v>5.1243515670999997</v>
      </c>
      <c r="M70" s="19"/>
      <c r="N70" s="177" t="s">
        <v>129</v>
      </c>
      <c r="O70" s="28">
        <f>'[1]Bilan 2025'!$E$52/11.63</f>
        <v>3.6028186801375743</v>
      </c>
      <c r="P70" s="19">
        <f>('[1]Bilan 2025'!$E$54+'[1]Bilan 2025'!$E$56)/11.63</f>
        <v>10.941646955458493</v>
      </c>
      <c r="Q70" s="19">
        <v>0</v>
      </c>
      <c r="R70" s="19">
        <f>('[1]Bilan 2025'!$E$53+'[1]Bilan 2025'!$E$55+'[1]Bilan 2025'!$E$57)/11.63</f>
        <v>1.0781283784574212</v>
      </c>
      <c r="S70" s="120">
        <f t="shared" si="19"/>
        <v>15.622594014053488</v>
      </c>
      <c r="T70" s="120"/>
      <c r="U70" s="177" t="s">
        <v>129</v>
      </c>
      <c r="V70" t="s">
        <v>572</v>
      </c>
      <c r="W70" t="s">
        <v>573</v>
      </c>
      <c r="X70" t="s">
        <v>574</v>
      </c>
      <c r="Y70" t="s">
        <v>575</v>
      </c>
      <c r="Z70" s="19">
        <v>0.86884350690000001</v>
      </c>
      <c r="AA70" s="19">
        <v>2.0264202010000001</v>
      </c>
      <c r="AB70" s="19">
        <v>0</v>
      </c>
      <c r="AC70" s="19">
        <v>2.2324558149999998</v>
      </c>
      <c r="AD70" s="120">
        <v>5.1277195228999997</v>
      </c>
    </row>
    <row r="71" spans="3:30" x14ac:dyDescent="0.25">
      <c r="C71" s="177" t="s">
        <v>25</v>
      </c>
      <c r="D71" t="s">
        <v>576</v>
      </c>
      <c r="E71" t="s">
        <v>577</v>
      </c>
      <c r="F71" t="s">
        <v>578</v>
      </c>
      <c r="G71" t="s">
        <v>579</v>
      </c>
      <c r="H71" s="19">
        <f>VLOOKUP(D71,Résultats!$B$2:$AX$476,'T energie vecteurs'!N5,FALSE)</f>
        <v>0</v>
      </c>
      <c r="I71" s="19">
        <f>VLOOKUP(E71,Résultats!$B$2:$AX$476,'T energie vecteurs'!N5,FALSE)</f>
        <v>2.7274768489999999</v>
      </c>
      <c r="J71" s="19">
        <f>VLOOKUP(F71,Résultats!$B$2:$AX$476,'T energie vecteurs'!N5,FALSE)</f>
        <v>0.33037047060000002</v>
      </c>
      <c r="K71" s="19">
        <f>VLOOKUP(G71,Résultats!$B$2:$AX$476,'T energie vecteurs'!N5,FALSE)</f>
        <v>0.40868036130000002</v>
      </c>
      <c r="L71" s="120">
        <f t="shared" si="18"/>
        <v>3.4665276809000001</v>
      </c>
      <c r="M71" s="19"/>
      <c r="N71" s="178" t="s">
        <v>25</v>
      </c>
      <c r="O71" s="36">
        <f>'[1]Bilan 2025'!$T$46/11.63</f>
        <v>0</v>
      </c>
      <c r="P71" s="35">
        <f>SUM('[1]Bilan 2025'!$T$41:$T$43)/11.63</f>
        <v>3.1602006312216266</v>
      </c>
      <c r="Q71" s="35">
        <f>'[1]Bilan 2025'!$T$13/11.63</f>
        <v>0.70898600777464971</v>
      </c>
      <c r="R71" s="35">
        <f>('[1]Bilan 2025'!$T$22+'[1]Bilan 2025'!$T$30+SUM('[1]Bilan 2025'!$T$36:$T$40)+SUM('[1]Bilan 2025'!$T$44:$T$45)+'[1]Bilan 2025'!$T$47)/11.63</f>
        <v>0.28264741564176488</v>
      </c>
      <c r="S71" s="170">
        <f t="shared" si="19"/>
        <v>4.1518340546380408</v>
      </c>
      <c r="T71" s="272">
        <f>S71</f>
        <v>4.1518340546380408</v>
      </c>
      <c r="U71" s="177" t="s">
        <v>25</v>
      </c>
      <c r="V71" t="s">
        <v>576</v>
      </c>
      <c r="W71" t="s">
        <v>577</v>
      </c>
      <c r="X71" t="s">
        <v>578</v>
      </c>
      <c r="Y71" t="s">
        <v>579</v>
      </c>
      <c r="Z71" s="19">
        <v>0</v>
      </c>
      <c r="AA71" s="19">
        <v>2.7241769599999999</v>
      </c>
      <c r="AB71" s="19">
        <v>0.33153818299999999</v>
      </c>
      <c r="AC71" s="19">
        <v>0.40710314199999997</v>
      </c>
      <c r="AD71" s="120">
        <v>3.462818285</v>
      </c>
    </row>
    <row r="72" spans="3:30" x14ac:dyDescent="0.25">
      <c r="C72" s="29" t="s">
        <v>26</v>
      </c>
      <c r="D72" s="10"/>
      <c r="E72" s="10"/>
      <c r="F72" s="10"/>
      <c r="G72" s="10"/>
      <c r="H72" s="9">
        <f>SUM(H63,H66:H68)</f>
        <v>2.7867119068000004</v>
      </c>
      <c r="I72" s="9">
        <f>SUM(I63,I66:I68)</f>
        <v>62.948877035999999</v>
      </c>
      <c r="J72" s="9">
        <f>SUM(J63,J66:J68)</f>
        <v>38.558089702800004</v>
      </c>
      <c r="K72" s="9">
        <f>SUM(K63,K66:K68)</f>
        <v>42.6894233913984</v>
      </c>
      <c r="L72" s="123">
        <f t="shared" si="18"/>
        <v>146.98310203699839</v>
      </c>
      <c r="M72" s="105"/>
      <c r="N72" s="179" t="s">
        <v>26</v>
      </c>
      <c r="O72" s="40">
        <f>O63+O66+O67+O68+O71</f>
        <v>4.2119673749809596</v>
      </c>
      <c r="P72" s="38">
        <f>P63+P66+P67+P68+P71</f>
        <v>60.412483299437255</v>
      </c>
      <c r="Q72" s="38">
        <f>Q63+Q66+Q67+Q68+Q71</f>
        <v>37.504894316947436</v>
      </c>
      <c r="R72" s="38">
        <f>R63+R66+R67+R68+R71</f>
        <v>43.140505089284176</v>
      </c>
      <c r="S72" s="172">
        <f t="shared" si="19"/>
        <v>145.26985008064983</v>
      </c>
      <c r="T72" s="271">
        <f>SUM(T63:T71)</f>
        <v>141.88900383378228</v>
      </c>
      <c r="U72" s="29" t="s">
        <v>26</v>
      </c>
      <c r="V72" s="10"/>
      <c r="W72" s="10"/>
      <c r="X72" s="10"/>
      <c r="Y72" s="10"/>
      <c r="Z72" s="9">
        <v>2.7873418317</v>
      </c>
      <c r="AA72" s="9">
        <v>62.974234641999999</v>
      </c>
      <c r="AB72" s="9">
        <v>38.675657649999998</v>
      </c>
      <c r="AC72" s="9">
        <v>42.496507698582199</v>
      </c>
      <c r="AD72" s="123">
        <v>146.9337418222822</v>
      </c>
    </row>
    <row r="73" spans="3:30" s="3" customFormat="1" x14ac:dyDescent="0.25">
      <c r="H73" s="69"/>
      <c r="I73" s="69"/>
      <c r="J73" s="69"/>
      <c r="K73" s="69"/>
      <c r="L73" s="69"/>
      <c r="M73" s="69"/>
      <c r="N73" s="69"/>
      <c r="O73" s="103"/>
      <c r="P73" s="103"/>
      <c r="Q73" s="103"/>
      <c r="R73" s="104"/>
      <c r="S73" s="69"/>
      <c r="T73" s="69"/>
      <c r="Z73" s="69"/>
      <c r="AA73" s="69"/>
      <c r="AB73" s="69"/>
      <c r="AC73" s="69"/>
      <c r="AD73" s="69"/>
    </row>
    <row r="74" spans="3:30" s="3" customFormat="1" x14ac:dyDescent="0.25"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Z74" s="69"/>
      <c r="AA74" s="69"/>
      <c r="AB74" s="69"/>
      <c r="AC74" s="69"/>
      <c r="AD74" s="69"/>
    </row>
    <row r="75" spans="3:30" ht="31.5" x14ac:dyDescent="0.35">
      <c r="C75" s="173">
        <v>2030</v>
      </c>
      <c r="D75" s="174"/>
      <c r="E75" s="174"/>
      <c r="F75" s="174"/>
      <c r="G75" s="174"/>
      <c r="H75" s="101" t="s">
        <v>36</v>
      </c>
      <c r="I75" s="101" t="s">
        <v>131</v>
      </c>
      <c r="J75" s="101" t="s">
        <v>38</v>
      </c>
      <c r="K75" s="101" t="s">
        <v>130</v>
      </c>
      <c r="L75" s="118" t="s">
        <v>1</v>
      </c>
      <c r="M75" s="25"/>
      <c r="N75" s="173">
        <v>2030</v>
      </c>
      <c r="O75" s="169" t="s">
        <v>36</v>
      </c>
      <c r="P75" s="101" t="s">
        <v>131</v>
      </c>
      <c r="Q75" s="101" t="s">
        <v>38</v>
      </c>
      <c r="R75" s="101" t="s">
        <v>130</v>
      </c>
      <c r="S75" s="118" t="s">
        <v>1</v>
      </c>
      <c r="T75" s="270" t="s">
        <v>580</v>
      </c>
      <c r="U75" s="173">
        <v>2030</v>
      </c>
      <c r="V75" s="174"/>
      <c r="W75" s="174"/>
      <c r="X75" s="174"/>
      <c r="Y75" s="174"/>
      <c r="Z75" s="101" t="s">
        <v>36</v>
      </c>
      <c r="AA75" s="101" t="s">
        <v>131</v>
      </c>
      <c r="AB75" s="101" t="s">
        <v>38</v>
      </c>
      <c r="AC75" s="101" t="s">
        <v>130</v>
      </c>
      <c r="AD75" s="118" t="s">
        <v>1</v>
      </c>
    </row>
    <row r="76" spans="3:30" x14ac:dyDescent="0.25">
      <c r="C76" s="175" t="s">
        <v>18</v>
      </c>
      <c r="H76" s="8">
        <f>SUM(H77:H78)</f>
        <v>0</v>
      </c>
      <c r="I76" s="8">
        <f>SUM(I77:I78)</f>
        <v>38.281659939999997</v>
      </c>
      <c r="J76" s="8">
        <f>SUM(J77:J78)</f>
        <v>3.4467937897000001</v>
      </c>
      <c r="K76" s="8">
        <f>SUM(K77:K78)</f>
        <v>1.3211692896897</v>
      </c>
      <c r="L76" s="121">
        <f>SUM(H76:K76)</f>
        <v>43.049623019389699</v>
      </c>
      <c r="M76" s="99"/>
      <c r="N76" s="178" t="s">
        <v>18</v>
      </c>
      <c r="O76" s="36">
        <f>'[1]Bilan 2030'!$X$46/11.63</f>
        <v>0</v>
      </c>
      <c r="P76" s="35">
        <f>SUM('[1]Bilan 2030'!$X$41:$X$43)/11.63</f>
        <v>32.470940737285289</v>
      </c>
      <c r="Q76" s="35">
        <f>'[1]Bilan 2030'!$X$13/11.63</f>
        <v>2.5998015829265277</v>
      </c>
      <c r="R76" s="35">
        <f>('[1]Bilan 2030'!$X$22+'[1]Bilan 2030'!$X$30+SUM('[1]Bilan 2030'!$X$36:$X$40)+SUM('[1]Bilan 2030'!$X$44:$X$45)+'[1]Bilan 2030'!$X$47)/11.63</f>
        <v>1.3190285045112766</v>
      </c>
      <c r="S76" s="170">
        <f>SUM(O76:R76)</f>
        <v>36.389770824723101</v>
      </c>
      <c r="T76" s="272">
        <f>S76</f>
        <v>36.389770824723101</v>
      </c>
      <c r="U76" s="175" t="s">
        <v>18</v>
      </c>
      <c r="Z76" s="8">
        <v>0</v>
      </c>
      <c r="AA76" s="8">
        <v>38.299645589999997</v>
      </c>
      <c r="AB76" s="8">
        <v>3.4744407914000002</v>
      </c>
      <c r="AC76" s="8">
        <v>1.3206843080521</v>
      </c>
      <c r="AD76" s="121">
        <v>43.094770689452098</v>
      </c>
    </row>
    <row r="77" spans="3:30" x14ac:dyDescent="0.25">
      <c r="C77" s="176" t="s">
        <v>19</v>
      </c>
      <c r="D77" t="s">
        <v>552</v>
      </c>
      <c r="E77" t="s">
        <v>553</v>
      </c>
      <c r="F77" t="s">
        <v>554</v>
      </c>
      <c r="G77" t="s">
        <v>555</v>
      </c>
      <c r="H77" s="19">
        <f>VLOOKUP(D77,Résultats!$B$2:$AX$476,'T energie vecteurs'!S5,FALSE)</f>
        <v>0</v>
      </c>
      <c r="I77" s="19">
        <f>VLOOKUP(E77,Résultats!$B$2:$AX$476,'T energie vecteurs'!S5,FALSE)</f>
        <v>19.708376260000001</v>
      </c>
      <c r="J77" s="19">
        <f>VLOOKUP(F77,Résultats!$B$2:$AX$476,'T energie vecteurs'!S5,FALSE)</f>
        <v>0.57415809669999995</v>
      </c>
      <c r="K77" s="19">
        <f>VLOOKUP(G77,Résultats!$B$2:$AX$476,'T energie vecteurs'!S5,FALSE)</f>
        <v>3.5080689700000002E-5</v>
      </c>
      <c r="L77" s="120">
        <f t="shared" ref="L77:L84" si="22">SUM(H77:K77)</f>
        <v>20.2825694373897</v>
      </c>
      <c r="M77" s="19"/>
      <c r="N77" s="176" t="s">
        <v>19</v>
      </c>
      <c r="O77" s="171"/>
      <c r="P77" s="19"/>
      <c r="Q77" s="55"/>
      <c r="R77" s="19"/>
      <c r="S77" s="120"/>
      <c r="T77" s="120"/>
      <c r="U77" s="176" t="s">
        <v>19</v>
      </c>
      <c r="V77" t="s">
        <v>552</v>
      </c>
      <c r="W77" t="s">
        <v>553</v>
      </c>
      <c r="X77" t="s">
        <v>554</v>
      </c>
      <c r="Y77" t="s">
        <v>555</v>
      </c>
      <c r="Z77" s="19">
        <v>0</v>
      </c>
      <c r="AA77" s="19">
        <v>19.713859979999999</v>
      </c>
      <c r="AB77" s="19">
        <v>0.57510659139999998</v>
      </c>
      <c r="AC77" s="19">
        <v>3.52420521E-5</v>
      </c>
      <c r="AD77" s="120">
        <v>20.289001813452099</v>
      </c>
    </row>
    <row r="78" spans="3:30" x14ac:dyDescent="0.25">
      <c r="C78" s="177" t="s">
        <v>20</v>
      </c>
      <c r="D78" t="s">
        <v>556</v>
      </c>
      <c r="E78" t="s">
        <v>557</v>
      </c>
      <c r="F78" t="s">
        <v>558</v>
      </c>
      <c r="G78" t="s">
        <v>559</v>
      </c>
      <c r="H78" s="19">
        <f>VLOOKUP(D78,Résultats!$B$2:$AX$476,'T energie vecteurs'!S5,FALSE)</f>
        <v>0</v>
      </c>
      <c r="I78" s="19">
        <f>VLOOKUP(E78,Résultats!$B$2:$AX$476,'T energie vecteurs'!S5,FALSE)</f>
        <v>18.573283679999999</v>
      </c>
      <c r="J78" s="19">
        <f>VLOOKUP(F78,Résultats!$B$2:$AX$476,'T energie vecteurs'!S5,FALSE)</f>
        <v>2.8726356929999999</v>
      </c>
      <c r="K78" s="19">
        <f>VLOOKUP(G78,Résultats!$B$2:$AX$476,'T energie vecteurs'!S5,FALSE)</f>
        <v>1.321134209</v>
      </c>
      <c r="L78" s="120">
        <f t="shared" si="22"/>
        <v>22.767053581999999</v>
      </c>
      <c r="M78" s="19"/>
      <c r="N78" s="177" t="s">
        <v>20</v>
      </c>
      <c r="O78" s="171"/>
      <c r="P78" s="19"/>
      <c r="Q78" s="55"/>
      <c r="R78" s="19"/>
      <c r="S78" s="120"/>
      <c r="T78" s="120"/>
      <c r="U78" s="177" t="s">
        <v>20</v>
      </c>
      <c r="V78" t="s">
        <v>556</v>
      </c>
      <c r="W78" t="s">
        <v>557</v>
      </c>
      <c r="X78" t="s">
        <v>558</v>
      </c>
      <c r="Y78" t="s">
        <v>559</v>
      </c>
      <c r="Z78" s="19">
        <v>0</v>
      </c>
      <c r="AA78" s="19">
        <v>18.585785609999999</v>
      </c>
      <c r="AB78" s="19">
        <v>2.8993342000000002</v>
      </c>
      <c r="AC78" s="19">
        <v>1.3206490660000001</v>
      </c>
      <c r="AD78" s="120">
        <v>22.805768876000002</v>
      </c>
    </row>
    <row r="79" spans="3:30" x14ac:dyDescent="0.25">
      <c r="C79" s="175" t="s">
        <v>21</v>
      </c>
      <c r="D79" t="s">
        <v>560</v>
      </c>
      <c r="E79" t="s">
        <v>561</v>
      </c>
      <c r="F79" t="s">
        <v>562</v>
      </c>
      <c r="G79" t="s">
        <v>563</v>
      </c>
      <c r="H79" s="8">
        <f>VLOOKUP(D79,Résultats!$B$2:$AX$476,'T energie vecteurs'!S5,FALSE)</f>
        <v>0.28487213319999999</v>
      </c>
      <c r="I79" s="8">
        <f>VLOOKUP(E79,Résultats!$B$2:$AX$476,'T energie vecteurs'!S5,FALSE)</f>
        <v>6.1729901119999999</v>
      </c>
      <c r="J79" s="8">
        <f>VLOOKUP(F79,Résultats!$B$2:$AX$476,'T energie vecteurs'!S5,FALSE)</f>
        <v>15.77190278</v>
      </c>
      <c r="K79" s="8">
        <f>VLOOKUP(G79,Résultats!$B$2:$AX$476,'T energie vecteurs'!S5,FALSE)+2</f>
        <v>19.123886030000001</v>
      </c>
      <c r="L79" s="121">
        <f>SUM(H79:K79)</f>
        <v>41.353651055200004</v>
      </c>
      <c r="M79" s="99"/>
      <c r="N79" s="178" t="s">
        <v>21</v>
      </c>
      <c r="O79" s="36">
        <f>'[1]Bilan 2030'!$V$46/11.63</f>
        <v>0</v>
      </c>
      <c r="P79" s="35">
        <f>SUM('[1]Bilan 2030'!$V$41:$V$43)/11.63</f>
        <v>2.7093021384311076</v>
      </c>
      <c r="Q79" s="35">
        <f>'[1]Bilan 2030'!$V$13/11.63</f>
        <v>15.128221930185923</v>
      </c>
      <c r="R79" s="35">
        <f>('[1]Bilan 2030'!$V$22+'[1]Bilan 2030'!$V$30+SUM('[1]Bilan 2030'!$V$36:$V$40)+SUM('[1]Bilan 2030'!$V$44:$V$45)+'[1]Bilan 2030'!$V$47)/11.63</f>
        <v>20.957031397748882</v>
      </c>
      <c r="S79" s="170">
        <f t="shared" ref="S79:S85" si="23">SUM(O79:R79)</f>
        <v>38.794555466365907</v>
      </c>
      <c r="T79" s="272">
        <f>S79-'[1]Bilan 2030'!$V$40/11.63</f>
        <v>35.231377291819591</v>
      </c>
      <c r="U79" s="175" t="s">
        <v>21</v>
      </c>
      <c r="V79" t="s">
        <v>560</v>
      </c>
      <c r="W79" t="s">
        <v>561</v>
      </c>
      <c r="X79" t="s">
        <v>562</v>
      </c>
      <c r="Y79" t="s">
        <v>563</v>
      </c>
      <c r="Z79" s="261">
        <v>0.28530268650000001</v>
      </c>
      <c r="AA79" s="261">
        <v>6.1489147150000001</v>
      </c>
      <c r="AB79" s="261">
        <v>15.806857859999999</v>
      </c>
      <c r="AC79" s="261">
        <v>19.173327499999999</v>
      </c>
      <c r="AD79" s="262">
        <v>41.4144027615</v>
      </c>
    </row>
    <row r="80" spans="3:30" x14ac:dyDescent="0.25">
      <c r="C80" s="175" t="s">
        <v>22</v>
      </c>
      <c r="D80" t="s">
        <v>564</v>
      </c>
      <c r="E80" t="s">
        <v>565</v>
      </c>
      <c r="F80" t="s">
        <v>566</v>
      </c>
      <c r="G80" t="s">
        <v>567</v>
      </c>
      <c r="H80" s="8">
        <f>VLOOKUP(D80,Résultats!$B$2:$AX$476,'T energie vecteurs'!S5,FALSE)</f>
        <v>0</v>
      </c>
      <c r="I80" s="8">
        <f>VLOOKUP(E80,Résultats!$B$2:$AX$476,'T energie vecteurs'!S5,FALSE)</f>
        <v>2.2449121120000002</v>
      </c>
      <c r="J80" s="8">
        <f>VLOOKUP(F80,Résultats!$B$2:$AX$476,'T energie vecteurs'!S5,FALSE)</f>
        <v>12.025610439999999</v>
      </c>
      <c r="K80" s="8">
        <f>VLOOKUP(G80,Résultats!$B$2:$AX$476,'T energie vecteurs'!S5,FALSE)</f>
        <v>8.1175310589999903</v>
      </c>
      <c r="L80" s="121">
        <f t="shared" si="22"/>
        <v>22.388053610999989</v>
      </c>
      <c r="M80" s="99"/>
      <c r="N80" s="178" t="s">
        <v>22</v>
      </c>
      <c r="O80" s="36">
        <f>('[1]Bilan 2030'!$W$46)/11.63</f>
        <v>0</v>
      </c>
      <c r="P80" s="35">
        <f>SUM('[1]Bilan 2030'!$W$41:$W$43)/11.63</f>
        <v>1.1254931356288962</v>
      </c>
      <c r="Q80" s="35">
        <f>('[1]Bilan 2030'!$W$13)/11.63</f>
        <v>11.284622800503366</v>
      </c>
      <c r="R80" s="35">
        <f>('[1]Bilan 2030'!$W$22+'[1]Bilan 2030'!$W$30+SUM('[1]Bilan 2030'!$W$36:$W$40)+SUM('[1]Bilan 2030'!$W$44:$W$45)+'[1]Bilan 2030'!$W$47)/11.63</f>
        <v>6.9189644390334015</v>
      </c>
      <c r="S80" s="170">
        <f t="shared" si="23"/>
        <v>19.329080375165663</v>
      </c>
      <c r="T80" s="272">
        <f>S80-'[1]Bilan 2030'!$W$40/11.63</f>
        <v>18.63479068507554</v>
      </c>
      <c r="U80" s="175" t="s">
        <v>22</v>
      </c>
      <c r="V80" t="s">
        <v>564</v>
      </c>
      <c r="W80" t="s">
        <v>565</v>
      </c>
      <c r="X80" t="s">
        <v>566</v>
      </c>
      <c r="Y80" t="s">
        <v>567</v>
      </c>
      <c r="Z80" s="8">
        <v>0</v>
      </c>
      <c r="AA80" s="8">
        <v>2.2406359760000001</v>
      </c>
      <c r="AB80" s="8">
        <v>12.07843184</v>
      </c>
      <c r="AC80" s="8">
        <v>8.0831214500000002</v>
      </c>
      <c r="AD80" s="121">
        <v>22.402189266000001</v>
      </c>
    </row>
    <row r="81" spans="2:30" x14ac:dyDescent="0.25">
      <c r="C81" s="175" t="s">
        <v>23</v>
      </c>
      <c r="H81" s="8">
        <f>SUM(H82:H84)</f>
        <v>2.4982524687000001</v>
      </c>
      <c r="I81" s="8">
        <f>SUM(I82:I84)</f>
        <v>14.124909436999999</v>
      </c>
      <c r="J81" s="8">
        <f>SUM(J82:J84)</f>
        <v>10.3743770309</v>
      </c>
      <c r="K81" s="8">
        <f>SUM(K82:K84)</f>
        <v>15.5794541858</v>
      </c>
      <c r="L81" s="121">
        <f t="shared" si="22"/>
        <v>42.576993122399998</v>
      </c>
      <c r="M81" s="99"/>
      <c r="N81" s="178" t="s">
        <v>252</v>
      </c>
      <c r="O81" s="36">
        <f>O82+O83</f>
        <v>3.9851054274374702</v>
      </c>
      <c r="P81" s="35">
        <f t="shared" ref="P81:R81" si="24">P82+P83</f>
        <v>12.588919196501005</v>
      </c>
      <c r="Q81" s="35">
        <f t="shared" si="24"/>
        <v>9.4169455866228393</v>
      </c>
      <c r="R81" s="35">
        <f t="shared" si="24"/>
        <v>13.466989601471941</v>
      </c>
      <c r="S81" s="170">
        <f t="shared" si="23"/>
        <v>39.457959812033252</v>
      </c>
      <c r="T81" s="272">
        <f t="shared" ref="T81" si="25">S81</f>
        <v>39.457959812033252</v>
      </c>
      <c r="U81" s="175" t="s">
        <v>23</v>
      </c>
      <c r="Z81" s="243">
        <v>2.4968248989999999</v>
      </c>
      <c r="AA81" s="243">
        <v>14.131397310000001</v>
      </c>
      <c r="AB81" s="8">
        <v>10.4391597735</v>
      </c>
      <c r="AC81" s="243">
        <v>15.488572934799999</v>
      </c>
      <c r="AD81" s="121">
        <v>42.555954917299999</v>
      </c>
    </row>
    <row r="82" spans="2:30" x14ac:dyDescent="0.25">
      <c r="C82" s="177" t="s">
        <v>24</v>
      </c>
      <c r="D82" t="s">
        <v>568</v>
      </c>
      <c r="E82" t="s">
        <v>569</v>
      </c>
      <c r="F82" t="s">
        <v>570</v>
      </c>
      <c r="G82" t="s">
        <v>571</v>
      </c>
      <c r="H82" s="19">
        <f>VLOOKUP(D82,Résultats!$B$2:$AX$476,'T energie vecteurs'!S5,FALSE)</f>
        <v>1.648393644</v>
      </c>
      <c r="I82" s="19">
        <f>VLOOKUP(E82,Résultats!$B$2:$AX$476,'T energie vecteurs'!S5,FALSE)</f>
        <v>9.0461333120000003</v>
      </c>
      <c r="J82" s="19">
        <f>VLOOKUP(F82,Résultats!$B$2:$AX$476,'T energie vecteurs'!S5,FALSE)</f>
        <v>10.0231286</v>
      </c>
      <c r="K82" s="19">
        <f>VLOOKUP(G82,Résultats!$B$2:$AX$476,'T energie vecteurs'!S5,FALSE)</f>
        <v>12.820155099999999</v>
      </c>
      <c r="L82" s="120">
        <f t="shared" si="22"/>
        <v>33.537810655999998</v>
      </c>
      <c r="M82" s="19"/>
      <c r="N82" s="177" t="s">
        <v>253</v>
      </c>
      <c r="O82" s="171">
        <f>'[1]Bilan 2030'!$U$46/11.63</f>
        <v>0.55918092587900114</v>
      </c>
      <c r="P82" s="37">
        <f>SUM('[1]Bilan 2030'!$U$41:$U$43)/11.63</f>
        <v>2.2272873473675703</v>
      </c>
      <c r="Q82" s="37">
        <f>'[1]Bilan 2030'!$U$13/11.63</f>
        <v>9.4169455866228393</v>
      </c>
      <c r="R82" s="37">
        <f>('[1]Bilan 2030'!$U$22+'[1]Bilan 2030'!$U$30+SUM('[1]Bilan 2030'!$U$36:$U$40)+SUM('[1]Bilan 2030'!$U$44:$U$45)+'[1]Bilan 2030'!$U$47)/11.63</f>
        <v>12.399810480766771</v>
      </c>
      <c r="S82" s="120">
        <f t="shared" si="23"/>
        <v>24.603224340636181</v>
      </c>
      <c r="T82" s="120"/>
      <c r="U82" s="177" t="s">
        <v>24</v>
      </c>
      <c r="V82" t="s">
        <v>568</v>
      </c>
      <c r="W82" t="s">
        <v>569</v>
      </c>
      <c r="X82" t="s">
        <v>570</v>
      </c>
      <c r="Y82" t="s">
        <v>571</v>
      </c>
      <c r="Z82" s="19">
        <v>1.6463384590000001</v>
      </c>
      <c r="AA82" s="19">
        <v>9.0564767289999999</v>
      </c>
      <c r="AB82" s="19">
        <v>10.085574709999999</v>
      </c>
      <c r="AC82" s="19">
        <v>12.727007309999999</v>
      </c>
      <c r="AD82" s="120">
        <v>33.515397207999996</v>
      </c>
    </row>
    <row r="83" spans="2:30" x14ac:dyDescent="0.25">
      <c r="C83" s="177" t="s">
        <v>129</v>
      </c>
      <c r="D83" t="s">
        <v>572</v>
      </c>
      <c r="E83" t="s">
        <v>573</v>
      </c>
      <c r="F83" t="s">
        <v>574</v>
      </c>
      <c r="G83" t="s">
        <v>575</v>
      </c>
      <c r="H83" s="19">
        <f>VLOOKUP(D83,Résultats!$B$2:$AX$476,'T energie vecteurs'!S5,FALSE)</f>
        <v>0.84985882469999996</v>
      </c>
      <c r="I83" s="19">
        <f>VLOOKUP(E83,Résultats!$B$2:$AX$476,'T energie vecteurs'!S5,FALSE)</f>
        <v>2.150022468</v>
      </c>
      <c r="J83" s="19">
        <f>VLOOKUP(F83,Résultats!$B$2:$AX$476,'T energie vecteurs'!S5,FALSE)</f>
        <v>0</v>
      </c>
      <c r="K83" s="19">
        <f>VLOOKUP(G83,Résultats!$B$2:$AX$476,'T energie vecteurs'!S5,FALSE)</f>
        <v>2.3227920059999998</v>
      </c>
      <c r="L83" s="120">
        <f>SUM(H83:K83)</f>
        <v>5.3226732986999998</v>
      </c>
      <c r="M83" s="19"/>
      <c r="N83" s="177" t="s">
        <v>129</v>
      </c>
      <c r="O83" s="28">
        <f>'[1]Bilan 2030'!$E$52/11.63</f>
        <v>3.4259245015584692</v>
      </c>
      <c r="P83" s="19">
        <f>('[1]Bilan 2030'!$E$54+'[1]Bilan 2030'!$E$56)/11.63</f>
        <v>10.361631849133435</v>
      </c>
      <c r="Q83" s="19">
        <v>0</v>
      </c>
      <c r="R83" s="19">
        <f>('[1]Bilan 2030'!$E$53+'[1]Bilan 2030'!$E$55+'[1]Bilan 2030'!$E$57)/11.63</f>
        <v>1.0671791207051695</v>
      </c>
      <c r="S83" s="120">
        <f t="shared" si="23"/>
        <v>14.854735471397074</v>
      </c>
      <c r="T83" s="120"/>
      <c r="U83" s="177" t="s">
        <v>129</v>
      </c>
      <c r="V83" t="s">
        <v>572</v>
      </c>
      <c r="W83" t="s">
        <v>573</v>
      </c>
      <c r="X83" t="s">
        <v>574</v>
      </c>
      <c r="Y83" t="s">
        <v>575</v>
      </c>
      <c r="Z83" s="19">
        <v>0.85048643999999995</v>
      </c>
      <c r="AA83" s="19">
        <v>2.1516194120000001</v>
      </c>
      <c r="AB83" s="19">
        <v>0</v>
      </c>
      <c r="AC83" s="19">
        <v>2.3257513630000002</v>
      </c>
      <c r="AD83" s="120">
        <v>5.3278572149999999</v>
      </c>
    </row>
    <row r="84" spans="2:30" x14ac:dyDescent="0.25">
      <c r="C84" s="177" t="s">
        <v>25</v>
      </c>
      <c r="D84" t="s">
        <v>576</v>
      </c>
      <c r="E84" t="s">
        <v>577</v>
      </c>
      <c r="F84" t="s">
        <v>578</v>
      </c>
      <c r="G84" t="s">
        <v>579</v>
      </c>
      <c r="H84" s="19">
        <f>VLOOKUP(D84,Résultats!$B$2:$AX$476,'T energie vecteurs'!S5,FALSE)</f>
        <v>0</v>
      </c>
      <c r="I84" s="19">
        <f>VLOOKUP(E84,Résultats!$B$2:$AX$476,'T energie vecteurs'!S5,FALSE)</f>
        <v>2.9287536570000001</v>
      </c>
      <c r="J84" s="19">
        <f>VLOOKUP(F84,Résultats!$B$2:$AX$476,'T energie vecteurs'!S5,FALSE)</f>
        <v>0.35124843090000002</v>
      </c>
      <c r="K84" s="19">
        <f>VLOOKUP(G84,Résultats!$B$2:$AX$476,'T energie vecteurs'!S5,FALSE)</f>
        <v>0.43650707979999998</v>
      </c>
      <c r="L84" s="120">
        <f t="shared" si="22"/>
        <v>3.7165091677000004</v>
      </c>
      <c r="M84" s="19"/>
      <c r="N84" s="178" t="s">
        <v>25</v>
      </c>
      <c r="O84" s="36">
        <f>'[1]Bilan 2030'!$T$46/11.63</f>
        <v>0</v>
      </c>
      <c r="P84" s="35">
        <f>SUM('[1]Bilan 2030'!$T$41:$T$43)/11.63</f>
        <v>3.0639411119175732</v>
      </c>
      <c r="Q84" s="35">
        <f>'[1]Bilan 2030'!$T$13/11.63</f>
        <v>0.66849749048065465</v>
      </c>
      <c r="R84" s="35">
        <f>('[1]Bilan 2030'!$T$22+'[1]Bilan 2030'!$T$30+SUM('[1]Bilan 2030'!$T$36:$T$40)+SUM('[1]Bilan 2030'!$T$44:$T$45)+'[1]Bilan 2030'!$T$47)/11.63</f>
        <v>0.321548699857926</v>
      </c>
      <c r="S84" s="170">
        <f t="shared" si="23"/>
        <v>4.0539873022561537</v>
      </c>
      <c r="T84" s="272">
        <f>S84</f>
        <v>4.0539873022561537</v>
      </c>
      <c r="U84" s="177" t="s">
        <v>25</v>
      </c>
      <c r="V84" t="s">
        <v>576</v>
      </c>
      <c r="W84" t="s">
        <v>577</v>
      </c>
      <c r="X84" t="s">
        <v>578</v>
      </c>
      <c r="Y84" t="s">
        <v>579</v>
      </c>
      <c r="Z84" s="19">
        <v>0</v>
      </c>
      <c r="AA84" s="19">
        <v>2.9233011690000001</v>
      </c>
      <c r="AB84" s="19">
        <v>0.35358506350000002</v>
      </c>
      <c r="AC84" s="19">
        <v>0.43581426179999999</v>
      </c>
      <c r="AD84" s="120">
        <v>3.7127004943000004</v>
      </c>
    </row>
    <row r="85" spans="2:30" x14ac:dyDescent="0.25">
      <c r="C85" s="29" t="s">
        <v>26</v>
      </c>
      <c r="D85" s="10"/>
      <c r="E85" s="10"/>
      <c r="F85" s="10"/>
      <c r="G85" s="10"/>
      <c r="H85" s="9">
        <f>SUM(H76,H79:H81)</f>
        <v>2.7831246019</v>
      </c>
      <c r="I85" s="9">
        <f>SUM(I76,I79:I81)</f>
        <v>60.824471600999999</v>
      </c>
      <c r="J85" s="9">
        <f>SUM(J76,J79:J81)</f>
        <v>41.618684040600002</v>
      </c>
      <c r="K85" s="9">
        <f>SUM(K76,K79:K81)</f>
        <v>44.14204056448969</v>
      </c>
      <c r="L85" s="123">
        <f>SUM(H85:K85)</f>
        <v>149.36832080798968</v>
      </c>
      <c r="M85" s="105"/>
      <c r="N85" s="179" t="s">
        <v>26</v>
      </c>
      <c r="O85" s="40">
        <f>O76+O79+O80+O81+O84</f>
        <v>3.9851054274374702</v>
      </c>
      <c r="P85" s="38">
        <f>P76+P79+P80+P81+P84</f>
        <v>51.958596319763863</v>
      </c>
      <c r="Q85" s="38">
        <f>Q76+Q79+Q80+Q81+Q84</f>
        <v>39.098089390719309</v>
      </c>
      <c r="R85" s="38">
        <f>R76+R79+R80+R81+R84</f>
        <v>42.983562642623426</v>
      </c>
      <c r="S85" s="172">
        <f t="shared" si="23"/>
        <v>138.02535378054407</v>
      </c>
      <c r="T85" s="271">
        <f>SUM(T76:T84)</f>
        <v>133.76788591590764</v>
      </c>
      <c r="U85" s="29" t="s">
        <v>26</v>
      </c>
      <c r="V85" s="10"/>
      <c r="W85" s="10"/>
      <c r="X85" s="10"/>
      <c r="Y85" s="10"/>
      <c r="Z85" s="9">
        <v>2.7821275855000001</v>
      </c>
      <c r="AA85" s="9">
        <v>60.820593591000005</v>
      </c>
      <c r="AB85" s="9">
        <v>41.798890264900002</v>
      </c>
      <c r="AC85" s="9">
        <v>44.065706192852097</v>
      </c>
      <c r="AD85" s="123">
        <v>149.46731763425211</v>
      </c>
    </row>
    <row r="86" spans="2:30" s="3" customFormat="1" x14ac:dyDescent="0.25">
      <c r="O86" s="103"/>
      <c r="P86" s="103"/>
      <c r="Q86" s="103"/>
      <c r="R86" s="104"/>
      <c r="S86" s="69"/>
    </row>
    <row r="87" spans="2:30" s="3" customFormat="1" x14ac:dyDescent="0.25">
      <c r="B87" s="84"/>
      <c r="K87" s="71"/>
      <c r="O87" s="105"/>
      <c r="P87" s="105"/>
      <c r="Q87" s="105"/>
      <c r="R87" s="106"/>
      <c r="S87" s="107"/>
      <c r="AC87" s="71"/>
    </row>
    <row r="88" spans="2:30" ht="31.5" x14ac:dyDescent="0.35">
      <c r="C88" s="173">
        <v>2035</v>
      </c>
      <c r="D88" s="174"/>
      <c r="E88" s="174"/>
      <c r="F88" s="174"/>
      <c r="G88" s="174"/>
      <c r="H88" s="101" t="s">
        <v>36</v>
      </c>
      <c r="I88" s="101" t="s">
        <v>131</v>
      </c>
      <c r="J88" s="101" t="s">
        <v>38</v>
      </c>
      <c r="K88" s="101" t="s">
        <v>130</v>
      </c>
      <c r="L88" s="118" t="s">
        <v>1</v>
      </c>
      <c r="M88" s="25"/>
      <c r="N88" s="173">
        <v>2035</v>
      </c>
      <c r="O88" s="169" t="s">
        <v>36</v>
      </c>
      <c r="P88" s="101" t="s">
        <v>131</v>
      </c>
      <c r="Q88" s="101" t="s">
        <v>38</v>
      </c>
      <c r="R88" s="101" t="s">
        <v>130</v>
      </c>
      <c r="S88" s="118" t="s">
        <v>1</v>
      </c>
      <c r="T88" s="270" t="s">
        <v>580</v>
      </c>
      <c r="U88" s="173">
        <v>2035</v>
      </c>
      <c r="V88" s="174"/>
      <c r="W88" s="174"/>
      <c r="X88" s="174"/>
      <c r="Y88" s="174"/>
      <c r="Z88" s="101" t="s">
        <v>36</v>
      </c>
      <c r="AA88" s="101" t="s">
        <v>131</v>
      </c>
      <c r="AB88" s="101" t="s">
        <v>38</v>
      </c>
      <c r="AC88" s="101" t="s">
        <v>130</v>
      </c>
      <c r="AD88" s="118" t="s">
        <v>1</v>
      </c>
    </row>
    <row r="89" spans="2:30" x14ac:dyDescent="0.25">
      <c r="C89" s="175" t="s">
        <v>18</v>
      </c>
      <c r="H89" s="8">
        <f>SUM(H90:H91)</f>
        <v>0</v>
      </c>
      <c r="I89" s="8">
        <f>SUM(I90:I91)</f>
        <v>35.726252110000004</v>
      </c>
      <c r="J89" s="8">
        <f>SUM(J90:J91)</f>
        <v>4.4770101849999993</v>
      </c>
      <c r="K89" s="8">
        <f>SUM(K90:K91)</f>
        <v>2.2290715339661</v>
      </c>
      <c r="L89" s="121">
        <f t="shared" ref="L89:L98" si="26">SUM(H89:K89)</f>
        <v>42.432333828966101</v>
      </c>
      <c r="M89" s="99"/>
      <c r="N89" s="178" t="s">
        <v>18</v>
      </c>
      <c r="O89" s="36">
        <f>'[1]Bilan 2035'!$X$46/11.63</f>
        <v>0</v>
      </c>
      <c r="P89" s="35">
        <f>SUM('[1]Bilan 2035'!$X$41:$X$43)/11.63</f>
        <v>27.486457521711181</v>
      </c>
      <c r="Q89" s="35">
        <f>'[1]Bilan 2035'!$X$13/11.63</f>
        <v>4.0115827656184662</v>
      </c>
      <c r="R89" s="35">
        <f>('[1]Bilan 2035'!$X$22+'[1]Bilan 2035'!$X$30+SUM('[1]Bilan 2035'!$X$36:$X$40)+SUM('[1]Bilan 2035'!$X$44:$X$45)+'[1]Bilan 2035'!$X$47)/11.63</f>
        <v>2.2033171859401204</v>
      </c>
      <c r="S89" s="170">
        <f>SUM(O89:R89)</f>
        <v>33.701357473269766</v>
      </c>
      <c r="T89" s="272">
        <f>S89</f>
        <v>33.701357473269766</v>
      </c>
      <c r="U89" s="175" t="s">
        <v>18</v>
      </c>
      <c r="Z89" s="8">
        <v>0</v>
      </c>
      <c r="AA89" s="8">
        <v>35.747588749999998</v>
      </c>
      <c r="AB89" s="8">
        <v>4.5314327589999994</v>
      </c>
      <c r="AC89" s="8">
        <v>2.2319197786089999</v>
      </c>
      <c r="AD89" s="121">
        <v>42.510941287608993</v>
      </c>
    </row>
    <row r="90" spans="2:30" x14ac:dyDescent="0.25">
      <c r="C90" s="176" t="s">
        <v>19</v>
      </c>
      <c r="D90" t="s">
        <v>552</v>
      </c>
      <c r="E90" t="s">
        <v>553</v>
      </c>
      <c r="F90" t="s">
        <v>554</v>
      </c>
      <c r="G90" t="s">
        <v>555</v>
      </c>
      <c r="H90" s="19">
        <f>VLOOKUP(D90,Résultats!$B$2:$AX$476,'T energie vecteurs'!T5,FALSE)</f>
        <v>0</v>
      </c>
      <c r="I90" s="19">
        <f>VLOOKUP(E90,Résultats!$B$2:$AX$476,'T energie vecteurs'!T5,FALSE)</f>
        <v>18.0566624</v>
      </c>
      <c r="J90" s="19">
        <f>VLOOKUP(F90,Résultats!$B$2:$AX$476,'T energie vecteurs'!T5,FALSE)</f>
        <v>1.1554575279999999</v>
      </c>
      <c r="K90" s="19">
        <f>VLOOKUP(G90,Résultats!$B$2:$AX$476,'T energie vecteurs'!T5,FALSE)</f>
        <v>4.4401966099999998E-5</v>
      </c>
      <c r="L90" s="120">
        <f t="shared" si="26"/>
        <v>19.2121643299661</v>
      </c>
      <c r="M90" s="19"/>
      <c r="N90" s="176" t="s">
        <v>19</v>
      </c>
      <c r="O90" s="171"/>
      <c r="P90" s="19"/>
      <c r="Q90" s="55"/>
      <c r="R90" s="19"/>
      <c r="S90" s="120"/>
      <c r="T90" s="120"/>
      <c r="U90" s="176" t="s">
        <v>19</v>
      </c>
      <c r="V90" t="s">
        <v>552</v>
      </c>
      <c r="W90" t="s">
        <v>553</v>
      </c>
      <c r="X90" t="s">
        <v>554</v>
      </c>
      <c r="Y90" t="s">
        <v>555</v>
      </c>
      <c r="Z90" s="19">
        <v>0</v>
      </c>
      <c r="AA90" s="19">
        <v>18.062844439999999</v>
      </c>
      <c r="AB90" s="59">
        <v>1.1569412699999999</v>
      </c>
      <c r="AC90" s="19">
        <v>4.4572608999999999E-5</v>
      </c>
      <c r="AD90" s="120">
        <v>19.219830282608999</v>
      </c>
    </row>
    <row r="91" spans="2:30" x14ac:dyDescent="0.25">
      <c r="C91" s="177" t="s">
        <v>20</v>
      </c>
      <c r="D91" t="s">
        <v>556</v>
      </c>
      <c r="E91" t="s">
        <v>557</v>
      </c>
      <c r="F91" t="s">
        <v>558</v>
      </c>
      <c r="G91" t="s">
        <v>559</v>
      </c>
      <c r="H91" s="19">
        <f>VLOOKUP(D91,Résultats!$B$2:$AX$476,'T energie vecteurs'!T5,FALSE)</f>
        <v>0</v>
      </c>
      <c r="I91" s="19">
        <f>VLOOKUP(E91,Résultats!$B$2:$AX$476,'T energie vecteurs'!T5,FALSE)</f>
        <v>17.66958971</v>
      </c>
      <c r="J91" s="19">
        <f>VLOOKUP(F91,Résultats!$B$2:$AX$476,'T energie vecteurs'!T5,FALSE)</f>
        <v>3.3215526569999998</v>
      </c>
      <c r="K91" s="19">
        <f>VLOOKUP(G91,Résultats!$B$2:$AX$476,'T energie vecteurs'!T5,FALSE)</f>
        <v>2.2290271320000001</v>
      </c>
      <c r="L91" s="120">
        <f t="shared" si="26"/>
        <v>23.220169499000001</v>
      </c>
      <c r="M91" s="19"/>
      <c r="N91" s="177" t="s">
        <v>20</v>
      </c>
      <c r="O91" s="171"/>
      <c r="P91" s="19"/>
      <c r="Q91" s="55"/>
      <c r="R91" s="19"/>
      <c r="S91" s="120"/>
      <c r="T91" s="120"/>
      <c r="U91" s="177" t="s">
        <v>20</v>
      </c>
      <c r="V91" t="s">
        <v>556</v>
      </c>
      <c r="W91" t="s">
        <v>557</v>
      </c>
      <c r="X91" t="s">
        <v>558</v>
      </c>
      <c r="Y91" t="s">
        <v>559</v>
      </c>
      <c r="Z91" s="19">
        <v>0</v>
      </c>
      <c r="AA91" s="19">
        <v>17.684744309999999</v>
      </c>
      <c r="AB91" s="19">
        <v>3.374491489</v>
      </c>
      <c r="AC91" s="19">
        <v>2.2318752059999998</v>
      </c>
      <c r="AD91" s="120">
        <v>23.291111004999998</v>
      </c>
    </row>
    <row r="92" spans="2:30" x14ac:dyDescent="0.25">
      <c r="C92" s="175" t="s">
        <v>21</v>
      </c>
      <c r="D92" t="s">
        <v>560</v>
      </c>
      <c r="E92" t="s">
        <v>561</v>
      </c>
      <c r="F92" t="s">
        <v>562</v>
      </c>
      <c r="G92" t="s">
        <v>563</v>
      </c>
      <c r="H92" s="8">
        <f>VLOOKUP(D92,Résultats!$B$2:$AX$476,'T energie vecteurs'!T5,FALSE)</f>
        <v>0.2755604176</v>
      </c>
      <c r="I92" s="8">
        <f>VLOOKUP(E92,Résultats!$B$2:$AX$476,'T energie vecteurs'!T5,FALSE)</f>
        <v>6.1676216080000001</v>
      </c>
      <c r="J92" s="8">
        <f>VLOOKUP(F92,Résultats!$B$2:$AX$476,'T energie vecteurs'!T5,FALSE)</f>
        <v>16.534930410000001</v>
      </c>
      <c r="K92" s="8">
        <f>VLOOKUP(G92,Résultats!$B$2:$AX$476,'T energie vecteurs'!T5,FALSE)+2</f>
        <v>19.417902909999999</v>
      </c>
      <c r="L92" s="121">
        <f t="shared" si="26"/>
        <v>42.396015345600006</v>
      </c>
      <c r="M92" s="99"/>
      <c r="N92" s="178" t="s">
        <v>21</v>
      </c>
      <c r="O92" s="36">
        <f>'[1]Bilan 2035'!$V$46/11.63</f>
        <v>0</v>
      </c>
      <c r="P92" s="35">
        <f>SUM('[1]Bilan 2035'!$V$41:$V$43)/11.63</f>
        <v>2.0951035895513908</v>
      </c>
      <c r="Q92" s="35">
        <f>'[1]Bilan 2035'!$V$13/11.63</f>
        <v>15.742193210619391</v>
      </c>
      <c r="R92" s="35">
        <f>('[1]Bilan 2035'!$V$22+'[1]Bilan 2035'!$V$30+SUM('[1]Bilan 2035'!$V$36:$V$40)+SUM('[1]Bilan 2035'!$V$44:$V$45)+'[1]Bilan 2035'!$V$47)/11.63</f>
        <v>20.967584673572926</v>
      </c>
      <c r="S92" s="170">
        <f t="shared" ref="S92:S98" si="27">SUM(O92:R92)</f>
        <v>38.804881473743706</v>
      </c>
      <c r="T92" s="272">
        <f>S92-'[1]Bilan 2035'!$V$40/11.63</f>
        <v>34.565335974830816</v>
      </c>
      <c r="U92" s="175" t="s">
        <v>21</v>
      </c>
      <c r="V92" t="s">
        <v>560</v>
      </c>
      <c r="W92" t="s">
        <v>561</v>
      </c>
      <c r="X92" t="s">
        <v>562</v>
      </c>
      <c r="Y92" t="s">
        <v>563</v>
      </c>
      <c r="Z92" s="261">
        <v>0.27680129110000001</v>
      </c>
      <c r="AA92" s="261">
        <v>6.129753429</v>
      </c>
      <c r="AB92" s="261">
        <v>16.638303480000001</v>
      </c>
      <c r="AC92" s="261">
        <v>19.495215219999999</v>
      </c>
      <c r="AD92" s="262">
        <v>42.540073420100001</v>
      </c>
    </row>
    <row r="93" spans="2:30" x14ac:dyDescent="0.25">
      <c r="C93" s="175" t="s">
        <v>22</v>
      </c>
      <c r="D93" t="s">
        <v>564</v>
      </c>
      <c r="E93" t="s">
        <v>565</v>
      </c>
      <c r="F93" t="s">
        <v>566</v>
      </c>
      <c r="G93" t="s">
        <v>567</v>
      </c>
      <c r="H93" s="8">
        <f>VLOOKUP(D93,Résultats!$B$2:$AX$476,'T energie vecteurs'!T5,FALSE)</f>
        <v>0</v>
      </c>
      <c r="I93" s="8">
        <f>VLOOKUP(E93,Résultats!$B$2:$AX$476,'T energie vecteurs'!T5,FALSE)</f>
        <v>2.0317459599999999</v>
      </c>
      <c r="J93" s="8">
        <f>VLOOKUP(F93,Résultats!$B$2:$AX$476,'T energie vecteurs'!T5,FALSE)</f>
        <v>12.24987979</v>
      </c>
      <c r="K93" s="8">
        <f>VLOOKUP(G93,Résultats!$B$2:$AX$476,'T energie vecteurs'!T5,FALSE)</f>
        <v>7.8203617449999996</v>
      </c>
      <c r="L93" s="121">
        <f t="shared" si="26"/>
        <v>22.101987494999999</v>
      </c>
      <c r="M93" s="99"/>
      <c r="N93" s="178" t="s">
        <v>22</v>
      </c>
      <c r="O93" s="36">
        <f>('[1]Bilan 2035'!$W$46)/11.63</f>
        <v>0</v>
      </c>
      <c r="P93" s="35">
        <f>SUM('[1]Bilan 2035'!$W$41:$W$43)/11.63</f>
        <v>0.78619437858671104</v>
      </c>
      <c r="Q93" s="35">
        <f>('[1]Bilan 2035'!$W$13)/11.63</f>
        <v>11.60340380118288</v>
      </c>
      <c r="R93" s="35">
        <f>('[1]Bilan 2035'!$W$22+'[1]Bilan 2035'!$W$30+SUM('[1]Bilan 2035'!$W$36:$W$40)+SUM('[1]Bilan 2035'!$W$44:$W$45)+'[1]Bilan 2035'!$W$47)/11.63</f>
        <v>6.9321344622243126</v>
      </c>
      <c r="S93" s="170">
        <f t="shared" si="27"/>
        <v>19.321732641993904</v>
      </c>
      <c r="T93" s="272">
        <f>S93-'[1]Bilan 2035'!$W$40/11.63</f>
        <v>18.589103188012192</v>
      </c>
      <c r="U93" s="175" t="s">
        <v>22</v>
      </c>
      <c r="V93" t="s">
        <v>564</v>
      </c>
      <c r="W93" t="s">
        <v>565</v>
      </c>
      <c r="X93" t="s">
        <v>566</v>
      </c>
      <c r="Y93" t="s">
        <v>567</v>
      </c>
      <c r="Z93" s="8">
        <v>0</v>
      </c>
      <c r="AA93" s="8">
        <v>2.0192262269999999</v>
      </c>
      <c r="AB93" s="8">
        <v>12.35443531</v>
      </c>
      <c r="AC93" s="8">
        <v>7.7852944949999996</v>
      </c>
      <c r="AD93" s="121">
        <v>22.158956031999999</v>
      </c>
    </row>
    <row r="94" spans="2:30" x14ac:dyDescent="0.25">
      <c r="C94" s="175" t="s">
        <v>23</v>
      </c>
      <c r="H94" s="8">
        <f>SUM(H95:H97)</f>
        <v>2.6503229816</v>
      </c>
      <c r="I94" s="8">
        <f>SUM(I95:I97)</f>
        <v>14.960282527</v>
      </c>
      <c r="J94" s="8">
        <f>SUM(J95:J97)</f>
        <v>10.898995705000001</v>
      </c>
      <c r="K94" s="8">
        <f>SUM(K95:K97)</f>
        <v>15.926124809900001</v>
      </c>
      <c r="L94" s="121">
        <f t="shared" si="26"/>
        <v>44.435726023500003</v>
      </c>
      <c r="M94" s="99"/>
      <c r="N94" s="178" t="s">
        <v>252</v>
      </c>
      <c r="O94" s="36">
        <f>O95+O96</f>
        <v>3.9553292854700368</v>
      </c>
      <c r="P94" s="35">
        <f t="shared" ref="P94:R94" si="28">P95+P96</f>
        <v>11.944511664213444</v>
      </c>
      <c r="Q94" s="35">
        <f t="shared" si="28"/>
        <v>9.4578136584636443</v>
      </c>
      <c r="R94" s="35">
        <f t="shared" si="28"/>
        <v>13.231890023314504</v>
      </c>
      <c r="S94" s="170">
        <f t="shared" si="27"/>
        <v>38.589544631461628</v>
      </c>
      <c r="T94" s="272">
        <f t="shared" ref="T94" si="29">S94</f>
        <v>38.589544631461628</v>
      </c>
      <c r="U94" s="175" t="s">
        <v>23</v>
      </c>
      <c r="Z94" s="8">
        <v>2.6433083579000001</v>
      </c>
      <c r="AA94" s="8">
        <v>14.920764159000001</v>
      </c>
      <c r="AB94" s="8">
        <v>10.9971597052</v>
      </c>
      <c r="AC94" s="8">
        <v>15.904226019200001</v>
      </c>
      <c r="AD94" s="121">
        <v>44.465458241300006</v>
      </c>
    </row>
    <row r="95" spans="2:30" x14ac:dyDescent="0.25">
      <c r="C95" s="177" t="s">
        <v>24</v>
      </c>
      <c r="D95" t="s">
        <v>568</v>
      </c>
      <c r="E95" t="s">
        <v>569</v>
      </c>
      <c r="F95" t="s">
        <v>570</v>
      </c>
      <c r="G95" t="s">
        <v>571</v>
      </c>
      <c r="H95" s="19">
        <f>VLOOKUP(D95,Résultats!$B$2:$AX$476,'T energie vecteurs'!T5,FALSE)</f>
        <v>1.770814476</v>
      </c>
      <c r="I95" s="19">
        <f>VLOOKUP(E95,Résultats!$B$2:$AX$476,'T energie vecteurs'!T5,FALSE)</f>
        <v>9.6228145769999998</v>
      </c>
      <c r="J95" s="19">
        <f>VLOOKUP(F95,Résultats!$B$2:$AX$476,'T energie vecteurs'!T5,FALSE)</f>
        <v>10.534216560000001</v>
      </c>
      <c r="K95" s="19">
        <f>VLOOKUP(G95,Résultats!$B$2:$AX$476,'T energie vecteurs'!T5,FALSE)</f>
        <v>13.077158750000001</v>
      </c>
      <c r="L95" s="120">
        <f t="shared" si="26"/>
        <v>35.005004363000005</v>
      </c>
      <c r="M95" s="19"/>
      <c r="N95" s="177" t="s">
        <v>253</v>
      </c>
      <c r="O95" s="171">
        <f>'[1]Bilan 2035'!$U$46/11.63</f>
        <v>0.53312193513684658</v>
      </c>
      <c r="P95" s="37">
        <f>SUM('[1]Bilan 2035'!$U$41:$U$43)/11.63</f>
        <v>2.0748420527036808</v>
      </c>
      <c r="Q95" s="37">
        <f>'[1]Bilan 2035'!$U$13/11.63</f>
        <v>9.4578136584636443</v>
      </c>
      <c r="R95" s="37">
        <f>('[1]Bilan 2035'!$U$22+'[1]Bilan 2035'!$U$30+SUM('[1]Bilan 2035'!$U$36:$U$40)+SUM('[1]Bilan 2035'!$U$44:$U$45)+'[1]Bilan 2035'!$U$47)/11.63</f>
        <v>12.122414160555191</v>
      </c>
      <c r="S95" s="120">
        <f t="shared" si="27"/>
        <v>24.188191806859365</v>
      </c>
      <c r="T95" s="120"/>
      <c r="U95" s="177" t="s">
        <v>24</v>
      </c>
      <c r="V95" t="s">
        <v>568</v>
      </c>
      <c r="W95" t="s">
        <v>569</v>
      </c>
      <c r="X95" t="s">
        <v>570</v>
      </c>
      <c r="Y95" t="s">
        <v>571</v>
      </c>
      <c r="Z95" s="19">
        <v>1.762421668</v>
      </c>
      <c r="AA95" s="19">
        <v>9.5887093060000002</v>
      </c>
      <c r="AB95" s="19">
        <v>10.62699727</v>
      </c>
      <c r="AC95" s="19">
        <v>13.04945981</v>
      </c>
      <c r="AD95" s="120">
        <v>35.027588053999999</v>
      </c>
    </row>
    <row r="96" spans="2:30" x14ac:dyDescent="0.25">
      <c r="C96" s="177" t="s">
        <v>129</v>
      </c>
      <c r="D96" t="s">
        <v>572</v>
      </c>
      <c r="E96" t="s">
        <v>573</v>
      </c>
      <c r="F96" t="s">
        <v>574</v>
      </c>
      <c r="G96" t="s">
        <v>575</v>
      </c>
      <c r="H96" s="19">
        <f>VLOOKUP(D96,Résultats!$B$2:$AX$476,'T energie vecteurs'!T5,FALSE)</f>
        <v>0.87950850560000005</v>
      </c>
      <c r="I96" s="19">
        <f>VLOOKUP(E96,Résultats!$B$2:$AX$476,'T energie vecteurs'!T5,FALSE)</f>
        <v>2.2583728000000001</v>
      </c>
      <c r="J96" s="19">
        <f>VLOOKUP(F96,Résultats!$B$2:$AX$476,'T energie vecteurs'!T5,FALSE)</f>
        <v>0</v>
      </c>
      <c r="K96" s="19">
        <f>VLOOKUP(G96,Résultats!$B$2:$AX$476,'T energie vecteurs'!T5,FALSE)</f>
        <v>2.3962308970000001</v>
      </c>
      <c r="L96" s="120">
        <f t="shared" si="26"/>
        <v>5.5341122026000003</v>
      </c>
      <c r="M96" s="19"/>
      <c r="N96" s="177" t="s">
        <v>129</v>
      </c>
      <c r="O96" s="28">
        <f>'[1]Bilan 2035'!$E$52/11.63</f>
        <v>3.4222073503331902</v>
      </c>
      <c r="P96" s="19">
        <f>('[1]Bilan 2035'!$E$54+'[1]Bilan 2035'!$E$56)/11.63</f>
        <v>9.8696696115097637</v>
      </c>
      <c r="Q96" s="19">
        <v>0</v>
      </c>
      <c r="R96" s="19">
        <f>('[1]Bilan 2035'!$E$53+'[1]Bilan 2035'!$E$55+'[1]Bilan 2035'!$E$57)/11.63</f>
        <v>1.1094758627593131</v>
      </c>
      <c r="S96" s="120">
        <f t="shared" si="27"/>
        <v>14.401352824602267</v>
      </c>
      <c r="T96" s="120"/>
      <c r="U96" s="177" t="s">
        <v>129</v>
      </c>
      <c r="V96" t="s">
        <v>572</v>
      </c>
      <c r="W96" t="s">
        <v>573</v>
      </c>
      <c r="X96" t="s">
        <v>574</v>
      </c>
      <c r="Y96" t="s">
        <v>575</v>
      </c>
      <c r="Z96" s="19">
        <v>0.88088668989999996</v>
      </c>
      <c r="AA96" s="19">
        <v>2.2608094080000001</v>
      </c>
      <c r="AB96" s="19">
        <v>0</v>
      </c>
      <c r="AC96" s="19">
        <v>2.4011623430000002</v>
      </c>
      <c r="AD96" s="120">
        <v>5.5428584408999999</v>
      </c>
    </row>
    <row r="97" spans="3:30" x14ac:dyDescent="0.25">
      <c r="C97" s="177" t="s">
        <v>25</v>
      </c>
      <c r="D97" t="s">
        <v>576</v>
      </c>
      <c r="E97" t="s">
        <v>577</v>
      </c>
      <c r="F97" t="s">
        <v>578</v>
      </c>
      <c r="G97" t="s">
        <v>579</v>
      </c>
      <c r="H97" s="19">
        <f>VLOOKUP(D97,Résultats!$B$2:$AX$476,'T energie vecteurs'!T5,FALSE)</f>
        <v>0</v>
      </c>
      <c r="I97" s="19">
        <f>VLOOKUP(E97,Résultats!$B$2:$AX$476,'T energie vecteurs'!T5,FALSE)</f>
        <v>3.0790951500000001</v>
      </c>
      <c r="J97" s="19">
        <f>VLOOKUP(F97,Résultats!$B$2:$AX$476,'T energie vecteurs'!T5,FALSE)</f>
        <v>0.36477914500000003</v>
      </c>
      <c r="K97" s="19">
        <f>VLOOKUP(G97,Résultats!$B$2:$AX$476,'T energie vecteurs'!T5,FALSE)</f>
        <v>0.45273516289999999</v>
      </c>
      <c r="L97" s="120">
        <f t="shared" si="26"/>
        <v>3.8966094578999999</v>
      </c>
      <c r="M97" s="19"/>
      <c r="N97" s="178" t="s">
        <v>25</v>
      </c>
      <c r="O97" s="36">
        <f>'[1]Bilan 2035'!$T$46/11.63</f>
        <v>0</v>
      </c>
      <c r="P97" s="35">
        <f>SUM('[1]Bilan 2035'!$T$41:$T$43)/11.63</f>
        <v>2.9333630598729807</v>
      </c>
      <c r="Q97" s="35">
        <f>'[1]Bilan 2035'!$T$13/11.63</f>
        <v>0.61074147074884144</v>
      </c>
      <c r="R97" s="35">
        <f>('[1]Bilan 2035'!$T$22+'[1]Bilan 2035'!$T$30+SUM('[1]Bilan 2035'!$T$36:$T$40)+SUM('[1]Bilan 2035'!$T$44:$T$45)+'[1]Bilan 2035'!$T$47)/11.63</f>
        <v>0.3773602321326443</v>
      </c>
      <c r="S97" s="170">
        <f t="shared" si="27"/>
        <v>3.9214647627544661</v>
      </c>
      <c r="T97" s="272">
        <f>S97</f>
        <v>3.9214647627544661</v>
      </c>
      <c r="U97" s="177" t="s">
        <v>25</v>
      </c>
      <c r="V97" t="s">
        <v>576</v>
      </c>
      <c r="W97" t="s">
        <v>577</v>
      </c>
      <c r="X97" t="s">
        <v>578</v>
      </c>
      <c r="Y97" t="s">
        <v>579</v>
      </c>
      <c r="Z97" s="19">
        <v>0</v>
      </c>
      <c r="AA97" s="19">
        <v>3.0712454450000002</v>
      </c>
      <c r="AB97" s="19">
        <v>0.37016243519999997</v>
      </c>
      <c r="AC97" s="19">
        <v>0.45360386619999998</v>
      </c>
      <c r="AD97" s="120">
        <v>3.8950117464000003</v>
      </c>
    </row>
    <row r="98" spans="3:30" x14ac:dyDescent="0.25">
      <c r="C98" s="29" t="s">
        <v>26</v>
      </c>
      <c r="D98" s="10"/>
      <c r="E98" s="10"/>
      <c r="F98" s="10"/>
      <c r="G98" s="10"/>
      <c r="H98" s="9">
        <f>SUM(H89,H92:H94)</f>
        <v>2.9258833992</v>
      </c>
      <c r="I98" s="9">
        <f>SUM(I89,I92:I94)</f>
        <v>58.885902205000008</v>
      </c>
      <c r="J98" s="9">
        <f>SUM(J89,J92:J94)</f>
        <v>44.160816089999997</v>
      </c>
      <c r="K98" s="9">
        <f>SUM(K89,K92:K94)</f>
        <v>45.393460998866097</v>
      </c>
      <c r="L98" s="123">
        <f t="shared" si="26"/>
        <v>151.36606269306611</v>
      </c>
      <c r="M98" s="105"/>
      <c r="N98" s="179" t="s">
        <v>26</v>
      </c>
      <c r="O98" s="40">
        <f>O89+O92+O93+O94+O97</f>
        <v>3.9553292854700368</v>
      </c>
      <c r="P98" s="38">
        <f>P89+P92+P93+P94+P97</f>
        <v>45.245630213935705</v>
      </c>
      <c r="Q98" s="38">
        <f>Q89+Q92+Q93+Q94+Q97</f>
        <v>41.425734906633224</v>
      </c>
      <c r="R98" s="38">
        <f>R89+R92+R93+R94+R97</f>
        <v>43.712286577184507</v>
      </c>
      <c r="S98" s="172">
        <f t="shared" si="27"/>
        <v>134.33898098322348</v>
      </c>
      <c r="T98" s="271">
        <f>SUM(T89:T97)</f>
        <v>129.36680603032886</v>
      </c>
      <c r="U98" s="29" t="s">
        <v>26</v>
      </c>
      <c r="V98" s="10"/>
      <c r="W98" s="10"/>
      <c r="X98" s="10"/>
      <c r="Y98" s="10"/>
      <c r="Z98" s="9">
        <v>2.920109649</v>
      </c>
      <c r="AA98" s="9">
        <v>58.817332564999994</v>
      </c>
      <c r="AB98" s="9">
        <v>44.5213312542</v>
      </c>
      <c r="AC98" s="9">
        <v>45.416655512809001</v>
      </c>
      <c r="AD98" s="123">
        <v>151.67542898100899</v>
      </c>
    </row>
    <row r="99" spans="3:30" s="3" customFormat="1" x14ac:dyDescent="0.25"/>
    <row r="100" spans="3:30" s="3" customFormat="1" x14ac:dyDescent="0.25"/>
    <row r="101" spans="3:30" s="3" customFormat="1" ht="31.5" x14ac:dyDescent="0.35">
      <c r="C101" s="173">
        <v>2040</v>
      </c>
      <c r="D101" s="174"/>
      <c r="E101" s="174"/>
      <c r="F101" s="174"/>
      <c r="G101" s="174"/>
      <c r="H101" s="101" t="s">
        <v>36</v>
      </c>
      <c r="I101" s="101" t="s">
        <v>131</v>
      </c>
      <c r="J101" s="101" t="s">
        <v>38</v>
      </c>
      <c r="K101" s="101" t="s">
        <v>130</v>
      </c>
      <c r="L101" s="118" t="s">
        <v>1</v>
      </c>
      <c r="M101" s="25"/>
      <c r="N101" s="173">
        <v>2040</v>
      </c>
      <c r="O101" s="169" t="s">
        <v>36</v>
      </c>
      <c r="P101" s="101" t="s">
        <v>131</v>
      </c>
      <c r="Q101" s="101" t="s">
        <v>38</v>
      </c>
      <c r="R101" s="101" t="s">
        <v>130</v>
      </c>
      <c r="S101" s="118" t="s">
        <v>1</v>
      </c>
      <c r="T101" s="270" t="s">
        <v>580</v>
      </c>
      <c r="U101" s="173">
        <v>2040</v>
      </c>
      <c r="V101" s="174"/>
      <c r="W101" s="174"/>
      <c r="X101" s="174"/>
      <c r="Y101" s="174"/>
      <c r="Z101" s="101" t="s">
        <v>36</v>
      </c>
      <c r="AA101" s="101" t="s">
        <v>131</v>
      </c>
      <c r="AB101" s="101" t="s">
        <v>38</v>
      </c>
      <c r="AC101" s="101" t="s">
        <v>130</v>
      </c>
      <c r="AD101" s="118" t="s">
        <v>1</v>
      </c>
    </row>
    <row r="102" spans="3:30" s="3" customFormat="1" x14ac:dyDescent="0.25">
      <c r="C102" s="175" t="s">
        <v>18</v>
      </c>
      <c r="D102"/>
      <c r="E102"/>
      <c r="F102"/>
      <c r="G102"/>
      <c r="H102" s="8">
        <f>SUM(H103:H104)</f>
        <v>0</v>
      </c>
      <c r="I102" s="8">
        <f>SUM(I103:I104)</f>
        <v>33.529757380000007</v>
      </c>
      <c r="J102" s="8">
        <f>SUM(J103:J104)</f>
        <v>5.4912660730000002</v>
      </c>
      <c r="K102" s="8">
        <f>SUM(K103:K104)</f>
        <v>2.9686528846736002</v>
      </c>
      <c r="L102" s="121">
        <f t="shared" ref="L102:L111" si="30">SUM(H102:K102)</f>
        <v>41.989676337673608</v>
      </c>
      <c r="M102" s="99"/>
      <c r="N102" s="178" t="s">
        <v>18</v>
      </c>
      <c r="O102" s="36">
        <f>'[1]Bilan 2040'!$X$46/11.63</f>
        <v>0</v>
      </c>
      <c r="P102" s="35">
        <f>SUM('[1]Bilan 2040'!$X$41:$X$43)/11.63</f>
        <v>23.504697168694122</v>
      </c>
      <c r="Q102" s="35">
        <f>'[1]Bilan 2040'!$X$13/11.63</f>
        <v>5.3384407017958537</v>
      </c>
      <c r="R102" s="35">
        <f>('[1]Bilan 2040'!$X$22+'[1]Bilan 2040'!$X$30+SUM('[1]Bilan 2040'!$X$36:$X$40)+SUM('[1]Bilan 2040'!$X$44:$X$45)+'[1]Bilan 2040'!$X$47)/11.63</f>
        <v>2.7897080492637398</v>
      </c>
      <c r="S102" s="170">
        <f>SUM(O102:R102)</f>
        <v>31.632845919753716</v>
      </c>
      <c r="T102" s="272">
        <f>S102</f>
        <v>31.632845919753716</v>
      </c>
      <c r="U102" s="175" t="s">
        <v>18</v>
      </c>
      <c r="V102"/>
      <c r="W102"/>
      <c r="X102"/>
      <c r="Y102"/>
      <c r="Z102" s="8">
        <v>0</v>
      </c>
      <c r="AA102" s="8">
        <v>33.552653169999999</v>
      </c>
      <c r="AB102" s="8">
        <v>5.5562591480000005</v>
      </c>
      <c r="AC102" s="8">
        <v>2.9742861014252999</v>
      </c>
      <c r="AD102" s="121">
        <v>42.083198419425301</v>
      </c>
    </row>
    <row r="103" spans="3:30" s="3" customFormat="1" x14ac:dyDescent="0.25">
      <c r="C103" s="176" t="s">
        <v>19</v>
      </c>
      <c r="D103" t="s">
        <v>552</v>
      </c>
      <c r="E103" t="s">
        <v>553</v>
      </c>
      <c r="F103" t="s">
        <v>554</v>
      </c>
      <c r="G103" t="s">
        <v>555</v>
      </c>
      <c r="H103" s="37">
        <f>VLOOKUP(D103,Résultats!$B$2:$AX$476,'T energie vecteurs'!U5,FALSE)</f>
        <v>0</v>
      </c>
      <c r="I103" s="37">
        <f>VLOOKUP(E103,Résultats!$B$2:$AX$476,'T energie vecteurs'!U5,FALSE)</f>
        <v>16.322150870000002</v>
      </c>
      <c r="J103" s="37">
        <f>VLOOKUP(F103,Résultats!$B$2:$AX$476,'T energie vecteurs'!U5,FALSE)</f>
        <v>1.9011785830000001</v>
      </c>
      <c r="K103" s="37">
        <f>VLOOKUP(G103,Résultats!$B$2:$AX$476,'T energie vecteurs'!U5,FALSE)</f>
        <v>5.2673673599999999E-5</v>
      </c>
      <c r="L103" s="264">
        <f t="shared" si="30"/>
        <v>18.223382126673602</v>
      </c>
      <c r="M103" s="19"/>
      <c r="N103" s="176" t="s">
        <v>19</v>
      </c>
      <c r="O103" s="171"/>
      <c r="P103" s="19"/>
      <c r="Q103" s="55"/>
      <c r="R103" s="19"/>
      <c r="S103" s="120"/>
      <c r="T103" s="120"/>
      <c r="U103" s="176" t="s">
        <v>19</v>
      </c>
      <c r="V103" t="s">
        <v>552</v>
      </c>
      <c r="W103" t="s">
        <v>553</v>
      </c>
      <c r="X103" t="s">
        <v>554</v>
      </c>
      <c r="Y103" t="s">
        <v>555</v>
      </c>
      <c r="Z103" s="37">
        <v>0</v>
      </c>
      <c r="AA103" s="37">
        <v>16.327248780000001</v>
      </c>
      <c r="AB103" s="263">
        <v>1.9027724049999999</v>
      </c>
      <c r="AC103" s="37">
        <v>5.2838425300000002E-5</v>
      </c>
      <c r="AD103" s="264">
        <v>18.230074023425303</v>
      </c>
    </row>
    <row r="104" spans="3:30" s="3" customFormat="1" x14ac:dyDescent="0.25">
      <c r="C104" s="177" t="s">
        <v>20</v>
      </c>
      <c r="D104" t="s">
        <v>556</v>
      </c>
      <c r="E104" t="s">
        <v>557</v>
      </c>
      <c r="F104" t="s">
        <v>558</v>
      </c>
      <c r="G104" t="s">
        <v>559</v>
      </c>
      <c r="H104" s="37">
        <f>VLOOKUP(D104,Résultats!$B$2:$AX$476,'T energie vecteurs'!U5,FALSE)</f>
        <v>0</v>
      </c>
      <c r="I104" s="37">
        <f>VLOOKUP(E104,Résultats!$B$2:$AX$476,'T energie vecteurs'!U5,FALSE)</f>
        <v>17.207606510000002</v>
      </c>
      <c r="J104" s="37">
        <f>VLOOKUP(F104,Résultats!$B$2:$AX$476,'T energie vecteurs'!U5,FALSE)</f>
        <v>3.5900874900000002</v>
      </c>
      <c r="K104" s="37">
        <f>VLOOKUP(G104,Résultats!$B$2:$AX$476,'T energie vecteurs'!U5,FALSE)</f>
        <v>2.968600211</v>
      </c>
      <c r="L104" s="264">
        <f t="shared" si="30"/>
        <v>23.766294211000002</v>
      </c>
      <c r="M104" s="19"/>
      <c r="N104" s="177" t="s">
        <v>20</v>
      </c>
      <c r="O104" s="171"/>
      <c r="P104" s="19"/>
      <c r="Q104" s="55"/>
      <c r="R104" s="19"/>
      <c r="S104" s="120"/>
      <c r="T104" s="120"/>
      <c r="U104" s="177" t="s">
        <v>20</v>
      </c>
      <c r="V104" t="s">
        <v>556</v>
      </c>
      <c r="W104" t="s">
        <v>557</v>
      </c>
      <c r="X104" t="s">
        <v>558</v>
      </c>
      <c r="Y104" t="s">
        <v>559</v>
      </c>
      <c r="Z104" s="37">
        <v>0</v>
      </c>
      <c r="AA104" s="37">
        <v>17.225404390000001</v>
      </c>
      <c r="AB104" s="37">
        <v>3.6534867430000002</v>
      </c>
      <c r="AC104" s="37">
        <v>2.9742332629999999</v>
      </c>
      <c r="AD104" s="264">
        <v>23.853124396000002</v>
      </c>
    </row>
    <row r="105" spans="3:30" s="3" customFormat="1" x14ac:dyDescent="0.25">
      <c r="C105" s="175" t="s">
        <v>21</v>
      </c>
      <c r="D105" t="s">
        <v>560</v>
      </c>
      <c r="E105" t="s">
        <v>561</v>
      </c>
      <c r="F105" t="s">
        <v>562</v>
      </c>
      <c r="G105" t="s">
        <v>563</v>
      </c>
      <c r="H105" s="265">
        <f>VLOOKUP(D105,Résultats!$B$2:$AX$476,'T energie vecteurs'!U5,FALSE)</f>
        <v>0.26194101759999999</v>
      </c>
      <c r="I105" s="265">
        <f>VLOOKUP(E105,Résultats!$B$2:$AX$476,'T energie vecteurs'!U5,FALSE)</f>
        <v>6.1430832879999997</v>
      </c>
      <c r="J105" s="265">
        <f>VLOOKUP(F105,Résultats!$B$2:$AX$476,'T energie vecteurs'!U5,FALSE)</f>
        <v>17.09005453</v>
      </c>
      <c r="K105" s="265">
        <f>VLOOKUP(G105,Résultats!$B$2:$AX$476,'T energie vecteurs'!U5,FALSE)+2</f>
        <v>19.313125790000001</v>
      </c>
      <c r="L105" s="266">
        <f t="shared" si="30"/>
        <v>42.808204625599998</v>
      </c>
      <c r="M105" s="99"/>
      <c r="N105" s="178" t="s">
        <v>21</v>
      </c>
      <c r="O105" s="36">
        <f>'[1]Bilan 2040'!$V$46/11.63</f>
        <v>0</v>
      </c>
      <c r="P105" s="35">
        <f>SUM('[1]Bilan 2040'!$V$41:$V$43)/11.63</f>
        <v>1.5217705718446504</v>
      </c>
      <c r="Q105" s="35">
        <f>'[1]Bilan 2040'!$V$13/11.63</f>
        <v>16.100467182146332</v>
      </c>
      <c r="R105" s="35">
        <f>('[1]Bilan 2040'!$V$22+'[1]Bilan 2040'!$V$30+SUM('[1]Bilan 2040'!$V$36:$V$40)+SUM('[1]Bilan 2040'!$V$44:$V$45)+'[1]Bilan 2040'!$V$47)/11.63</f>
        <v>20.91841103225741</v>
      </c>
      <c r="S105" s="170">
        <f t="shared" ref="S105:S111" si="31">SUM(O105:R105)</f>
        <v>38.540648786248397</v>
      </c>
      <c r="T105" s="272">
        <f>S105-'[1]Bilan 2040'!$V$40/11.63</f>
        <v>33.878651738643981</v>
      </c>
      <c r="U105" s="175" t="s">
        <v>21</v>
      </c>
      <c r="V105" t="s">
        <v>560</v>
      </c>
      <c r="W105" t="s">
        <v>561</v>
      </c>
      <c r="X105" t="s">
        <v>562</v>
      </c>
      <c r="Y105" t="s">
        <v>563</v>
      </c>
      <c r="Z105" s="265">
        <v>0.26416643880000001</v>
      </c>
      <c r="AA105" s="265">
        <v>6.1117974269999999</v>
      </c>
      <c r="AB105" s="265">
        <v>17.249381320000001</v>
      </c>
      <c r="AC105" s="265">
        <v>19.47670531</v>
      </c>
      <c r="AD105" s="266">
        <v>43.1020504958</v>
      </c>
    </row>
    <row r="106" spans="3:30" s="3" customFormat="1" x14ac:dyDescent="0.25">
      <c r="C106" s="175" t="s">
        <v>22</v>
      </c>
      <c r="D106" t="s">
        <v>564</v>
      </c>
      <c r="E106" t="s">
        <v>565</v>
      </c>
      <c r="F106" t="s">
        <v>566</v>
      </c>
      <c r="G106" t="s">
        <v>567</v>
      </c>
      <c r="H106" s="265">
        <f>VLOOKUP(D106,Résultats!$B$2:$AX$476,'T energie vecteurs'!U5,FALSE)</f>
        <v>0</v>
      </c>
      <c r="I106" s="265">
        <f>VLOOKUP(E106,Résultats!$B$2:$AX$476,'T energie vecteurs'!U5,FALSE)</f>
        <v>1.887143646</v>
      </c>
      <c r="J106" s="265">
        <f>VLOOKUP(F106,Résultats!$B$2:$AX$476,'T energie vecteurs'!U5,FALSE)</f>
        <v>12.17749598</v>
      </c>
      <c r="K106" s="265">
        <f>VLOOKUP(G106,Résultats!$B$2:$AX$476,'T energie vecteurs'!U5,FALSE)</f>
        <v>7.3908896400000001</v>
      </c>
      <c r="L106" s="266">
        <f t="shared" si="30"/>
        <v>21.455529265999999</v>
      </c>
      <c r="M106" s="99"/>
      <c r="N106" s="178" t="s">
        <v>22</v>
      </c>
      <c r="O106" s="36">
        <f>('[1]Bilan 2040'!$W$46)/11.63</f>
        <v>0</v>
      </c>
      <c r="P106" s="35">
        <f>SUM('[1]Bilan 2040'!$W$41:$W$43)/11.63</f>
        <v>0.4952300504112862</v>
      </c>
      <c r="Q106" s="35">
        <f>('[1]Bilan 2040'!$W$13)/11.63</f>
        <v>11.924705484934304</v>
      </c>
      <c r="R106" s="35">
        <f>('[1]Bilan 2040'!$W$22+'[1]Bilan 2040'!$W$30+SUM('[1]Bilan 2040'!$W$36:$W$40)+SUM('[1]Bilan 2040'!$W$44:$W$45)+'[1]Bilan 2040'!$W$47)/11.63</f>
        <v>6.9475060506073669</v>
      </c>
      <c r="S106" s="170">
        <f t="shared" si="31"/>
        <v>19.367441585952957</v>
      </c>
      <c r="T106" s="272">
        <f>S106-'[1]Bilan 2040'!$W$40/11.63</f>
        <v>18.621198562703654</v>
      </c>
      <c r="U106" s="175" t="s">
        <v>22</v>
      </c>
      <c r="V106" t="s">
        <v>564</v>
      </c>
      <c r="W106" t="s">
        <v>565</v>
      </c>
      <c r="X106" t="s">
        <v>566</v>
      </c>
      <c r="Y106" t="s">
        <v>567</v>
      </c>
      <c r="Z106" s="265">
        <v>0</v>
      </c>
      <c r="AA106" s="265">
        <v>1.8709553560000001</v>
      </c>
      <c r="AB106" s="265">
        <v>12.294472880000001</v>
      </c>
      <c r="AC106" s="265">
        <v>7.3686845999999999</v>
      </c>
      <c r="AD106" s="266">
        <v>21.534112835999998</v>
      </c>
    </row>
    <row r="107" spans="3:30" s="3" customFormat="1" x14ac:dyDescent="0.25">
      <c r="C107" s="175" t="s">
        <v>23</v>
      </c>
      <c r="D107"/>
      <c r="E107"/>
      <c r="F107"/>
      <c r="G107"/>
      <c r="H107" s="265">
        <f>SUM(H108:H110)</f>
        <v>2.8347709671999999</v>
      </c>
      <c r="I107" s="265">
        <f>SUM(I108:I110)</f>
        <v>16.003722648</v>
      </c>
      <c r="J107" s="265">
        <f>SUM(J108:J110)</f>
        <v>11.550244793200001</v>
      </c>
      <c r="K107" s="265">
        <f>SUM(K108:K110)</f>
        <v>16.364332829400002</v>
      </c>
      <c r="L107" s="266">
        <f t="shared" si="30"/>
        <v>46.7530712378</v>
      </c>
      <c r="M107" s="99"/>
      <c r="N107" s="178" t="s">
        <v>252</v>
      </c>
      <c r="O107" s="36">
        <f>O108+O109</f>
        <v>3.8874337769367404</v>
      </c>
      <c r="P107" s="35">
        <f t="shared" ref="P107:R107" si="32">P108+P109</f>
        <v>11.388314604220763</v>
      </c>
      <c r="Q107" s="35">
        <f t="shared" si="32"/>
        <v>9.6134424318279077</v>
      </c>
      <c r="R107" s="35">
        <f t="shared" si="32"/>
        <v>13.10400229713315</v>
      </c>
      <c r="S107" s="170">
        <f t="shared" si="31"/>
        <v>37.993193110118561</v>
      </c>
      <c r="T107" s="272">
        <f t="shared" ref="T107" si="33">S107</f>
        <v>37.993193110118561</v>
      </c>
      <c r="U107" s="175" t="s">
        <v>23</v>
      </c>
      <c r="V107"/>
      <c r="W107"/>
      <c r="X107"/>
      <c r="Y107"/>
      <c r="Z107" s="265">
        <v>2.8253654914999999</v>
      </c>
      <c r="AA107" s="265">
        <v>15.933922775000001</v>
      </c>
      <c r="AB107" s="265">
        <v>11.6651801566</v>
      </c>
      <c r="AC107" s="265">
        <v>16.397601187100001</v>
      </c>
      <c r="AD107" s="266">
        <v>46.822069610200003</v>
      </c>
    </row>
    <row r="108" spans="3:30" s="3" customFormat="1" x14ac:dyDescent="0.25">
      <c r="C108" s="177" t="s">
        <v>24</v>
      </c>
      <c r="D108" t="s">
        <v>568</v>
      </c>
      <c r="E108" t="s">
        <v>569</v>
      </c>
      <c r="F108" t="s">
        <v>570</v>
      </c>
      <c r="G108" t="s">
        <v>571</v>
      </c>
      <c r="H108" s="37">
        <f>VLOOKUP(D108,Résultats!$B$2:$AX$476,'T energie vecteurs'!U5,FALSE)</f>
        <v>1.9139814770000001</v>
      </c>
      <c r="I108" s="37">
        <f>VLOOKUP(E108,Résultats!$B$2:$AX$476,'T energie vecteurs'!U5,FALSE)</f>
        <v>10.33077902</v>
      </c>
      <c r="J108" s="37">
        <f>VLOOKUP(F108,Résultats!$B$2:$AX$476,'T energie vecteurs'!U5,FALSE)</f>
        <v>11.170514130000001</v>
      </c>
      <c r="K108" s="37">
        <f>VLOOKUP(G108,Résultats!$B$2:$AX$476,'T energie vecteurs'!U5,FALSE)</f>
        <v>13.41255482</v>
      </c>
      <c r="L108" s="264">
        <f t="shared" si="30"/>
        <v>36.827829446999999</v>
      </c>
      <c r="M108" s="19"/>
      <c r="N108" s="177" t="s">
        <v>253</v>
      </c>
      <c r="O108" s="171">
        <f>'[1]Bilan 2040'!$U$46/11.63</f>
        <v>0.46996817074585479</v>
      </c>
      <c r="P108" s="37">
        <f>SUM('[1]Bilan 2040'!$U$41:$U$43)/11.63</f>
        <v>1.9564072098333778</v>
      </c>
      <c r="Q108" s="37">
        <f>'[1]Bilan 2040'!$U$13/11.63</f>
        <v>9.6134424318279077</v>
      </c>
      <c r="R108" s="37">
        <f>('[1]Bilan 2040'!$U$22+'[1]Bilan 2040'!$U$30+SUM('[1]Bilan 2040'!$U$36:$U$40)+SUM('[1]Bilan 2040'!$U$44:$U$45)+'[1]Bilan 2040'!$U$47)/11.63</f>
        <v>11.936351978766362</v>
      </c>
      <c r="S108" s="120">
        <f t="shared" si="31"/>
        <v>23.976169791173504</v>
      </c>
      <c r="T108" s="120"/>
      <c r="U108" s="177" t="s">
        <v>24</v>
      </c>
      <c r="V108" t="s">
        <v>568</v>
      </c>
      <c r="W108" t="s">
        <v>569</v>
      </c>
      <c r="X108" t="s">
        <v>570</v>
      </c>
      <c r="Y108" t="s">
        <v>571</v>
      </c>
      <c r="Z108" s="37">
        <v>1.9025031649999999</v>
      </c>
      <c r="AA108" s="37">
        <v>10.269535940000001</v>
      </c>
      <c r="AB108" s="37">
        <v>11.278618959999999</v>
      </c>
      <c r="AC108" s="37">
        <v>13.43535546</v>
      </c>
      <c r="AD108" s="264">
        <v>36.886013524999996</v>
      </c>
    </row>
    <row r="109" spans="3:30" s="3" customFormat="1" x14ac:dyDescent="0.25">
      <c r="C109" s="177" t="s">
        <v>129</v>
      </c>
      <c r="D109" t="s">
        <v>572</v>
      </c>
      <c r="E109" t="s">
        <v>573</v>
      </c>
      <c r="F109" t="s">
        <v>574</v>
      </c>
      <c r="G109" t="s">
        <v>575</v>
      </c>
      <c r="H109" s="37">
        <f>VLOOKUP(D109,Résultats!$B$2:$AX$476,'T energie vecteurs'!U5,FALSE)</f>
        <v>0.9207894902</v>
      </c>
      <c r="I109" s="37">
        <f>VLOOKUP(E109,Résultats!$B$2:$AX$476,'T energie vecteurs'!U5,FALSE)</f>
        <v>2.3988066560000001</v>
      </c>
      <c r="J109" s="37">
        <f>VLOOKUP(F109,Résultats!$B$2:$AX$476,'T energie vecteurs'!U5,FALSE)</f>
        <v>0</v>
      </c>
      <c r="K109" s="37">
        <f>VLOOKUP(G109,Résultats!$B$2:$AX$476,'T energie vecteurs'!U5,FALSE)</f>
        <v>2.4830918</v>
      </c>
      <c r="L109" s="264">
        <f t="shared" si="30"/>
        <v>5.8026879462000007</v>
      </c>
      <c r="M109" s="19"/>
      <c r="N109" s="177" t="s">
        <v>129</v>
      </c>
      <c r="O109" s="28">
        <f>'[1]Bilan 2040'!$E$52/11.63</f>
        <v>3.4174656061908855</v>
      </c>
      <c r="P109" s="19">
        <f>('[1]Bilan 2040'!$E$54+'[1]Bilan 2040'!$E$56)/11.63</f>
        <v>9.4319073943873857</v>
      </c>
      <c r="Q109" s="19">
        <v>0</v>
      </c>
      <c r="R109" s="19">
        <f>('[1]Bilan 2040'!$E$53+'[1]Bilan 2040'!$E$55+'[1]Bilan 2040'!$E$57)/11.63</f>
        <v>1.1676503183667879</v>
      </c>
      <c r="S109" s="120">
        <f t="shared" si="31"/>
        <v>14.017023318945059</v>
      </c>
      <c r="T109" s="120"/>
      <c r="U109" s="177" t="s">
        <v>129</v>
      </c>
      <c r="V109" t="s">
        <v>572</v>
      </c>
      <c r="W109" t="s">
        <v>573</v>
      </c>
      <c r="X109" t="s">
        <v>574</v>
      </c>
      <c r="Y109" t="s">
        <v>575</v>
      </c>
      <c r="Z109" s="37">
        <v>0.9228623265</v>
      </c>
      <c r="AA109" s="37">
        <v>2.401842061</v>
      </c>
      <c r="AB109" s="37">
        <v>0</v>
      </c>
      <c r="AC109" s="37">
        <v>2.4911858740000001</v>
      </c>
      <c r="AD109" s="264">
        <v>5.8158902614999999</v>
      </c>
    </row>
    <row r="110" spans="3:30" s="3" customFormat="1" x14ac:dyDescent="0.25">
      <c r="C110" s="177" t="s">
        <v>25</v>
      </c>
      <c r="D110" t="s">
        <v>576</v>
      </c>
      <c r="E110" t="s">
        <v>577</v>
      </c>
      <c r="F110" t="s">
        <v>578</v>
      </c>
      <c r="G110" t="s">
        <v>579</v>
      </c>
      <c r="H110" s="37">
        <f>VLOOKUP(D110,Résultats!$B$2:$AX$476,'T energie vecteurs'!U5,FALSE)</f>
        <v>0</v>
      </c>
      <c r="I110" s="37">
        <f>VLOOKUP(E110,Résultats!$B$2:$AX$476,'T energie vecteurs'!U5,FALSE)</f>
        <v>3.274136972</v>
      </c>
      <c r="J110" s="37">
        <f>VLOOKUP(F110,Résultats!$B$2:$AX$476,'T energie vecteurs'!U5,FALSE)</f>
        <v>0.37973066319999998</v>
      </c>
      <c r="K110" s="37">
        <f>VLOOKUP(G110,Résultats!$B$2:$AX$476,'T energie vecteurs'!U5,FALSE)</f>
        <v>0.4686862094</v>
      </c>
      <c r="L110" s="264">
        <f t="shared" si="30"/>
        <v>4.1225538446000005</v>
      </c>
      <c r="M110" s="19"/>
      <c r="N110" s="178" t="s">
        <v>25</v>
      </c>
      <c r="O110" s="36">
        <f>'[1]Bilan 2040'!$T$46/11.63</f>
        <v>0</v>
      </c>
      <c r="P110" s="35">
        <f>SUM('[1]Bilan 2040'!$T$41:$T$43)/11.63</f>
        <v>2.79232070662915</v>
      </c>
      <c r="Q110" s="35">
        <f>'[1]Bilan 2040'!$T$13/11.63</f>
        <v>0.54723304841648379</v>
      </c>
      <c r="R110" s="35">
        <f>('[1]Bilan 2040'!$T$22+'[1]Bilan 2040'!$T$30+SUM('[1]Bilan 2040'!$T$36:$T$40)+SUM('[1]Bilan 2040'!$T$44:$T$45)+'[1]Bilan 2040'!$T$47)/11.63</f>
        <v>0.43855300175211398</v>
      </c>
      <c r="S110" s="170">
        <f t="shared" si="31"/>
        <v>3.7781067567977473</v>
      </c>
      <c r="T110" s="272">
        <f>S110</f>
        <v>3.7781067567977473</v>
      </c>
      <c r="U110" s="177" t="s">
        <v>25</v>
      </c>
      <c r="V110" t="s">
        <v>576</v>
      </c>
      <c r="W110" t="s">
        <v>577</v>
      </c>
      <c r="X110" t="s">
        <v>578</v>
      </c>
      <c r="Y110" t="s">
        <v>579</v>
      </c>
      <c r="Z110" s="37">
        <v>0</v>
      </c>
      <c r="AA110" s="37">
        <v>3.2625447740000002</v>
      </c>
      <c r="AB110" s="37">
        <v>0.38656119659999999</v>
      </c>
      <c r="AC110" s="37">
        <v>0.47105985309999998</v>
      </c>
      <c r="AD110" s="264">
        <v>4.1201658236999998</v>
      </c>
    </row>
    <row r="111" spans="3:30" s="3" customFormat="1" x14ac:dyDescent="0.25">
      <c r="C111" s="29" t="s">
        <v>26</v>
      </c>
      <c r="D111" s="10"/>
      <c r="E111" s="10"/>
      <c r="F111" s="10"/>
      <c r="G111" s="10"/>
      <c r="H111" s="267">
        <f>SUM(H102,H105:H107)</f>
        <v>3.0967119847999998</v>
      </c>
      <c r="I111" s="267">
        <f>SUM(I102,I105:I107)</f>
        <v>57.563706962000005</v>
      </c>
      <c r="J111" s="267">
        <f>SUM(J102,J105:J107)</f>
        <v>46.309061376199999</v>
      </c>
      <c r="K111" s="267">
        <f>SUM(K102,K105:K107)</f>
        <v>46.037001144073599</v>
      </c>
      <c r="L111" s="268">
        <f t="shared" si="30"/>
        <v>153.0064814670736</v>
      </c>
      <c r="M111" s="105"/>
      <c r="N111" s="179" t="s">
        <v>26</v>
      </c>
      <c r="O111" s="40">
        <f>O102+O105+O106+O107+O110</f>
        <v>3.8874337769367404</v>
      </c>
      <c r="P111" s="38">
        <f>P102+P105+P106+P107+P110</f>
        <v>39.702333101799972</v>
      </c>
      <c r="Q111" s="38">
        <f>Q102+Q105+Q106+Q107+Q110</f>
        <v>43.524288849120879</v>
      </c>
      <c r="R111" s="38">
        <f>R102+R105+R106+R107+R110</f>
        <v>44.198180431013782</v>
      </c>
      <c r="S111" s="172">
        <f t="shared" si="31"/>
        <v>131.31223615887137</v>
      </c>
      <c r="T111" s="271">
        <f>SUM(T102:T110)</f>
        <v>125.90399608801766</v>
      </c>
      <c r="U111" s="29" t="s">
        <v>26</v>
      </c>
      <c r="V111" s="10"/>
      <c r="W111" s="10"/>
      <c r="X111" s="10"/>
      <c r="Y111" s="10"/>
      <c r="Z111" s="267">
        <v>3.0895319302999997</v>
      </c>
      <c r="AA111" s="267">
        <v>57.469328728000001</v>
      </c>
      <c r="AB111" s="267">
        <v>46.765293504600002</v>
      </c>
      <c r="AC111" s="267">
        <v>46.217277198525302</v>
      </c>
      <c r="AD111" s="268">
        <v>153.54143136142531</v>
      </c>
    </row>
    <row r="112" spans="3:30" s="3" customFormat="1" x14ac:dyDescent="0.25"/>
    <row r="113" spans="3:30" s="3" customFormat="1" x14ac:dyDescent="0.25"/>
    <row r="114" spans="3:30" ht="31.5" x14ac:dyDescent="0.35">
      <c r="C114" s="173">
        <v>2050</v>
      </c>
      <c r="D114" s="174"/>
      <c r="E114" s="174"/>
      <c r="F114" s="174"/>
      <c r="G114" s="174"/>
      <c r="H114" s="101" t="s">
        <v>36</v>
      </c>
      <c r="I114" s="101" t="s">
        <v>131</v>
      </c>
      <c r="J114" s="101" t="s">
        <v>38</v>
      </c>
      <c r="K114" s="101" t="s">
        <v>130</v>
      </c>
      <c r="L114" s="118" t="s">
        <v>1</v>
      </c>
      <c r="M114" s="25"/>
      <c r="N114" s="173">
        <v>2050</v>
      </c>
      <c r="O114" s="169" t="s">
        <v>36</v>
      </c>
      <c r="P114" s="101" t="s">
        <v>131</v>
      </c>
      <c r="Q114" s="101" t="s">
        <v>38</v>
      </c>
      <c r="R114" s="101" t="s">
        <v>130</v>
      </c>
      <c r="S114" s="118" t="s">
        <v>1</v>
      </c>
      <c r="T114" s="270" t="s">
        <v>580</v>
      </c>
      <c r="U114" s="173">
        <v>2050</v>
      </c>
      <c r="V114" s="174"/>
      <c r="W114" s="174"/>
      <c r="X114" s="174"/>
      <c r="Y114" s="174"/>
      <c r="Z114" s="101" t="s">
        <v>36</v>
      </c>
      <c r="AA114" s="101" t="s">
        <v>131</v>
      </c>
      <c r="AB114" s="101" t="s">
        <v>38</v>
      </c>
      <c r="AC114" s="101" t="s">
        <v>130</v>
      </c>
      <c r="AD114" s="118" t="s">
        <v>1</v>
      </c>
    </row>
    <row r="115" spans="3:30" x14ac:dyDescent="0.25">
      <c r="C115" s="175" t="s">
        <v>18</v>
      </c>
      <c r="H115" s="8">
        <f>SUM(H116:H117)</f>
        <v>0</v>
      </c>
      <c r="I115" s="8">
        <f>SUM(I116:I117)</f>
        <v>30.82256301</v>
      </c>
      <c r="J115" s="8">
        <f>SUM(J116:J117)</f>
        <v>7.1892510060000001</v>
      </c>
      <c r="K115" s="8">
        <f>SUM(K116:K117)</f>
        <v>3.4973127925580001</v>
      </c>
      <c r="L115" s="121">
        <f>SUM(H115:K115)</f>
        <v>41.509126808558001</v>
      </c>
      <c r="M115" s="99"/>
      <c r="N115" s="178" t="s">
        <v>18</v>
      </c>
      <c r="O115" s="36">
        <f>'[1]Bilan 2050'!$X$46/11.63</f>
        <v>0</v>
      </c>
      <c r="P115" s="35">
        <f>SUM('[1]Bilan 2050'!$X$41:$X$43)/11.63</f>
        <v>20.444690116616325</v>
      </c>
      <c r="Q115" s="35">
        <f>'[1]Bilan 2050'!$X$13/11.63</f>
        <v>6.9492063867804656</v>
      </c>
      <c r="R115" s="35">
        <f>('[1]Bilan 2050'!$X$22+'[1]Bilan 2050'!$X$30+SUM('[1]Bilan 2050'!$X$36:$X$40)+SUM('[1]Bilan 2050'!$X$44:$X$45)+'[1]Bilan 2050'!$X$47)/11.63</f>
        <v>3.1240940704702966</v>
      </c>
      <c r="S115" s="170">
        <f>SUM(O115:R115)</f>
        <v>30.517990573867085</v>
      </c>
      <c r="T115" s="272">
        <f>S115</f>
        <v>30.517990573867085</v>
      </c>
      <c r="U115" s="175" t="s">
        <v>18</v>
      </c>
      <c r="Z115" s="8">
        <v>0</v>
      </c>
      <c r="AA115" s="8">
        <v>30.850750490000003</v>
      </c>
      <c r="AB115" s="8">
        <v>7.2346026430000006</v>
      </c>
      <c r="AC115" s="8">
        <v>3.5077181901265999</v>
      </c>
      <c r="AD115" s="121">
        <v>41.593071323126608</v>
      </c>
    </row>
    <row r="116" spans="3:30" x14ac:dyDescent="0.25">
      <c r="C116" s="176" t="s">
        <v>19</v>
      </c>
      <c r="D116" t="s">
        <v>552</v>
      </c>
      <c r="E116" t="s">
        <v>553</v>
      </c>
      <c r="F116" t="s">
        <v>554</v>
      </c>
      <c r="G116" t="s">
        <v>555</v>
      </c>
      <c r="H116" s="19">
        <f>VLOOKUP(D116,Résultats!$B$2:$AX$476,'T energie vecteurs'!W5,FALSE)</f>
        <v>0</v>
      </c>
      <c r="I116" s="19">
        <f>VLOOKUP(E116,Résultats!$B$2:$AX$476,'T energie vecteurs'!W5,FALSE)</f>
        <v>12.71284026</v>
      </c>
      <c r="J116" s="19">
        <f>VLOOKUP(F116,Résultats!$B$2:$AX$476,'T energie vecteurs'!W5,FALSE)</f>
        <v>3.314322953</v>
      </c>
      <c r="K116" s="19">
        <f>VLOOKUP(G116,Résultats!$B$2:$AX$476,'T energie vecteurs'!W5,FALSE)</f>
        <v>6.5896558E-5</v>
      </c>
      <c r="L116" s="120">
        <f t="shared" ref="L116:L124" si="34">SUM(H116:K116)</f>
        <v>16.027229109558</v>
      </c>
      <c r="M116" s="19"/>
      <c r="N116" s="176" t="s">
        <v>19</v>
      </c>
      <c r="O116" s="171"/>
      <c r="P116" s="19"/>
      <c r="Q116" s="55"/>
      <c r="R116" s="19"/>
      <c r="S116" s="120"/>
      <c r="T116" s="120"/>
      <c r="U116" s="176" t="s">
        <v>19</v>
      </c>
      <c r="V116" t="s">
        <v>552</v>
      </c>
      <c r="W116" t="s">
        <v>553</v>
      </c>
      <c r="X116" t="s">
        <v>554</v>
      </c>
      <c r="Y116" t="s">
        <v>555</v>
      </c>
      <c r="Z116" s="19">
        <v>0</v>
      </c>
      <c r="AA116" s="19">
        <v>12.71638666</v>
      </c>
      <c r="AB116" s="19">
        <v>3.3165985930000002</v>
      </c>
      <c r="AC116" s="19">
        <v>6.6077126599999999E-5</v>
      </c>
      <c r="AD116" s="120">
        <v>16.0330513301266</v>
      </c>
    </row>
    <row r="117" spans="3:30" x14ac:dyDescent="0.25">
      <c r="C117" s="177" t="s">
        <v>20</v>
      </c>
      <c r="D117" t="s">
        <v>556</v>
      </c>
      <c r="E117" t="s">
        <v>557</v>
      </c>
      <c r="F117" t="s">
        <v>558</v>
      </c>
      <c r="G117" t="s">
        <v>559</v>
      </c>
      <c r="H117" s="19">
        <f>VLOOKUP(D117,Résultats!$B$2:$AX$476,'T energie vecteurs'!W5,FALSE)</f>
        <v>0</v>
      </c>
      <c r="I117" s="19">
        <f>VLOOKUP(E117,Résultats!$B$2:$AX$476,'T energie vecteurs'!W5,FALSE)</f>
        <v>18.10972275</v>
      </c>
      <c r="J117" s="19">
        <f>VLOOKUP(F117,Résultats!$B$2:$AX$476,'T energie vecteurs'!W5,FALSE)</f>
        <v>3.8749280530000001</v>
      </c>
      <c r="K117" s="19">
        <f>VLOOKUP(G117,Résultats!$B$2:$AX$476,'T energie vecteurs'!W5,FALSE)</f>
        <v>3.497246896</v>
      </c>
      <c r="L117" s="120">
        <f t="shared" si="34"/>
        <v>25.481897699000001</v>
      </c>
      <c r="M117" s="19"/>
      <c r="N117" s="177" t="s">
        <v>20</v>
      </c>
      <c r="O117" s="171"/>
      <c r="P117" s="19"/>
      <c r="Q117" s="55"/>
      <c r="R117" s="19"/>
      <c r="S117" s="120"/>
      <c r="T117" s="120"/>
      <c r="U117" s="177" t="s">
        <v>20</v>
      </c>
      <c r="V117" t="s">
        <v>556</v>
      </c>
      <c r="W117" t="s">
        <v>557</v>
      </c>
      <c r="X117" t="s">
        <v>558</v>
      </c>
      <c r="Y117" t="s">
        <v>559</v>
      </c>
      <c r="Z117" s="19">
        <v>0</v>
      </c>
      <c r="AA117" s="19">
        <v>18.134363830000002</v>
      </c>
      <c r="AB117" s="19">
        <v>3.91800405</v>
      </c>
      <c r="AC117" s="19">
        <v>3.5076521129999998</v>
      </c>
      <c r="AD117" s="120">
        <v>25.560019993000001</v>
      </c>
    </row>
    <row r="118" spans="3:30" x14ac:dyDescent="0.25">
      <c r="C118" s="175" t="s">
        <v>21</v>
      </c>
      <c r="D118" t="s">
        <v>560</v>
      </c>
      <c r="E118" t="s">
        <v>561</v>
      </c>
      <c r="F118" t="s">
        <v>562</v>
      </c>
      <c r="G118" t="s">
        <v>563</v>
      </c>
      <c r="H118" s="8">
        <f>VLOOKUP(D118,Résultats!$B$2:$AX$476,'T energie vecteurs'!W5,FALSE)</f>
        <v>0.22754406769999999</v>
      </c>
      <c r="I118" s="8">
        <f>VLOOKUP(E118,Résultats!$B$2:$AX$476,'T energie vecteurs'!W5,FALSE)</f>
        <v>5.6094567140000002</v>
      </c>
      <c r="J118" s="8">
        <f>VLOOKUP(F118,Résultats!$B$2:$AX$476,'T energie vecteurs'!W5,FALSE)</f>
        <v>17.580457930000001</v>
      </c>
      <c r="K118" s="8">
        <f>VLOOKUP(G118,Résultats!$B$2:$AX$476,'T energie vecteurs'!W5,FALSE)+2</f>
        <v>18.632468039999999</v>
      </c>
      <c r="L118" s="121">
        <f t="shared" si="34"/>
        <v>42.049926751699999</v>
      </c>
      <c r="M118" s="99"/>
      <c r="N118" s="178" t="s">
        <v>21</v>
      </c>
      <c r="O118" s="36">
        <f>'[1]Bilan 2050'!$V$46/11.63</f>
        <v>0</v>
      </c>
      <c r="P118" s="35">
        <f>SUM('[1]Bilan 2050'!$V$41:$V$43)/11.63</f>
        <v>0.44793357100944881</v>
      </c>
      <c r="Q118" s="35">
        <f>'[1]Bilan 2050'!$V$13/11.63</f>
        <v>16.722069816294518</v>
      </c>
      <c r="R118" s="35">
        <f>('[1]Bilan 2050'!$V$22+'[1]Bilan 2050'!$V$30+SUM('[1]Bilan 2050'!$V$36:$V$40)+SUM('[1]Bilan 2050'!$V$44:$V$45)+'[1]Bilan 2050'!$V$47)/11.63</f>
        <v>20.626598768707204</v>
      </c>
      <c r="S118" s="170">
        <f t="shared" ref="S118:S124" si="35">SUM(O118:R118)</f>
        <v>37.796602156011176</v>
      </c>
      <c r="T118" s="272">
        <f>S118-'[1]Bilan 2050'!$V$40/11.63</f>
        <v>32.080503457869298</v>
      </c>
      <c r="U118" s="175" t="s">
        <v>21</v>
      </c>
      <c r="V118" t="s">
        <v>560</v>
      </c>
      <c r="W118" t="s">
        <v>561</v>
      </c>
      <c r="X118" t="s">
        <v>562</v>
      </c>
      <c r="Y118" t="s">
        <v>563</v>
      </c>
      <c r="Z118" s="261">
        <v>0.23099133190000001</v>
      </c>
      <c r="AA118" s="261">
        <v>5.6204186549999999</v>
      </c>
      <c r="AB118" s="261">
        <v>17.768669419999998</v>
      </c>
      <c r="AC118" s="261">
        <v>18.958865809999999</v>
      </c>
      <c r="AD118" s="262">
        <v>42.578945216899996</v>
      </c>
    </row>
    <row r="119" spans="3:30" x14ac:dyDescent="0.25">
      <c r="C119" s="175" t="s">
        <v>22</v>
      </c>
      <c r="D119" t="s">
        <v>564</v>
      </c>
      <c r="E119" t="s">
        <v>565</v>
      </c>
      <c r="F119" t="s">
        <v>566</v>
      </c>
      <c r="G119" t="s">
        <v>567</v>
      </c>
      <c r="H119" s="8">
        <f>VLOOKUP(D119,Résultats!$B$2:$AX$476,'T energie vecteurs'!W5,FALSE)</f>
        <v>0</v>
      </c>
      <c r="I119" s="8">
        <f>VLOOKUP(E119,Résultats!$B$2:$AX$476,'T energie vecteurs'!W5,FALSE)</f>
        <v>1.8829674270000001</v>
      </c>
      <c r="J119" s="8">
        <f>VLOOKUP(F119,Résultats!$B$2:$AX$476,'T energie vecteurs'!W5,FALSE)</f>
        <v>10.5601843</v>
      </c>
      <c r="K119" s="8">
        <f>VLOOKUP(G119,Résultats!$B$2:$AX$476,'T energie vecteurs'!W5,FALSE)</f>
        <v>6.2431548680000004</v>
      </c>
      <c r="L119" s="121">
        <f t="shared" si="34"/>
        <v>18.686306595000001</v>
      </c>
      <c r="M119" s="99"/>
      <c r="N119" s="178" t="s">
        <v>22</v>
      </c>
      <c r="O119" s="36">
        <f>('[1]Bilan 2050'!$W$46)/11.63</f>
        <v>0</v>
      </c>
      <c r="P119" s="35">
        <f>SUM('[1]Bilan 2050'!$W$41:$W$43)/11.63</f>
        <v>0.19932306002356692</v>
      </c>
      <c r="Q119" s="35">
        <f>('[1]Bilan 2050'!$W$13)/11.63</f>
        <v>12.561375724275205</v>
      </c>
      <c r="R119" s="35">
        <f>('[1]Bilan 2050'!$W$22+'[1]Bilan 2050'!$W$30+SUM('[1]Bilan 2050'!$W$36:$W$40)+SUM('[1]Bilan 2050'!$W$44:$W$45)+'[1]Bilan 2050'!$W$47)/11.63</f>
        <v>6.8359123459815141</v>
      </c>
      <c r="S119" s="170">
        <f t="shared" si="35"/>
        <v>19.596611130280287</v>
      </c>
      <c r="T119" s="272">
        <f>S119-'[1]Bilan 2050'!$W$40/11.63</f>
        <v>18.856668306540005</v>
      </c>
      <c r="U119" s="175" t="s">
        <v>22</v>
      </c>
      <c r="V119" t="s">
        <v>564</v>
      </c>
      <c r="W119" t="s">
        <v>565</v>
      </c>
      <c r="X119" t="s">
        <v>566</v>
      </c>
      <c r="Y119" t="s">
        <v>567</v>
      </c>
      <c r="Z119" s="8">
        <v>0</v>
      </c>
      <c r="AA119" s="8">
        <v>1.8713785380000001</v>
      </c>
      <c r="AB119" s="8">
        <v>10.621630740000001</v>
      </c>
      <c r="AC119" s="8">
        <v>6.2521078030000004</v>
      </c>
      <c r="AD119" s="121">
        <v>18.745117081</v>
      </c>
    </row>
    <row r="120" spans="3:30" x14ac:dyDescent="0.25">
      <c r="C120" s="175" t="s">
        <v>23</v>
      </c>
      <c r="H120" s="8">
        <f>SUM(H121:H123)</f>
        <v>2.9332555896999999</v>
      </c>
      <c r="I120" s="8">
        <f>SUM(I121:I123)</f>
        <v>16.657120482</v>
      </c>
      <c r="J120" s="8">
        <f>SUM(J121:J123)</f>
        <v>13.313542875100001</v>
      </c>
      <c r="K120" s="8">
        <f>SUM(K121:K123)</f>
        <v>16.875819142200001</v>
      </c>
      <c r="L120" s="8">
        <f>SUM(L121:L123)</f>
        <v>49.779738088999991</v>
      </c>
      <c r="M120" s="99"/>
      <c r="N120" s="178" t="s">
        <v>252</v>
      </c>
      <c r="O120" s="36">
        <f>O121+O122</f>
        <v>3.7208173415817956</v>
      </c>
      <c r="P120" s="35">
        <f t="shared" ref="P120:R120" si="36">P121+P122</f>
        <v>10.357640817267992</v>
      </c>
      <c r="Q120" s="35">
        <f t="shared" si="36"/>
        <v>9.8880397220191174</v>
      </c>
      <c r="R120" s="35">
        <f t="shared" si="36"/>
        <v>12.81691494221436</v>
      </c>
      <c r="S120" s="170">
        <f t="shared" si="35"/>
        <v>36.783412823083268</v>
      </c>
      <c r="T120" s="272">
        <f t="shared" ref="T120" si="37">S120</f>
        <v>36.783412823083268</v>
      </c>
      <c r="U120" s="175" t="s">
        <v>23</v>
      </c>
      <c r="Z120" s="8">
        <v>2.9314230634</v>
      </c>
      <c r="AA120" s="8">
        <v>16.579700963000001</v>
      </c>
      <c r="AB120" s="8">
        <v>13.364733552800001</v>
      </c>
      <c r="AC120" s="8">
        <v>17.117947682799997</v>
      </c>
      <c r="AD120" s="8">
        <v>49.993805261999995</v>
      </c>
    </row>
    <row r="121" spans="3:30" x14ac:dyDescent="0.25">
      <c r="C121" s="177" t="s">
        <v>24</v>
      </c>
      <c r="D121" t="s">
        <v>568</v>
      </c>
      <c r="E121" t="s">
        <v>569</v>
      </c>
      <c r="F121" t="s">
        <v>570</v>
      </c>
      <c r="G121" t="s">
        <v>571</v>
      </c>
      <c r="H121" s="19">
        <f>VLOOKUP(D121,Résultats!$B$2:$AX$476,'T energie vecteurs'!W5,FALSE)</f>
        <v>1.9463333679999999</v>
      </c>
      <c r="I121" s="19">
        <f>VLOOKUP(E121,Résultats!$B$2:$AX$476,'T energie vecteurs'!W5,FALSE)</f>
        <v>10.23624519</v>
      </c>
      <c r="J121" s="19">
        <f>VLOOKUP(F121,Résultats!$B$2:$AX$476,'T energie vecteurs'!W5,FALSE)</f>
        <v>12.893103010000001</v>
      </c>
      <c r="K121" s="19">
        <f>VLOOKUP(G121,Résultats!$B$2:$AX$476,'T energie vecteurs'!W5,FALSE)</f>
        <v>13.59766026</v>
      </c>
      <c r="L121" s="120">
        <f t="shared" si="34"/>
        <v>38.673341827999998</v>
      </c>
      <c r="M121" s="19"/>
      <c r="N121" s="177" t="s">
        <v>253</v>
      </c>
      <c r="O121" s="171">
        <f>'[1]Bilan 2050'!$U$46/11.63</f>
        <v>0.31585492622281036</v>
      </c>
      <c r="P121" s="37">
        <f>SUM('[1]Bilan 2050'!$U$41:$U$43)/11.63</f>
        <v>1.7544463445123659</v>
      </c>
      <c r="Q121" s="37">
        <f>'[1]Bilan 2050'!$U$13/11.63</f>
        <v>9.8880397220191174</v>
      </c>
      <c r="R121" s="37">
        <f>('[1]Bilan 2050'!$U$22+'[1]Bilan 2050'!$U$30+SUM('[1]Bilan 2050'!$U$36:$U$40)+SUM('[1]Bilan 2050'!$U$44:$U$45)+'[1]Bilan 2050'!$U$47)/11.63</f>
        <v>11.517483382516158</v>
      </c>
      <c r="S121" s="120">
        <f t="shared" si="35"/>
        <v>23.475824375270452</v>
      </c>
      <c r="T121" s="120"/>
      <c r="U121" s="177" t="s">
        <v>24</v>
      </c>
      <c r="V121" t="s">
        <v>568</v>
      </c>
      <c r="W121" t="s">
        <v>569</v>
      </c>
      <c r="X121" t="s">
        <v>570</v>
      </c>
      <c r="Y121" t="s">
        <v>571</v>
      </c>
      <c r="Z121" s="19">
        <v>1.941345058</v>
      </c>
      <c r="AA121" s="19">
        <v>10.18090933</v>
      </c>
      <c r="AB121" s="19">
        <v>12.93938887</v>
      </c>
      <c r="AC121" s="19">
        <v>13.825086799999999</v>
      </c>
      <c r="AD121" s="120">
        <v>38.886730057999998</v>
      </c>
    </row>
    <row r="122" spans="3:30" x14ac:dyDescent="0.25">
      <c r="C122" s="177" t="s">
        <v>129</v>
      </c>
      <c r="D122" t="s">
        <v>572</v>
      </c>
      <c r="E122" t="s">
        <v>573</v>
      </c>
      <c r="F122" t="s">
        <v>574</v>
      </c>
      <c r="G122" t="s">
        <v>575</v>
      </c>
      <c r="H122" s="19">
        <f>VLOOKUP(D122,Résultats!$B$2:$AX$476,'T energie vecteurs'!W5,FALSE)</f>
        <v>0.98692222169999999</v>
      </c>
      <c r="I122" s="19">
        <f>VLOOKUP(E122,Résultats!$B$2:$AX$476,'T energie vecteurs'!W5,FALSE)</f>
        <v>2.7203032349999998</v>
      </c>
      <c r="J122" s="19">
        <f>VLOOKUP(F122,Résultats!$B$2:$AX$476,'T energie vecteurs'!W5,FALSE)</f>
        <v>0</v>
      </c>
      <c r="K122" s="19">
        <f>VLOOKUP(G122,Résultats!$B$2:$AX$476,'T energie vecteurs'!W5,FALSE)</f>
        <v>2.7515943570000001</v>
      </c>
      <c r="L122" s="120">
        <f t="shared" si="34"/>
        <v>6.4588198136999999</v>
      </c>
      <c r="M122" s="19"/>
      <c r="N122" s="177" t="s">
        <v>129</v>
      </c>
      <c r="O122" s="28">
        <f>'[1]Bilan 2050'!$E$52/11.63</f>
        <v>3.4049624153589853</v>
      </c>
      <c r="P122" s="19">
        <f>('[1]Bilan 2050'!$E$54+'[1]Bilan 2050'!$E$56)/11.63</f>
        <v>8.6031944727556251</v>
      </c>
      <c r="Q122" s="19">
        <v>0</v>
      </c>
      <c r="R122" s="19">
        <f>('[1]Bilan 2050'!$E$53+'[1]Bilan 2050'!$E$55+'[1]Bilan 2050'!$E$57)/11.63</f>
        <v>1.2994315596982036</v>
      </c>
      <c r="S122" s="120">
        <f t="shared" si="35"/>
        <v>13.307588447812815</v>
      </c>
      <c r="T122" s="120"/>
      <c r="U122" s="177" t="s">
        <v>129</v>
      </c>
      <c r="V122" t="s">
        <v>572</v>
      </c>
      <c r="W122" t="s">
        <v>573</v>
      </c>
      <c r="X122" t="s">
        <v>574</v>
      </c>
      <c r="Y122" t="s">
        <v>575</v>
      </c>
      <c r="Z122" s="19">
        <v>0.99007800540000002</v>
      </c>
      <c r="AA122" s="19">
        <v>2.723092431</v>
      </c>
      <c r="AB122" s="19">
        <v>0</v>
      </c>
      <c r="AC122" s="19">
        <v>2.762301989</v>
      </c>
      <c r="AD122" s="120">
        <v>6.4754724253999996</v>
      </c>
    </row>
    <row r="123" spans="3:30" x14ac:dyDescent="0.25">
      <c r="C123" s="177" t="s">
        <v>25</v>
      </c>
      <c r="D123" t="s">
        <v>576</v>
      </c>
      <c r="E123" t="s">
        <v>577</v>
      </c>
      <c r="F123" t="s">
        <v>578</v>
      </c>
      <c r="G123" t="s">
        <v>579</v>
      </c>
      <c r="H123" s="19">
        <f>VLOOKUP(D123,Résultats!$B$2:$AX$476,'T energie vecteurs'!W5,FALSE)</f>
        <v>0</v>
      </c>
      <c r="I123" s="19">
        <f>VLOOKUP(E123,Résultats!$B$2:$AX$476,'T energie vecteurs'!W5,FALSE)</f>
        <v>3.700572057</v>
      </c>
      <c r="J123" s="19">
        <f>VLOOKUP(F123,Résultats!$B$2:$AX$476,'T energie vecteurs'!W5,FALSE)</f>
        <v>0.42043986509999998</v>
      </c>
      <c r="K123" s="19">
        <f>VLOOKUP(G123,Résultats!$B$2:$AX$476,'T energie vecteurs'!W5,FALSE)</f>
        <v>0.52656452519999997</v>
      </c>
      <c r="L123" s="120">
        <f t="shared" si="34"/>
        <v>4.6475764473000005</v>
      </c>
      <c r="M123" s="19"/>
      <c r="N123" s="178" t="s">
        <v>25</v>
      </c>
      <c r="O123" s="36">
        <f>'[1]Bilan 2050'!$T$46/11.63</f>
        <v>0</v>
      </c>
      <c r="P123" s="35">
        <f>SUM('[1]Bilan 2050'!$T$41:$T$43)/11.63</f>
        <v>2.6210382547955651</v>
      </c>
      <c r="Q123" s="35">
        <f>'[1]Bilan 2050'!$T$13/11.63</f>
        <v>0.47494021651696666</v>
      </c>
      <c r="R123" s="35">
        <f>('[1]Bilan 2050'!$T$22+'[1]Bilan 2050'!$T$30+SUM('[1]Bilan 2050'!$T$36:$T$40)+SUM('[1]Bilan 2050'!$T$44:$T$45)+'[1]Bilan 2050'!$T$47)/11.63</f>
        <v>0.5067259755592558</v>
      </c>
      <c r="S123" s="170">
        <f t="shared" si="35"/>
        <v>3.6027044468717877</v>
      </c>
      <c r="T123" s="272">
        <f>S123</f>
        <v>3.6027044468717877</v>
      </c>
      <c r="U123" s="177" t="s">
        <v>25</v>
      </c>
      <c r="V123" t="s">
        <v>576</v>
      </c>
      <c r="W123" t="s">
        <v>577</v>
      </c>
      <c r="X123" t="s">
        <v>578</v>
      </c>
      <c r="Y123" t="s">
        <v>579</v>
      </c>
      <c r="Z123" s="19">
        <v>0</v>
      </c>
      <c r="AA123" s="19">
        <v>3.6756992020000001</v>
      </c>
      <c r="AB123" s="19">
        <v>0.42534468279999998</v>
      </c>
      <c r="AC123" s="19">
        <v>0.53055889379999999</v>
      </c>
      <c r="AD123" s="120">
        <v>4.6316027786000005</v>
      </c>
    </row>
    <row r="124" spans="3:30" x14ac:dyDescent="0.25">
      <c r="C124" s="29" t="s">
        <v>26</v>
      </c>
      <c r="D124" s="10"/>
      <c r="E124" s="10"/>
      <c r="F124" s="10"/>
      <c r="G124" s="10"/>
      <c r="H124" s="9">
        <f>SUM(H115,H118:H120)</f>
        <v>3.1607996573999997</v>
      </c>
      <c r="I124" s="9">
        <f>SUM(I115,I118:I120)</f>
        <v>54.972107632999993</v>
      </c>
      <c r="J124" s="9">
        <f>SUM(J115,J118:J120)</f>
        <v>48.643436111100002</v>
      </c>
      <c r="K124" s="9">
        <f>SUM(K115,K118:K120)</f>
        <v>45.248754842758004</v>
      </c>
      <c r="L124" s="123">
        <f t="shared" si="34"/>
        <v>152.025098244258</v>
      </c>
      <c r="M124" s="105"/>
      <c r="N124" s="179" t="s">
        <v>26</v>
      </c>
      <c r="O124" s="40">
        <f>O115+O118+O119+O120+O123</f>
        <v>3.7208173415817956</v>
      </c>
      <c r="P124" s="38">
        <f>P115+P118+P119+P120+P123</f>
        <v>34.070625819712902</v>
      </c>
      <c r="Q124" s="38">
        <f>Q115+Q118+Q119+Q120+Q123</f>
        <v>46.595631865886276</v>
      </c>
      <c r="R124" s="38">
        <f>R115+R118+R119+R120+R123</f>
        <v>43.910246102932632</v>
      </c>
      <c r="S124" s="172">
        <f t="shared" si="35"/>
        <v>128.2973211301136</v>
      </c>
      <c r="T124" s="271">
        <f>SUM(T115:T123)</f>
        <v>121.84127960823143</v>
      </c>
      <c r="U124" s="29" t="s">
        <v>26</v>
      </c>
      <c r="V124" s="10"/>
      <c r="W124" s="10"/>
      <c r="X124" s="10"/>
      <c r="Y124" s="10"/>
      <c r="Z124" s="9">
        <v>3.1624143952999999</v>
      </c>
      <c r="AA124" s="9">
        <v>54.922248646000007</v>
      </c>
      <c r="AB124" s="9">
        <v>48.989636355800002</v>
      </c>
      <c r="AC124" s="9">
        <v>45.836639485926597</v>
      </c>
      <c r="AD124" s="123">
        <v>152.9109388830266</v>
      </c>
    </row>
    <row r="125" spans="3:30" x14ac:dyDescent="0.25">
      <c r="C125" s="3"/>
      <c r="D125" s="3"/>
      <c r="E125" s="3"/>
      <c r="F125" s="3"/>
      <c r="G125" s="3"/>
      <c r="H125" s="3"/>
      <c r="I125" s="3"/>
      <c r="J125" s="3"/>
      <c r="K125" s="3"/>
      <c r="L125" s="69"/>
      <c r="M125" s="3"/>
      <c r="O125" s="103"/>
      <c r="P125" s="103"/>
      <c r="Q125" s="103"/>
      <c r="R125" s="104"/>
      <c r="S125" s="69"/>
      <c r="U125" s="3"/>
      <c r="V125" s="3"/>
      <c r="W125" s="3"/>
      <c r="X125" s="3"/>
      <c r="Y125" s="3"/>
      <c r="Z125" s="3"/>
      <c r="AA125" s="3"/>
      <c r="AB125" s="3"/>
      <c r="AC125" s="3"/>
      <c r="AD125" s="69"/>
    </row>
    <row r="126" spans="3:30" x14ac:dyDescent="0.25"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O126" s="3"/>
      <c r="P126" s="3"/>
      <c r="Q126" s="3"/>
      <c r="R126" s="3"/>
      <c r="S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</row>
    <row r="127" spans="3:30" x14ac:dyDescent="0.25"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O127" s="3"/>
      <c r="P127" s="3"/>
      <c r="Q127" s="3"/>
      <c r="R127" s="3"/>
      <c r="S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</row>
    <row r="128" spans="3:30" x14ac:dyDescent="0.25">
      <c r="C128" s="84" t="s">
        <v>222</v>
      </c>
      <c r="D128" s="3"/>
      <c r="E128" s="3"/>
      <c r="F128" s="3">
        <f>0.1/0.028*51.84</f>
        <v>185.14285714285717</v>
      </c>
      <c r="G128" s="3"/>
      <c r="H128" s="3"/>
      <c r="I128" s="3"/>
      <c r="J128" s="3"/>
      <c r="K128" s="3"/>
      <c r="L128" s="3"/>
      <c r="M128" s="3"/>
      <c r="N128" s="84" t="s">
        <v>223</v>
      </c>
      <c r="O128" s="3"/>
      <c r="P128" s="3"/>
      <c r="Q128" s="3"/>
      <c r="R128" s="3"/>
      <c r="S128" s="3"/>
      <c r="U128" s="84" t="s">
        <v>222</v>
      </c>
      <c r="V128" s="3"/>
      <c r="W128" s="3"/>
      <c r="X128" s="3">
        <v>185.14285714285717</v>
      </c>
      <c r="Y128" s="3"/>
      <c r="Z128" s="3"/>
      <c r="AA128" s="3"/>
      <c r="AB128" s="3"/>
      <c r="AC128" s="3"/>
      <c r="AD128" s="3"/>
    </row>
    <row r="129" spans="3:30" s="3" customFormat="1" ht="31.5" x14ac:dyDescent="0.35">
      <c r="C129" s="173">
        <v>2050</v>
      </c>
      <c r="D129" s="174"/>
      <c r="E129" s="174"/>
      <c r="F129" s="174"/>
      <c r="G129" s="174"/>
      <c r="H129" s="101" t="s">
        <v>36</v>
      </c>
      <c r="I129" s="101" t="s">
        <v>131</v>
      </c>
      <c r="J129" s="101" t="s">
        <v>38</v>
      </c>
      <c r="K129" s="101" t="s">
        <v>130</v>
      </c>
      <c r="L129" s="118" t="s">
        <v>1</v>
      </c>
      <c r="N129" s="173">
        <v>2050</v>
      </c>
      <c r="O129" s="169" t="s">
        <v>36</v>
      </c>
      <c r="P129" s="101" t="s">
        <v>131</v>
      </c>
      <c r="Q129" s="101" t="s">
        <v>38</v>
      </c>
      <c r="R129" s="101" t="s">
        <v>130</v>
      </c>
      <c r="S129" s="118" t="s">
        <v>1</v>
      </c>
      <c r="U129" s="173">
        <v>2050</v>
      </c>
      <c r="V129" s="174"/>
      <c r="W129" s="174"/>
      <c r="X129" s="174"/>
      <c r="Y129" s="174"/>
      <c r="Z129" s="101" t="s">
        <v>36</v>
      </c>
      <c r="AA129" s="101" t="s">
        <v>131</v>
      </c>
      <c r="AB129" s="101" t="s">
        <v>38</v>
      </c>
      <c r="AC129" s="101" t="s">
        <v>130</v>
      </c>
      <c r="AD129" s="118" t="s">
        <v>1</v>
      </c>
    </row>
    <row r="130" spans="3:30" s="3" customFormat="1" x14ac:dyDescent="0.25">
      <c r="C130" s="246" t="s">
        <v>18</v>
      </c>
      <c r="D130" s="247"/>
      <c r="E130" s="247"/>
      <c r="F130" s="247"/>
      <c r="G130" s="247"/>
      <c r="H130" s="248" t="e">
        <f>H115-#REF!</f>
        <v>#REF!</v>
      </c>
      <c r="I130" s="249" t="e">
        <f>I115-#REF!</f>
        <v>#REF!</v>
      </c>
      <c r="J130" s="249" t="e">
        <f>J115-#REF!</f>
        <v>#REF!</v>
      </c>
      <c r="K130" s="249" t="e">
        <f>K115-#REF!</f>
        <v>#REF!</v>
      </c>
      <c r="L130" s="250" t="e">
        <f>L115-#REF!</f>
        <v>#REF!</v>
      </c>
      <c r="N130" s="246" t="s">
        <v>18</v>
      </c>
      <c r="O130" s="248">
        <f>H115-O115</f>
        <v>0</v>
      </c>
      <c r="P130" s="249">
        <f t="shared" ref="P130:S139" si="38">I115-P115</f>
        <v>10.377872893383675</v>
      </c>
      <c r="Q130" s="249">
        <f t="shared" si="38"/>
        <v>0.24004461921953446</v>
      </c>
      <c r="R130" s="249">
        <f t="shared" si="38"/>
        <v>0.37321872208770346</v>
      </c>
      <c r="S130" s="250">
        <f t="shared" si="38"/>
        <v>10.991136234690916</v>
      </c>
      <c r="U130" s="246" t="s">
        <v>18</v>
      </c>
      <c r="V130" s="247"/>
      <c r="W130" s="247"/>
      <c r="X130" s="247"/>
      <c r="Y130" s="247"/>
      <c r="Z130" s="248" t="e">
        <v>#REF!</v>
      </c>
      <c r="AA130" s="249" t="e">
        <v>#REF!</v>
      </c>
      <c r="AB130" s="249" t="e">
        <v>#REF!</v>
      </c>
      <c r="AC130" s="249" t="e">
        <v>#REF!</v>
      </c>
      <c r="AD130" s="250" t="e">
        <v>#REF!</v>
      </c>
    </row>
    <row r="131" spans="3:30" s="3" customFormat="1" x14ac:dyDescent="0.25">
      <c r="C131" s="176" t="s">
        <v>19</v>
      </c>
      <c r="D131" t="s">
        <v>224</v>
      </c>
      <c r="E131" t="s">
        <v>225</v>
      </c>
      <c r="F131" t="s">
        <v>226</v>
      </c>
      <c r="G131" t="s">
        <v>227</v>
      </c>
      <c r="H131" s="251" t="e">
        <f>H116-#REF!</f>
        <v>#REF!</v>
      </c>
      <c r="I131" s="55" t="e">
        <f>I116-#REF!</f>
        <v>#REF!</v>
      </c>
      <c r="J131" s="55" t="e">
        <f>J116-#REF!</f>
        <v>#REF!</v>
      </c>
      <c r="K131" s="55" t="e">
        <f>K116-#REF!</f>
        <v>#REF!</v>
      </c>
      <c r="L131" s="252" t="e">
        <f>L116-#REF!</f>
        <v>#REF!</v>
      </c>
      <c r="N131" s="176" t="s">
        <v>19</v>
      </c>
      <c r="O131" s="251">
        <f t="shared" ref="O131:O139" si="39">H116-O116</f>
        <v>0</v>
      </c>
      <c r="P131" s="55">
        <f t="shared" si="38"/>
        <v>12.71284026</v>
      </c>
      <c r="Q131" s="55">
        <f t="shared" si="38"/>
        <v>3.314322953</v>
      </c>
      <c r="R131" s="55">
        <f t="shared" si="38"/>
        <v>6.5896558E-5</v>
      </c>
      <c r="S131" s="252">
        <f t="shared" si="38"/>
        <v>16.027229109558</v>
      </c>
      <c r="U131" s="176" t="s">
        <v>19</v>
      </c>
      <c r="V131" t="s">
        <v>224</v>
      </c>
      <c r="W131" t="s">
        <v>225</v>
      </c>
      <c r="X131" t="s">
        <v>226</v>
      </c>
      <c r="Y131" t="s">
        <v>227</v>
      </c>
      <c r="Z131" s="251" t="e">
        <v>#REF!</v>
      </c>
      <c r="AA131" s="55" t="e">
        <v>#REF!</v>
      </c>
      <c r="AB131" s="55" t="e">
        <v>#REF!</v>
      </c>
      <c r="AC131" s="55" t="e">
        <v>#REF!</v>
      </c>
      <c r="AD131" s="252" t="e">
        <v>#REF!</v>
      </c>
    </row>
    <row r="132" spans="3:30" s="3" customFormat="1" x14ac:dyDescent="0.25">
      <c r="C132" s="177" t="s">
        <v>20</v>
      </c>
      <c r="D132" t="s">
        <v>228</v>
      </c>
      <c r="E132" t="s">
        <v>229</v>
      </c>
      <c r="F132" t="s">
        <v>230</v>
      </c>
      <c r="G132" t="s">
        <v>231</v>
      </c>
      <c r="H132" s="251" t="e">
        <f>H117-#REF!</f>
        <v>#REF!</v>
      </c>
      <c r="I132" s="55" t="e">
        <f>I117-#REF!</f>
        <v>#REF!</v>
      </c>
      <c r="J132" s="55" t="e">
        <f>J117-#REF!</f>
        <v>#REF!</v>
      </c>
      <c r="K132" s="55" t="e">
        <f>K117-#REF!</f>
        <v>#REF!</v>
      </c>
      <c r="L132" s="252" t="e">
        <f>L117-#REF!</f>
        <v>#REF!</v>
      </c>
      <c r="N132" s="177" t="s">
        <v>20</v>
      </c>
      <c r="O132" s="251">
        <f t="shared" si="39"/>
        <v>0</v>
      </c>
      <c r="P132" s="55">
        <f t="shared" si="38"/>
        <v>18.10972275</v>
      </c>
      <c r="Q132" s="55">
        <f t="shared" si="38"/>
        <v>3.8749280530000001</v>
      </c>
      <c r="R132" s="55">
        <f t="shared" si="38"/>
        <v>3.497246896</v>
      </c>
      <c r="S132" s="252">
        <f t="shared" si="38"/>
        <v>25.481897699000001</v>
      </c>
      <c r="U132" s="177" t="s">
        <v>20</v>
      </c>
      <c r="V132" t="s">
        <v>228</v>
      </c>
      <c r="W132" t="s">
        <v>229</v>
      </c>
      <c r="X132" t="s">
        <v>230</v>
      </c>
      <c r="Y132" t="s">
        <v>231</v>
      </c>
      <c r="Z132" s="251" t="e">
        <v>#REF!</v>
      </c>
      <c r="AA132" s="55" t="e">
        <v>#REF!</v>
      </c>
      <c r="AB132" s="55" t="e">
        <v>#REF!</v>
      </c>
      <c r="AC132" s="55" t="e">
        <v>#REF!</v>
      </c>
      <c r="AD132" s="252" t="e">
        <v>#REF!</v>
      </c>
    </row>
    <row r="133" spans="3:30" s="3" customFormat="1" x14ac:dyDescent="0.25">
      <c r="C133" s="246" t="s">
        <v>21</v>
      </c>
      <c r="D133" s="247" t="s">
        <v>232</v>
      </c>
      <c r="E133" s="247" t="s">
        <v>233</v>
      </c>
      <c r="F133" s="247" t="s">
        <v>234</v>
      </c>
      <c r="G133" s="247" t="s">
        <v>235</v>
      </c>
      <c r="H133" s="253" t="e">
        <f>H118-#REF!</f>
        <v>#REF!</v>
      </c>
      <c r="I133" s="249" t="e">
        <f>I118-#REF!</f>
        <v>#REF!</v>
      </c>
      <c r="J133" s="249" t="e">
        <f>J118-#REF!</f>
        <v>#REF!</v>
      </c>
      <c r="K133" s="249" t="e">
        <f>K118-#REF!</f>
        <v>#REF!</v>
      </c>
      <c r="L133" s="250" t="e">
        <f>L118-#REF!</f>
        <v>#REF!</v>
      </c>
      <c r="N133" s="246" t="s">
        <v>21</v>
      </c>
      <c r="O133" s="253">
        <f t="shared" si="39"/>
        <v>0.22754406769999999</v>
      </c>
      <c r="P133" s="249">
        <f t="shared" si="38"/>
        <v>5.1615231429905517</v>
      </c>
      <c r="Q133" s="249">
        <f t="shared" si="38"/>
        <v>0.85838811370548385</v>
      </c>
      <c r="R133" s="249">
        <f t="shared" si="38"/>
        <v>-1.994130728707205</v>
      </c>
      <c r="S133" s="250">
        <f t="shared" si="38"/>
        <v>4.2533245956888237</v>
      </c>
      <c r="U133" s="246" t="s">
        <v>21</v>
      </c>
      <c r="V133" s="247" t="s">
        <v>232</v>
      </c>
      <c r="W133" s="247" t="s">
        <v>233</v>
      </c>
      <c r="X133" s="247" t="s">
        <v>234</v>
      </c>
      <c r="Y133" s="247" t="s">
        <v>235</v>
      </c>
      <c r="Z133" s="253" t="e">
        <v>#REF!</v>
      </c>
      <c r="AA133" s="249" t="e">
        <v>#REF!</v>
      </c>
      <c r="AB133" s="249" t="e">
        <v>#REF!</v>
      </c>
      <c r="AC133" s="249" t="e">
        <v>#REF!</v>
      </c>
      <c r="AD133" s="250" t="e">
        <v>#REF!</v>
      </c>
    </row>
    <row r="134" spans="3:30" s="3" customFormat="1" x14ac:dyDescent="0.25">
      <c r="C134" s="246" t="s">
        <v>22</v>
      </c>
      <c r="D134" s="247" t="s">
        <v>236</v>
      </c>
      <c r="E134" s="247" t="s">
        <v>237</v>
      </c>
      <c r="F134" s="247" t="s">
        <v>238</v>
      </c>
      <c r="G134" s="247" t="s">
        <v>239</v>
      </c>
      <c r="H134" s="253" t="e">
        <f>H119-#REF!</f>
        <v>#REF!</v>
      </c>
      <c r="I134" s="249" t="e">
        <f>I119-#REF!</f>
        <v>#REF!</v>
      </c>
      <c r="J134" s="249" t="e">
        <f>J119-#REF!</f>
        <v>#REF!</v>
      </c>
      <c r="K134" s="249" t="e">
        <f>K119-#REF!</f>
        <v>#REF!</v>
      </c>
      <c r="L134" s="250" t="e">
        <f>L119-#REF!</f>
        <v>#REF!</v>
      </c>
      <c r="N134" s="246" t="s">
        <v>22</v>
      </c>
      <c r="O134" s="253">
        <f t="shared" si="39"/>
        <v>0</v>
      </c>
      <c r="P134" s="249">
        <f t="shared" si="38"/>
        <v>1.6836443669764332</v>
      </c>
      <c r="Q134" s="249">
        <f t="shared" si="38"/>
        <v>-2.0011914242752056</v>
      </c>
      <c r="R134" s="249">
        <f t="shared" si="38"/>
        <v>-0.59275747798151368</v>
      </c>
      <c r="S134" s="250">
        <f t="shared" si="38"/>
        <v>-0.91030453528028588</v>
      </c>
      <c r="U134" s="246" t="s">
        <v>22</v>
      </c>
      <c r="V134" s="247" t="s">
        <v>236</v>
      </c>
      <c r="W134" s="247" t="s">
        <v>237</v>
      </c>
      <c r="X134" s="247" t="s">
        <v>238</v>
      </c>
      <c r="Y134" s="247" t="s">
        <v>239</v>
      </c>
      <c r="Z134" s="253" t="e">
        <v>#REF!</v>
      </c>
      <c r="AA134" s="249" t="e">
        <v>#REF!</v>
      </c>
      <c r="AB134" s="249" t="e">
        <v>#REF!</v>
      </c>
      <c r="AC134" s="249" t="e">
        <v>#REF!</v>
      </c>
      <c r="AD134" s="250" t="e">
        <v>#REF!</v>
      </c>
    </row>
    <row r="135" spans="3:30" s="3" customFormat="1" x14ac:dyDescent="0.25">
      <c r="C135" s="246" t="s">
        <v>23</v>
      </c>
      <c r="D135" s="247"/>
      <c r="E135" s="247"/>
      <c r="F135" s="247"/>
      <c r="G135" s="247"/>
      <c r="H135" s="253" t="e">
        <f>H120-#REF!</f>
        <v>#REF!</v>
      </c>
      <c r="I135" s="249" t="e">
        <f>I120-#REF!</f>
        <v>#REF!</v>
      </c>
      <c r="J135" s="249" t="e">
        <f>J120-#REF!</f>
        <v>#REF!</v>
      </c>
      <c r="K135" s="249" t="e">
        <f>K120-#REF!</f>
        <v>#REF!</v>
      </c>
      <c r="L135" s="250" t="e">
        <f>L120-#REF!</f>
        <v>#REF!</v>
      </c>
      <c r="N135" s="246" t="s">
        <v>23</v>
      </c>
      <c r="O135" s="253">
        <f t="shared" si="39"/>
        <v>-0.78756175188179567</v>
      </c>
      <c r="P135" s="249">
        <f t="shared" si="38"/>
        <v>6.2994796647320079</v>
      </c>
      <c r="Q135" s="249">
        <f t="shared" si="38"/>
        <v>3.4255031530808839</v>
      </c>
      <c r="R135" s="249">
        <f t="shared" si="38"/>
        <v>4.0589041999856406</v>
      </c>
      <c r="S135" s="250">
        <f t="shared" si="38"/>
        <v>12.996325265916724</v>
      </c>
      <c r="U135" s="246" t="s">
        <v>23</v>
      </c>
      <c r="V135" s="247"/>
      <c r="W135" s="247"/>
      <c r="X135" s="247"/>
      <c r="Y135" s="247"/>
      <c r="Z135" s="253" t="e">
        <v>#REF!</v>
      </c>
      <c r="AA135" s="249" t="e">
        <v>#REF!</v>
      </c>
      <c r="AB135" s="249" t="e">
        <v>#REF!</v>
      </c>
      <c r="AC135" s="249" t="e">
        <v>#REF!</v>
      </c>
      <c r="AD135" s="250" t="e">
        <v>#REF!</v>
      </c>
    </row>
    <row r="136" spans="3:30" s="3" customFormat="1" x14ac:dyDescent="0.25">
      <c r="C136" s="177" t="s">
        <v>24</v>
      </c>
      <c r="D136" t="s">
        <v>240</v>
      </c>
      <c r="E136" t="s">
        <v>241</v>
      </c>
      <c r="F136" t="s">
        <v>242</v>
      </c>
      <c r="G136" t="s">
        <v>243</v>
      </c>
      <c r="H136" s="251" t="e">
        <f>H121-#REF!</f>
        <v>#REF!</v>
      </c>
      <c r="I136" s="254" t="e">
        <f>I121-#REF!</f>
        <v>#REF!</v>
      </c>
      <c r="J136" s="254" t="e">
        <f>J121-#REF!</f>
        <v>#REF!</v>
      </c>
      <c r="K136" s="254" t="e">
        <f>K121-#REF!</f>
        <v>#REF!</v>
      </c>
      <c r="L136" s="252" t="e">
        <f>L121-#REF!</f>
        <v>#REF!</v>
      </c>
      <c r="N136" s="177" t="s">
        <v>24</v>
      </c>
      <c r="O136" s="251">
        <f t="shared" si="39"/>
        <v>1.6304784417771896</v>
      </c>
      <c r="P136" s="254">
        <f t="shared" si="38"/>
        <v>8.481798845487635</v>
      </c>
      <c r="Q136" s="254">
        <f t="shared" si="38"/>
        <v>3.0050632879808834</v>
      </c>
      <c r="R136" s="254">
        <f t="shared" si="38"/>
        <v>2.0801768774838418</v>
      </c>
      <c r="S136" s="252">
        <f t="shared" si="38"/>
        <v>15.197517452729546</v>
      </c>
      <c r="U136" s="177" t="s">
        <v>24</v>
      </c>
      <c r="V136" t="s">
        <v>240</v>
      </c>
      <c r="W136" t="s">
        <v>241</v>
      </c>
      <c r="X136" t="s">
        <v>242</v>
      </c>
      <c r="Y136" t="s">
        <v>243</v>
      </c>
      <c r="Z136" s="251" t="e">
        <v>#REF!</v>
      </c>
      <c r="AA136" s="254" t="e">
        <v>#REF!</v>
      </c>
      <c r="AB136" s="254" t="e">
        <v>#REF!</v>
      </c>
      <c r="AC136" s="254" t="e">
        <v>#REF!</v>
      </c>
      <c r="AD136" s="252" t="e">
        <v>#REF!</v>
      </c>
    </row>
    <row r="137" spans="3:30" s="3" customFormat="1" x14ac:dyDescent="0.25">
      <c r="C137" s="177" t="s">
        <v>129</v>
      </c>
      <c r="D137" t="s">
        <v>244</v>
      </c>
      <c r="E137" t="s">
        <v>245</v>
      </c>
      <c r="F137" t="s">
        <v>246</v>
      </c>
      <c r="G137" t="s">
        <v>247</v>
      </c>
      <c r="H137" s="255" t="e">
        <f>H122-#REF!</f>
        <v>#REF!</v>
      </c>
      <c r="I137" s="55" t="e">
        <f>I122-#REF!</f>
        <v>#REF!</v>
      </c>
      <c r="J137" s="55" t="e">
        <f>J122-#REF!</f>
        <v>#REF!</v>
      </c>
      <c r="K137" s="55" t="e">
        <f>K122-#REF!</f>
        <v>#REF!</v>
      </c>
      <c r="L137" s="252" t="e">
        <f>L122-#REF!</f>
        <v>#REF!</v>
      </c>
      <c r="N137" s="177" t="s">
        <v>129</v>
      </c>
      <c r="O137" s="255">
        <f t="shared" si="39"/>
        <v>-2.4180401936589853</v>
      </c>
      <c r="P137" s="55">
        <f t="shared" si="38"/>
        <v>-5.8828912377556257</v>
      </c>
      <c r="Q137" s="55">
        <f t="shared" si="38"/>
        <v>0</v>
      </c>
      <c r="R137" s="55">
        <f t="shared" si="38"/>
        <v>1.4521627973017965</v>
      </c>
      <c r="S137" s="252">
        <f t="shared" si="38"/>
        <v>-6.8487686341128153</v>
      </c>
      <c r="U137" s="177" t="s">
        <v>129</v>
      </c>
      <c r="V137" t="s">
        <v>244</v>
      </c>
      <c r="W137" t="s">
        <v>245</v>
      </c>
      <c r="X137" t="s">
        <v>246</v>
      </c>
      <c r="Y137" t="s">
        <v>247</v>
      </c>
      <c r="Z137" s="255" t="e">
        <v>#REF!</v>
      </c>
      <c r="AA137" s="55" t="e">
        <v>#REF!</v>
      </c>
      <c r="AB137" s="55" t="e">
        <v>#REF!</v>
      </c>
      <c r="AC137" s="55" t="e">
        <v>#REF!</v>
      </c>
      <c r="AD137" s="252" t="e">
        <v>#REF!</v>
      </c>
    </row>
    <row r="138" spans="3:30" s="3" customFormat="1" x14ac:dyDescent="0.25">
      <c r="C138" s="177" t="s">
        <v>25</v>
      </c>
      <c r="D138" t="s">
        <v>248</v>
      </c>
      <c r="E138" t="s">
        <v>249</v>
      </c>
      <c r="F138" t="s">
        <v>250</v>
      </c>
      <c r="G138" t="s">
        <v>251</v>
      </c>
      <c r="H138" s="251" t="e">
        <f>H123-#REF!</f>
        <v>#REF!</v>
      </c>
      <c r="I138" s="254" t="e">
        <f>I123-#REF!</f>
        <v>#REF!</v>
      </c>
      <c r="J138" s="254" t="e">
        <f>J123-#REF!</f>
        <v>#REF!</v>
      </c>
      <c r="K138" s="254" t="e">
        <f>K123-#REF!</f>
        <v>#REF!</v>
      </c>
      <c r="L138" s="252" t="e">
        <f>L123-#REF!</f>
        <v>#REF!</v>
      </c>
      <c r="N138" s="177" t="s">
        <v>25</v>
      </c>
      <c r="O138" s="251">
        <f t="shared" si="39"/>
        <v>0</v>
      </c>
      <c r="P138" s="254">
        <f t="shared" si="38"/>
        <v>1.079533802204435</v>
      </c>
      <c r="Q138" s="254">
        <f t="shared" si="38"/>
        <v>-5.4500351416966686E-2</v>
      </c>
      <c r="R138" s="254">
        <f t="shared" si="38"/>
        <v>1.9838549640744163E-2</v>
      </c>
      <c r="S138" s="252">
        <f t="shared" si="38"/>
        <v>1.0448720004282128</v>
      </c>
      <c r="U138" s="177" t="s">
        <v>25</v>
      </c>
      <c r="V138" t="s">
        <v>248</v>
      </c>
      <c r="W138" t="s">
        <v>249</v>
      </c>
      <c r="X138" t="s">
        <v>250</v>
      </c>
      <c r="Y138" t="s">
        <v>251</v>
      </c>
      <c r="Z138" s="251" t="e">
        <v>#REF!</v>
      </c>
      <c r="AA138" s="254" t="e">
        <v>#REF!</v>
      </c>
      <c r="AB138" s="254" t="e">
        <v>#REF!</v>
      </c>
      <c r="AC138" s="254" t="e">
        <v>#REF!</v>
      </c>
      <c r="AD138" s="252" t="e">
        <v>#REF!</v>
      </c>
    </row>
    <row r="139" spans="3:30" s="3" customFormat="1" x14ac:dyDescent="0.25">
      <c r="C139" s="256" t="s">
        <v>26</v>
      </c>
      <c r="D139" s="257"/>
      <c r="E139" s="257"/>
      <c r="F139" s="257"/>
      <c r="G139" s="257"/>
      <c r="H139" s="258" t="e">
        <f>H124-#REF!</f>
        <v>#REF!</v>
      </c>
      <c r="I139" s="259" t="e">
        <f>I124-#REF!</f>
        <v>#REF!</v>
      </c>
      <c r="J139" s="259" t="e">
        <f>J124-#REF!</f>
        <v>#REF!</v>
      </c>
      <c r="K139" s="259" t="e">
        <f>K124-#REF!</f>
        <v>#REF!</v>
      </c>
      <c r="L139" s="260" t="e">
        <f>L124-#REF!</f>
        <v>#REF!</v>
      </c>
      <c r="N139" s="256" t="s">
        <v>26</v>
      </c>
      <c r="O139" s="258">
        <f t="shared" si="39"/>
        <v>-0.56001768418179587</v>
      </c>
      <c r="P139" s="259">
        <f t="shared" si="38"/>
        <v>20.901481813287091</v>
      </c>
      <c r="Q139" s="259">
        <f t="shared" si="38"/>
        <v>2.0478042452137259</v>
      </c>
      <c r="R139" s="259">
        <f t="shared" si="38"/>
        <v>1.3385087398253717</v>
      </c>
      <c r="S139" s="260">
        <f t="shared" si="38"/>
        <v>23.727777114144402</v>
      </c>
      <c r="U139" s="256" t="s">
        <v>26</v>
      </c>
      <c r="V139" s="257"/>
      <c r="W139" s="257"/>
      <c r="X139" s="257"/>
      <c r="Y139" s="257"/>
      <c r="Z139" s="258" t="e">
        <v>#REF!</v>
      </c>
      <c r="AA139" s="259" t="e">
        <v>#REF!</v>
      </c>
      <c r="AB139" s="259" t="e">
        <v>#REF!</v>
      </c>
      <c r="AC139" s="259" t="e">
        <v>#REF!</v>
      </c>
      <c r="AD139" s="260" t="e">
        <v>#REF!</v>
      </c>
    </row>
    <row r="140" spans="3:30" s="3" customFormat="1" x14ac:dyDescent="0.25"/>
    <row r="141" spans="3:30" s="3" customFormat="1" x14ac:dyDescent="0.25"/>
    <row r="142" spans="3:30" s="3" customFormat="1" x14ac:dyDescent="0.25"/>
    <row r="143" spans="3:30" s="3" customFormat="1" x14ac:dyDescent="0.25"/>
    <row r="144" spans="3:30" s="3" customFormat="1" x14ac:dyDescent="0.25"/>
    <row r="145" s="3" customFormat="1" x14ac:dyDescent="0.25"/>
    <row r="146" s="3" customFormat="1" x14ac:dyDescent="0.25"/>
    <row r="147" s="3" customFormat="1" x14ac:dyDescent="0.25"/>
    <row r="148" s="3" customFormat="1" x14ac:dyDescent="0.25"/>
    <row r="149" s="3" customFormat="1" x14ac:dyDescent="0.25"/>
    <row r="150" s="3" customFormat="1" x14ac:dyDescent="0.25"/>
    <row r="151" s="3" customFormat="1" x14ac:dyDescent="0.25"/>
    <row r="152" s="3" customFormat="1" x14ac:dyDescent="0.25"/>
    <row r="153" s="3" customFormat="1" x14ac:dyDescent="0.25"/>
    <row r="154" s="3" customFormat="1" x14ac:dyDescent="0.25"/>
    <row r="155" s="3" customFormat="1" x14ac:dyDescent="0.25"/>
    <row r="156" s="3" customFormat="1" x14ac:dyDescent="0.25"/>
    <row r="157" s="3" customFormat="1" x14ac:dyDescent="0.25"/>
    <row r="158" s="3" customFormat="1" x14ac:dyDescent="0.25"/>
    <row r="159" s="3" customFormat="1" x14ac:dyDescent="0.25"/>
    <row r="160" s="3" customFormat="1" x14ac:dyDescent="0.25"/>
    <row r="161" s="3" customFormat="1" x14ac:dyDescent="0.25"/>
    <row r="162" s="3" customFormat="1" x14ac:dyDescent="0.25"/>
    <row r="163" s="3" customFormat="1" x14ac:dyDescent="0.25"/>
    <row r="164" s="3" customFormat="1" x14ac:dyDescent="0.25"/>
    <row r="165" s="3" customFormat="1" x14ac:dyDescent="0.25"/>
    <row r="166" s="3" customFormat="1" x14ac:dyDescent="0.25"/>
    <row r="167" s="3" customFormat="1" x14ac:dyDescent="0.25"/>
    <row r="168" s="3" customFormat="1" x14ac:dyDescent="0.25"/>
    <row r="169" s="3" customFormat="1" x14ac:dyDescent="0.25"/>
    <row r="170" s="3" customFormat="1" x14ac:dyDescent="0.25"/>
    <row r="171" s="3" customFormat="1" x14ac:dyDescent="0.25"/>
    <row r="172" s="3" customFormat="1" x14ac:dyDescent="0.25"/>
    <row r="173" s="3" customFormat="1" x14ac:dyDescent="0.25"/>
    <row r="174" s="3" customFormat="1" x14ac:dyDescent="0.25"/>
    <row r="175" s="3" customFormat="1" x14ac:dyDescent="0.25"/>
    <row r="176" s="3" customFormat="1" x14ac:dyDescent="0.25"/>
    <row r="177" s="3" customFormat="1" x14ac:dyDescent="0.25"/>
    <row r="178" s="3" customFormat="1" x14ac:dyDescent="0.25"/>
    <row r="179" s="3" customFormat="1" x14ac:dyDescent="0.25"/>
    <row r="180" s="3" customFormat="1" x14ac:dyDescent="0.25"/>
    <row r="181" s="3" customFormat="1" x14ac:dyDescent="0.25"/>
    <row r="182" s="3" customFormat="1" x14ac:dyDescent="0.25"/>
    <row r="183" s="3" customFormat="1" x14ac:dyDescent="0.25"/>
    <row r="184" s="3" customFormat="1" x14ac:dyDescent="0.25"/>
    <row r="185" s="3" customFormat="1" x14ac:dyDescent="0.25"/>
    <row r="186" s="3" customFormat="1" x14ac:dyDescent="0.25"/>
    <row r="187" s="3" customFormat="1" x14ac:dyDescent="0.25"/>
    <row r="188" s="3" customFormat="1" x14ac:dyDescent="0.25"/>
    <row r="189" s="3" customFormat="1" x14ac:dyDescent="0.25"/>
    <row r="190" s="3" customFormat="1" x14ac:dyDescent="0.25"/>
    <row r="191" s="3" customFormat="1" x14ac:dyDescent="0.25"/>
    <row r="192" s="3" customFormat="1" x14ac:dyDescent="0.25"/>
    <row r="193" s="3" customFormat="1" x14ac:dyDescent="0.25"/>
    <row r="194" s="3" customFormat="1" x14ac:dyDescent="0.25"/>
    <row r="195" s="3" customFormat="1" x14ac:dyDescent="0.25"/>
    <row r="196" s="3" customFormat="1" x14ac:dyDescent="0.25"/>
    <row r="197" s="3" customFormat="1" x14ac:dyDescent="0.25"/>
    <row r="198" s="3" customFormat="1" x14ac:dyDescent="0.25"/>
    <row r="199" s="3" customFormat="1" x14ac:dyDescent="0.25"/>
    <row r="200" s="3" customFormat="1" x14ac:dyDescent="0.25"/>
    <row r="201" s="3" customFormat="1" x14ac:dyDescent="0.25"/>
    <row r="202" s="3" customFormat="1" x14ac:dyDescent="0.25"/>
    <row r="203" s="3" customFormat="1" x14ac:dyDescent="0.25"/>
    <row r="204" s="3" customFormat="1" x14ac:dyDescent="0.25"/>
    <row r="205" s="3" customFormat="1" x14ac:dyDescent="0.25"/>
    <row r="206" s="3" customFormat="1" x14ac:dyDescent="0.25"/>
    <row r="207" s="3" customFormat="1" x14ac:dyDescent="0.25"/>
    <row r="208" s="3" customFormat="1" x14ac:dyDescent="0.25"/>
    <row r="209" s="3" customFormat="1" x14ac:dyDescent="0.25"/>
    <row r="210" s="3" customFormat="1" x14ac:dyDescent="0.25"/>
    <row r="211" s="3" customFormat="1" x14ac:dyDescent="0.25"/>
    <row r="212" s="3" customFormat="1" x14ac:dyDescent="0.25"/>
    <row r="213" s="3" customFormat="1" x14ac:dyDescent="0.25"/>
    <row r="214" s="3" customFormat="1" x14ac:dyDescent="0.25"/>
    <row r="215" s="3" customFormat="1" x14ac:dyDescent="0.25"/>
    <row r="216" s="3" customFormat="1" x14ac:dyDescent="0.25"/>
    <row r="217" s="3" customFormat="1" x14ac:dyDescent="0.25"/>
    <row r="218" s="3" customFormat="1" x14ac:dyDescent="0.25"/>
    <row r="219" s="3" customFormat="1" x14ac:dyDescent="0.25"/>
    <row r="220" s="3" customFormat="1" x14ac:dyDescent="0.25"/>
    <row r="221" s="3" customFormat="1" x14ac:dyDescent="0.25"/>
    <row r="222" s="3" customFormat="1" x14ac:dyDescent="0.25"/>
    <row r="223" s="3" customFormat="1" x14ac:dyDescent="0.25"/>
    <row r="224" s="3" customFormat="1" x14ac:dyDescent="0.25"/>
    <row r="225" s="3" customFormat="1" x14ac:dyDescent="0.25"/>
    <row r="226" s="3" customFormat="1" x14ac:dyDescent="0.25"/>
    <row r="227" s="3" customFormat="1" x14ac:dyDescent="0.25"/>
    <row r="228" s="3" customFormat="1" x14ac:dyDescent="0.25"/>
    <row r="229" s="3" customFormat="1" x14ac:dyDescent="0.25"/>
    <row r="230" s="3" customFormat="1" x14ac:dyDescent="0.25"/>
    <row r="231" s="3" customFormat="1" x14ac:dyDescent="0.25"/>
    <row r="232" s="3" customFormat="1" x14ac:dyDescent="0.25"/>
    <row r="233" s="3" customFormat="1" x14ac:dyDescent="0.25"/>
    <row r="234" s="3" customFormat="1" x14ac:dyDescent="0.25"/>
    <row r="235" s="3" customFormat="1" x14ac:dyDescent="0.25"/>
    <row r="236" s="3" customFormat="1" x14ac:dyDescent="0.25"/>
    <row r="237" s="3" customFormat="1" x14ac:dyDescent="0.25"/>
    <row r="238" s="3" customFormat="1" x14ac:dyDescent="0.25"/>
    <row r="239" s="3" customFormat="1" x14ac:dyDescent="0.25"/>
    <row r="240" s="3" customFormat="1" x14ac:dyDescent="0.25"/>
    <row r="241" s="3" customFormat="1" x14ac:dyDescent="0.25"/>
    <row r="242" s="3" customFormat="1" x14ac:dyDescent="0.25"/>
    <row r="243" s="3" customFormat="1" x14ac:dyDescent="0.25"/>
    <row r="244" s="3" customFormat="1" x14ac:dyDescent="0.25"/>
    <row r="245" s="3" customFormat="1" x14ac:dyDescent="0.25"/>
    <row r="246" s="3" customFormat="1" x14ac:dyDescent="0.25"/>
    <row r="247" s="3" customFormat="1" x14ac:dyDescent="0.25"/>
    <row r="248" s="3" customFormat="1" x14ac:dyDescent="0.25"/>
    <row r="249" s="3" customFormat="1" x14ac:dyDescent="0.25"/>
    <row r="250" s="3" customFormat="1" x14ac:dyDescent="0.25"/>
    <row r="251" s="3" customFormat="1" x14ac:dyDescent="0.25"/>
    <row r="252" s="3" customFormat="1" x14ac:dyDescent="0.25"/>
    <row r="253" s="3" customFormat="1" x14ac:dyDescent="0.25"/>
    <row r="254" s="3" customFormat="1" x14ac:dyDescent="0.25"/>
    <row r="255" s="3" customFormat="1" x14ac:dyDescent="0.25"/>
    <row r="256" s="3" customFormat="1" x14ac:dyDescent="0.25"/>
    <row r="257" s="3" customFormat="1" x14ac:dyDescent="0.25"/>
    <row r="258" s="3" customFormat="1" x14ac:dyDescent="0.25"/>
    <row r="259" s="3" customFormat="1" x14ac:dyDescent="0.25"/>
    <row r="260" s="3" customFormat="1" x14ac:dyDescent="0.25"/>
    <row r="261" s="3" customFormat="1" x14ac:dyDescent="0.25"/>
    <row r="262" s="3" customFormat="1" x14ac:dyDescent="0.25"/>
    <row r="263" s="3" customFormat="1" x14ac:dyDescent="0.25"/>
    <row r="264" s="3" customFormat="1" x14ac:dyDescent="0.25"/>
    <row r="265" s="3" customFormat="1" x14ac:dyDescent="0.25"/>
    <row r="266" s="3" customFormat="1" x14ac:dyDescent="0.25"/>
    <row r="267" s="3" customFormat="1" x14ac:dyDescent="0.25"/>
    <row r="268" s="3" customFormat="1" x14ac:dyDescent="0.25"/>
    <row r="269" s="3" customFormat="1" x14ac:dyDescent="0.25"/>
    <row r="270" s="3" customFormat="1" x14ac:dyDescent="0.25"/>
    <row r="271" s="3" customFormat="1" x14ac:dyDescent="0.25"/>
    <row r="272" s="3" customFormat="1" x14ac:dyDescent="0.25"/>
    <row r="273" s="3" customFormat="1" x14ac:dyDescent="0.25"/>
    <row r="274" s="3" customFormat="1" x14ac:dyDescent="0.25"/>
    <row r="275" s="3" customFormat="1" x14ac:dyDescent="0.25"/>
    <row r="276" s="3" customFormat="1" x14ac:dyDescent="0.25"/>
    <row r="277" s="3" customFormat="1" x14ac:dyDescent="0.25"/>
    <row r="278" s="3" customFormat="1" x14ac:dyDescent="0.25"/>
    <row r="279" s="3" customFormat="1" x14ac:dyDescent="0.25"/>
    <row r="280" s="3" customFormat="1" x14ac:dyDescent="0.25"/>
    <row r="281" s="3" customFormat="1" x14ac:dyDescent="0.25"/>
    <row r="282" s="3" customFormat="1" x14ac:dyDescent="0.25"/>
    <row r="283" s="3" customFormat="1" x14ac:dyDescent="0.25"/>
    <row r="284" s="3" customFormat="1" x14ac:dyDescent="0.25"/>
    <row r="285" s="3" customFormat="1" x14ac:dyDescent="0.25"/>
    <row r="286" s="3" customFormat="1" x14ac:dyDescent="0.25"/>
    <row r="287" s="3" customFormat="1" x14ac:dyDescent="0.25"/>
    <row r="288" s="3" customFormat="1" x14ac:dyDescent="0.25"/>
    <row r="289" s="3" customFormat="1" x14ac:dyDescent="0.25"/>
    <row r="290" s="3" customFormat="1" x14ac:dyDescent="0.25"/>
    <row r="291" s="3" customFormat="1" x14ac:dyDescent="0.25"/>
    <row r="292" s="3" customFormat="1" x14ac:dyDescent="0.25"/>
    <row r="293" s="3" customFormat="1" x14ac:dyDescent="0.25"/>
    <row r="294" s="3" customFormat="1" x14ac:dyDescent="0.25"/>
    <row r="295" s="3" customFormat="1" x14ac:dyDescent="0.25"/>
    <row r="296" s="3" customFormat="1" x14ac:dyDescent="0.25"/>
    <row r="297" s="3" customFormat="1" x14ac:dyDescent="0.25"/>
    <row r="298" s="3" customFormat="1" x14ac:dyDescent="0.25"/>
    <row r="299" s="3" customFormat="1" x14ac:dyDescent="0.25"/>
    <row r="300" s="3" customFormat="1" x14ac:dyDescent="0.25"/>
    <row r="301" s="3" customFormat="1" x14ac:dyDescent="0.25"/>
    <row r="302" s="3" customFormat="1" x14ac:dyDescent="0.25"/>
    <row r="303" s="3" customFormat="1" x14ac:dyDescent="0.25"/>
    <row r="304" s="3" customFormat="1" x14ac:dyDescent="0.25"/>
    <row r="305" s="3" customFormat="1" x14ac:dyDescent="0.25"/>
    <row r="306" s="3" customFormat="1" x14ac:dyDescent="0.25"/>
    <row r="307" s="3" customFormat="1" x14ac:dyDescent="0.25"/>
    <row r="308" s="3" customFormat="1" x14ac:dyDescent="0.25"/>
    <row r="309" s="3" customFormat="1" x14ac:dyDescent="0.25"/>
    <row r="310" s="3" customFormat="1" x14ac:dyDescent="0.25"/>
    <row r="311" s="3" customFormat="1" x14ac:dyDescent="0.25"/>
    <row r="312" s="3" customFormat="1" x14ac:dyDescent="0.25"/>
    <row r="313" s="3" customFormat="1" x14ac:dyDescent="0.25"/>
    <row r="314" s="3" customFormat="1" x14ac:dyDescent="0.25"/>
    <row r="315" s="3" customFormat="1" x14ac:dyDescent="0.25"/>
    <row r="316" s="3" customFormat="1" x14ac:dyDescent="0.25"/>
    <row r="317" s="3" customFormat="1" x14ac:dyDescent="0.25"/>
    <row r="318" s="3" customFormat="1" x14ac:dyDescent="0.25"/>
    <row r="319" s="3" customFormat="1" x14ac:dyDescent="0.25"/>
    <row r="320" s="3" customFormat="1" x14ac:dyDescent="0.25"/>
    <row r="321" s="3" customFormat="1" x14ac:dyDescent="0.25"/>
    <row r="322" s="3" customFormat="1" x14ac:dyDescent="0.25"/>
    <row r="323" s="3" customFormat="1" x14ac:dyDescent="0.25"/>
    <row r="324" s="3" customFormat="1" x14ac:dyDescent="0.25"/>
    <row r="325" s="3" customFormat="1" x14ac:dyDescent="0.25"/>
    <row r="326" s="3" customFormat="1" x14ac:dyDescent="0.25"/>
    <row r="327" s="3" customFormat="1" x14ac:dyDescent="0.25"/>
    <row r="328" s="3" customFormat="1" x14ac:dyDescent="0.25"/>
    <row r="329" s="3" customFormat="1" x14ac:dyDescent="0.25"/>
    <row r="330" s="3" customFormat="1" x14ac:dyDescent="0.25"/>
    <row r="331" s="3" customFormat="1" x14ac:dyDescent="0.25"/>
    <row r="332" s="3" customFormat="1" x14ac:dyDescent="0.25"/>
    <row r="333" s="3" customFormat="1" x14ac:dyDescent="0.25"/>
    <row r="334" s="3" customFormat="1" x14ac:dyDescent="0.25"/>
    <row r="335" s="3" customFormat="1" x14ac:dyDescent="0.25"/>
    <row r="336" s="3" customFormat="1" x14ac:dyDescent="0.25"/>
    <row r="337" s="3" customFormat="1" x14ac:dyDescent="0.25"/>
    <row r="338" s="3" customFormat="1" x14ac:dyDescent="0.25"/>
    <row r="339" s="3" customFormat="1" x14ac:dyDescent="0.25"/>
    <row r="340" s="3" customFormat="1" x14ac:dyDescent="0.25"/>
    <row r="341" s="3" customFormat="1" x14ac:dyDescent="0.25"/>
    <row r="342" s="3" customFormat="1" x14ac:dyDescent="0.25"/>
    <row r="343" s="3" customFormat="1" x14ac:dyDescent="0.25"/>
    <row r="344" s="3" customFormat="1" x14ac:dyDescent="0.25"/>
    <row r="345" s="3" customFormat="1" x14ac:dyDescent="0.25"/>
    <row r="346" s="3" customFormat="1" x14ac:dyDescent="0.25"/>
    <row r="347" s="3" customFormat="1" x14ac:dyDescent="0.25"/>
    <row r="348" s="3" customFormat="1" x14ac:dyDescent="0.25"/>
    <row r="349" s="3" customFormat="1" x14ac:dyDescent="0.25"/>
    <row r="350" s="3" customFormat="1" x14ac:dyDescent="0.25"/>
    <row r="351" s="3" customFormat="1" x14ac:dyDescent="0.25"/>
    <row r="352" s="3" customFormat="1" x14ac:dyDescent="0.25"/>
    <row r="353" s="3" customFormat="1" x14ac:dyDescent="0.25"/>
    <row r="354" s="3" customFormat="1" x14ac:dyDescent="0.25"/>
    <row r="355" s="3" customFormat="1" x14ac:dyDescent="0.25"/>
    <row r="356" s="3" customFormat="1" x14ac:dyDescent="0.25"/>
    <row r="357" s="3" customFormat="1" x14ac:dyDescent="0.25"/>
    <row r="358" s="3" customFormat="1" x14ac:dyDescent="0.25"/>
    <row r="359" s="3" customFormat="1" x14ac:dyDescent="0.25"/>
    <row r="360" s="3" customFormat="1" x14ac:dyDescent="0.25"/>
    <row r="361" s="3" customFormat="1" x14ac:dyDescent="0.25"/>
    <row r="362" s="3" customFormat="1" x14ac:dyDescent="0.25"/>
    <row r="363" s="3" customFormat="1" x14ac:dyDescent="0.25"/>
    <row r="364" s="3" customFormat="1" x14ac:dyDescent="0.25"/>
    <row r="365" s="3" customFormat="1" x14ac:dyDescent="0.25"/>
    <row r="366" s="3" customFormat="1" x14ac:dyDescent="0.25"/>
    <row r="367" s="3" customFormat="1" x14ac:dyDescent="0.25"/>
    <row r="368" s="3" customFormat="1" x14ac:dyDescent="0.25"/>
    <row r="369" s="3" customFormat="1" x14ac:dyDescent="0.25"/>
    <row r="370" s="3" customFormat="1" x14ac:dyDescent="0.25"/>
    <row r="371" s="3" customFormat="1" x14ac:dyDescent="0.25"/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070C0"/>
  </sheetPr>
  <dimension ref="A1:AB121"/>
  <sheetViews>
    <sheetView topLeftCell="A66" workbookViewId="0">
      <selection activeCell="E22" sqref="E22"/>
    </sheetView>
  </sheetViews>
  <sheetFormatPr baseColWidth="10" defaultRowHeight="15" x14ac:dyDescent="0.25"/>
  <cols>
    <col min="1" max="1" width="29.85546875" customWidth="1"/>
    <col min="5" max="6" width="11.42578125" customWidth="1"/>
    <col min="9" max="9" width="13.140625" customWidth="1"/>
    <col min="13" max="13" width="11.42578125" customWidth="1"/>
    <col min="16" max="16" width="13.42578125" customWidth="1"/>
    <col min="20" max="20" width="11.42578125" customWidth="1"/>
  </cols>
  <sheetData>
    <row r="1" spans="1:28" ht="23.25" x14ac:dyDescent="0.35">
      <c r="A1" s="1" t="s">
        <v>204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8" ht="18.75" x14ac:dyDescent="0.3">
      <c r="A2" s="65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65"/>
      <c r="S2" s="3"/>
      <c r="T2" s="3"/>
      <c r="U2" s="3"/>
      <c r="V2" s="69"/>
      <c r="W2" s="69"/>
      <c r="X2" s="3"/>
      <c r="Y2" s="3"/>
    </row>
    <row r="3" spans="1:28" ht="23.25" x14ac:dyDescent="0.35">
      <c r="A3" s="193" t="str">
        <f>Résultats!B1</f>
        <v>TEND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65"/>
      <c r="S3" s="3"/>
      <c r="T3" s="3"/>
      <c r="U3" s="3"/>
      <c r="V3" s="69"/>
      <c r="W3" s="69"/>
      <c r="X3" s="3"/>
      <c r="Y3" s="3"/>
    </row>
    <row r="4" spans="1:28" x14ac:dyDescent="0.25">
      <c r="A4" s="3"/>
      <c r="B4" s="67"/>
      <c r="C4" s="67"/>
      <c r="D4" s="67"/>
      <c r="E4" s="67"/>
      <c r="F4" s="68"/>
      <c r="G4" s="3"/>
      <c r="H4" s="3"/>
      <c r="I4" s="3"/>
      <c r="J4" s="43"/>
      <c r="K4" s="43"/>
      <c r="L4" s="43"/>
      <c r="M4" s="43"/>
      <c r="O4" s="12"/>
      <c r="Q4" s="43"/>
      <c r="R4" s="43"/>
      <c r="S4" s="43"/>
      <c r="T4" s="43"/>
      <c r="X4" s="43"/>
      <c r="Y4" s="43"/>
      <c r="Z4" s="43"/>
      <c r="AA4" s="43"/>
    </row>
    <row r="5" spans="1:28" ht="21" x14ac:dyDescent="0.35">
      <c r="A5" s="173">
        <v>2015</v>
      </c>
      <c r="B5" s="4" t="s">
        <v>36</v>
      </c>
      <c r="C5" s="4" t="s">
        <v>37</v>
      </c>
      <c r="D5" s="4" t="s">
        <v>38</v>
      </c>
      <c r="E5" s="4" t="s">
        <v>39</v>
      </c>
      <c r="F5" s="4" t="s">
        <v>40</v>
      </c>
      <c r="G5" s="118" t="s">
        <v>1</v>
      </c>
      <c r="H5" s="3"/>
      <c r="I5" s="25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</row>
    <row r="6" spans="1:28" x14ac:dyDescent="0.25">
      <c r="A6" s="194" t="s">
        <v>18</v>
      </c>
      <c r="B6" s="57">
        <f>B7+B8</f>
        <v>0</v>
      </c>
      <c r="C6" s="57">
        <f>C7+C8</f>
        <v>108.25752271503917</v>
      </c>
      <c r="D6" s="57">
        <f>D7+D8</f>
        <v>0.69917918681533797</v>
      </c>
      <c r="E6" s="57">
        <f>E7+E8</f>
        <v>0.35943964163275544</v>
      </c>
      <c r="F6" s="57">
        <f>F7+F8</f>
        <v>0</v>
      </c>
      <c r="G6" s="195">
        <f t="shared" ref="G6:G15" si="0">SUM(B6:F6)</f>
        <v>109.31614154348728</v>
      </c>
      <c r="H6" s="3"/>
      <c r="I6" s="202"/>
      <c r="J6" s="51"/>
      <c r="K6" s="51" t="s">
        <v>207</v>
      </c>
      <c r="L6" s="51"/>
      <c r="M6" s="51"/>
      <c r="N6" s="53"/>
      <c r="O6" s="54"/>
      <c r="P6" s="54"/>
      <c r="Q6" s="54"/>
      <c r="R6" s="54"/>
      <c r="S6" s="54"/>
      <c r="T6" s="46"/>
      <c r="U6" s="53"/>
      <c r="V6" s="24"/>
      <c r="W6" s="45"/>
      <c r="X6" s="52"/>
      <c r="Y6" s="52"/>
      <c r="Z6" s="52"/>
      <c r="AA6" s="52"/>
      <c r="AB6" s="52"/>
    </row>
    <row r="7" spans="1:28" x14ac:dyDescent="0.25">
      <c r="A7" s="176" t="s">
        <v>19</v>
      </c>
      <c r="B7" s="19">
        <v>0</v>
      </c>
      <c r="C7" s="19">
        <f>'T energie usages'!I12*3.2*Résultats!L250</f>
        <v>62.189782537939173</v>
      </c>
      <c r="D7" s="19">
        <f>'T energie usages'!J12/'T energie usages'!J$20*(Résultats!N$159+Résultats!N$60+Résultats!N$161)/1000000</f>
        <v>6.8392752688470572E-3</v>
      </c>
      <c r="E7" s="19">
        <f>'T energie usages'!K12*2.394*Résultats!L251</f>
        <v>2.0126132755389757E-5</v>
      </c>
      <c r="F7" s="19">
        <v>0</v>
      </c>
      <c r="G7" s="120">
        <f t="shared" si="0"/>
        <v>62.196641939340772</v>
      </c>
      <c r="H7" s="3"/>
      <c r="I7" s="202"/>
      <c r="J7" s="51"/>
      <c r="K7" s="207"/>
      <c r="L7" s="208">
        <v>2020</v>
      </c>
      <c r="M7" s="208">
        <v>2030</v>
      </c>
      <c r="N7" s="209">
        <v>2050</v>
      </c>
      <c r="O7" s="54"/>
      <c r="P7" s="54"/>
      <c r="Q7" s="54"/>
      <c r="R7" s="54"/>
      <c r="S7" s="54"/>
      <c r="T7" s="46"/>
      <c r="U7" s="53"/>
      <c r="V7" s="24"/>
      <c r="W7" s="41"/>
      <c r="X7" s="52"/>
      <c r="Y7" s="52"/>
      <c r="Z7" s="52"/>
      <c r="AA7" s="52"/>
      <c r="AB7" s="52"/>
    </row>
    <row r="8" spans="1:28" x14ac:dyDescent="0.25">
      <c r="A8" s="177" t="s">
        <v>20</v>
      </c>
      <c r="B8" s="19">
        <v>0</v>
      </c>
      <c r="C8" s="19">
        <f>(Résultats!N$150+Résultats!N$151+Résultats!N$152+Résultats!N$153+Résultats!N$154)/1000000</f>
        <v>46.067740177099999</v>
      </c>
      <c r="D8" s="19">
        <f>'T energie usages'!J13/'T energie usages'!J$20*(Résultats!N$159+Résultats!N$160+Résultats!N$161)/1000000</f>
        <v>0.69233991154649088</v>
      </c>
      <c r="E8" s="19">
        <f>(Résultats!N$176+Résultats!N$177+Résultats!N$178+Résultats!N$179+Résultats!N$180)/1000000</f>
        <v>0.35941951550000006</v>
      </c>
      <c r="F8" s="19">
        <v>0</v>
      </c>
      <c r="G8" s="120">
        <f t="shared" si="0"/>
        <v>47.11949960414649</v>
      </c>
      <c r="H8" s="3"/>
      <c r="I8" s="202"/>
      <c r="J8" s="51"/>
      <c r="K8" s="210" t="s">
        <v>18</v>
      </c>
      <c r="L8" s="24">
        <f>G19</f>
        <v>104.62127593745008</v>
      </c>
      <c r="M8" s="24">
        <f>G45</f>
        <v>97.613667448851416</v>
      </c>
      <c r="N8" s="213">
        <f>G71</f>
        <v>83.496487644183276</v>
      </c>
      <c r="O8" s="54"/>
      <c r="P8" s="54"/>
      <c r="Q8" s="54"/>
      <c r="R8" s="54"/>
      <c r="S8" s="54"/>
      <c r="T8" s="46"/>
      <c r="U8" s="53"/>
      <c r="V8" s="24"/>
      <c r="W8" s="41"/>
      <c r="X8" s="52"/>
      <c r="Y8" s="52"/>
      <c r="Z8" s="52"/>
      <c r="AA8" s="52"/>
      <c r="AB8" s="52"/>
    </row>
    <row r="9" spans="1:28" x14ac:dyDescent="0.25">
      <c r="A9" s="194" t="s">
        <v>21</v>
      </c>
      <c r="B9" s="57">
        <f>Résultats!N$102/1000000</f>
        <v>1.0160770610000001</v>
      </c>
      <c r="C9" s="57">
        <f>'T energie usages'!I14*3.2*Résultats!L250</f>
        <v>18.608027861123972</v>
      </c>
      <c r="D9" s="57">
        <f>'T energie usages'!J14/'T energie usages'!J$20*(Résultats!N$159+Résultats!N$160+Résultats!N$161)/1000000</f>
        <v>7.5038653789386718</v>
      </c>
      <c r="E9" s="57">
        <f>('T energie usages'!K14-5)*2.394*Résultats!L251</f>
        <v>27.8958648396375</v>
      </c>
      <c r="F9" s="57">
        <v>0</v>
      </c>
      <c r="G9" s="195">
        <f t="shared" si="0"/>
        <v>55.023835140700143</v>
      </c>
      <c r="H9" s="3"/>
      <c r="I9" s="202"/>
      <c r="J9" s="51"/>
      <c r="K9" s="210" t="s">
        <v>205</v>
      </c>
      <c r="L9" s="24">
        <f>G22</f>
        <v>48.250315493494938</v>
      </c>
      <c r="M9" s="24">
        <f>G48</f>
        <v>45.630414166614649</v>
      </c>
      <c r="N9" s="213">
        <f>G74</f>
        <v>43.456946438583557</v>
      </c>
      <c r="O9" s="54"/>
      <c r="P9" s="54"/>
      <c r="Q9" s="54"/>
      <c r="R9" s="54"/>
      <c r="S9" s="54"/>
      <c r="T9" s="46"/>
      <c r="U9" s="53"/>
      <c r="V9" s="24"/>
      <c r="W9" s="45"/>
      <c r="X9" s="52"/>
      <c r="Y9" s="52"/>
      <c r="Z9" s="52"/>
      <c r="AA9" s="52"/>
      <c r="AB9" s="52"/>
    </row>
    <row r="10" spans="1:28" x14ac:dyDescent="0.25">
      <c r="A10" s="194" t="s">
        <v>22</v>
      </c>
      <c r="B10" s="57">
        <f>(Résultats!N$135+Résultats!N$136)/1000000</f>
        <v>0</v>
      </c>
      <c r="C10" s="57">
        <f>(Résultats!N$155+Résultats!N$156)/1000000</f>
        <v>9.1846924009999995</v>
      </c>
      <c r="D10" s="57">
        <f>'T energie usages'!J15/'T energie usages'!J$20*(Résultats!N$159+Résultats!N$160+Résultats!N$161)/1000000</f>
        <v>6.3170364954217408</v>
      </c>
      <c r="E10" s="57">
        <f>(Résultats!N$181+Résultats!N$182)/1000000</f>
        <v>13.175886590999999</v>
      </c>
      <c r="F10" s="57">
        <v>0</v>
      </c>
      <c r="G10" s="195">
        <f t="shared" si="0"/>
        <v>28.67761548742174</v>
      </c>
      <c r="H10" s="3"/>
      <c r="I10" s="202"/>
      <c r="J10" s="51"/>
      <c r="K10" s="211" t="s">
        <v>22</v>
      </c>
      <c r="L10" s="24">
        <f>G23</f>
        <v>23.722840205784117</v>
      </c>
      <c r="M10" s="24">
        <f>G49</f>
        <v>21.59709441964355</v>
      </c>
      <c r="N10" s="213">
        <f>G75</f>
        <v>17.313740464792168</v>
      </c>
      <c r="O10" s="54"/>
      <c r="P10" s="54"/>
      <c r="Q10" s="54"/>
      <c r="R10" s="54"/>
      <c r="S10" s="54"/>
      <c r="T10" s="46"/>
      <c r="U10" s="53"/>
      <c r="V10" s="24"/>
      <c r="W10" s="45"/>
      <c r="X10" s="52"/>
      <c r="Y10" s="52"/>
      <c r="Z10" s="52"/>
      <c r="AA10" s="52"/>
      <c r="AB10" s="52"/>
    </row>
    <row r="11" spans="1:28" x14ac:dyDescent="0.25">
      <c r="A11" s="194" t="s">
        <v>23</v>
      </c>
      <c r="B11" s="57">
        <f>B12+B13</f>
        <v>20.022394484899998</v>
      </c>
      <c r="C11" s="57">
        <f>C12+C13</f>
        <v>55.064111713917896</v>
      </c>
      <c r="D11" s="57">
        <f>D12+D13</f>
        <v>6.1585106798778293</v>
      </c>
      <c r="E11" s="57">
        <f>E12+E13</f>
        <v>21.939880180688426</v>
      </c>
      <c r="F11" s="57">
        <f>F12+F13</f>
        <v>12.05881789</v>
      </c>
      <c r="G11" s="195">
        <f t="shared" si="0"/>
        <v>115.24371494938416</v>
      </c>
      <c r="H11" s="3"/>
      <c r="I11" s="202"/>
      <c r="J11" s="51"/>
      <c r="K11" s="212" t="s">
        <v>206</v>
      </c>
      <c r="L11" s="214">
        <f>G24</f>
        <v>88.258462478176583</v>
      </c>
      <c r="M11" s="214">
        <f>G50</f>
        <v>89.068663898124299</v>
      </c>
      <c r="N11" s="215">
        <f>G76</f>
        <v>100.93017821144061</v>
      </c>
      <c r="O11" s="54"/>
      <c r="P11" s="54"/>
      <c r="Q11" s="54"/>
      <c r="R11" s="54"/>
      <c r="S11" s="54"/>
      <c r="T11" s="46"/>
      <c r="U11" s="53"/>
      <c r="V11" s="24"/>
      <c r="W11" s="45"/>
      <c r="X11" s="52"/>
      <c r="Y11" s="52"/>
      <c r="Z11" s="52"/>
      <c r="AA11" s="52"/>
      <c r="AB11" s="52"/>
    </row>
    <row r="12" spans="1:28" x14ac:dyDescent="0.25">
      <c r="A12" s="177" t="s">
        <v>24</v>
      </c>
      <c r="B12" s="19">
        <f>(Résultats!N$129+Résultats!N$130+Résultats!N$131+Résultats!N$132+Résultats!N$133+Résultats!N$134)/1000000</f>
        <v>20.022394484899998</v>
      </c>
      <c r="C12" s="19">
        <f>(Résultats!N$138+Résultats!N$140+Résultats!N$141+Résultats!N$142+Résultats!N$143+Résultats!N$144+Résultats!N$145+Résultats!N$146+Résultats!N$147+Résultats!N$148+Résultats!N$149)/1000000</f>
        <v>49.040110728917895</v>
      </c>
      <c r="D12" s="19">
        <f>'T energie usages'!J17/'T energie usages'!J$20*(Résultats!N$159+Résultats!N$160+Résultats!N$161)/1000000</f>
        <v>5.9839902410062775</v>
      </c>
      <c r="E12" s="19">
        <f>(Résultats!N$164+Résultats!N$165+Résultats!N$166+Résultats!N$167+Résultats!N$168+Résultats!N$169+Résultats!N$170+Résultats!N$171+Résultats!N$172+Résultats!N$173+Résultats!N$174+Résultats!N$175+Résultats!N$183+Résultats!N$185)/1000000</f>
        <v>21.371170435788425</v>
      </c>
      <c r="F12" s="19">
        <f>Résultats!N$100/1000000</f>
        <v>12.05881789</v>
      </c>
      <c r="G12" s="120">
        <f t="shared" si="0"/>
        <v>108.47648378061261</v>
      </c>
      <c r="H12" s="3"/>
      <c r="I12" s="202"/>
      <c r="J12" s="51"/>
      <c r="K12" s="216" t="s">
        <v>1</v>
      </c>
      <c r="L12" s="217">
        <f>SUM(L8:L11)</f>
        <v>264.85289411490572</v>
      </c>
      <c r="M12" s="217">
        <f t="shared" ref="M12:N12" si="1">SUM(M8:M11)</f>
        <v>253.90983993323391</v>
      </c>
      <c r="N12" s="217">
        <f t="shared" si="1"/>
        <v>245.19735275899961</v>
      </c>
      <c r="O12" s="54"/>
      <c r="P12" s="54"/>
      <c r="Q12" s="54"/>
      <c r="R12" s="54"/>
      <c r="S12" s="54"/>
      <c r="T12" s="46"/>
      <c r="U12" s="53"/>
      <c r="V12" s="24"/>
      <c r="W12" s="41"/>
      <c r="X12" s="52"/>
      <c r="Y12" s="52"/>
      <c r="Z12" s="52"/>
      <c r="AA12" s="52"/>
      <c r="AB12" s="52"/>
    </row>
    <row r="13" spans="1:28" x14ac:dyDescent="0.25">
      <c r="A13" s="177" t="s">
        <v>25</v>
      </c>
      <c r="B13" s="19">
        <v>0</v>
      </c>
      <c r="C13" s="19">
        <f>(Résultats!N$139)/1000000</f>
        <v>6.0240009850000007</v>
      </c>
      <c r="D13" s="19">
        <f>'T energie usages'!J19/'T energie usages'!J$20*(Résultats!N$159+Résultats!N$160+Résultats!N$161)/1000000</f>
        <v>0.17452043887155139</v>
      </c>
      <c r="E13" s="19">
        <f>(Résultats!N$163)/1000000</f>
        <v>0.56870974490000004</v>
      </c>
      <c r="F13" s="19">
        <v>0</v>
      </c>
      <c r="G13" s="120">
        <f t="shared" si="0"/>
        <v>6.7672311687715521</v>
      </c>
      <c r="H13" s="3"/>
      <c r="I13" s="202"/>
      <c r="J13" s="51"/>
      <c r="K13" s="51"/>
      <c r="L13" s="51"/>
      <c r="M13" s="51"/>
      <c r="N13" s="53"/>
      <c r="O13" s="54"/>
      <c r="P13" s="54"/>
      <c r="Q13" s="54"/>
      <c r="R13" s="54"/>
      <c r="S13" s="54"/>
      <c r="T13" s="46"/>
      <c r="U13" s="53"/>
      <c r="V13" s="24"/>
      <c r="W13" s="41"/>
      <c r="X13" s="52"/>
      <c r="Y13" s="52"/>
      <c r="Z13" s="52"/>
      <c r="AA13" s="52"/>
      <c r="AB13" s="52"/>
    </row>
    <row r="14" spans="1:28" x14ac:dyDescent="0.25">
      <c r="A14" s="72" t="s">
        <v>41</v>
      </c>
      <c r="B14" s="58">
        <f>SUM(B9:B11)+B6</f>
        <v>21.038471545899998</v>
      </c>
      <c r="C14" s="58">
        <f>SUM(C9:C11)+C6</f>
        <v>191.11435469108102</v>
      </c>
      <c r="D14" s="58">
        <f>SUM(D9:D11)+D6</f>
        <v>20.67859174105358</v>
      </c>
      <c r="E14" s="58">
        <f>SUM(E9:E11)+E6</f>
        <v>63.371071252958679</v>
      </c>
      <c r="F14" s="58">
        <f>SUM(F9:F11)+F6</f>
        <v>12.05881789</v>
      </c>
      <c r="G14" s="196">
        <f t="shared" si="0"/>
        <v>308.26130712099331</v>
      </c>
      <c r="H14" s="3"/>
      <c r="I14" s="202"/>
      <c r="J14" s="51"/>
      <c r="K14" s="51"/>
      <c r="L14" s="51"/>
      <c r="M14" s="51"/>
      <c r="N14" s="53"/>
      <c r="O14" s="54"/>
      <c r="P14" s="54"/>
      <c r="Q14" s="54"/>
      <c r="R14" s="54"/>
      <c r="S14" s="54"/>
      <c r="T14" s="46"/>
      <c r="U14" s="53"/>
      <c r="V14" s="24"/>
      <c r="W14" s="47"/>
      <c r="X14" s="52"/>
      <c r="Y14" s="52"/>
      <c r="Z14" s="52"/>
      <c r="AA14" s="52"/>
      <c r="AB14" s="52"/>
    </row>
    <row r="15" spans="1:28" x14ac:dyDescent="0.25">
      <c r="A15" s="197" t="s">
        <v>43</v>
      </c>
      <c r="B15" s="200">
        <f>(Résultats!N$102+Résultats!N$129+Résultats!N$130+Résultats!N$131+Résultats!N$132+Résultats!N$133+Résultats!N$134+Résultats!N$135+Résultats!N$136)/1000000</f>
        <v>21.038471545899998</v>
      </c>
      <c r="C15" s="200">
        <f>(Résultats!N$104+Résultats!N$138+Résultats!N$139+Résultats!N$140+Résultats!N$141+Résultats!N$142+Résultats!N$143+Résultats!N$144+Résultats!N$145+Résultats!N$146+Résultats!N$147+Résultats!N$148+Résultats!N$149+Résultats!N$150+Résultats!N$151+Résultats!N$152+Résultats!N$153+Résultats!N$154+Résultats!N$155+Résultats!N$156)/1000000</f>
        <v>206.52208861201777</v>
      </c>
      <c r="D15" s="200">
        <f>(Résultats!N$159+Résultats!N$160+Résultats!N$161)/1000000</f>
        <v>20.681674752999999</v>
      </c>
      <c r="E15" s="200">
        <f>(Résultats!N$106+Résultats!N$163+Résultats!N$164+Résultats!N$165+Résultats!N$166+Résultats!N$167+Résultats!N$168+Résultats!N$169+Résultats!N$170+Résultats!N$171+Résultats!N$172+Résultats!N$173+Résultats!N$174+Résultats!N$175+Résultats!N$176+Résultats!N$177+Résultats!N$178+Résultats!N$179+Résultats!N$180+Résultats!N$181+Résultats!N$182+Résultats!N$183+Résultats!N$185)/1000000</f>
        <v>65.225184257188431</v>
      </c>
      <c r="F15" s="200">
        <f>Résultats!N$100/1000000</f>
        <v>12.05881789</v>
      </c>
      <c r="G15" s="201">
        <f t="shared" si="0"/>
        <v>325.52623705810618</v>
      </c>
      <c r="H15" s="3"/>
      <c r="I15" s="202"/>
      <c r="J15" s="51"/>
      <c r="K15" s="51"/>
      <c r="L15" s="51"/>
      <c r="M15" s="46"/>
      <c r="N15" s="24"/>
      <c r="O15" s="51"/>
      <c r="P15" s="51"/>
      <c r="Q15" s="51"/>
      <c r="R15" s="51"/>
      <c r="S15" s="46"/>
      <c r="T15" s="46"/>
      <c r="U15" s="24"/>
      <c r="V15" s="24"/>
      <c r="W15" s="48"/>
      <c r="X15" s="52"/>
      <c r="Y15" s="52"/>
      <c r="Z15" s="52"/>
      <c r="AA15" s="52"/>
      <c r="AB15" s="52"/>
    </row>
    <row r="16" spans="1:28" x14ac:dyDescent="0.25">
      <c r="A16" s="197"/>
      <c r="B16" s="198"/>
      <c r="C16" s="198"/>
      <c r="D16" s="198"/>
      <c r="E16" s="198"/>
      <c r="F16" s="198"/>
      <c r="G16" s="199">
        <f>Résultats!N$194/1000000</f>
        <v>325.52623639999996</v>
      </c>
      <c r="H16" s="3"/>
      <c r="I16" s="202"/>
      <c r="J16" s="51"/>
      <c r="K16" s="51"/>
      <c r="L16" s="51"/>
      <c r="M16" s="46"/>
      <c r="N16" s="50"/>
      <c r="O16" s="51"/>
      <c r="P16" s="51"/>
      <c r="Q16" s="51"/>
      <c r="R16" s="51"/>
      <c r="S16" s="46"/>
      <c r="T16" s="46"/>
      <c r="U16" s="50"/>
      <c r="V16" s="50"/>
      <c r="W16" s="49"/>
      <c r="X16" s="52"/>
      <c r="Y16" s="52"/>
      <c r="Z16" s="52"/>
      <c r="AA16" s="52"/>
      <c r="AB16" s="52"/>
    </row>
    <row r="17" spans="1:28" x14ac:dyDescent="0.25">
      <c r="A17" s="3"/>
      <c r="B17" s="64"/>
      <c r="C17" s="64"/>
      <c r="D17" s="64"/>
      <c r="E17" s="64"/>
      <c r="F17" s="64"/>
      <c r="G17" s="3"/>
      <c r="H17" s="3"/>
      <c r="I17" s="202"/>
      <c r="J17" s="51"/>
      <c r="K17" s="51"/>
      <c r="L17" s="51"/>
      <c r="M17" s="46"/>
      <c r="O17" s="51"/>
      <c r="P17" s="51"/>
      <c r="Q17" s="51"/>
      <c r="R17" s="51"/>
      <c r="S17" s="46"/>
      <c r="T17" s="46"/>
      <c r="X17" s="52"/>
      <c r="Y17" s="52"/>
      <c r="Z17" s="52"/>
      <c r="AA17" s="52"/>
      <c r="AB17" s="52"/>
    </row>
    <row r="18" spans="1:28" ht="21" x14ac:dyDescent="0.35">
      <c r="A18" s="173">
        <v>2020</v>
      </c>
      <c r="B18" s="4" t="s">
        <v>36</v>
      </c>
      <c r="C18" s="4" t="s">
        <v>37</v>
      </c>
      <c r="D18" s="4" t="s">
        <v>38</v>
      </c>
      <c r="E18" s="4" t="s">
        <v>39</v>
      </c>
      <c r="F18" s="4" t="s">
        <v>40</v>
      </c>
      <c r="G18" s="118" t="s">
        <v>1</v>
      </c>
      <c r="H18" s="3"/>
      <c r="I18" s="25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W18" s="44"/>
      <c r="X18" s="44"/>
      <c r="Y18" s="44"/>
      <c r="Z18" s="44"/>
      <c r="AA18" s="44"/>
      <c r="AB18" s="52"/>
    </row>
    <row r="19" spans="1:28" x14ac:dyDescent="0.25">
      <c r="A19" s="194" t="s">
        <v>18</v>
      </c>
      <c r="B19" s="57">
        <f>B20+B21</f>
        <v>0</v>
      </c>
      <c r="C19" s="57">
        <f>C20+C21</f>
        <v>103.41548335145043</v>
      </c>
      <c r="D19" s="57">
        <f>D20+D21</f>
        <v>0.81290334566197442</v>
      </c>
      <c r="E19" s="61">
        <f>E20+E21</f>
        <v>0.39288924033766659</v>
      </c>
      <c r="F19" s="57">
        <f>F20+F21</f>
        <v>0</v>
      </c>
      <c r="G19" s="195">
        <f>SUM(B19:F19)</f>
        <v>104.62127593745008</v>
      </c>
      <c r="H19" s="3"/>
      <c r="I19" s="202"/>
      <c r="J19" s="51"/>
      <c r="K19" s="51"/>
      <c r="L19" s="51"/>
      <c r="M19" s="51"/>
      <c r="N19" s="53"/>
      <c r="O19" s="54"/>
      <c r="P19" s="54"/>
      <c r="Q19" s="54"/>
      <c r="R19" s="54"/>
      <c r="S19" s="54"/>
      <c r="T19" s="46"/>
      <c r="U19" s="34"/>
      <c r="W19" s="45"/>
      <c r="X19" s="52"/>
      <c r="Y19" s="52"/>
      <c r="Z19" s="52"/>
      <c r="AA19" s="52"/>
      <c r="AB19" s="52"/>
    </row>
    <row r="20" spans="1:28" x14ac:dyDescent="0.25">
      <c r="A20" s="176" t="s">
        <v>19</v>
      </c>
      <c r="B20" s="19">
        <v>0</v>
      </c>
      <c r="C20" s="19">
        <f>'T energie usages'!I25*3.2*Résultats!S250</f>
        <v>58.999481538450439</v>
      </c>
      <c r="D20" s="19">
        <f>'T energie usages'!J25/'T energie usages'!J$33*(Résultats!S$159+Résultats!S$160+Résultats!S$161)/1000000</f>
        <v>3.9074605191288754E-2</v>
      </c>
      <c r="E20" s="55">
        <f>'T energie usages'!K25*2.394*Résultats!S251</f>
        <v>2.7815037666568311E-5</v>
      </c>
      <c r="F20" s="19">
        <v>0</v>
      </c>
      <c r="G20" s="120">
        <f>SUM(B20:F20)</f>
        <v>59.038583958679396</v>
      </c>
      <c r="H20" s="3"/>
      <c r="I20" s="202"/>
      <c r="J20" s="51"/>
      <c r="K20" s="51"/>
      <c r="L20" s="51"/>
      <c r="M20" s="51"/>
      <c r="N20" s="53"/>
      <c r="O20" s="54"/>
      <c r="P20" s="54"/>
      <c r="Q20" s="54"/>
      <c r="R20" s="54"/>
      <c r="S20" s="54"/>
      <c r="T20" s="46"/>
      <c r="U20" s="42"/>
      <c r="W20" s="41"/>
      <c r="X20" s="52"/>
      <c r="Y20" s="52"/>
      <c r="Z20" s="52"/>
      <c r="AA20" s="52"/>
      <c r="AB20" s="52"/>
    </row>
    <row r="21" spans="1:28" x14ac:dyDescent="0.25">
      <c r="A21" s="177" t="s">
        <v>20</v>
      </c>
      <c r="B21" s="19">
        <v>0</v>
      </c>
      <c r="C21" s="19">
        <f>(Résultats!S$150+Résultats!S$151+Résultats!S$152+Résultats!S$153+Résultats!S$154)/1000000</f>
        <v>44.416001813000001</v>
      </c>
      <c r="D21" s="19">
        <f>'T energie usages'!J26/'T energie usages'!J$33*(Résultats!S$159+Résultats!S$160+Résultats!S$161)/1000000</f>
        <v>0.77382874047068562</v>
      </c>
      <c r="E21" s="55">
        <f>(Résultats!S$176+Résultats!S$177+Résultats!S$178+Résultats!S$179+Résultats!S$180)/1000000</f>
        <v>0.39286142530000001</v>
      </c>
      <c r="F21" s="19">
        <v>0</v>
      </c>
      <c r="G21" s="120">
        <f>SUM(B21:F21)</f>
        <v>45.582691978770683</v>
      </c>
      <c r="H21" s="3"/>
      <c r="I21" s="202"/>
      <c r="J21" s="51"/>
      <c r="K21" s="51"/>
      <c r="L21" s="51"/>
      <c r="M21" s="51"/>
      <c r="N21" s="53"/>
      <c r="O21" s="54"/>
      <c r="P21" s="54"/>
      <c r="Q21" s="54"/>
      <c r="R21" s="54"/>
      <c r="S21" s="54"/>
      <c r="T21" s="46"/>
      <c r="U21" s="42"/>
      <c r="W21" s="41"/>
      <c r="X21" s="52"/>
      <c r="Y21" s="52"/>
      <c r="Z21" s="52"/>
      <c r="AA21" s="52"/>
      <c r="AB21" s="52"/>
    </row>
    <row r="22" spans="1:28" x14ac:dyDescent="0.25">
      <c r="A22" s="194" t="s">
        <v>21</v>
      </c>
      <c r="B22" s="57">
        <f>Résultats!S$102/1000000</f>
        <v>0.97730369900000003</v>
      </c>
      <c r="C22" s="57">
        <f>'T energie usages'!I27*3.2*Résultats!S250</f>
        <v>16.377258898553162</v>
      </c>
      <c r="D22" s="57">
        <f>'T energie usages'!J27/'T energie usages'!J$33*(Résultats!S$159+Résultats!S$160+Résultats!S$161)/1000000</f>
        <v>7.7900602974736106</v>
      </c>
      <c r="E22" s="57">
        <f>('T energie usages'!K27-7)*2.394*Résultats!S251</f>
        <v>23.10569259846817</v>
      </c>
      <c r="F22" s="57">
        <v>0</v>
      </c>
      <c r="G22" s="195">
        <f>SUM(B22:F22)</f>
        <v>48.250315493494938</v>
      </c>
      <c r="H22" s="3"/>
      <c r="I22" s="202"/>
      <c r="J22" s="51"/>
      <c r="K22" s="51"/>
      <c r="L22" s="51"/>
      <c r="M22" s="51"/>
      <c r="N22" s="53"/>
      <c r="O22" s="54"/>
      <c r="P22" s="54"/>
      <c r="Q22" s="54"/>
      <c r="R22" s="54"/>
      <c r="S22" s="54"/>
      <c r="T22" s="46"/>
      <c r="U22" s="34"/>
      <c r="W22" s="45"/>
      <c r="X22" s="52"/>
      <c r="Y22" s="52"/>
      <c r="Z22" s="52"/>
      <c r="AA22" s="52"/>
      <c r="AB22" s="52"/>
    </row>
    <row r="23" spans="1:28" x14ac:dyDescent="0.25">
      <c r="A23" s="194" t="s">
        <v>22</v>
      </c>
      <c r="B23" s="57">
        <f>(Résultats!S$135+Résultats!S$136)/1000000</f>
        <v>0</v>
      </c>
      <c r="C23" s="57">
        <f>(Résultats!S$155+Résultats!S$156)/1000000</f>
        <v>6.5983413382</v>
      </c>
      <c r="D23" s="57">
        <f>'T energie usages'!J28/'T energie usages'!J$33*(Résultats!S$159+Résultats!S$160+Résultats!S$161)/1000000</f>
        <v>6.0057390695841173</v>
      </c>
      <c r="E23" s="57">
        <f>(Résultats!S$181+Résultats!S$182)/1000000</f>
        <v>11.118759798000001</v>
      </c>
      <c r="F23" s="57">
        <v>0</v>
      </c>
      <c r="G23" s="195">
        <f t="shared" ref="G23:G28" si="2">SUM(B23:F23)</f>
        <v>23.722840205784117</v>
      </c>
      <c r="H23" s="3"/>
      <c r="I23" s="202"/>
      <c r="J23" s="51"/>
      <c r="K23" s="51"/>
      <c r="L23" s="51"/>
      <c r="M23" s="51"/>
      <c r="N23" s="53"/>
      <c r="O23" s="54"/>
      <c r="P23" s="54"/>
      <c r="Q23" s="54"/>
      <c r="R23" s="54"/>
      <c r="S23" s="54"/>
      <c r="T23" s="46"/>
      <c r="U23" s="34"/>
      <c r="W23" s="45"/>
      <c r="X23" s="52"/>
      <c r="Y23" s="52"/>
      <c r="Z23" s="52"/>
      <c r="AA23" s="52"/>
      <c r="AB23" s="52"/>
    </row>
    <row r="24" spans="1:28" x14ac:dyDescent="0.25">
      <c r="A24" s="194" t="s">
        <v>23</v>
      </c>
      <c r="B24" s="57">
        <f>B25+B26</f>
        <v>10.582869987700001</v>
      </c>
      <c r="C24" s="57">
        <f>C25+C26</f>
        <v>37.606338536642951</v>
      </c>
      <c r="D24" s="57">
        <f>D25+D26</f>
        <v>5.0128573062802984</v>
      </c>
      <c r="E24" s="57">
        <f>E25+E26</f>
        <v>21.992017037553332</v>
      </c>
      <c r="F24" s="57">
        <f>F25+F26</f>
        <v>13.06437961</v>
      </c>
      <c r="G24" s="195">
        <f t="shared" si="2"/>
        <v>88.258462478176583</v>
      </c>
      <c r="H24" s="3"/>
      <c r="I24" s="202"/>
      <c r="J24" s="51"/>
      <c r="K24" s="51"/>
      <c r="L24" s="51"/>
      <c r="M24" s="51"/>
      <c r="N24" s="53"/>
      <c r="O24" s="54"/>
      <c r="P24" s="54"/>
      <c r="Q24" s="54"/>
      <c r="R24" s="54"/>
      <c r="S24" s="54"/>
      <c r="T24" s="46"/>
      <c r="U24" s="34"/>
      <c r="W24" s="45"/>
      <c r="X24" s="52"/>
      <c r="Y24" s="52"/>
      <c r="Z24" s="52"/>
      <c r="AA24" s="52"/>
      <c r="AB24" s="52"/>
    </row>
    <row r="25" spans="1:28" x14ac:dyDescent="0.25">
      <c r="A25" s="177" t="s">
        <v>24</v>
      </c>
      <c r="B25" s="19">
        <f>(Résultats!S$129+Résultats!S$130+Résultats!S$131+Résultats!S$132+Résultats!S$133+Résultats!S$134)/1000000</f>
        <v>10.582869987700001</v>
      </c>
      <c r="C25" s="19">
        <f>(Résultats!S$138+Résultats!S$140+Résultats!S$141+Résultats!S$142+Résultats!S$143+Résultats!S$144+Résultats!S$145+Résultats!S$146+Résultats!S$147+Résultats!S$148+Résultats!V$149)/1000000</f>
        <v>31.801411917642948</v>
      </c>
      <c r="D25" s="19">
        <f>'T energie usages'!J30/'T energie usages'!J$33*(Résultats!S$159+Résultats!S$160+Résultats!S$161)/1000000</f>
        <v>4.8445489560257879</v>
      </c>
      <c r="E25" s="19">
        <f>(Résultats!S$164+Résultats!S$165+Résultats!S$166+Résultats!S$167+Résultats!S$168+Résultats!S$169+Résultats!S$170+Résultats!S$171+Résultats!S$172+Résultats!S$173+Résultats!S$174+Résultats!S$175+Résultats!S$183+Résultats!S$185)/1000000</f>
        <v>21.46903706535333</v>
      </c>
      <c r="F25" s="19">
        <f>Résultats!S$100/1000000</f>
        <v>13.06437961</v>
      </c>
      <c r="G25" s="120">
        <f t="shared" si="2"/>
        <v>81.762247536722072</v>
      </c>
      <c r="H25" s="3"/>
      <c r="I25" s="202"/>
      <c r="J25" s="51"/>
      <c r="K25" s="51"/>
      <c r="L25" s="51"/>
      <c r="M25" s="51"/>
      <c r="N25" s="53"/>
      <c r="O25" s="54"/>
      <c r="P25" s="54"/>
      <c r="Q25" s="54"/>
      <c r="R25" s="54"/>
      <c r="S25" s="54"/>
      <c r="T25" s="46"/>
      <c r="U25" s="42"/>
      <c r="W25" s="41"/>
      <c r="X25" s="52"/>
      <c r="Y25" s="52"/>
      <c r="Z25" s="52"/>
      <c r="AA25" s="52"/>
      <c r="AB25" s="52"/>
    </row>
    <row r="26" spans="1:28" x14ac:dyDescent="0.25">
      <c r="A26" s="177" t="s">
        <v>25</v>
      </c>
      <c r="B26" s="19">
        <v>0</v>
      </c>
      <c r="C26" s="19">
        <f>(Résultats!S$139)/1000000</f>
        <v>5.8049266189999997</v>
      </c>
      <c r="D26" s="19">
        <f>'T energie usages'!J32/'T energie usages'!J$33*(Résultats!S$159+Résultats!S$160+Résultats!S$161)/1000000</f>
        <v>0.16830835025451052</v>
      </c>
      <c r="E26" s="19">
        <f>(Résultats!S$163)/1000000</f>
        <v>0.52297997220000003</v>
      </c>
      <c r="F26" s="19">
        <v>0</v>
      </c>
      <c r="G26" s="120">
        <f t="shared" si="2"/>
        <v>6.4962149414545101</v>
      </c>
      <c r="H26" s="3"/>
      <c r="I26" s="202"/>
      <c r="J26" s="51"/>
      <c r="K26" s="51"/>
      <c r="L26" s="51"/>
      <c r="M26" s="51"/>
      <c r="N26" s="53"/>
      <c r="O26" s="54"/>
      <c r="P26" s="54"/>
      <c r="Q26" s="54"/>
      <c r="R26" s="54"/>
      <c r="S26" s="54"/>
      <c r="T26" s="46"/>
      <c r="U26" s="42"/>
      <c r="W26" s="41"/>
      <c r="X26" s="52"/>
      <c r="Y26" s="52"/>
      <c r="Z26" s="52"/>
      <c r="AA26" s="52"/>
      <c r="AB26" s="52"/>
    </row>
    <row r="27" spans="1:28" x14ac:dyDescent="0.25">
      <c r="A27" s="72" t="s">
        <v>41</v>
      </c>
      <c r="B27" s="58">
        <f>SUM(B22:B24)+B19</f>
        <v>11.560173686700001</v>
      </c>
      <c r="C27" s="58">
        <f>SUM(C22:C24)+C19</f>
        <v>163.99742212484654</v>
      </c>
      <c r="D27" s="58">
        <f>SUM(D22:D24)+D19</f>
        <v>19.621560019000004</v>
      </c>
      <c r="E27" s="58">
        <f>SUM(E22:E24)+E19</f>
        <v>56.609358674359171</v>
      </c>
      <c r="F27" s="58">
        <f>SUM(F22:F24)+F19</f>
        <v>13.06437961</v>
      </c>
      <c r="G27" s="196">
        <f t="shared" si="2"/>
        <v>264.85289411490572</v>
      </c>
      <c r="H27" s="3"/>
      <c r="I27" s="202"/>
      <c r="J27" s="51"/>
      <c r="K27" s="51"/>
      <c r="L27" s="51"/>
      <c r="M27" s="51"/>
      <c r="N27" s="53"/>
      <c r="O27" s="54"/>
      <c r="P27" s="54"/>
      <c r="Q27" s="54"/>
      <c r="R27" s="54"/>
      <c r="S27" s="54"/>
      <c r="T27" s="46"/>
      <c r="U27" s="48"/>
      <c r="W27" s="47"/>
      <c r="X27" s="52"/>
      <c r="Y27" s="52"/>
      <c r="Z27" s="52"/>
      <c r="AA27" s="52"/>
      <c r="AB27" s="52"/>
    </row>
    <row r="28" spans="1:28" x14ac:dyDescent="0.25">
      <c r="A28" s="197" t="s">
        <v>43</v>
      </c>
      <c r="B28" s="200">
        <f>(Résultats!S$102+Résultats!S$129+Résultats!S$130+Résultats!S$131+Résultats!S$132+Résultats!S$133+Résultats!S$134+Résultats!S$135+Résultats!S$136)/1000000</f>
        <v>11.560173686700001</v>
      </c>
      <c r="C28" s="200">
        <f>(Résultats!S$104+Résultats!S$138+Résultats!S$139+Résultats!S$140+Résultats!S$141+Résultats!S$142+Résultats!S$143+Résultats!S$144+Résultats!S$145+Résultats!S$146+Résultats!S$147+Résultats!S$148+Résultats!S$149+Résultats!S$150+Résultats!S$151+Résultats!S$152+Résultats!S$153+Résultats!S$154+Résultats!S$155+Résultats!S$156)/1000000</f>
        <v>179.11313019914255</v>
      </c>
      <c r="D28" s="200">
        <f>(Résultats!S$159+Résultats!S$160+Résultats!S$161)/1000000</f>
        <v>19.621560019</v>
      </c>
      <c r="E28" s="199">
        <f>(Résultats!S$106+Résultats!S$163+Résultats!S$164+Résultats!S$165+Résultats!S$166+Résultats!S$167+Résultats!S$168+Résultats!S$169+Résultats!S$170+Résultats!S$171+Résultats!S$172+Résultats!S$173+Résultats!S$174+Résultats!S$175+Résultats!S$176+Résultats!S$177+Résultats!S$178+Résultats!S$179+Résultats!S$180+Résultats!S$181+Résultats!S$182+Résultats!S$183)/1000000</f>
        <v>61.434848569553317</v>
      </c>
      <c r="F28" s="200">
        <f>Résultats!S$100/1000000</f>
        <v>13.06437961</v>
      </c>
      <c r="G28" s="201">
        <f t="shared" si="2"/>
        <v>284.79409208439586</v>
      </c>
      <c r="H28" s="3"/>
      <c r="I28" s="202"/>
      <c r="J28" s="51"/>
      <c r="K28" s="51"/>
      <c r="L28" s="51"/>
      <c r="M28" s="51"/>
      <c r="N28" s="24"/>
      <c r="O28" s="51"/>
      <c r="P28" s="51"/>
      <c r="Q28" s="51"/>
      <c r="R28" s="51"/>
      <c r="S28" s="51"/>
      <c r="T28" s="46"/>
      <c r="U28" s="24"/>
      <c r="V28" s="24"/>
      <c r="W28" s="24"/>
      <c r="X28" s="52"/>
      <c r="Y28" s="52"/>
      <c r="Z28" s="52"/>
      <c r="AA28" s="52"/>
      <c r="AB28" s="52"/>
    </row>
    <row r="29" spans="1:28" x14ac:dyDescent="0.25">
      <c r="A29" s="197"/>
      <c r="B29" s="198"/>
      <c r="C29" s="198"/>
      <c r="D29" s="198"/>
      <c r="E29" s="198"/>
      <c r="F29" s="198"/>
      <c r="G29" s="199">
        <f>Résultats!S$194/1000000</f>
        <v>285.10649289999998</v>
      </c>
      <c r="H29" s="3"/>
      <c r="I29" s="202"/>
      <c r="J29" s="51"/>
      <c r="K29" s="51"/>
      <c r="L29" s="51"/>
      <c r="M29" s="51"/>
      <c r="N29" s="24"/>
      <c r="O29" s="51"/>
      <c r="P29" s="51"/>
      <c r="Q29" s="51"/>
      <c r="R29" s="51"/>
      <c r="S29" s="51"/>
      <c r="T29" s="46"/>
      <c r="U29" s="24"/>
      <c r="V29" s="24"/>
      <c r="W29" s="24"/>
      <c r="X29" s="52"/>
      <c r="Y29" s="52"/>
      <c r="Z29" s="52"/>
      <c r="AA29" s="52"/>
      <c r="AB29" s="52"/>
    </row>
    <row r="30" spans="1:28" x14ac:dyDescent="0.25">
      <c r="A30" s="3"/>
      <c r="B30" s="63"/>
      <c r="C30" s="63"/>
      <c r="D30" s="63"/>
      <c r="E30" s="63"/>
      <c r="F30" s="64"/>
      <c r="G30" s="69"/>
      <c r="H30" s="3"/>
      <c r="I30" s="202"/>
      <c r="J30" s="51"/>
      <c r="K30" s="51"/>
      <c r="L30" s="51"/>
      <c r="N30" s="24"/>
      <c r="O30" s="51"/>
      <c r="P30" s="51"/>
      <c r="Q30" s="51"/>
      <c r="R30" s="51"/>
      <c r="S30" s="51"/>
      <c r="T30" s="46"/>
      <c r="U30" s="24"/>
      <c r="V30" s="24"/>
      <c r="W30" s="24"/>
      <c r="X30" s="52"/>
      <c r="Y30" s="52"/>
      <c r="Z30" s="52"/>
      <c r="AA30" s="52"/>
      <c r="AB30" s="52"/>
    </row>
    <row r="31" spans="1:28" ht="21" x14ac:dyDescent="0.35">
      <c r="A31" s="173">
        <v>2025</v>
      </c>
      <c r="B31" s="4" t="s">
        <v>36</v>
      </c>
      <c r="C31" s="4" t="s">
        <v>37</v>
      </c>
      <c r="D31" s="4" t="s">
        <v>38</v>
      </c>
      <c r="E31" s="4" t="s">
        <v>39</v>
      </c>
      <c r="F31" s="4" t="s">
        <v>40</v>
      </c>
      <c r="G31" s="118" t="s">
        <v>1</v>
      </c>
      <c r="H31" s="3"/>
      <c r="I31" s="25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24"/>
      <c r="W31" s="44"/>
      <c r="X31" s="44"/>
      <c r="Y31" s="44"/>
      <c r="Z31" s="44"/>
      <c r="AA31" s="44"/>
      <c r="AB31" s="52"/>
    </row>
    <row r="32" spans="1:28" x14ac:dyDescent="0.25">
      <c r="A32" s="194" t="s">
        <v>18</v>
      </c>
      <c r="B32" s="57">
        <f>B33+B34</f>
        <v>0</v>
      </c>
      <c r="C32" s="57">
        <f>C33+C34</f>
        <v>100.20742376782702</v>
      </c>
      <c r="D32" s="57">
        <f>D33+D34</f>
        <v>1.2350963170135998</v>
      </c>
      <c r="E32" s="61">
        <f>E33+E34</f>
        <v>0.73228359026223522</v>
      </c>
      <c r="F32" s="57">
        <f>F33+F34</f>
        <v>0</v>
      </c>
      <c r="G32" s="195">
        <f>SUM(B32:F32)</f>
        <v>102.17480367510286</v>
      </c>
      <c r="H32" s="3"/>
      <c r="I32" s="202"/>
      <c r="J32" s="51"/>
      <c r="K32" s="51"/>
      <c r="L32" s="51"/>
      <c r="M32" s="51"/>
      <c r="N32" s="53"/>
      <c r="O32" s="54"/>
      <c r="P32" s="54"/>
      <c r="Q32" s="54"/>
      <c r="R32" s="54"/>
      <c r="S32" s="54"/>
      <c r="T32" s="46"/>
      <c r="U32" s="34"/>
      <c r="V32" s="24"/>
      <c r="W32" s="45"/>
      <c r="X32" s="52"/>
      <c r="Y32" s="52"/>
      <c r="Z32" s="52"/>
      <c r="AA32" s="52"/>
      <c r="AB32" s="52"/>
    </row>
    <row r="33" spans="1:28" x14ac:dyDescent="0.25">
      <c r="A33" s="176" t="s">
        <v>19</v>
      </c>
      <c r="B33" s="19">
        <v>0</v>
      </c>
      <c r="C33" s="19">
        <f>'T energie usages'!I64*3.2*Résultats!X250</f>
        <v>54.600608905827023</v>
      </c>
      <c r="D33" s="19">
        <f>'T energie usages'!J64/'T energie usages'!J$72*(Résultats!X$159+Résultats!X$160+Résultats!X$161)/1000000</f>
        <v>0.11201845326389419</v>
      </c>
      <c r="E33" s="55">
        <f>'T energie usages'!K64*2.394*Résultats!X251</f>
        <v>4.6970522235282795E-5</v>
      </c>
      <c r="F33" s="19">
        <v>0</v>
      </c>
      <c r="G33" s="120">
        <f>SUM(B33:F33)</f>
        <v>54.712674329613151</v>
      </c>
      <c r="H33" s="3"/>
      <c r="I33" s="202"/>
      <c r="J33" s="51"/>
      <c r="K33" s="51"/>
      <c r="L33" s="51"/>
      <c r="M33" s="51"/>
      <c r="N33" s="53"/>
      <c r="O33" s="54"/>
      <c r="P33" s="54"/>
      <c r="Q33" s="54"/>
      <c r="R33" s="54"/>
      <c r="S33" s="54"/>
      <c r="T33" s="46"/>
      <c r="U33" s="42"/>
      <c r="V33" s="24"/>
      <c r="W33" s="41"/>
      <c r="X33" s="52"/>
      <c r="Y33" s="52"/>
      <c r="Z33" s="52"/>
      <c r="AA33" s="52"/>
      <c r="AB33" s="52"/>
    </row>
    <row r="34" spans="1:28" x14ac:dyDescent="0.25">
      <c r="A34" s="177" t="s">
        <v>20</v>
      </c>
      <c r="B34" s="19">
        <v>0</v>
      </c>
      <c r="C34" s="19">
        <f>(Résultats!X$150+Résultats!X$151+Résultats!X$152+Résultats!X$153+Résultats!X$154)/1000000</f>
        <v>45.606814862</v>
      </c>
      <c r="D34" s="19">
        <f>'T energie usages'!J65/'T energie usages'!J$72*(Résultats!X$159+Résultats!X$160+Résultats!X$161)/1000000</f>
        <v>1.1230778637497056</v>
      </c>
      <c r="E34" s="55">
        <f>(Résultats!X$176+Résultats!X$177+Résultats!X$178+Résultats!X$179+Résultats!X$180)/1000000</f>
        <v>0.73223661973999998</v>
      </c>
      <c r="F34" s="19">
        <v>0</v>
      </c>
      <c r="G34" s="120">
        <f>SUM(B34:F34)</f>
        <v>47.462129345489707</v>
      </c>
      <c r="H34" s="3"/>
      <c r="I34" s="202"/>
      <c r="J34" s="51"/>
      <c r="K34" s="51"/>
      <c r="L34" s="51"/>
      <c r="M34" s="51"/>
      <c r="N34" s="53"/>
      <c r="O34" s="54"/>
      <c r="P34" s="54"/>
      <c r="Q34" s="54"/>
      <c r="R34" s="54"/>
      <c r="S34" s="54"/>
      <c r="T34" s="46"/>
      <c r="U34" s="42"/>
      <c r="V34" s="24"/>
      <c r="W34" s="41"/>
      <c r="X34" s="52"/>
      <c r="Y34" s="52"/>
      <c r="Z34" s="52"/>
      <c r="AA34" s="52"/>
      <c r="AB34" s="52"/>
    </row>
    <row r="35" spans="1:28" x14ac:dyDescent="0.25">
      <c r="A35" s="194" t="s">
        <v>21</v>
      </c>
      <c r="B35" s="57">
        <f>Résultats!X$102/1000000</f>
        <v>0.89232488639999996</v>
      </c>
      <c r="C35" s="57">
        <f>'T energie usages'!I66*3.2*Résultats!X250</f>
        <v>15.593426029198605</v>
      </c>
      <c r="D35" s="57">
        <f>'T energie usages'!J66/'T energie usages'!J$72*(Résultats!X$159+Résultats!X$160+Résultats!X$161)/1000000</f>
        <v>7.5961196041347003</v>
      </c>
      <c r="E35" s="57">
        <f>('T energie usages'!K66-8)*2.394*Résultats!X251</f>
        <v>20.060036239985841</v>
      </c>
      <c r="F35" s="57">
        <v>0</v>
      </c>
      <c r="G35" s="195">
        <f>SUM(B35:F35)</f>
        <v>44.141906759719149</v>
      </c>
      <c r="H35" s="3"/>
      <c r="I35" s="202"/>
      <c r="J35" s="51"/>
      <c r="K35" s="51"/>
      <c r="L35" s="51"/>
      <c r="M35" s="51"/>
      <c r="N35" s="53"/>
      <c r="O35" s="54"/>
      <c r="P35" s="54"/>
      <c r="Q35" s="54"/>
      <c r="R35" s="54"/>
      <c r="S35" s="54"/>
      <c r="T35" s="46"/>
      <c r="U35" s="34"/>
      <c r="V35" s="24"/>
      <c r="W35" s="45"/>
      <c r="X35" s="52"/>
      <c r="Y35" s="52"/>
      <c r="Z35" s="52"/>
      <c r="AA35" s="52"/>
      <c r="AB35" s="52"/>
    </row>
    <row r="36" spans="1:28" x14ac:dyDescent="0.25">
      <c r="A36" s="194" t="s">
        <v>22</v>
      </c>
      <c r="B36" s="57">
        <f>(Résultats!X$135+Résultats!X$136)/1000000</f>
        <v>0</v>
      </c>
      <c r="C36" s="57">
        <f>(Résultats!X$155+Résultats!X$156)/1000000</f>
        <v>6.2614929657000005</v>
      </c>
      <c r="D36" s="57">
        <f>'T energie usages'!J67/'T energie usages'!J$72*(Résultats!X$159+Résultats!X$160+Résultats!X$161)/1000000</f>
        <v>5.7689508869831814</v>
      </c>
      <c r="E36" s="57">
        <f>(Résultats!X$181+Résultats!X$182)/1000000</f>
        <v>9.8571624610000015</v>
      </c>
      <c r="F36" s="57">
        <v>0</v>
      </c>
      <c r="G36" s="195">
        <f t="shared" ref="G36:G41" si="3">SUM(B36:F36)</f>
        <v>21.887606313683182</v>
      </c>
      <c r="H36" s="3"/>
      <c r="I36" s="202"/>
      <c r="J36" s="51"/>
      <c r="K36" s="51"/>
      <c r="L36" s="51"/>
      <c r="M36" s="51"/>
      <c r="N36" s="53"/>
      <c r="O36" s="54"/>
      <c r="P36" s="54"/>
      <c r="Q36" s="54"/>
      <c r="R36" s="54"/>
      <c r="S36" s="54"/>
      <c r="T36" s="46"/>
      <c r="U36" s="34"/>
      <c r="V36" s="24"/>
      <c r="W36" s="45"/>
      <c r="X36" s="52"/>
      <c r="Y36" s="52"/>
      <c r="Z36" s="52"/>
      <c r="AA36" s="52"/>
      <c r="AB36" s="52"/>
    </row>
    <row r="37" spans="1:28" x14ac:dyDescent="0.25">
      <c r="A37" s="194" t="s">
        <v>23</v>
      </c>
      <c r="B37" s="57">
        <f>B38+B39</f>
        <v>9.9826925240999973</v>
      </c>
      <c r="C37" s="57">
        <f>C38+C39</f>
        <v>39.212714205577697</v>
      </c>
      <c r="D37" s="57">
        <f>D38+D39</f>
        <v>5.1432532668685162</v>
      </c>
      <c r="E37" s="57">
        <f>E38+E39</f>
        <v>19.676151959038016</v>
      </c>
      <c r="F37" s="57">
        <f>F38+F39</f>
        <v>13.697890060000001</v>
      </c>
      <c r="G37" s="195">
        <f t="shared" si="3"/>
        <v>87.712702015584242</v>
      </c>
      <c r="H37" s="3"/>
      <c r="I37" s="202"/>
      <c r="J37" s="51"/>
      <c r="K37" s="51"/>
      <c r="L37" s="51"/>
      <c r="M37" s="51"/>
      <c r="N37" s="53"/>
      <c r="O37" s="54"/>
      <c r="P37" s="54"/>
      <c r="Q37" s="54"/>
      <c r="R37" s="54"/>
      <c r="S37" s="54"/>
      <c r="T37" s="46"/>
      <c r="U37" s="34"/>
      <c r="V37" s="24"/>
      <c r="W37" s="45"/>
      <c r="X37" s="52"/>
      <c r="Y37" s="52"/>
      <c r="Z37" s="52"/>
      <c r="AA37" s="52"/>
      <c r="AB37" s="52"/>
    </row>
    <row r="38" spans="1:28" x14ac:dyDescent="0.25">
      <c r="A38" s="177" t="s">
        <v>24</v>
      </c>
      <c r="B38" s="19">
        <f>(Résultats!X$129+Résultats!X$130+Résultats!X$131+Résultats!X$132+Résultats!X$133+Résultats!X$134)/1000000</f>
        <v>9.9826925240999973</v>
      </c>
      <c r="C38" s="19">
        <f>(Résultats!X$138+Résultats!X$140+Résultats!X$141+Résultats!X$142+Résultats!X$143+Résultats!X$144+Résultats!X$145+Résultats!X$146+Résultats!X$147+Résultats!X$148+Résultats!X149)/1000000</f>
        <v>32.666262853577699</v>
      </c>
      <c r="D38" s="19">
        <f>'T energie usages'!J69/'T energie usages'!J$72*(Résultats!X$159+Résultats!X$160+Résultats!X$161)/1000000</f>
        <v>4.974089207349313</v>
      </c>
      <c r="E38" s="19">
        <f>(Résultats!X$164+Résultats!X$165+Résultats!X$166+Résultats!X$167+Résultats!X$168+Résultats!X$169+Résultats!X$170+Résultats!X$171+Résultats!X$172+Résultats!X$173+Résultats!X$174+Résultats!X$175+Résultats!X$183+Résultats!X$185)/1000000</f>
        <v>19.171471181138017</v>
      </c>
      <c r="F38" s="19">
        <f>Résultats!X$100/1000000</f>
        <v>13.697890060000001</v>
      </c>
      <c r="G38" s="120">
        <f t="shared" si="3"/>
        <v>80.49240582616504</v>
      </c>
      <c r="H38" s="3"/>
      <c r="I38" s="202"/>
      <c r="J38" s="51"/>
      <c r="K38" s="51"/>
      <c r="L38" s="51"/>
      <c r="M38" s="51"/>
      <c r="N38" s="53"/>
      <c r="O38" s="54"/>
      <c r="P38" s="54"/>
      <c r="Q38" s="54"/>
      <c r="R38" s="54"/>
      <c r="S38" s="54"/>
      <c r="T38" s="46"/>
      <c r="U38" s="42"/>
      <c r="V38" s="24"/>
      <c r="W38" s="41"/>
      <c r="X38" s="52"/>
      <c r="Y38" s="52"/>
      <c r="Z38" s="52"/>
      <c r="AA38" s="52"/>
      <c r="AB38" s="52"/>
    </row>
    <row r="39" spans="1:28" x14ac:dyDescent="0.25">
      <c r="A39" s="177" t="s">
        <v>25</v>
      </c>
      <c r="B39" s="19">
        <v>0</v>
      </c>
      <c r="C39" s="19">
        <f>(Résultats!X$139)/1000000</f>
        <v>6.5464513520000001</v>
      </c>
      <c r="D39" s="19">
        <f>'T energie usages'!J71/'T energie usages'!J$72*(Résultats!X$159+Résultats!X$160+Résultats!X$161)/1000000</f>
        <v>0.16916405951920324</v>
      </c>
      <c r="E39" s="19">
        <f>(Résultats!X$163)/1000000</f>
        <v>0.50468077789999999</v>
      </c>
      <c r="F39" s="19">
        <v>0</v>
      </c>
      <c r="G39" s="120">
        <f t="shared" si="3"/>
        <v>7.2202961894192033</v>
      </c>
      <c r="H39" s="3"/>
      <c r="I39" s="202"/>
      <c r="J39" s="51"/>
      <c r="K39" s="51"/>
      <c r="L39" s="51"/>
      <c r="M39" s="51"/>
      <c r="N39" s="53"/>
      <c r="O39" s="54"/>
      <c r="P39" s="54"/>
      <c r="Q39" s="54"/>
      <c r="R39" s="54"/>
      <c r="S39" s="54"/>
      <c r="T39" s="46"/>
      <c r="U39" s="42"/>
      <c r="V39" s="24"/>
      <c r="W39" s="41"/>
      <c r="X39" s="52"/>
      <c r="Y39" s="52"/>
      <c r="Z39" s="52"/>
      <c r="AA39" s="52"/>
      <c r="AB39" s="52"/>
    </row>
    <row r="40" spans="1:28" x14ac:dyDescent="0.25">
      <c r="A40" s="72" t="s">
        <v>41</v>
      </c>
      <c r="B40" s="58">
        <f>SUM(B35:B37)+B32</f>
        <v>10.875017410499996</v>
      </c>
      <c r="C40" s="58">
        <f>SUM(C35:C37)+C32</f>
        <v>161.27505696830332</v>
      </c>
      <c r="D40" s="58">
        <f>SUM(D35:D37)+D32</f>
        <v>19.743420074999996</v>
      </c>
      <c r="E40" s="58">
        <f>SUM(E35:E37)+E32</f>
        <v>50.325634250286093</v>
      </c>
      <c r="F40" s="58">
        <f>SUM(F35:F37)+F32</f>
        <v>13.697890060000001</v>
      </c>
      <c r="G40" s="196">
        <f t="shared" si="3"/>
        <v>255.91701876408939</v>
      </c>
      <c r="H40" s="3"/>
      <c r="I40" s="202"/>
      <c r="J40" s="51"/>
      <c r="K40" s="51"/>
      <c r="L40" s="51"/>
      <c r="M40" s="51"/>
      <c r="N40" s="53"/>
      <c r="O40" s="54"/>
      <c r="P40" s="54"/>
      <c r="Q40" s="54"/>
      <c r="R40" s="54"/>
      <c r="S40" s="54"/>
      <c r="T40" s="46"/>
      <c r="U40" s="48"/>
      <c r="V40" s="24"/>
      <c r="W40" s="47"/>
      <c r="X40" s="52"/>
      <c r="Y40" s="52"/>
      <c r="Z40" s="52"/>
      <c r="AA40" s="52"/>
      <c r="AB40" s="52"/>
    </row>
    <row r="41" spans="1:28" x14ac:dyDescent="0.25">
      <c r="A41" s="197" t="s">
        <v>43</v>
      </c>
      <c r="B41" s="200">
        <f>(Résultats!X$102+Résultats!X$129+Résultats!X$130+Résultats!X$131+Résultats!X$132+Résultats!X$133+Résultats!X$134+Résultats!X$135+Résultats!X$136)/1000000</f>
        <v>10.8750174105</v>
      </c>
      <c r="C41" s="200">
        <f>(Résultats!X$104+Résultats!X$139+Résultats!X$140+Résultats!X$141+Résultats!X$142+Résultats!X$143+Résultats!X$144+Résultats!X$145+Résultats!X$146+Résultats!X$147+Résultats!X$148+Résultats!X$149+Résultats!X$150+Résultats!X$151+Résultats!X$152+Résultats!X$153+Résultats!X$154+Résultats!X$155+Résultats!X$156++Résultats!X$157)/1000000</f>
        <v>175.35144856727766</v>
      </c>
      <c r="D41" s="200">
        <f>(Résultats!X$159+Résultats!X$160+Résultats!X$161)/1000000</f>
        <v>19.743420075</v>
      </c>
      <c r="E41" s="199">
        <f>(Résultats!X$106+Résultats!X$163+Résultats!X$164+Résultats!X$165+Résultats!X$166+Résultats!X$167+Résultats!X$168+Résultats!X$169+Résultats!X$170+Résultats!X$171+Résultats!X$172+Résultats!X$173+Résultats!X$174+Résultats!X$175+Résultats!X$176+Résultats!X$177+Résultats!X$178+Résultats!X$179+Résultats!X$180+Résultats!X$181+Résultats!X$182+Résultats!X$183)/1000000</f>
        <v>53.873779236777999</v>
      </c>
      <c r="F41" s="200">
        <f>Résultats!X$100/1000000</f>
        <v>13.697890060000001</v>
      </c>
      <c r="G41" s="201">
        <f t="shared" si="3"/>
        <v>273.54155534955567</v>
      </c>
      <c r="H41" s="3"/>
      <c r="I41" s="202"/>
      <c r="J41" s="51"/>
      <c r="K41" s="51"/>
      <c r="L41" s="51"/>
      <c r="M41" s="46"/>
      <c r="N41" s="24"/>
      <c r="O41" s="51"/>
      <c r="P41" s="51"/>
      <c r="Q41" s="51"/>
      <c r="R41" s="51"/>
      <c r="S41" s="46"/>
      <c r="T41" s="46"/>
      <c r="U41" s="24"/>
      <c r="V41" s="24"/>
      <c r="W41" s="24"/>
      <c r="X41" s="52"/>
      <c r="Y41" s="52"/>
      <c r="Z41" s="52"/>
      <c r="AA41" s="52"/>
      <c r="AB41" s="52"/>
    </row>
    <row r="42" spans="1:28" x14ac:dyDescent="0.25">
      <c r="A42" s="197"/>
      <c r="B42" s="198"/>
      <c r="C42" s="198"/>
      <c r="D42" s="198"/>
      <c r="E42" s="198"/>
      <c r="F42" s="198"/>
      <c r="G42" s="199">
        <f>Résultats!X$194/1000000</f>
        <v>273.79480899999999</v>
      </c>
      <c r="H42" s="3"/>
      <c r="I42" s="202"/>
      <c r="J42" s="51"/>
      <c r="K42" s="51"/>
      <c r="L42" s="51"/>
      <c r="M42" s="46"/>
      <c r="N42" s="24"/>
      <c r="O42" s="51"/>
      <c r="P42" s="51"/>
      <c r="Q42" s="51"/>
      <c r="R42" s="51"/>
      <c r="S42" s="46"/>
      <c r="T42" s="46"/>
      <c r="U42" s="24"/>
      <c r="V42" s="24"/>
      <c r="W42" s="24"/>
      <c r="X42" s="52"/>
      <c r="Y42" s="52"/>
      <c r="Z42" s="52"/>
      <c r="AA42" s="52"/>
      <c r="AB42" s="52"/>
    </row>
    <row r="43" spans="1:28" x14ac:dyDescent="0.25">
      <c r="A43" s="3"/>
      <c r="B43" s="64"/>
      <c r="C43" s="64"/>
      <c r="D43" s="64"/>
      <c r="E43" s="64"/>
      <c r="F43" s="64"/>
      <c r="G43" s="69"/>
      <c r="H43" s="3"/>
      <c r="I43" s="202"/>
      <c r="J43" s="51"/>
      <c r="K43" s="51"/>
      <c r="L43" s="51"/>
      <c r="M43" s="46"/>
      <c r="N43" s="24"/>
      <c r="O43" s="51"/>
      <c r="P43" s="51"/>
      <c r="Q43" s="51"/>
      <c r="R43" s="51"/>
      <c r="S43" s="46"/>
      <c r="T43" s="46"/>
      <c r="U43" s="24"/>
      <c r="V43" s="24"/>
      <c r="W43" s="48"/>
      <c r="X43" s="52"/>
      <c r="Y43" s="52"/>
      <c r="Z43" s="52"/>
      <c r="AA43" s="52"/>
      <c r="AB43" s="52"/>
    </row>
    <row r="44" spans="1:28" ht="21" x14ac:dyDescent="0.35">
      <c r="A44" s="173">
        <v>2030</v>
      </c>
      <c r="B44" s="4" t="s">
        <v>36</v>
      </c>
      <c r="C44" s="4" t="s">
        <v>37</v>
      </c>
      <c r="D44" s="4" t="s">
        <v>38</v>
      </c>
      <c r="E44" s="4" t="s">
        <v>39</v>
      </c>
      <c r="F44" s="4" t="s">
        <v>40</v>
      </c>
      <c r="G44" s="118" t="s">
        <v>1</v>
      </c>
      <c r="H44" s="3"/>
      <c r="I44" s="25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W44" s="44"/>
      <c r="X44" s="44"/>
      <c r="Y44" s="44"/>
      <c r="Z44" s="44"/>
      <c r="AA44" s="44"/>
      <c r="AB44" s="52"/>
    </row>
    <row r="45" spans="1:28" x14ac:dyDescent="0.25">
      <c r="A45" s="194" t="s">
        <v>18</v>
      </c>
      <c r="B45" s="57">
        <f>B46+B47</f>
        <v>0</v>
      </c>
      <c r="C45" s="57">
        <f>C46+C47</f>
        <v>94.209513420924623</v>
      </c>
      <c r="D45" s="57">
        <f>D46+D47</f>
        <v>1.7726143236251393</v>
      </c>
      <c r="E45" s="61">
        <f>E46+E47</f>
        <v>1.6315397043016551</v>
      </c>
      <c r="F45" s="57">
        <f>F46+F47</f>
        <v>0</v>
      </c>
      <c r="G45" s="195">
        <f>SUM(B45:F45)</f>
        <v>97.613667448851416</v>
      </c>
      <c r="H45" s="3"/>
      <c r="I45" s="202"/>
      <c r="J45" s="51"/>
      <c r="K45" s="51"/>
      <c r="L45" s="51"/>
      <c r="M45" s="51"/>
      <c r="N45" s="53"/>
      <c r="O45" s="54"/>
      <c r="P45" s="54"/>
      <c r="Q45" s="54"/>
      <c r="R45" s="54"/>
      <c r="S45" s="54"/>
      <c r="T45" s="46"/>
      <c r="U45" s="34"/>
      <c r="W45" s="45"/>
      <c r="X45" s="52"/>
      <c r="Y45" s="52"/>
      <c r="Z45" s="52"/>
      <c r="AA45" s="52"/>
      <c r="AB45" s="52"/>
    </row>
    <row r="46" spans="1:28" x14ac:dyDescent="0.25">
      <c r="A46" s="176" t="s">
        <v>19</v>
      </c>
      <c r="B46" s="19">
        <v>0</v>
      </c>
      <c r="C46" s="19">
        <f>'T energie usages'!I77*3.2*Résultats!AC250</f>
        <v>49.630180643924611</v>
      </c>
      <c r="D46" s="19">
        <f>'T energie usages'!J77/'T energie usages'!J$85*(Résultats!AC$159+Résultats!AC$160+Résultats!AC$161)/1000000</f>
        <v>0.29527756179587145</v>
      </c>
      <c r="E46" s="55">
        <f>'T energie usages'!K77*2.394*Résultats!AC251</f>
        <v>6.6544371655287605E-5</v>
      </c>
      <c r="F46" s="19">
        <v>0</v>
      </c>
      <c r="G46" s="120">
        <f>SUM(B46:F46)</f>
        <v>49.925524750092137</v>
      </c>
      <c r="H46" s="3"/>
      <c r="I46" s="202"/>
      <c r="J46" s="51"/>
      <c r="K46" s="51"/>
      <c r="L46" s="51"/>
      <c r="M46" s="51"/>
      <c r="N46" s="53"/>
      <c r="O46" s="54"/>
      <c r="P46" s="54"/>
      <c r="Q46" s="54"/>
      <c r="R46" s="54"/>
      <c r="S46" s="54"/>
      <c r="T46" s="46"/>
      <c r="U46" s="42"/>
      <c r="W46" s="41"/>
      <c r="X46" s="52"/>
      <c r="Y46" s="52"/>
      <c r="Z46" s="52"/>
      <c r="AA46" s="52"/>
      <c r="AB46" s="52"/>
    </row>
    <row r="47" spans="1:28" x14ac:dyDescent="0.25">
      <c r="A47" s="177" t="s">
        <v>20</v>
      </c>
      <c r="B47" s="19">
        <v>0</v>
      </c>
      <c r="C47" s="19">
        <f>(Résultats!AC$150+Résultats!AC$151+Résultats!AC$152+Résultats!AC$153+Résultats!AC$154)/1000000</f>
        <v>44.579332777000005</v>
      </c>
      <c r="D47" s="19">
        <f>'T energie usages'!J78/'T energie usages'!J$85*(Résultats!AC$159+Résultats!AC$160+Résultats!AC$161)/1000000</f>
        <v>1.4773367618292679</v>
      </c>
      <c r="E47" s="55">
        <f>(Résultats!AC$176+Résultats!AC$177+Résultats!AC$178+Résultats!AC$179+Résultats!AC$180)/1000000</f>
        <v>1.6314731599299999</v>
      </c>
      <c r="F47" s="19">
        <v>0</v>
      </c>
      <c r="G47" s="120">
        <f>SUM(B47:F47)</f>
        <v>47.688142698759279</v>
      </c>
      <c r="H47" s="3"/>
      <c r="I47" s="202"/>
      <c r="J47" s="51"/>
      <c r="K47" s="51"/>
      <c r="L47" s="51"/>
      <c r="M47" s="51"/>
      <c r="N47" s="53"/>
      <c r="O47" s="54"/>
      <c r="P47" s="54"/>
      <c r="Q47" s="54"/>
      <c r="R47" s="54"/>
      <c r="S47" s="54"/>
      <c r="T47" s="46"/>
      <c r="U47" s="42"/>
      <c r="W47" s="41"/>
      <c r="X47" s="52"/>
      <c r="Y47" s="52"/>
      <c r="Z47" s="52"/>
      <c r="AA47" s="52"/>
      <c r="AB47" s="52"/>
    </row>
    <row r="48" spans="1:28" x14ac:dyDescent="0.25">
      <c r="A48" s="194" t="s">
        <v>21</v>
      </c>
      <c r="B48" s="57">
        <f>Résultats!AC$102/1000000</f>
        <v>0.87341796039999997</v>
      </c>
      <c r="C48" s="57">
        <f>'T energie usages'!I79*3.2*Résultats!AC250</f>
        <v>15.544995200518889</v>
      </c>
      <c r="D48" s="57">
        <f>'T energie usages'!J79/'T energie usages'!J$85*(Résultats!AC$159+Résultats!AC$160+Résultats!AC$161)/1000000</f>
        <v>8.1111614109889931</v>
      </c>
      <c r="E48" s="57">
        <f>('T energie usages'!K79-8)*2.394*Résultats!AC251</f>
        <v>21.10083959470677</v>
      </c>
      <c r="F48" s="57">
        <v>0</v>
      </c>
      <c r="G48" s="195">
        <f>SUM(B48:F48)</f>
        <v>45.630414166614649</v>
      </c>
      <c r="H48" s="3"/>
      <c r="I48" s="202"/>
      <c r="J48" s="51"/>
      <c r="K48" s="51"/>
      <c r="L48" s="51"/>
      <c r="M48" s="51"/>
      <c r="N48" s="53"/>
      <c r="O48" s="54"/>
      <c r="P48" s="54"/>
      <c r="Q48" s="54"/>
      <c r="R48" s="54"/>
      <c r="S48" s="54"/>
      <c r="T48" s="46"/>
      <c r="U48" s="34"/>
      <c r="W48" s="45"/>
      <c r="X48" s="52"/>
      <c r="Y48" s="52"/>
      <c r="Z48" s="52"/>
      <c r="AA48" s="52"/>
      <c r="AB48" s="52"/>
    </row>
    <row r="49" spans="1:28" x14ac:dyDescent="0.25">
      <c r="A49" s="194" t="s">
        <v>22</v>
      </c>
      <c r="B49" s="57">
        <f>(Résultats!AC$135+Résultats!AC$136)/1000000</f>
        <v>0</v>
      </c>
      <c r="C49" s="57">
        <f>(Résultats!AC$155+Résultats!AC$156)/1000000</f>
        <v>5.3882062965999999</v>
      </c>
      <c r="D49" s="57">
        <f>'T energie usages'!J80/'T energie usages'!J$85*(Résultats!AC$159+Résultats!AC$160+Résultats!AC$161)/1000000</f>
        <v>6.1845212150435511</v>
      </c>
      <c r="E49" s="57">
        <f>(Résultats!AC$181+Résultats!AC$182)/1000000</f>
        <v>10.024366907999999</v>
      </c>
      <c r="F49" s="57">
        <v>0</v>
      </c>
      <c r="G49" s="195">
        <f t="shared" ref="G49:G53" si="4">SUM(B49:F49)</f>
        <v>21.59709441964355</v>
      </c>
      <c r="H49" s="3"/>
      <c r="I49" s="202"/>
      <c r="J49" s="51"/>
      <c r="K49" s="51"/>
      <c r="L49" s="51"/>
      <c r="M49" s="51"/>
      <c r="N49" s="53"/>
      <c r="O49" s="54"/>
      <c r="P49" s="54"/>
      <c r="Q49" s="54"/>
      <c r="R49" s="54"/>
      <c r="S49" s="54"/>
      <c r="T49" s="46"/>
      <c r="U49" s="34"/>
      <c r="W49" s="45"/>
      <c r="X49" s="52"/>
      <c r="Y49" s="52"/>
      <c r="Z49" s="52"/>
      <c r="AA49" s="52"/>
      <c r="AB49" s="52"/>
    </row>
    <row r="50" spans="1:28" x14ac:dyDescent="0.25">
      <c r="A50" s="194" t="s">
        <v>23</v>
      </c>
      <c r="B50" s="57">
        <f>B51+B52</f>
        <v>9.9930098750000003</v>
      </c>
      <c r="C50" s="57">
        <f>C51+C52</f>
        <v>40.571478269972815</v>
      </c>
      <c r="D50" s="57">
        <f>D51+D52</f>
        <v>5.3353262323423127</v>
      </c>
      <c r="E50" s="57">
        <f>E51+E52</f>
        <v>19.744623920809168</v>
      </c>
      <c r="F50" s="57">
        <f>F51+F52</f>
        <v>13.4242256</v>
      </c>
      <c r="G50" s="195">
        <f t="shared" si="4"/>
        <v>89.068663898124299</v>
      </c>
      <c r="H50" s="3"/>
      <c r="I50" s="202"/>
      <c r="J50" s="51"/>
      <c r="K50" s="51"/>
      <c r="L50" s="51"/>
      <c r="M50" s="51"/>
      <c r="N50" s="53"/>
      <c r="O50" s="54"/>
      <c r="P50" s="54"/>
      <c r="Q50" s="54"/>
      <c r="R50" s="54"/>
      <c r="S50" s="54"/>
      <c r="T50" s="46"/>
      <c r="U50" s="34"/>
      <c r="W50" s="45"/>
      <c r="X50" s="52"/>
      <c r="Y50" s="52"/>
      <c r="Z50" s="52"/>
      <c r="AA50" s="52"/>
      <c r="AB50" s="52"/>
    </row>
    <row r="51" spans="1:28" x14ac:dyDescent="0.25">
      <c r="A51" s="177" t="s">
        <v>24</v>
      </c>
      <c r="B51" s="19">
        <f>(Résultats!AC$129+Résultats!AC$130+Résultats!AC$131+Résultats!AC$132+Résultats!AC$133+Résultats!AC$134)/1000000</f>
        <v>9.9930098750000003</v>
      </c>
      <c r="C51" s="19">
        <f>(Résultats!AC$138+Résultats!AC$140+Résultats!AC$141+Résultats!AC$142+Résultats!AC$143+Résultats!AC$144+Résultats!AC$145+Résultats!AC$146+Résultats!AC$147+Résultats!AC$148+Résultats!AC$149)/1000000</f>
        <v>33.541925169972814</v>
      </c>
      <c r="D51" s="19">
        <f>'T energie usages'!J82/'T energie usages'!J$85*(Résultats!AC$159+Résultats!AC$160+Résultats!AC$161)/1000000</f>
        <v>5.1546864732639532</v>
      </c>
      <c r="E51" s="19">
        <f>(Résultats!AC$164+Résultats!AC$165+Résultats!AC$166+Résultats!AC$167+Résultats!AC$168+Résultats!AC$169+Résultats!AC$170+Résultats!AC$171+Résultats!AC$172+Résultats!AC$173+Résultats!AC$174+Résultats!AC$175+Résultats!AC$183+Résultats!AC$185)/1000000</f>
        <v>19.205579832909169</v>
      </c>
      <c r="F51" s="19">
        <f>Résultats!AC$100/1000000</f>
        <v>13.4242256</v>
      </c>
      <c r="G51" s="120">
        <f t="shared" si="4"/>
        <v>81.319426951145928</v>
      </c>
      <c r="H51" s="3"/>
      <c r="I51" s="202"/>
      <c r="J51" s="51"/>
      <c r="K51" s="51"/>
      <c r="L51" s="51"/>
      <c r="M51" s="51"/>
      <c r="N51" s="53"/>
      <c r="O51" s="54"/>
      <c r="P51" s="54"/>
      <c r="Q51" s="54"/>
      <c r="R51" s="54"/>
      <c r="S51" s="54"/>
      <c r="T51" s="46"/>
      <c r="U51" s="42"/>
      <c r="W51" s="41"/>
      <c r="X51" s="52"/>
      <c r="Y51" s="52"/>
      <c r="Z51" s="52"/>
      <c r="AA51" s="52"/>
      <c r="AB51" s="52"/>
    </row>
    <row r="52" spans="1:28" x14ac:dyDescent="0.25">
      <c r="A52" s="177" t="s">
        <v>25</v>
      </c>
      <c r="B52" s="19">
        <v>0</v>
      </c>
      <c r="C52" s="19">
        <f>(Résultats!AC$139)/1000000</f>
        <v>7.0295530999999993</v>
      </c>
      <c r="D52" s="19">
        <f>'T energie usages'!J84/'T energie usages'!J$85*(Résultats!AC$159+Résultats!AC$160+Résultats!AC$161)/1000000</f>
        <v>0.18063975907835988</v>
      </c>
      <c r="E52" s="19">
        <f>(Résultats!AC$163)/1000000</f>
        <v>0.53904408790000002</v>
      </c>
      <c r="F52" s="19">
        <v>0</v>
      </c>
      <c r="G52" s="120">
        <f t="shared" si="4"/>
        <v>7.7492369469783586</v>
      </c>
      <c r="H52" s="3"/>
      <c r="I52" s="202"/>
      <c r="J52" s="51"/>
      <c r="K52" s="51"/>
      <c r="L52" s="51"/>
      <c r="M52" s="51"/>
      <c r="N52" s="53"/>
      <c r="O52" s="54"/>
      <c r="P52" s="54"/>
      <c r="Q52" s="54"/>
      <c r="R52" s="54"/>
      <c r="S52" s="54"/>
      <c r="T52" s="46"/>
      <c r="U52" s="42"/>
      <c r="W52" s="41"/>
      <c r="X52" s="52"/>
      <c r="Y52" s="52"/>
      <c r="Z52" s="52"/>
      <c r="AA52" s="52"/>
      <c r="AB52" s="52"/>
    </row>
    <row r="53" spans="1:28" x14ac:dyDescent="0.25">
      <c r="A53" s="72" t="s">
        <v>41</v>
      </c>
      <c r="B53" s="58">
        <f>SUM(B48:B50)+B45</f>
        <v>10.8664278354</v>
      </c>
      <c r="C53" s="58">
        <f>SUM(C48:C50)+C45</f>
        <v>155.71419318801634</v>
      </c>
      <c r="D53" s="58">
        <f>SUM(D48:D50)+D45</f>
        <v>21.403623181999993</v>
      </c>
      <c r="E53" s="58">
        <f>SUM(E48:E50)+E45</f>
        <v>52.501370127817587</v>
      </c>
      <c r="F53" s="58">
        <f>SUM(F48:F50)+F45</f>
        <v>13.4242256</v>
      </c>
      <c r="G53" s="196">
        <f t="shared" si="4"/>
        <v>253.90983993323391</v>
      </c>
      <c r="H53" s="3"/>
      <c r="I53" s="202"/>
      <c r="J53" s="51"/>
      <c r="K53" s="51"/>
      <c r="L53" s="51"/>
      <c r="M53" s="51"/>
      <c r="N53" s="53"/>
      <c r="O53" s="54"/>
      <c r="P53" s="54"/>
      <c r="Q53" s="54"/>
      <c r="R53" s="54"/>
      <c r="S53" s="54"/>
      <c r="T53" s="46"/>
      <c r="U53" s="48"/>
      <c r="W53" s="47"/>
      <c r="X53" s="52"/>
      <c r="Y53" s="52"/>
      <c r="Z53" s="52"/>
      <c r="AA53" s="52"/>
      <c r="AB53" s="52"/>
    </row>
    <row r="54" spans="1:28" x14ac:dyDescent="0.25">
      <c r="A54" s="197" t="s">
        <v>43</v>
      </c>
      <c r="B54" s="200">
        <f>(Résultats!AC$102+Résultats!AC$129+Résultats!AC$130+Résultats!AC$131+Résultats!AC$132+Résultats!AC$133+Résultats!AC$134+Résultats!AC$135+Résultats!AC$136)/1000000</f>
        <v>10.8664278354</v>
      </c>
      <c r="C54" s="200">
        <f>(Résultats!AC$104+Résultats!AC$138+Résultats!AC$139+Résultats!AC$140+Résultats!AC$141+Résultats!AC$142+Résultats!AC$143+Résultats!AC$144+Résultats!AC$145+Résultats!AC$146+Résultats!AC$147+Résultats!AC$148+Résultats!AC$149+Résultats!AC$150+Résultats!AC$151+Résultats!AC$152+Résultats!AC$153+Résultats!AC$154+Résultats!AC$155+Résultats!AC$156)/1000000</f>
        <v>168.78412614357282</v>
      </c>
      <c r="D54" s="200">
        <f>(Résultats!AC$159+Résultats!AC$160+Résultats!AC$161)/1000000</f>
        <v>21.403623182</v>
      </c>
      <c r="E54" s="199">
        <f>(Résultats!AC$106+Résultats!AC$163+Résultats!AC$164+Résultats!AC$165+Résultats!AC$166+Résultats!AC$167+Résultats!AC$168+Résultats!AC$169+Résultats!AC$170+Résultats!AC$171+Résultats!AC$172+Résultats!AC$173+Résultats!AC$174+Résultats!AC$175+Résultats!AC$176+Résultats!AC$177+Résultats!AC$178+Résultats!AC$179+Résultats!AC$180+Résultats!AC$181+Résultats!AC$182+Résultats!AC$183)/1000000</f>
        <v>55.789636106239179</v>
      </c>
      <c r="F54" s="200">
        <f>Résultats!AC$100/1000000</f>
        <v>13.4242256</v>
      </c>
      <c r="G54" s="201">
        <f>SUM(B54:F54)</f>
        <v>270.268038867212</v>
      </c>
      <c r="H54" s="3"/>
      <c r="I54" s="202"/>
      <c r="J54" s="51"/>
      <c r="K54" s="51"/>
      <c r="L54" s="51"/>
      <c r="M54" s="46"/>
      <c r="O54" s="51"/>
      <c r="P54" s="51"/>
      <c r="Q54" s="51"/>
      <c r="R54" s="51"/>
      <c r="S54" s="46"/>
      <c r="T54" s="46"/>
      <c r="X54" s="52"/>
      <c r="Y54" s="52"/>
      <c r="Z54" s="52"/>
      <c r="AA54" s="52"/>
      <c r="AB54" s="52"/>
    </row>
    <row r="55" spans="1:28" x14ac:dyDescent="0.25">
      <c r="A55" s="197"/>
      <c r="B55" s="198"/>
      <c r="C55" s="198"/>
      <c r="D55" s="198"/>
      <c r="E55" s="198"/>
      <c r="F55" s="198"/>
      <c r="G55" s="199">
        <f>Résultats!AC$194/1000000</f>
        <v>270.53024729999998</v>
      </c>
      <c r="H55" s="3"/>
      <c r="I55" s="202"/>
      <c r="J55" s="51"/>
      <c r="K55" s="51"/>
      <c r="L55" s="51"/>
      <c r="M55" s="46"/>
      <c r="O55" s="51"/>
      <c r="P55" s="51"/>
      <c r="Q55" s="51"/>
      <c r="R55" s="51"/>
      <c r="S55" s="46"/>
      <c r="T55" s="46"/>
      <c r="W55" s="48"/>
      <c r="X55" s="52"/>
      <c r="Y55" s="52"/>
      <c r="Z55" s="52"/>
      <c r="AA55" s="52"/>
      <c r="AB55" s="52"/>
    </row>
    <row r="56" spans="1:28" x14ac:dyDescent="0.25">
      <c r="A56" s="3"/>
      <c r="B56" s="64"/>
      <c r="C56" s="64"/>
      <c r="D56" s="64"/>
      <c r="E56" s="64"/>
      <c r="F56" s="64"/>
      <c r="G56" s="3"/>
      <c r="H56" s="3"/>
      <c r="I56" s="202"/>
      <c r="J56" s="51"/>
      <c r="K56" s="51"/>
      <c r="L56" s="51"/>
      <c r="M56" s="46"/>
      <c r="O56" s="51"/>
      <c r="P56" s="51"/>
      <c r="Q56" s="51"/>
      <c r="R56" s="51"/>
      <c r="S56" s="46"/>
      <c r="T56" s="46"/>
      <c r="W56" s="49"/>
      <c r="X56" s="52"/>
      <c r="Y56" s="52"/>
      <c r="Z56" s="52"/>
      <c r="AA56" s="52"/>
      <c r="AB56" s="52"/>
    </row>
    <row r="57" spans="1:28" ht="21" x14ac:dyDescent="0.35">
      <c r="A57" s="173">
        <v>2035</v>
      </c>
      <c r="B57" s="4" t="s">
        <v>36</v>
      </c>
      <c r="C57" s="4" t="s">
        <v>37</v>
      </c>
      <c r="D57" s="4" t="s">
        <v>38</v>
      </c>
      <c r="E57" s="4" t="s">
        <v>39</v>
      </c>
      <c r="F57" s="4" t="s">
        <v>40</v>
      </c>
      <c r="G57" s="118" t="s">
        <v>1</v>
      </c>
      <c r="H57" s="3"/>
      <c r="I57" s="25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W57" s="44"/>
      <c r="X57" s="44"/>
      <c r="Y57" s="44"/>
      <c r="Z57" s="44"/>
      <c r="AA57" s="44"/>
      <c r="AB57" s="52"/>
    </row>
    <row r="58" spans="1:28" x14ac:dyDescent="0.25">
      <c r="A58" s="194" t="s">
        <v>18</v>
      </c>
      <c r="B58" s="57">
        <f>B59+B60</f>
        <v>0</v>
      </c>
      <c r="C58" s="57">
        <f>C59+C60</f>
        <v>87.881088202097459</v>
      </c>
      <c r="D58" s="57">
        <f>D59+D60</f>
        <v>2.2390335104513661</v>
      </c>
      <c r="E58" s="61">
        <f>E59+E60</f>
        <v>2.7527174660707368</v>
      </c>
      <c r="F58" s="57">
        <f>F59+F60</f>
        <v>0</v>
      </c>
      <c r="G58" s="195">
        <f t="shared" ref="G58:G67" si="5">SUM(B58:F58)</f>
        <v>92.872839178619557</v>
      </c>
      <c r="H58" s="3"/>
      <c r="I58" s="202"/>
      <c r="J58" s="51"/>
      <c r="K58" s="51"/>
      <c r="L58" s="51"/>
      <c r="M58" s="51"/>
      <c r="N58" s="53"/>
      <c r="O58" s="51"/>
      <c r="P58" s="51"/>
      <c r="Q58" s="51"/>
      <c r="R58" s="51"/>
      <c r="S58" s="51"/>
      <c r="T58" s="46"/>
      <c r="U58" s="34"/>
      <c r="W58" s="45"/>
      <c r="X58" s="52"/>
      <c r="Y58" s="52"/>
      <c r="Z58" s="52"/>
      <c r="AA58" s="52"/>
      <c r="AB58" s="52"/>
    </row>
    <row r="59" spans="1:28" x14ac:dyDescent="0.25">
      <c r="A59" s="176" t="s">
        <v>19</v>
      </c>
      <c r="B59" s="19">
        <v>0</v>
      </c>
      <c r="C59" s="19">
        <f>'T energie usages'!I90*3.2*Résultats!AH250</f>
        <v>45.470788913097465</v>
      </c>
      <c r="D59" s="19">
        <f>'T energie usages'!J90/'T energie usages'!J$98*(Résultats!AH$159+Résultats!AH$160+Résultats!AH$161)/1000000</f>
        <v>0.57786514173304193</v>
      </c>
      <c r="E59" s="55">
        <f>'T energie usages'!K90*2.394*Résultats!AH251</f>
        <v>8.4225850735878812E-5</v>
      </c>
      <c r="F59" s="19">
        <v>0</v>
      </c>
      <c r="G59" s="120">
        <f t="shared" si="5"/>
        <v>46.048738280681242</v>
      </c>
      <c r="H59" s="3"/>
      <c r="I59" s="202"/>
      <c r="J59" s="51"/>
      <c r="K59" s="51"/>
      <c r="L59" s="51"/>
      <c r="M59" s="51"/>
      <c r="N59" s="53"/>
      <c r="O59" s="51"/>
      <c r="P59" s="51"/>
      <c r="Q59" s="51"/>
      <c r="R59" s="51"/>
      <c r="S59" s="51"/>
      <c r="T59" s="46"/>
      <c r="U59" s="42"/>
      <c r="W59" s="41"/>
      <c r="X59" s="52"/>
      <c r="Y59" s="52"/>
      <c r="Z59" s="52"/>
      <c r="AA59" s="52"/>
      <c r="AB59" s="52"/>
    </row>
    <row r="60" spans="1:28" x14ac:dyDescent="0.25">
      <c r="A60" s="177" t="s">
        <v>20</v>
      </c>
      <c r="B60" s="19">
        <v>0</v>
      </c>
      <c r="C60" s="19">
        <f>(Résultats!AH$150+Résultats!AH$151+Résultats!AH$152+Résultats!AH$153+Résultats!AH$154)/1000000</f>
        <v>42.410299288999994</v>
      </c>
      <c r="D60" s="19">
        <f>'T energie usages'!J91/'T energie usages'!J$98*(Résultats!AH$159+Résultats!AH$160+Résultats!AH$161)/1000000</f>
        <v>1.6611683687183241</v>
      </c>
      <c r="E60" s="55">
        <f>(Résultats!AH$176+Résultats!AH$177+Résultats!AH$178+Résultats!AH$179+Résultats!AH$180)/1000000</f>
        <v>2.7526332402200007</v>
      </c>
      <c r="F60" s="19">
        <v>0</v>
      </c>
      <c r="G60" s="120">
        <f t="shared" si="5"/>
        <v>46.824100897938315</v>
      </c>
      <c r="H60" s="3"/>
      <c r="I60" s="202"/>
      <c r="J60" s="51"/>
      <c r="K60" s="51"/>
      <c r="L60" s="51"/>
      <c r="M60" s="51"/>
      <c r="N60" s="53"/>
      <c r="O60" s="51"/>
      <c r="P60" s="51"/>
      <c r="Q60" s="51"/>
      <c r="R60" s="51"/>
      <c r="S60" s="51"/>
      <c r="T60" s="46"/>
      <c r="U60" s="42"/>
      <c r="W60" s="41"/>
      <c r="X60" s="52"/>
      <c r="Y60" s="52"/>
      <c r="Z60" s="52"/>
      <c r="AA60" s="52"/>
      <c r="AB60" s="52"/>
    </row>
    <row r="61" spans="1:28" x14ac:dyDescent="0.25">
      <c r="A61" s="194" t="s">
        <v>21</v>
      </c>
      <c r="B61" s="57">
        <f>Résultats!AH$102/1000000</f>
        <v>0.84486824049999998</v>
      </c>
      <c r="C61" s="57">
        <f>'T energie usages'!I92*3.2*Résultats!AH250</f>
        <v>15.531476084596163</v>
      </c>
      <c r="D61" s="57">
        <f>'T energie usages'!J92/'T energie usages'!J$98*(Résultats!AH$159+Résultats!AH$160+Résultats!AH$161)/1000000</f>
        <v>8.269416809685314</v>
      </c>
      <c r="E61" s="57">
        <f>('T energie usages'!K92-8)*2.394*Résultats!AH251</f>
        <v>21.658558633384846</v>
      </c>
      <c r="F61" s="57">
        <v>0</v>
      </c>
      <c r="G61" s="195">
        <f t="shared" si="5"/>
        <v>46.304319768166323</v>
      </c>
      <c r="H61" s="3"/>
      <c r="I61" s="202"/>
      <c r="J61" s="51"/>
      <c r="K61" s="51"/>
      <c r="L61" s="51"/>
      <c r="M61" s="51"/>
      <c r="N61" s="53"/>
      <c r="O61" s="51"/>
      <c r="P61" s="51"/>
      <c r="Q61" s="51"/>
      <c r="R61" s="51"/>
      <c r="S61" s="51"/>
      <c r="T61" s="46"/>
      <c r="U61" s="34"/>
      <c r="W61" s="45"/>
      <c r="X61" s="52"/>
      <c r="Y61" s="52"/>
      <c r="Z61" s="52"/>
      <c r="AA61" s="52"/>
      <c r="AB61" s="52"/>
    </row>
    <row r="62" spans="1:28" x14ac:dyDescent="0.25">
      <c r="A62" s="194" t="s">
        <v>22</v>
      </c>
      <c r="B62" s="57">
        <f>(Résultats!AH$135+Résultats!AH$136)/1000000</f>
        <v>0</v>
      </c>
      <c r="C62" s="57">
        <f>(Résultats!AH$155+Résultats!AH$156)/1000000</f>
        <v>4.8765679143999998</v>
      </c>
      <c r="D62" s="57">
        <f>'T energie usages'!J93/'T energie usages'!J$98*(Résultats!AH$159+Résultats!AH$160+Résultats!AH$161)/1000000</f>
        <v>6.1263857385687288</v>
      </c>
      <c r="E62" s="57">
        <f>(Résultats!AH$181+Résultats!AH$182)/1000000</f>
        <v>9.6573915040000013</v>
      </c>
      <c r="F62" s="57">
        <v>0</v>
      </c>
      <c r="G62" s="195">
        <f t="shared" si="5"/>
        <v>20.660345156968731</v>
      </c>
      <c r="H62" s="3"/>
      <c r="I62" s="202"/>
      <c r="J62" s="51"/>
      <c r="K62" s="51"/>
      <c r="L62" s="51"/>
      <c r="M62" s="51"/>
      <c r="N62" s="53"/>
      <c r="O62" s="51"/>
      <c r="P62" s="51"/>
      <c r="Q62" s="51"/>
      <c r="R62" s="51"/>
      <c r="S62" s="51"/>
      <c r="T62" s="46"/>
      <c r="U62" s="34"/>
      <c r="W62" s="45"/>
      <c r="X62" s="52"/>
      <c r="Y62" s="52"/>
      <c r="Z62" s="52"/>
      <c r="AA62" s="52"/>
      <c r="AB62" s="52"/>
    </row>
    <row r="63" spans="1:28" x14ac:dyDescent="0.25">
      <c r="A63" s="194" t="s">
        <v>23</v>
      </c>
      <c r="B63" s="57">
        <f>B64+B65</f>
        <v>10.6012919247</v>
      </c>
      <c r="C63" s="57">
        <f>C64+C65</f>
        <v>42.369556017951304</v>
      </c>
      <c r="D63" s="57">
        <f>D64+D65</f>
        <v>5.4507842522945955</v>
      </c>
      <c r="E63" s="57">
        <f>E64+E65</f>
        <v>20.18817773752459</v>
      </c>
      <c r="F63" s="57">
        <f>F64+F65</f>
        <v>13.75520165</v>
      </c>
      <c r="G63" s="195">
        <f t="shared" si="5"/>
        <v>92.365011582470487</v>
      </c>
      <c r="H63" s="3"/>
      <c r="I63" s="202"/>
      <c r="J63" s="51"/>
      <c r="K63" s="51"/>
      <c r="L63" s="51"/>
      <c r="M63" s="51"/>
      <c r="N63" s="53"/>
      <c r="O63" s="51"/>
      <c r="P63" s="51"/>
      <c r="Q63" s="51"/>
      <c r="R63" s="51"/>
      <c r="S63" s="51"/>
      <c r="T63" s="46"/>
      <c r="U63" s="34"/>
      <c r="W63" s="45"/>
      <c r="X63" s="52"/>
      <c r="Y63" s="52"/>
      <c r="Z63" s="52"/>
      <c r="AA63" s="52"/>
      <c r="AB63" s="52"/>
    </row>
    <row r="64" spans="1:28" x14ac:dyDescent="0.25">
      <c r="A64" s="177" t="s">
        <v>24</v>
      </c>
      <c r="B64" s="99">
        <f>(Résultats!AH$129+Résultats!AH$130+Résultats!AH$131+Résultats!AH$132+Résultats!AH$133+Résultats!AH$134)/1000000</f>
        <v>10.6012919247</v>
      </c>
      <c r="C64" s="19">
        <f>(Résultats!AH$138+Résultats!AH$140+Résultats!AH$141+Résultats!AH$142+Résultats!AH$143+Résultats!AH$144+Résultats!AH$145+Résultats!AH$146+Résultats!AH$147+Résultats!AH$148+Résultats!AH$149)/1000000</f>
        <v>34.979155393951302</v>
      </c>
      <c r="D64" s="19">
        <f>'T energie usages'!J95/'T energie usages'!J$98*(Résultats!AH$159+Résultats!AH$160+Résultats!AH$161)/1000000</f>
        <v>5.2683516252022367</v>
      </c>
      <c r="E64" s="19">
        <f>(Résultats!AH$164+Résultats!AH$165+Résultats!AH$166+Résultats!AH$167+Résultats!AH$168+Résultats!AH$169+Résultats!AH$170+Résultats!AH$171+Résultats!AH$172+Résultats!AH$173+Résultats!AH$174+Résultats!AH$175+Résultats!AH$183+Résultats!AH$185)/1000000</f>
        <v>19.629093534224591</v>
      </c>
      <c r="F64" s="19">
        <f>Résultats!AH$100/1000000</f>
        <v>13.75520165</v>
      </c>
      <c r="G64" s="120">
        <f t="shared" si="5"/>
        <v>84.233094128078136</v>
      </c>
      <c r="H64" s="3"/>
      <c r="I64" s="202"/>
      <c r="K64" s="51"/>
      <c r="L64" s="51"/>
      <c r="M64" s="51"/>
      <c r="N64" s="53"/>
      <c r="O64" s="51"/>
      <c r="P64" s="51"/>
      <c r="Q64" s="51"/>
      <c r="R64" s="51"/>
      <c r="S64" s="51"/>
      <c r="T64" s="46"/>
      <c r="U64" s="42"/>
      <c r="W64" s="41"/>
      <c r="X64" s="52"/>
      <c r="Y64" s="52"/>
      <c r="Z64" s="52"/>
      <c r="AA64" s="52"/>
      <c r="AB64" s="52"/>
    </row>
    <row r="65" spans="1:28" x14ac:dyDescent="0.25">
      <c r="A65" s="177" t="s">
        <v>25</v>
      </c>
      <c r="B65" s="19">
        <v>0</v>
      </c>
      <c r="C65" s="19">
        <f>(Résultats!AH$139)/1000000</f>
        <v>7.3904006239999998</v>
      </c>
      <c r="D65" s="19">
        <f>'T energie usages'!J97/'T energie usages'!J$98*(Résultats!AH$159+Résultats!AH$160+Résultats!AH$161)/1000000</f>
        <v>0.18243262709235897</v>
      </c>
      <c r="E65" s="19">
        <f>(Résultats!AH$163)/1000000</f>
        <v>0.55908420330000008</v>
      </c>
      <c r="F65" s="19">
        <v>0</v>
      </c>
      <c r="G65" s="120">
        <f t="shared" si="5"/>
        <v>8.131917454392358</v>
      </c>
      <c r="H65" s="3"/>
      <c r="I65" s="202"/>
      <c r="K65" s="51"/>
      <c r="L65" s="51"/>
      <c r="M65" s="51"/>
      <c r="N65" s="53"/>
      <c r="O65" s="51"/>
      <c r="P65" s="51"/>
      <c r="Q65" s="51"/>
      <c r="R65" s="51"/>
      <c r="S65" s="51"/>
      <c r="T65" s="46"/>
      <c r="U65" s="42"/>
      <c r="W65" s="41"/>
      <c r="X65" s="52"/>
      <c r="Y65" s="52"/>
      <c r="Z65" s="52"/>
      <c r="AA65" s="52"/>
      <c r="AB65" s="52"/>
    </row>
    <row r="66" spans="1:28" x14ac:dyDescent="0.25">
      <c r="A66" s="72" t="s">
        <v>41</v>
      </c>
      <c r="B66" s="58">
        <f>SUM(B61:B63)+B58</f>
        <v>11.4461601652</v>
      </c>
      <c r="C66" s="58">
        <f>SUM(C61:C63)+C58</f>
        <v>150.65868821904493</v>
      </c>
      <c r="D66" s="58">
        <f>SUM(D61:D63)+D58</f>
        <v>22.085620311000007</v>
      </c>
      <c r="E66" s="58">
        <f>SUM(E61:E63)+E58</f>
        <v>54.256845340980171</v>
      </c>
      <c r="F66" s="58">
        <f>SUM(F61:F63)+F58</f>
        <v>13.75520165</v>
      </c>
      <c r="G66" s="203">
        <f t="shared" si="5"/>
        <v>252.20251568622513</v>
      </c>
      <c r="H66" s="3"/>
      <c r="I66" s="105"/>
      <c r="J66" s="100"/>
      <c r="K66" s="51"/>
      <c r="L66" s="51"/>
      <c r="M66" s="51"/>
      <c r="N66" s="53"/>
      <c r="O66" s="51"/>
      <c r="P66" s="51"/>
      <c r="Q66" s="51"/>
      <c r="R66" s="51"/>
      <c r="S66" s="51"/>
      <c r="T66" s="46"/>
      <c r="U66" s="48"/>
      <c r="W66" s="47"/>
      <c r="X66" s="52"/>
      <c r="Y66" s="52"/>
      <c r="Z66" s="52"/>
      <c r="AA66" s="52"/>
      <c r="AB66" s="52"/>
    </row>
    <row r="67" spans="1:28" x14ac:dyDescent="0.25">
      <c r="A67" s="197" t="s">
        <v>43</v>
      </c>
      <c r="B67" s="200">
        <f>(Résultats!AH$102+Résultats!AH$129+Résultats!AH$130+Résultats!AH$131+Résultats!AH$132+Résultats!AH$133+Résultats!AH$134+Résultats!AH$135+Résultats!AH$136)/1000000</f>
        <v>11.446160165199998</v>
      </c>
      <c r="C67" s="200">
        <f>(Résultats!AH$104+Résultats!AH$138+Résultats!AH$139+Résultats!AH$140+Résultats!AH$141+Résultats!AH$142+Résultats!AH$143+Résultats!AH$144+Résultats!AH$145+Résultats!AH$146+Résultats!AH$147+Résultats!AH$148+Résultats!AH$149+Résultats!AH$150+Résultats!AH$151+Résultats!AH$152+Résultats!AH$153+Résultats!AH$154+Résultats!AH$155+Résultats!AH$156)/1000000</f>
        <v>162.89180463135125</v>
      </c>
      <c r="D67" s="200">
        <f>(Résultats!AH$159+Résultats!AH$160+Résultats!AH$161)/1000000</f>
        <v>22.085620311</v>
      </c>
      <c r="E67" s="199">
        <f>(Résultats!AH$106+Résultats!AH$163+Résultats!AH$164+Résultats!AH$165+Résultats!AH$166+Résultats!AH$167+Résultats!AH$168+Résultats!AH$169+Résultats!AH$170+Résultats!AH$171+Résultats!AH$172+Résultats!AH$173+Résultats!AH$174+Résultats!AH$175+Résultats!AH$176+Résultats!AH$177+Résultats!AH$178+Résultats!AH$179+Résultats!AH$180+Résultats!AH$181+Résultats!AH$182+Résultats!AH$183)/1000000</f>
        <v>57.402894035544591</v>
      </c>
      <c r="F67" s="200">
        <f>Résultats!AH$100/1000000</f>
        <v>13.75520165</v>
      </c>
      <c r="G67" s="201">
        <f t="shared" si="5"/>
        <v>267.58168079309587</v>
      </c>
      <c r="H67" s="3"/>
      <c r="I67" s="69"/>
      <c r="K67" s="24"/>
      <c r="L67" s="51"/>
    </row>
    <row r="68" spans="1:28" x14ac:dyDescent="0.25">
      <c r="A68" s="197"/>
      <c r="B68" s="197"/>
      <c r="C68" s="197"/>
      <c r="D68" s="197"/>
      <c r="E68" s="197"/>
      <c r="F68" s="197"/>
      <c r="G68" s="199">
        <f>Résultats!AH$194/1000000</f>
        <v>267.8516462</v>
      </c>
      <c r="H68" s="3"/>
      <c r="I68" s="69"/>
      <c r="K68" s="24"/>
      <c r="L68" s="51"/>
    </row>
    <row r="69" spans="1:28" x14ac:dyDescent="0.25">
      <c r="A69" s="3"/>
      <c r="B69" s="3"/>
      <c r="C69" s="3"/>
      <c r="D69" s="3"/>
      <c r="E69" s="3"/>
      <c r="F69" s="3"/>
      <c r="G69" s="3"/>
      <c r="H69" s="3"/>
      <c r="I69" s="69"/>
      <c r="K69" s="24"/>
      <c r="L69" s="51"/>
    </row>
    <row r="70" spans="1:28" ht="21" x14ac:dyDescent="0.35">
      <c r="A70" s="173">
        <v>2050</v>
      </c>
      <c r="B70" s="4" t="s">
        <v>36</v>
      </c>
      <c r="C70" s="4" t="s">
        <v>37</v>
      </c>
      <c r="D70" s="4" t="s">
        <v>38</v>
      </c>
      <c r="E70" s="4" t="s">
        <v>39</v>
      </c>
      <c r="F70" s="4" t="s">
        <v>40</v>
      </c>
      <c r="G70" s="118" t="s">
        <v>1</v>
      </c>
      <c r="H70" s="3"/>
      <c r="I70" s="3"/>
    </row>
    <row r="71" spans="1:28" x14ac:dyDescent="0.25">
      <c r="A71" s="194" t="s">
        <v>18</v>
      </c>
      <c r="B71" s="57">
        <f>B72+B73</f>
        <v>0.2355526184</v>
      </c>
      <c r="C71" s="57">
        <f>C72+C73</f>
        <v>75.480527921945239</v>
      </c>
      <c r="D71" s="57">
        <f>D72+D73</f>
        <v>3.4615199341015037</v>
      </c>
      <c r="E71" s="57">
        <f>E72+E73</f>
        <v>4.3188871697365281</v>
      </c>
      <c r="F71" s="57">
        <f>F72+F73</f>
        <v>0</v>
      </c>
      <c r="G71" s="195">
        <f t="shared" ref="G71:G80" si="6">SUM(B71:F71)</f>
        <v>83.496487644183276</v>
      </c>
      <c r="H71" s="3"/>
      <c r="I71" s="3"/>
    </row>
    <row r="72" spans="1:28" x14ac:dyDescent="0.25">
      <c r="A72" s="176" t="s">
        <v>19</v>
      </c>
      <c r="B72" s="19">
        <f>Résultats!AF$118/1000000</f>
        <v>0.2355526184</v>
      </c>
      <c r="C72" s="19">
        <f>'T energie usages'!I116*3.2*Résultats!AW250</f>
        <v>32.013827535945239</v>
      </c>
      <c r="D72" s="19">
        <f>'T energie usages'!J116/'T energie usages'!J$124*(Résultats!AW$159+Résultats!AW$160+Résultats!AW$161)/1000000</f>
        <v>1.5957983606755237</v>
      </c>
      <c r="E72" s="19">
        <f>'T energie usages'!K116*2.394*Résultats!AW251</f>
        <v>1.2499882652980496E-4</v>
      </c>
      <c r="F72" s="19">
        <v>0</v>
      </c>
      <c r="G72" s="120">
        <f t="shared" si="6"/>
        <v>33.845303513847291</v>
      </c>
      <c r="H72" s="3"/>
      <c r="I72" s="3"/>
    </row>
    <row r="73" spans="1:28" x14ac:dyDescent="0.25">
      <c r="A73" s="177" t="s">
        <v>20</v>
      </c>
      <c r="B73" s="19">
        <v>0</v>
      </c>
      <c r="C73" s="19">
        <f>(Résultats!AW$150+Résultats!AW$151+Résultats!AW$152+Résultats!AW$153+Résultats!AW$154)/1000000</f>
        <v>43.466700385999999</v>
      </c>
      <c r="D73" s="19">
        <f>'T energie usages'!J117/'T energie usages'!J$124*(Résultats!AW$159+Résultats!AW$160+Résultats!AW$161)/1000000</f>
        <v>1.8657215734259798</v>
      </c>
      <c r="E73" s="19">
        <f>(Résultats!AW$176+Résultats!AW$177+Résultats!AW$178+Résultats!AW$179+Résultats!AW$180)/1000000</f>
        <v>4.3187621709099986</v>
      </c>
      <c r="F73" s="19">
        <v>0</v>
      </c>
      <c r="G73" s="120">
        <f t="shared" si="6"/>
        <v>49.651184130335977</v>
      </c>
      <c r="H73" s="3"/>
      <c r="I73" s="3"/>
    </row>
    <row r="74" spans="1:28" x14ac:dyDescent="0.25">
      <c r="A74" s="194" t="s">
        <v>21</v>
      </c>
      <c r="B74" s="57">
        <f>Résultats!AW$102/1000000</f>
        <v>0.6976501115999999</v>
      </c>
      <c r="C74" s="57">
        <f>'T energie usages'!I118*3.2*Résultats!AW250</f>
        <v>14.125889741365013</v>
      </c>
      <c r="D74" s="57">
        <f>'T energie usages'!J118/'T energie usages'!J$124*(Résultats!AW$159+Résultats!AW$160+Résultats!AW$161)/1000000</f>
        <v>8.4647351336793566</v>
      </c>
      <c r="E74" s="57">
        <f>('T energie usages'!K118-8)*2.394*Résultats!AW251</f>
        <v>20.168671451939193</v>
      </c>
      <c r="F74" s="57">
        <v>0</v>
      </c>
      <c r="G74" s="195">
        <f t="shared" si="6"/>
        <v>43.456946438583557</v>
      </c>
      <c r="H74" s="3"/>
      <c r="I74" s="3"/>
    </row>
    <row r="75" spans="1:28" x14ac:dyDescent="0.25">
      <c r="A75" s="194" t="s">
        <v>22</v>
      </c>
      <c r="B75" s="57">
        <f>(Résultats!AW$135+Résultats!AW$136)/1000000</f>
        <v>0</v>
      </c>
      <c r="C75" s="57">
        <f>(Résultats!AW$155+Résultats!AW$156)/1000000</f>
        <v>4.5194717840999994</v>
      </c>
      <c r="D75" s="57">
        <f>'T energie usages'!J119/'T energie usages'!J$124*(Résultats!AW$159+Résultats!AW$160+Résultats!AW$161)/1000000</f>
        <v>5.0845753516921688</v>
      </c>
      <c r="E75" s="57">
        <f>(Résultats!AW$181+Résultats!AW$182)/1000000</f>
        <v>7.7096933290000003</v>
      </c>
      <c r="F75" s="57">
        <v>0</v>
      </c>
      <c r="G75" s="195">
        <f t="shared" si="6"/>
        <v>17.313740464792168</v>
      </c>
      <c r="H75" s="3"/>
      <c r="I75" s="3"/>
    </row>
    <row r="76" spans="1:28" x14ac:dyDescent="0.25">
      <c r="A76" s="194" t="s">
        <v>23</v>
      </c>
      <c r="B76" s="57">
        <f>B77+B78</f>
        <v>11.733022356499999</v>
      </c>
      <c r="C76" s="57">
        <f>C77+C78</f>
        <v>46.032095672428781</v>
      </c>
      <c r="D76" s="57">
        <f>D77+D78</f>
        <v>6.4102775125269709</v>
      </c>
      <c r="E76" s="57">
        <f>E77+E78</f>
        <v>21.394886889984843</v>
      </c>
      <c r="F76" s="57">
        <f>F77+F78</f>
        <v>15.359895779999999</v>
      </c>
      <c r="G76" s="195">
        <f t="shared" si="6"/>
        <v>100.93017821144061</v>
      </c>
      <c r="H76" s="3"/>
      <c r="I76" s="3"/>
    </row>
    <row r="77" spans="1:28" x14ac:dyDescent="0.25">
      <c r="A77" s="177" t="s">
        <v>24</v>
      </c>
      <c r="B77" s="19">
        <f>(Résultats!AW$129+Résultats!AW$130+Résultats!AW$131+Résultats!AW$132+Résultats!AW$133+Résultats!AW$134)/1000000</f>
        <v>11.733022356499999</v>
      </c>
      <c r="C77" s="19">
        <f>(Résultats!AW$138+Résultats!AW$140+Résultats!AW$141+Résultats!AW$142+Résultats!AW$143+Résultats!AW$144+Résultats!AW$145+Résultats!AW$146+Résultats!AW$147+Résultats!AW$148+Résultats!AW$149)/1000000</f>
        <v>37.150034966428784</v>
      </c>
      <c r="D77" s="19">
        <f>'T energie usages'!J121/'T energie usages'!J$124*(Résultats!AW$159+Résultats!AW$160+Résultats!AW$161)/1000000</f>
        <v>6.207841824453209</v>
      </c>
      <c r="E77" s="19">
        <f>(Résultats!AW162+Résultats!AW$164+Résultats!AW$165+Résultats!AW$166+Résultats!AW$167+Résultats!AW$168+Résultats!AW$169+Résultats!AW$170+Résultats!AW$171+Résultats!AW$172+Résultats!AW$173+Résultats!AW$174+Résultats!AW$175+Résultats!AW$183)/1000000</f>
        <v>20.744630554284843</v>
      </c>
      <c r="F77" s="19">
        <f>Résultats!AW$100/1000000</f>
        <v>15.359895779999999</v>
      </c>
      <c r="G77" s="120">
        <f t="shared" si="6"/>
        <v>91.195425481666845</v>
      </c>
      <c r="H77" s="3"/>
      <c r="I77" s="3"/>
    </row>
    <row r="78" spans="1:28" x14ac:dyDescent="0.25">
      <c r="A78" s="177" t="s">
        <v>25</v>
      </c>
      <c r="B78" s="19">
        <v>0</v>
      </c>
      <c r="C78" s="19">
        <f>(Résultats!AW$139)/1000000</f>
        <v>8.8820607060000007</v>
      </c>
      <c r="D78" s="19">
        <f>'T energie usages'!J123/'T energie usages'!J$124*(Résultats!AW$159+Résultats!AW$160+Résultats!AW$161)/1000000</f>
        <v>0.20243568807376217</v>
      </c>
      <c r="E78" s="19">
        <f>(Résultats!AW$163)/1000000</f>
        <v>0.65025633570000008</v>
      </c>
      <c r="F78" s="19">
        <v>0</v>
      </c>
      <c r="G78" s="120">
        <f t="shared" si="6"/>
        <v>9.7347527297737635</v>
      </c>
      <c r="H78" s="3"/>
      <c r="I78" s="3"/>
    </row>
    <row r="79" spans="1:28" x14ac:dyDescent="0.25">
      <c r="A79" s="72" t="s">
        <v>41</v>
      </c>
      <c r="B79" s="58">
        <f>SUM(B74:B76)+B71</f>
        <v>12.666225086499999</v>
      </c>
      <c r="C79" s="58">
        <f>SUM(C74:C76)+C71</f>
        <v>140.15798511983905</v>
      </c>
      <c r="D79" s="58">
        <f>SUM(D74:D76)+D71</f>
        <v>23.421107931999998</v>
      </c>
      <c r="E79" s="60">
        <f>SUM(E74:E76)+E71</f>
        <v>53.592138840660567</v>
      </c>
      <c r="F79" s="58">
        <f>SUM(F74:F76)+F71</f>
        <v>15.359895779999999</v>
      </c>
      <c r="G79" s="196">
        <f t="shared" si="6"/>
        <v>245.19735275899959</v>
      </c>
      <c r="H79" s="3"/>
      <c r="I79" s="3"/>
    </row>
    <row r="80" spans="1:28" x14ac:dyDescent="0.25">
      <c r="A80" s="197" t="s">
        <v>43</v>
      </c>
      <c r="B80" s="200">
        <f>(Résultats!AW$102+Résultats!AW$129+Résultats!AW$130+Résultats!AW$131+Résultats!AW$132+Résultats!AW$133+Résultats!AW$134+Résultats!AW$135+Résultats!AW$136)/1000000</f>
        <v>12.430672468100001</v>
      </c>
      <c r="C80" s="200">
        <f>(Résultats!AW$104+Résultats!AW$138+Résultats!AW$139+Résultats!AW$140+Résultats!AW$141+Résultats!AW$142+Résultats!AW$143+Résultats!AW$144+Résultats!AW$145+Résultats!AW$146+Résultats!AW$147+Résultats!AW$148+Résultats!AW$149+Résultats!AW$150+Résultats!AW$151+Résultats!AW$152+Résultats!AW$153+Résultats!AW$154+Résultats!AW$155+Résultats!AW$156)/1000000</f>
        <v>149.41063390252879</v>
      </c>
      <c r="D80" s="200">
        <f>(Résultats!AW$159+Résultats!AW$160+Résultats!AW$161)/1000000</f>
        <v>23.421107932000002</v>
      </c>
      <c r="E80" s="199">
        <f>(Résultats!AW$106+Résultats!AW162+Résultats!AW$163+Résultats!AW$164+Résultats!AW$165+Résultats!AW$166+Résultats!AW$167+Résultats!AW$168+Résultats!AW$169+Résultats!AW$170+Résultats!AW$171+Résultats!AW$172+Résultats!AW$173+Résultats!AW$174+Résultats!AW$175+Résultats!AW$176+Résultats!AW$177+Résultats!AW$178+Résultats!AW$179+Résultats!AW$180+Résultats!AW181+Résultats!AW182+Résultats!AW183)/1000000</f>
        <v>57.367328629894857</v>
      </c>
      <c r="F80" s="200">
        <f>Résultats!AW100/1000000</f>
        <v>15.359895779999999</v>
      </c>
      <c r="G80" s="201">
        <f t="shared" si="6"/>
        <v>257.98963871252363</v>
      </c>
      <c r="H80" s="3"/>
      <c r="I80" s="71"/>
    </row>
    <row r="81" spans="1:9" x14ac:dyDescent="0.25">
      <c r="A81" s="197"/>
      <c r="B81" s="200"/>
      <c r="C81" s="200"/>
      <c r="D81" s="200"/>
      <c r="E81" s="197"/>
      <c r="F81" s="197"/>
      <c r="G81" s="199">
        <f>Résultats!AW194/1000000</f>
        <v>257.98963830000002</v>
      </c>
      <c r="H81" s="3"/>
      <c r="I81" s="3"/>
    </row>
    <row r="82" spans="1:9" x14ac:dyDescent="0.25">
      <c r="A82" s="3"/>
      <c r="B82" s="3"/>
      <c r="C82" s="3"/>
      <c r="D82" s="3"/>
      <c r="E82" s="3"/>
      <c r="F82" s="3"/>
      <c r="G82" s="3"/>
      <c r="H82" s="3"/>
      <c r="I82" s="3"/>
    </row>
    <row r="83" spans="1:9" x14ac:dyDescent="0.25">
      <c r="A83" s="3"/>
      <c r="B83" s="3"/>
      <c r="C83" s="3"/>
      <c r="D83" s="3"/>
      <c r="E83" s="3"/>
      <c r="F83" s="3"/>
      <c r="G83" s="3"/>
      <c r="H83" s="3"/>
      <c r="I83" s="3"/>
    </row>
    <row r="84" spans="1:9" x14ac:dyDescent="0.25">
      <c r="A84" s="3"/>
      <c r="B84" s="3"/>
      <c r="C84" s="3"/>
      <c r="D84" s="3"/>
      <c r="E84" s="3"/>
      <c r="F84" s="3"/>
      <c r="G84" s="3"/>
      <c r="H84" s="3"/>
      <c r="I84" s="3"/>
    </row>
    <row r="85" spans="1:9" x14ac:dyDescent="0.25">
      <c r="F85" s="24"/>
    </row>
    <row r="86" spans="1:9" x14ac:dyDescent="0.25">
      <c r="G86" s="39"/>
    </row>
    <row r="87" spans="1:9" x14ac:dyDescent="0.25">
      <c r="B87" s="24"/>
      <c r="G87" s="39"/>
    </row>
    <row r="88" spans="1:9" x14ac:dyDescent="0.25">
      <c r="B88" s="24"/>
      <c r="G88" s="39"/>
    </row>
    <row r="89" spans="1:9" x14ac:dyDescent="0.25">
      <c r="B89" s="24"/>
      <c r="G89" s="39"/>
    </row>
    <row r="90" spans="1:9" x14ac:dyDescent="0.25">
      <c r="B90" s="24"/>
      <c r="G90" s="39"/>
    </row>
    <row r="91" spans="1:9" x14ac:dyDescent="0.25">
      <c r="B91" s="24"/>
      <c r="G91" s="39"/>
    </row>
    <row r="92" spans="1:9" x14ac:dyDescent="0.25">
      <c r="B92" s="24"/>
    </row>
    <row r="93" spans="1:9" x14ac:dyDescent="0.25">
      <c r="B93" s="24"/>
    </row>
    <row r="94" spans="1:9" x14ac:dyDescent="0.25">
      <c r="B94" s="24"/>
    </row>
    <row r="95" spans="1:9" x14ac:dyDescent="0.25">
      <c r="B95" s="24"/>
    </row>
    <row r="96" spans="1:9" x14ac:dyDescent="0.25">
      <c r="B96" s="24"/>
    </row>
    <row r="97" spans="2:4" x14ac:dyDescent="0.25">
      <c r="B97" s="24"/>
    </row>
    <row r="98" spans="2:4" x14ac:dyDescent="0.25">
      <c r="B98" s="24"/>
    </row>
    <row r="99" spans="2:4" x14ac:dyDescent="0.25">
      <c r="B99" s="24"/>
    </row>
    <row r="100" spans="2:4" x14ac:dyDescent="0.25">
      <c r="B100" s="24"/>
    </row>
    <row r="101" spans="2:4" x14ac:dyDescent="0.25">
      <c r="B101" s="24"/>
    </row>
    <row r="102" spans="2:4" x14ac:dyDescent="0.25">
      <c r="B102" s="24"/>
    </row>
    <row r="104" spans="2:4" x14ac:dyDescent="0.25">
      <c r="B104" s="24"/>
    </row>
    <row r="105" spans="2:4" x14ac:dyDescent="0.25">
      <c r="B105" s="24"/>
    </row>
    <row r="106" spans="2:4" x14ac:dyDescent="0.25">
      <c r="B106" s="24"/>
    </row>
    <row r="107" spans="2:4" x14ac:dyDescent="0.25">
      <c r="B107" s="24"/>
    </row>
    <row r="108" spans="2:4" x14ac:dyDescent="0.25">
      <c r="B108" s="24"/>
    </row>
    <row r="109" spans="2:4" x14ac:dyDescent="0.25">
      <c r="B109" s="24"/>
    </row>
    <row r="110" spans="2:4" x14ac:dyDescent="0.25">
      <c r="B110" s="24"/>
    </row>
    <row r="111" spans="2:4" x14ac:dyDescent="0.25">
      <c r="B111" s="24"/>
    </row>
    <row r="112" spans="2:4" x14ac:dyDescent="0.25">
      <c r="B112" s="24"/>
      <c r="C112" s="21"/>
      <c r="D112" s="21"/>
    </row>
    <row r="113" spans="2:2" x14ac:dyDescent="0.25">
      <c r="B113" s="24"/>
    </row>
    <row r="114" spans="2:2" x14ac:dyDescent="0.25">
      <c r="B114" s="24"/>
    </row>
    <row r="115" spans="2:2" x14ac:dyDescent="0.25">
      <c r="B115" s="24"/>
    </row>
    <row r="116" spans="2:2" x14ac:dyDescent="0.25">
      <c r="B116" s="24"/>
    </row>
    <row r="117" spans="2:2" x14ac:dyDescent="0.25">
      <c r="B117" s="24"/>
    </row>
    <row r="118" spans="2:2" x14ac:dyDescent="0.25">
      <c r="B118" s="24"/>
    </row>
    <row r="119" spans="2:2" x14ac:dyDescent="0.25">
      <c r="B119" s="24"/>
    </row>
    <row r="120" spans="2:2" x14ac:dyDescent="0.25">
      <c r="B120" s="24"/>
    </row>
    <row r="121" spans="2:2" x14ac:dyDescent="0.25">
      <c r="B121" s="24"/>
    </row>
  </sheetData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070C0"/>
    <pageSetUpPr fitToPage="1"/>
  </sheetPr>
  <dimension ref="A1:AN108"/>
  <sheetViews>
    <sheetView topLeftCell="AB23" zoomScale="80" zoomScaleNormal="80" workbookViewId="0">
      <selection activeCell="AM26" sqref="AM26"/>
    </sheetView>
  </sheetViews>
  <sheetFormatPr baseColWidth="10" defaultRowHeight="15" x14ac:dyDescent="0.25"/>
  <cols>
    <col min="2" max="2" width="17.140625" customWidth="1"/>
    <col min="3" max="3" width="28.140625" bestFit="1" customWidth="1"/>
    <col min="4" max="4" width="41" hidden="1" customWidth="1"/>
    <col min="5" max="8" width="20.140625" hidden="1" customWidth="1"/>
    <col min="9" max="39" width="20.140625" customWidth="1"/>
    <col min="40" max="40" width="13" customWidth="1"/>
  </cols>
  <sheetData>
    <row r="1" spans="1:39" ht="23.25" x14ac:dyDescent="0.35">
      <c r="A1" s="15" t="s">
        <v>151</v>
      </c>
      <c r="C1" s="15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  <c r="AL1" s="12"/>
      <c r="AM1" s="12"/>
    </row>
    <row r="2" spans="1:39" ht="23.25" x14ac:dyDescent="0.35">
      <c r="A2" s="1"/>
      <c r="C2" s="229"/>
      <c r="E2" s="237">
        <f>Résultats!E1</f>
        <v>4</v>
      </c>
      <c r="F2" s="237">
        <f>Résultats!N1</f>
        <v>13</v>
      </c>
      <c r="G2" s="237">
        <f>F2+3</f>
        <v>16</v>
      </c>
      <c r="H2" s="237">
        <f t="shared" ref="H2:AA2" si="0">G2+1</f>
        <v>17</v>
      </c>
      <c r="I2" s="237">
        <f t="shared" si="0"/>
        <v>18</v>
      </c>
      <c r="J2" s="237">
        <f t="shared" si="0"/>
        <v>19</v>
      </c>
      <c r="K2" s="237">
        <f t="shared" si="0"/>
        <v>20</v>
      </c>
      <c r="L2" s="237">
        <f t="shared" si="0"/>
        <v>21</v>
      </c>
      <c r="M2" s="237">
        <f t="shared" si="0"/>
        <v>22</v>
      </c>
      <c r="N2" s="237">
        <f t="shared" si="0"/>
        <v>23</v>
      </c>
      <c r="O2" s="237">
        <f t="shared" si="0"/>
        <v>24</v>
      </c>
      <c r="P2" s="237">
        <f t="shared" si="0"/>
        <v>25</v>
      </c>
      <c r="Q2" s="237">
        <f t="shared" si="0"/>
        <v>26</v>
      </c>
      <c r="R2" s="237">
        <f t="shared" si="0"/>
        <v>27</v>
      </c>
      <c r="S2" s="237">
        <f t="shared" si="0"/>
        <v>28</v>
      </c>
      <c r="T2" s="237">
        <f t="shared" si="0"/>
        <v>29</v>
      </c>
      <c r="U2" s="237">
        <f t="shared" si="0"/>
        <v>30</v>
      </c>
      <c r="V2" s="237">
        <f t="shared" si="0"/>
        <v>31</v>
      </c>
      <c r="W2" s="237">
        <f t="shared" si="0"/>
        <v>32</v>
      </c>
      <c r="X2" s="237">
        <f>S2+5</f>
        <v>33</v>
      </c>
      <c r="Y2" s="237">
        <f t="shared" si="0"/>
        <v>34</v>
      </c>
      <c r="Z2" s="237">
        <f t="shared" ref="Z2" si="1">U2+5</f>
        <v>35</v>
      </c>
      <c r="AA2" s="237">
        <f t="shared" si="0"/>
        <v>36</v>
      </c>
      <c r="AB2" s="237">
        <f t="shared" ref="AB2" si="2">W2+5</f>
        <v>37</v>
      </c>
      <c r="AC2" s="237">
        <f>X2+5</f>
        <v>38</v>
      </c>
      <c r="AD2" s="237">
        <f t="shared" ref="AD2:AG2" si="3">Y2+5</f>
        <v>39</v>
      </c>
      <c r="AE2" s="237">
        <f t="shared" si="3"/>
        <v>40</v>
      </c>
      <c r="AF2" s="237">
        <f t="shared" si="3"/>
        <v>41</v>
      </c>
      <c r="AG2" s="237">
        <f t="shared" si="3"/>
        <v>42</v>
      </c>
      <c r="AH2" s="237">
        <f>AC2+5</f>
        <v>43</v>
      </c>
      <c r="AI2" s="237">
        <f t="shared" ref="AI2:AL2" si="4">AD2+5</f>
        <v>44</v>
      </c>
      <c r="AJ2" s="237">
        <f t="shared" si="4"/>
        <v>45</v>
      </c>
      <c r="AK2" s="237">
        <f t="shared" si="4"/>
        <v>46</v>
      </c>
      <c r="AL2" s="237">
        <f t="shared" si="4"/>
        <v>47</v>
      </c>
      <c r="AM2" s="237">
        <f>AH2+5</f>
        <v>48</v>
      </c>
    </row>
    <row r="3" spans="1:39" ht="23.25" x14ac:dyDescent="0.35">
      <c r="B3" s="1"/>
      <c r="C3" s="228"/>
      <c r="D3" s="174"/>
      <c r="E3" s="117">
        <v>2006</v>
      </c>
      <c r="F3" s="117">
        <v>2015</v>
      </c>
      <c r="G3" s="117">
        <v>2018</v>
      </c>
      <c r="H3" s="117">
        <v>2019</v>
      </c>
      <c r="I3" s="117">
        <v>2020</v>
      </c>
      <c r="J3" s="26">
        <v>2021</v>
      </c>
      <c r="K3" s="4">
        <v>2022</v>
      </c>
      <c r="L3" s="4">
        <v>2023</v>
      </c>
      <c r="M3" s="4">
        <v>2024</v>
      </c>
      <c r="N3" s="117">
        <v>2025</v>
      </c>
      <c r="O3" s="26">
        <v>2026</v>
      </c>
      <c r="P3" s="4">
        <v>2027</v>
      </c>
      <c r="Q3" s="4">
        <v>2028</v>
      </c>
      <c r="R3" s="4">
        <v>2029</v>
      </c>
      <c r="S3" s="117">
        <v>2030</v>
      </c>
      <c r="T3" s="4">
        <v>2031</v>
      </c>
      <c r="U3" s="117">
        <v>2032</v>
      </c>
      <c r="V3" s="4">
        <v>2033</v>
      </c>
      <c r="W3" s="117">
        <v>2034</v>
      </c>
      <c r="X3" s="4">
        <v>2035</v>
      </c>
      <c r="Y3" s="117">
        <v>2036</v>
      </c>
      <c r="Z3" s="4">
        <v>2037</v>
      </c>
      <c r="AA3" s="117">
        <v>2038</v>
      </c>
      <c r="AB3" s="4">
        <v>2039</v>
      </c>
      <c r="AC3" s="118">
        <v>2040</v>
      </c>
      <c r="AD3" s="4">
        <v>2041</v>
      </c>
      <c r="AE3" s="118">
        <v>2042</v>
      </c>
      <c r="AF3" s="4">
        <v>2043</v>
      </c>
      <c r="AG3" s="118">
        <v>2044</v>
      </c>
      <c r="AH3" s="4">
        <v>2045</v>
      </c>
      <c r="AI3" s="118">
        <v>2046</v>
      </c>
      <c r="AJ3" s="4">
        <v>2047</v>
      </c>
      <c r="AK3" s="118">
        <v>2048</v>
      </c>
      <c r="AL3" s="4">
        <v>2049</v>
      </c>
      <c r="AM3" s="118">
        <v>2050</v>
      </c>
    </row>
    <row r="4" spans="1:39" x14ac:dyDescent="0.25">
      <c r="A4" s="180" t="str">
        <f>Résultats!B1</f>
        <v>TEND</v>
      </c>
      <c r="C4" s="230" t="s">
        <v>153</v>
      </c>
      <c r="D4" s="82" t="s">
        <v>45</v>
      </c>
      <c r="E4" s="83" t="e">
        <f t="shared" ref="E4:F4" si="5">E44</f>
        <v>#N/A</v>
      </c>
      <c r="F4" s="83" t="e">
        <f t="shared" si="5"/>
        <v>#N/A</v>
      </c>
      <c r="G4" s="83" t="e">
        <f>G44</f>
        <v>#N/A</v>
      </c>
      <c r="H4" s="83" t="e">
        <f t="shared" ref="H4:AM4" si="6">H44</f>
        <v>#N/A</v>
      </c>
      <c r="I4" s="83" t="e">
        <f t="shared" si="6"/>
        <v>#N/A</v>
      </c>
      <c r="J4" s="83" t="e">
        <f t="shared" si="6"/>
        <v>#N/A</v>
      </c>
      <c r="K4" s="83" t="e">
        <f t="shared" si="6"/>
        <v>#N/A</v>
      </c>
      <c r="L4" s="83" t="e">
        <f t="shared" si="6"/>
        <v>#N/A</v>
      </c>
      <c r="M4" s="83" t="e">
        <f t="shared" si="6"/>
        <v>#N/A</v>
      </c>
      <c r="N4" s="83" t="e">
        <f t="shared" si="6"/>
        <v>#N/A</v>
      </c>
      <c r="O4" s="83" t="e">
        <f t="shared" si="6"/>
        <v>#N/A</v>
      </c>
      <c r="P4" s="83" t="e">
        <f t="shared" si="6"/>
        <v>#N/A</v>
      </c>
      <c r="Q4" s="83" t="e">
        <f t="shared" si="6"/>
        <v>#N/A</v>
      </c>
      <c r="R4" s="83" t="e">
        <f t="shared" si="6"/>
        <v>#N/A</v>
      </c>
      <c r="S4" s="83" t="e">
        <f t="shared" si="6"/>
        <v>#N/A</v>
      </c>
      <c r="T4" s="83" t="e">
        <f t="shared" si="6"/>
        <v>#N/A</v>
      </c>
      <c r="U4" s="83" t="e">
        <f t="shared" si="6"/>
        <v>#N/A</v>
      </c>
      <c r="V4" s="83" t="e">
        <f t="shared" si="6"/>
        <v>#N/A</v>
      </c>
      <c r="W4" s="83" t="e">
        <f t="shared" si="6"/>
        <v>#N/A</v>
      </c>
      <c r="X4" s="83" t="e">
        <f t="shared" si="6"/>
        <v>#N/A</v>
      </c>
      <c r="Y4" s="83" t="e">
        <f t="shared" si="6"/>
        <v>#N/A</v>
      </c>
      <c r="Z4" s="83" t="e">
        <f t="shared" si="6"/>
        <v>#N/A</v>
      </c>
      <c r="AA4" s="83" t="e">
        <f t="shared" si="6"/>
        <v>#N/A</v>
      </c>
      <c r="AB4" s="83" t="e">
        <f t="shared" si="6"/>
        <v>#N/A</v>
      </c>
      <c r="AC4" s="83" t="e">
        <f t="shared" si="6"/>
        <v>#N/A</v>
      </c>
      <c r="AD4" s="83" t="e">
        <f t="shared" si="6"/>
        <v>#N/A</v>
      </c>
      <c r="AE4" s="83" t="e">
        <f t="shared" si="6"/>
        <v>#N/A</v>
      </c>
      <c r="AF4" s="83" t="e">
        <f t="shared" si="6"/>
        <v>#N/A</v>
      </c>
      <c r="AG4" s="83" t="e">
        <f t="shared" si="6"/>
        <v>#N/A</v>
      </c>
      <c r="AH4" s="83" t="e">
        <f t="shared" si="6"/>
        <v>#N/A</v>
      </c>
      <c r="AI4" s="83" t="e">
        <f t="shared" si="6"/>
        <v>#N/A</v>
      </c>
      <c r="AJ4" s="83" t="e">
        <f t="shared" si="6"/>
        <v>#N/A</v>
      </c>
      <c r="AK4" s="83" t="e">
        <f t="shared" si="6"/>
        <v>#N/A</v>
      </c>
      <c r="AL4" s="83" t="e">
        <f t="shared" si="6"/>
        <v>#N/A</v>
      </c>
      <c r="AM4" s="128" t="e">
        <f t="shared" si="6"/>
        <v>#N/A</v>
      </c>
    </row>
    <row r="5" spans="1:39" x14ac:dyDescent="0.25">
      <c r="C5" s="230" t="s">
        <v>154</v>
      </c>
      <c r="D5" s="82" t="s">
        <v>158</v>
      </c>
      <c r="E5" s="183"/>
      <c r="F5" s="183"/>
      <c r="G5" s="183" t="e">
        <f t="shared" ref="G5:AM5" si="7">G4/1000</f>
        <v>#N/A</v>
      </c>
      <c r="H5" s="183" t="e">
        <f t="shared" si="7"/>
        <v>#N/A</v>
      </c>
      <c r="I5" s="183" t="e">
        <f t="shared" si="7"/>
        <v>#N/A</v>
      </c>
      <c r="J5" s="183" t="e">
        <f t="shared" si="7"/>
        <v>#N/A</v>
      </c>
      <c r="K5" s="183" t="e">
        <f t="shared" si="7"/>
        <v>#N/A</v>
      </c>
      <c r="L5" s="183" t="e">
        <f t="shared" si="7"/>
        <v>#N/A</v>
      </c>
      <c r="M5" s="183" t="e">
        <f t="shared" si="7"/>
        <v>#N/A</v>
      </c>
      <c r="N5" s="183" t="e">
        <f t="shared" si="7"/>
        <v>#N/A</v>
      </c>
      <c r="O5" s="183" t="e">
        <f t="shared" si="7"/>
        <v>#N/A</v>
      </c>
      <c r="P5" s="183" t="e">
        <f t="shared" si="7"/>
        <v>#N/A</v>
      </c>
      <c r="Q5" s="183" t="e">
        <f t="shared" si="7"/>
        <v>#N/A</v>
      </c>
      <c r="R5" s="183" t="e">
        <f t="shared" si="7"/>
        <v>#N/A</v>
      </c>
      <c r="S5" s="183" t="e">
        <f t="shared" si="7"/>
        <v>#N/A</v>
      </c>
      <c r="T5" s="183" t="e">
        <f t="shared" si="7"/>
        <v>#N/A</v>
      </c>
      <c r="U5" s="183" t="e">
        <f t="shared" si="7"/>
        <v>#N/A</v>
      </c>
      <c r="V5" s="183" t="e">
        <f t="shared" si="7"/>
        <v>#N/A</v>
      </c>
      <c r="W5" s="183" t="e">
        <f t="shared" si="7"/>
        <v>#N/A</v>
      </c>
      <c r="X5" s="183" t="e">
        <f t="shared" si="7"/>
        <v>#N/A</v>
      </c>
      <c r="Y5" s="183" t="e">
        <f t="shared" si="7"/>
        <v>#N/A</v>
      </c>
      <c r="Z5" s="183" t="e">
        <f t="shared" si="7"/>
        <v>#N/A</v>
      </c>
      <c r="AA5" s="183" t="e">
        <f t="shared" si="7"/>
        <v>#N/A</v>
      </c>
      <c r="AB5" s="183" t="e">
        <f t="shared" si="7"/>
        <v>#N/A</v>
      </c>
      <c r="AC5" s="183" t="e">
        <f t="shared" si="7"/>
        <v>#N/A</v>
      </c>
      <c r="AD5" s="183" t="e">
        <f t="shared" si="7"/>
        <v>#N/A</v>
      </c>
      <c r="AE5" s="183" t="e">
        <f t="shared" si="7"/>
        <v>#N/A</v>
      </c>
      <c r="AF5" s="183" t="e">
        <f t="shared" si="7"/>
        <v>#N/A</v>
      </c>
      <c r="AG5" s="183" t="e">
        <f t="shared" si="7"/>
        <v>#N/A</v>
      </c>
      <c r="AH5" s="183" t="e">
        <f t="shared" si="7"/>
        <v>#N/A</v>
      </c>
      <c r="AI5" s="183" t="e">
        <f t="shared" si="7"/>
        <v>#N/A</v>
      </c>
      <c r="AJ5" s="183" t="e">
        <f t="shared" si="7"/>
        <v>#N/A</v>
      </c>
      <c r="AK5" s="183" t="e">
        <f t="shared" si="7"/>
        <v>#N/A</v>
      </c>
      <c r="AL5" s="183" t="e">
        <f t="shared" si="7"/>
        <v>#N/A</v>
      </c>
      <c r="AM5" s="231" t="e">
        <f t="shared" si="7"/>
        <v>#N/A</v>
      </c>
    </row>
    <row r="6" spans="1:39" x14ac:dyDescent="0.25">
      <c r="C6" s="186" t="s">
        <v>155</v>
      </c>
      <c r="D6" s="3" t="s">
        <v>159</v>
      </c>
      <c r="E6" s="184"/>
      <c r="F6" s="184"/>
      <c r="G6" s="184" t="e">
        <f>G93</f>
        <v>#N/A</v>
      </c>
      <c r="H6" s="184" t="e">
        <f t="shared" ref="H6:AM6" si="8">H93</f>
        <v>#N/A</v>
      </c>
      <c r="I6" s="184" t="e">
        <f t="shared" si="8"/>
        <v>#N/A</v>
      </c>
      <c r="J6" s="184" t="e">
        <f t="shared" si="8"/>
        <v>#N/A</v>
      </c>
      <c r="K6" s="184" t="e">
        <f t="shared" si="8"/>
        <v>#N/A</v>
      </c>
      <c r="L6" s="184" t="e">
        <f t="shared" si="8"/>
        <v>#N/A</v>
      </c>
      <c r="M6" s="184" t="e">
        <f t="shared" si="8"/>
        <v>#N/A</v>
      </c>
      <c r="N6" s="184" t="e">
        <f t="shared" si="8"/>
        <v>#N/A</v>
      </c>
      <c r="O6" s="184" t="e">
        <f t="shared" si="8"/>
        <v>#N/A</v>
      </c>
      <c r="P6" s="184" t="e">
        <f t="shared" si="8"/>
        <v>#N/A</v>
      </c>
      <c r="Q6" s="184" t="e">
        <f t="shared" si="8"/>
        <v>#N/A</v>
      </c>
      <c r="R6" s="184" t="e">
        <f t="shared" si="8"/>
        <v>#N/A</v>
      </c>
      <c r="S6" s="184" t="e">
        <f t="shared" si="8"/>
        <v>#N/A</v>
      </c>
      <c r="T6" s="184" t="e">
        <f t="shared" si="8"/>
        <v>#N/A</v>
      </c>
      <c r="U6" s="184" t="e">
        <f t="shared" si="8"/>
        <v>#N/A</v>
      </c>
      <c r="V6" s="184" t="e">
        <f t="shared" si="8"/>
        <v>#N/A</v>
      </c>
      <c r="W6" s="184" t="e">
        <f t="shared" si="8"/>
        <v>#N/A</v>
      </c>
      <c r="X6" s="184" t="e">
        <f t="shared" si="8"/>
        <v>#N/A</v>
      </c>
      <c r="Y6" s="184" t="e">
        <f t="shared" si="8"/>
        <v>#N/A</v>
      </c>
      <c r="Z6" s="184" t="e">
        <f t="shared" si="8"/>
        <v>#N/A</v>
      </c>
      <c r="AA6" s="184" t="e">
        <f t="shared" si="8"/>
        <v>#N/A</v>
      </c>
      <c r="AB6" s="184" t="e">
        <f t="shared" si="8"/>
        <v>#N/A</v>
      </c>
      <c r="AC6" s="184" t="e">
        <f t="shared" si="8"/>
        <v>#N/A</v>
      </c>
      <c r="AD6" s="184" t="e">
        <f t="shared" si="8"/>
        <v>#N/A</v>
      </c>
      <c r="AE6" s="184" t="e">
        <f t="shared" si="8"/>
        <v>#N/A</v>
      </c>
      <c r="AF6" s="184" t="e">
        <f t="shared" si="8"/>
        <v>#N/A</v>
      </c>
      <c r="AG6" s="184" t="e">
        <f t="shared" si="8"/>
        <v>#N/A</v>
      </c>
      <c r="AH6" s="184" t="e">
        <f t="shared" si="8"/>
        <v>#N/A</v>
      </c>
      <c r="AI6" s="184" t="e">
        <f t="shared" si="8"/>
        <v>#N/A</v>
      </c>
      <c r="AJ6" s="184" t="e">
        <f t="shared" si="8"/>
        <v>#N/A</v>
      </c>
      <c r="AK6" s="184" t="e">
        <f t="shared" si="8"/>
        <v>#N/A</v>
      </c>
      <c r="AL6" s="184" t="e">
        <f t="shared" si="8"/>
        <v>#N/A</v>
      </c>
      <c r="AM6" s="232" t="e">
        <f t="shared" si="8"/>
        <v>#N/A</v>
      </c>
    </row>
    <row r="7" spans="1:39" x14ac:dyDescent="0.25">
      <c r="C7" s="233" t="s">
        <v>160</v>
      </c>
      <c r="D7" s="7" t="s">
        <v>183</v>
      </c>
      <c r="E7" s="234"/>
      <c r="F7" s="234"/>
      <c r="G7" s="234" t="e">
        <f>G101</f>
        <v>#N/A</v>
      </c>
      <c r="H7" s="234" t="e">
        <f t="shared" ref="H7:AM7" si="9">H101</f>
        <v>#N/A</v>
      </c>
      <c r="I7" s="234" t="e">
        <f t="shared" si="9"/>
        <v>#N/A</v>
      </c>
      <c r="J7" s="234" t="e">
        <f t="shared" si="9"/>
        <v>#N/A</v>
      </c>
      <c r="K7" s="234" t="e">
        <f t="shared" si="9"/>
        <v>#N/A</v>
      </c>
      <c r="L7" s="234" t="e">
        <f t="shared" si="9"/>
        <v>#N/A</v>
      </c>
      <c r="M7" s="234" t="e">
        <f t="shared" si="9"/>
        <v>#N/A</v>
      </c>
      <c r="N7" s="234" t="e">
        <f t="shared" si="9"/>
        <v>#N/A</v>
      </c>
      <c r="O7" s="234" t="e">
        <f t="shared" si="9"/>
        <v>#N/A</v>
      </c>
      <c r="P7" s="234" t="e">
        <f t="shared" si="9"/>
        <v>#N/A</v>
      </c>
      <c r="Q7" s="234" t="e">
        <f t="shared" si="9"/>
        <v>#N/A</v>
      </c>
      <c r="R7" s="234" t="e">
        <f t="shared" si="9"/>
        <v>#N/A</v>
      </c>
      <c r="S7" s="234" t="e">
        <f t="shared" si="9"/>
        <v>#N/A</v>
      </c>
      <c r="T7" s="234" t="e">
        <f t="shared" si="9"/>
        <v>#N/A</v>
      </c>
      <c r="U7" s="234" t="e">
        <f t="shared" si="9"/>
        <v>#N/A</v>
      </c>
      <c r="V7" s="234" t="e">
        <f t="shared" si="9"/>
        <v>#N/A</v>
      </c>
      <c r="W7" s="234" t="e">
        <f t="shared" si="9"/>
        <v>#N/A</v>
      </c>
      <c r="X7" s="234" t="e">
        <f t="shared" si="9"/>
        <v>#N/A</v>
      </c>
      <c r="Y7" s="234" t="e">
        <f t="shared" si="9"/>
        <v>#N/A</v>
      </c>
      <c r="Z7" s="234" t="e">
        <f t="shared" si="9"/>
        <v>#N/A</v>
      </c>
      <c r="AA7" s="234" t="e">
        <f t="shared" si="9"/>
        <v>#N/A</v>
      </c>
      <c r="AB7" s="234" t="e">
        <f t="shared" si="9"/>
        <v>#N/A</v>
      </c>
      <c r="AC7" s="234" t="e">
        <f t="shared" si="9"/>
        <v>#N/A</v>
      </c>
      <c r="AD7" s="234" t="e">
        <f t="shared" si="9"/>
        <v>#N/A</v>
      </c>
      <c r="AE7" s="234" t="e">
        <f t="shared" si="9"/>
        <v>#N/A</v>
      </c>
      <c r="AF7" s="234" t="e">
        <f t="shared" si="9"/>
        <v>#N/A</v>
      </c>
      <c r="AG7" s="234" t="e">
        <f t="shared" si="9"/>
        <v>#N/A</v>
      </c>
      <c r="AH7" s="234" t="e">
        <f t="shared" si="9"/>
        <v>#N/A</v>
      </c>
      <c r="AI7" s="234" t="e">
        <f t="shared" si="9"/>
        <v>#N/A</v>
      </c>
      <c r="AJ7" s="234" t="e">
        <f t="shared" si="9"/>
        <v>#N/A</v>
      </c>
      <c r="AK7" s="234" t="e">
        <f t="shared" si="9"/>
        <v>#N/A</v>
      </c>
      <c r="AL7" s="234" t="e">
        <f t="shared" si="9"/>
        <v>#N/A</v>
      </c>
      <c r="AM7" s="235" t="e">
        <f t="shared" si="9"/>
        <v>#N/A</v>
      </c>
    </row>
    <row r="8" spans="1:39" x14ac:dyDescent="0.25">
      <c r="C8" s="181" t="s">
        <v>152</v>
      </c>
      <c r="E8" s="182"/>
      <c r="F8" s="182"/>
      <c r="G8" s="182" t="e">
        <f>SUM(G6:G7)</f>
        <v>#N/A</v>
      </c>
      <c r="H8" s="182" t="e">
        <f t="shared" ref="H8:AM8" si="10">SUM(H6:H7)</f>
        <v>#N/A</v>
      </c>
      <c r="I8" s="182" t="e">
        <f t="shared" si="10"/>
        <v>#N/A</v>
      </c>
      <c r="J8" s="182" t="e">
        <f t="shared" si="10"/>
        <v>#N/A</v>
      </c>
      <c r="K8" s="182" t="e">
        <f t="shared" si="10"/>
        <v>#N/A</v>
      </c>
      <c r="L8" s="182" t="e">
        <f t="shared" si="10"/>
        <v>#N/A</v>
      </c>
      <c r="M8" s="182" t="e">
        <f t="shared" si="10"/>
        <v>#N/A</v>
      </c>
      <c r="N8" s="182" t="e">
        <f t="shared" si="10"/>
        <v>#N/A</v>
      </c>
      <c r="O8" s="182" t="e">
        <f t="shared" si="10"/>
        <v>#N/A</v>
      </c>
      <c r="P8" s="182" t="e">
        <f t="shared" si="10"/>
        <v>#N/A</v>
      </c>
      <c r="Q8" s="182" t="e">
        <f t="shared" si="10"/>
        <v>#N/A</v>
      </c>
      <c r="R8" s="182" t="e">
        <f t="shared" si="10"/>
        <v>#N/A</v>
      </c>
      <c r="S8" s="182" t="e">
        <f t="shared" si="10"/>
        <v>#N/A</v>
      </c>
      <c r="T8" s="182" t="e">
        <f t="shared" si="10"/>
        <v>#N/A</v>
      </c>
      <c r="U8" s="182" t="e">
        <f t="shared" si="10"/>
        <v>#N/A</v>
      </c>
      <c r="V8" s="182" t="e">
        <f t="shared" si="10"/>
        <v>#N/A</v>
      </c>
      <c r="W8" s="182" t="e">
        <f t="shared" si="10"/>
        <v>#N/A</v>
      </c>
      <c r="X8" s="182" t="e">
        <f t="shared" si="10"/>
        <v>#N/A</v>
      </c>
      <c r="Y8" s="182" t="e">
        <f t="shared" si="10"/>
        <v>#N/A</v>
      </c>
      <c r="Z8" s="182" t="e">
        <f t="shared" si="10"/>
        <v>#N/A</v>
      </c>
      <c r="AA8" s="182" t="e">
        <f t="shared" si="10"/>
        <v>#N/A</v>
      </c>
      <c r="AB8" s="182" t="e">
        <f t="shared" si="10"/>
        <v>#N/A</v>
      </c>
      <c r="AC8" s="182" t="e">
        <f t="shared" si="10"/>
        <v>#N/A</v>
      </c>
      <c r="AD8" s="182" t="e">
        <f t="shared" si="10"/>
        <v>#N/A</v>
      </c>
      <c r="AE8" s="182" t="e">
        <f t="shared" si="10"/>
        <v>#N/A</v>
      </c>
      <c r="AF8" s="182" t="e">
        <f t="shared" si="10"/>
        <v>#N/A</v>
      </c>
      <c r="AG8" s="182" t="e">
        <f t="shared" si="10"/>
        <v>#N/A</v>
      </c>
      <c r="AH8" s="182" t="e">
        <f t="shared" si="10"/>
        <v>#N/A</v>
      </c>
      <c r="AI8" s="182" t="e">
        <f t="shared" si="10"/>
        <v>#N/A</v>
      </c>
      <c r="AJ8" s="182" t="e">
        <f t="shared" si="10"/>
        <v>#N/A</v>
      </c>
      <c r="AK8" s="182" t="e">
        <f t="shared" si="10"/>
        <v>#N/A</v>
      </c>
      <c r="AL8" s="182" t="e">
        <f t="shared" si="10"/>
        <v>#N/A</v>
      </c>
      <c r="AM8" s="182" t="e">
        <f t="shared" si="10"/>
        <v>#N/A</v>
      </c>
    </row>
    <row r="12" spans="1:39" x14ac:dyDescent="0.25">
      <c r="C12" s="185"/>
      <c r="E12" s="26"/>
      <c r="F12" s="26"/>
      <c r="G12" s="26"/>
      <c r="H12" s="26"/>
      <c r="I12" s="26">
        <v>2020</v>
      </c>
      <c r="J12" s="118">
        <v>2030</v>
      </c>
      <c r="K12" s="118">
        <v>2050</v>
      </c>
    </row>
    <row r="13" spans="1:39" x14ac:dyDescent="0.25">
      <c r="C13" s="186" t="s">
        <v>155</v>
      </c>
      <c r="E13" s="167"/>
      <c r="F13" s="167"/>
      <c r="G13" s="167"/>
      <c r="H13" s="167"/>
      <c r="I13" s="167" t="e">
        <f>I93</f>
        <v>#N/A</v>
      </c>
      <c r="J13" s="168" t="e">
        <f>S93</f>
        <v>#N/A</v>
      </c>
      <c r="K13" s="168" t="e">
        <f>AM93</f>
        <v>#N/A</v>
      </c>
    </row>
    <row r="14" spans="1:39" x14ac:dyDescent="0.25">
      <c r="C14" s="187" t="s">
        <v>141</v>
      </c>
      <c r="E14" s="188"/>
      <c r="F14" s="188"/>
      <c r="G14" s="188"/>
      <c r="H14" s="188"/>
      <c r="I14" s="188" t="e">
        <f>I93</f>
        <v>#N/A</v>
      </c>
      <c r="J14" s="188" t="e">
        <f>S93</f>
        <v>#N/A</v>
      </c>
      <c r="K14" s="188" t="e">
        <f>AM93</f>
        <v>#N/A</v>
      </c>
    </row>
    <row r="15" spans="1:39" x14ac:dyDescent="0.25">
      <c r="C15" s="186" t="s">
        <v>156</v>
      </c>
      <c r="E15" s="167"/>
      <c r="F15" s="167"/>
      <c r="G15" s="167"/>
      <c r="H15" s="167"/>
      <c r="I15" s="167" t="e">
        <f>I101</f>
        <v>#N/A</v>
      </c>
      <c r="J15" s="167" t="e">
        <f>S101</f>
        <v>#N/A</v>
      </c>
      <c r="K15" s="168" t="e">
        <f>AM101</f>
        <v>#N/A</v>
      </c>
    </row>
    <row r="16" spans="1:39" x14ac:dyDescent="0.25">
      <c r="C16" s="187" t="s">
        <v>138</v>
      </c>
      <c r="E16" s="189"/>
      <c r="F16" s="189"/>
      <c r="G16" s="189"/>
      <c r="H16" s="189"/>
      <c r="I16" s="189" t="e">
        <f>I102+I103</f>
        <v>#N/A</v>
      </c>
      <c r="J16" s="189" t="e">
        <f>S102+S103</f>
        <v>#N/A</v>
      </c>
      <c r="K16" s="189" t="e">
        <f>AM102+AM103</f>
        <v>#N/A</v>
      </c>
    </row>
    <row r="17" spans="1:39" x14ac:dyDescent="0.25">
      <c r="C17" s="190" t="s">
        <v>139</v>
      </c>
      <c r="E17" s="188"/>
      <c r="F17" s="188"/>
      <c r="G17" s="188"/>
      <c r="H17" s="188"/>
      <c r="I17" s="188" t="e">
        <f>I104+I105+I106</f>
        <v>#N/A</v>
      </c>
      <c r="J17" s="188" t="e">
        <f>S104+S105+S106</f>
        <v>#N/A</v>
      </c>
      <c r="K17" s="188" t="e">
        <f>AM104+AM105+AM106</f>
        <v>#N/A</v>
      </c>
    </row>
    <row r="18" spans="1:39" x14ac:dyDescent="0.25">
      <c r="C18" s="190" t="s">
        <v>140</v>
      </c>
      <c r="E18" s="188"/>
      <c r="F18" s="188"/>
      <c r="G18" s="188"/>
      <c r="H18" s="188"/>
      <c r="I18" s="188" t="e">
        <f>I107+I108</f>
        <v>#N/A</v>
      </c>
      <c r="J18" s="188" t="e">
        <f>S107+S108</f>
        <v>#N/A</v>
      </c>
      <c r="K18" s="188" t="e">
        <f>AM107+AM108</f>
        <v>#N/A</v>
      </c>
    </row>
    <row r="19" spans="1:39" x14ac:dyDescent="0.25">
      <c r="C19" s="191" t="s">
        <v>152</v>
      </c>
      <c r="E19" s="192"/>
      <c r="F19" s="192"/>
      <c r="G19" s="192"/>
      <c r="H19" s="192"/>
      <c r="I19" s="192" t="e">
        <f>SUM(I16:I18)</f>
        <v>#N/A</v>
      </c>
      <c r="J19" s="192" t="e">
        <f>SUM(J16:J18)</f>
        <v>#N/A</v>
      </c>
      <c r="K19" s="192" t="e">
        <f>SUM(K16:K18)</f>
        <v>#N/A</v>
      </c>
    </row>
    <row r="23" spans="1:39" ht="23.25" x14ac:dyDescent="0.35">
      <c r="B23" s="1"/>
      <c r="C23" s="11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</row>
    <row r="24" spans="1:39" ht="23.25" x14ac:dyDescent="0.35">
      <c r="A24" s="15" t="s">
        <v>161</v>
      </c>
      <c r="C24" s="15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</row>
    <row r="25" spans="1:39" x14ac:dyDescent="0.25">
      <c r="C25" s="12"/>
      <c r="D25" s="12"/>
      <c r="E25" s="117">
        <v>2006</v>
      </c>
      <c r="F25" s="117">
        <v>2015</v>
      </c>
      <c r="G25" s="117">
        <v>2018</v>
      </c>
      <c r="H25" s="117">
        <v>2019</v>
      </c>
      <c r="I25" s="117">
        <v>2020</v>
      </c>
      <c r="J25" s="26">
        <v>2021</v>
      </c>
      <c r="K25" s="4">
        <v>2022</v>
      </c>
      <c r="L25" s="4">
        <v>2023</v>
      </c>
      <c r="M25" s="4">
        <v>2024</v>
      </c>
      <c r="N25" s="117">
        <v>2025</v>
      </c>
      <c r="O25" s="26">
        <v>2026</v>
      </c>
      <c r="P25" s="4">
        <v>2027</v>
      </c>
      <c r="Q25" s="4">
        <v>2028</v>
      </c>
      <c r="R25" s="4">
        <v>2029</v>
      </c>
      <c r="S25" s="117">
        <v>2030</v>
      </c>
      <c r="T25" s="4">
        <v>2031</v>
      </c>
      <c r="U25" s="117">
        <v>2032</v>
      </c>
      <c r="V25" s="4">
        <v>2033</v>
      </c>
      <c r="W25" s="117">
        <v>2034</v>
      </c>
      <c r="X25" s="4">
        <v>2035</v>
      </c>
      <c r="Y25" s="117">
        <v>2036</v>
      </c>
      <c r="Z25" s="4">
        <v>2037</v>
      </c>
      <c r="AA25" s="117">
        <v>2038</v>
      </c>
      <c r="AB25" s="4">
        <v>2039</v>
      </c>
      <c r="AC25" s="118">
        <v>2040</v>
      </c>
      <c r="AD25" s="4"/>
      <c r="AE25" s="4"/>
      <c r="AF25" s="4"/>
      <c r="AG25" s="4"/>
      <c r="AH25" s="4">
        <v>2045</v>
      </c>
      <c r="AI25" s="4"/>
      <c r="AJ25" s="4"/>
      <c r="AK25" s="4"/>
      <c r="AL25" s="4"/>
      <c r="AM25" s="118">
        <v>2050</v>
      </c>
    </row>
    <row r="26" spans="1:39" x14ac:dyDescent="0.25">
      <c r="A26" s="180" t="str">
        <f>Résultats!B1</f>
        <v>TEND</v>
      </c>
      <c r="B26" s="23" t="s">
        <v>162</v>
      </c>
      <c r="C26" s="74" t="s">
        <v>133</v>
      </c>
      <c r="D26" s="74" t="s">
        <v>64</v>
      </c>
      <c r="E26" s="75" t="e">
        <f>VLOOKUP($D26,Résultats!$B$2:$AZ$251,E$2,FALSE)</f>
        <v>#N/A</v>
      </c>
      <c r="F26" s="75" t="e">
        <f>VLOOKUP($D26,Résultats!$B$2:$AZ$251,F$2,FALSE)</f>
        <v>#N/A</v>
      </c>
      <c r="G26" s="75" t="e">
        <f>VLOOKUP($D26,Résultats!$B$2:$AZ$251,G$2,FALSE)</f>
        <v>#N/A</v>
      </c>
      <c r="H26" s="75" t="e">
        <f>VLOOKUP($D26,Résultats!$B$2:$AZ$251,H$2,FALSE)</f>
        <v>#N/A</v>
      </c>
      <c r="I26" s="75" t="e">
        <f>VLOOKUP($D26,Résultats!$B$2:$AZ$251,I$2,FALSE)</f>
        <v>#N/A</v>
      </c>
      <c r="J26" s="75" t="e">
        <f>VLOOKUP($D26,Résultats!$B$2:$AZ$251,J$2,FALSE)</f>
        <v>#N/A</v>
      </c>
      <c r="K26" s="75" t="e">
        <f>VLOOKUP($D26,Résultats!$B$2:$AZ$251,K$2,FALSE)</f>
        <v>#N/A</v>
      </c>
      <c r="L26" s="75" t="e">
        <f>VLOOKUP($D26,Résultats!$B$2:$AZ$251,L$2,FALSE)</f>
        <v>#N/A</v>
      </c>
      <c r="M26" s="75" t="e">
        <f>VLOOKUP($D26,Résultats!$B$2:$AZ$251,M$2,FALSE)</f>
        <v>#N/A</v>
      </c>
      <c r="N26" s="75" t="e">
        <f>VLOOKUP($D26,Résultats!$B$2:$AZ$251,N$2,FALSE)</f>
        <v>#N/A</v>
      </c>
      <c r="O26" s="75" t="e">
        <f>VLOOKUP($D26,Résultats!$B$2:$AZ$251,O$2,FALSE)</f>
        <v>#N/A</v>
      </c>
      <c r="P26" s="75" t="e">
        <f>VLOOKUP($D26,Résultats!$B$2:$AZ$251,P$2,FALSE)</f>
        <v>#N/A</v>
      </c>
      <c r="Q26" s="75" t="e">
        <f>VLOOKUP($D26,Résultats!$B$2:$AZ$251,Q$2,FALSE)</f>
        <v>#N/A</v>
      </c>
      <c r="R26" s="75" t="e">
        <f>VLOOKUP($D26,Résultats!$B$2:$AZ$251,R$2,FALSE)</f>
        <v>#N/A</v>
      </c>
      <c r="S26" s="75" t="e">
        <f>VLOOKUP($D26,Résultats!$B$2:$AZ$251,S$2,FALSE)</f>
        <v>#N/A</v>
      </c>
      <c r="T26" s="75" t="e">
        <f>VLOOKUP($D26,Résultats!$B$2:$AZ$251,T$2,FALSE)</f>
        <v>#N/A</v>
      </c>
      <c r="U26" s="75" t="e">
        <f>VLOOKUP($D26,Résultats!$B$2:$AZ$251,U$2,FALSE)</f>
        <v>#N/A</v>
      </c>
      <c r="V26" s="75" t="e">
        <f>VLOOKUP($D26,Résultats!$B$2:$AZ$251,V$2,FALSE)</f>
        <v>#N/A</v>
      </c>
      <c r="W26" s="75" t="e">
        <f>VLOOKUP($D26,Résultats!$B$2:$AZ$251,W$2,FALSE)</f>
        <v>#N/A</v>
      </c>
      <c r="X26" s="75" t="e">
        <f>VLOOKUP($D26,Résultats!$B$2:$AZ$251,X$2,FALSE)</f>
        <v>#N/A</v>
      </c>
      <c r="Y26" s="75" t="e">
        <f>VLOOKUP($D26,Résultats!$B$2:$AZ$251,Y$2,FALSE)</f>
        <v>#N/A</v>
      </c>
      <c r="Z26" s="75" t="e">
        <f>VLOOKUP($D26,Résultats!$B$2:$AZ$251,Z$2,FALSE)</f>
        <v>#N/A</v>
      </c>
      <c r="AA26" s="75" t="e">
        <f>VLOOKUP($D26,Résultats!$B$2:$AZ$251,AA$2,FALSE)</f>
        <v>#N/A</v>
      </c>
      <c r="AB26" s="75" t="e">
        <f>VLOOKUP($D26,Résultats!$B$2:$AZ$251,AB$2,FALSE)</f>
        <v>#N/A</v>
      </c>
      <c r="AC26" s="75" t="e">
        <f>VLOOKUP($D26,Résultats!$B$2:$AZ$251,AC$2,FALSE)</f>
        <v>#N/A</v>
      </c>
      <c r="AD26" s="75" t="e">
        <f>VLOOKUP($D26,Résultats!$B$2:$AZ$251,AD$2,FALSE)</f>
        <v>#N/A</v>
      </c>
      <c r="AE26" s="75" t="e">
        <f>VLOOKUP($D26,Résultats!$B$2:$AZ$251,AE$2,FALSE)</f>
        <v>#N/A</v>
      </c>
      <c r="AF26" s="75" t="e">
        <f>VLOOKUP($D26,Résultats!$B$2:$AZ$251,AF$2,FALSE)</f>
        <v>#N/A</v>
      </c>
      <c r="AG26" s="75" t="e">
        <f>VLOOKUP($D26,Résultats!$B$2:$AZ$251,AG$2,FALSE)</f>
        <v>#N/A</v>
      </c>
      <c r="AH26" s="75" t="e">
        <f>VLOOKUP($D26,Résultats!$B$2:$AZ$251,AH$2,FALSE)</f>
        <v>#N/A</v>
      </c>
      <c r="AI26" s="75" t="e">
        <f>VLOOKUP($D26,Résultats!$B$2:$AZ$251,AI$2,FALSE)</f>
        <v>#N/A</v>
      </c>
      <c r="AJ26" s="75" t="e">
        <f>VLOOKUP($D26,Résultats!$B$2:$AZ$251,AJ$2,FALSE)</f>
        <v>#N/A</v>
      </c>
      <c r="AK26" s="75" t="e">
        <f>VLOOKUP($D26,Résultats!$B$2:$AZ$251,AK$2,FALSE)</f>
        <v>#N/A</v>
      </c>
      <c r="AL26" s="75" t="e">
        <f>VLOOKUP($D26,Résultats!$B$2:$AZ$251,AL$2,FALSE)</f>
        <v>#N/A</v>
      </c>
      <c r="AM26" s="75" t="e">
        <f>VLOOKUP($D26,Résultats!$B$2:$AZ$251,AM$2,FALSE)</f>
        <v>#N/A</v>
      </c>
    </row>
    <row r="27" spans="1:39" x14ac:dyDescent="0.25">
      <c r="C27" s="76" t="s">
        <v>94</v>
      </c>
      <c r="D27" s="76" t="s">
        <v>73</v>
      </c>
      <c r="E27" s="77" t="e">
        <f>VLOOKUP($D27,Résultats!$B$2:$AZ$251,E$2,FALSE)</f>
        <v>#N/A</v>
      </c>
      <c r="F27" s="77" t="e">
        <f>VLOOKUP($D27,Résultats!$B$2:$AZ$251,F$2,FALSE)</f>
        <v>#N/A</v>
      </c>
      <c r="G27" s="77" t="e">
        <f>VLOOKUP($D27,Résultats!$B$2:$AZ$251,G$2,FALSE)</f>
        <v>#N/A</v>
      </c>
      <c r="H27" s="77" t="e">
        <f>VLOOKUP($D27,Résultats!$B$2:$AZ$251,H$2,FALSE)</f>
        <v>#N/A</v>
      </c>
      <c r="I27" s="77" t="e">
        <f>VLOOKUP($D27,Résultats!$B$2:$AZ$251,I$2,FALSE)</f>
        <v>#N/A</v>
      </c>
      <c r="J27" s="77" t="e">
        <f>VLOOKUP($D27,Résultats!$B$2:$AZ$251,J$2,FALSE)</f>
        <v>#N/A</v>
      </c>
      <c r="K27" s="77" t="e">
        <f>VLOOKUP($D27,Résultats!$B$2:$AZ$251,K$2,FALSE)</f>
        <v>#N/A</v>
      </c>
      <c r="L27" s="77" t="e">
        <f>VLOOKUP($D27,Résultats!$B$2:$AZ$251,L$2,FALSE)</f>
        <v>#N/A</v>
      </c>
      <c r="M27" s="77" t="e">
        <f>VLOOKUP($D27,Résultats!$B$2:$AZ$251,M$2,FALSE)</f>
        <v>#N/A</v>
      </c>
      <c r="N27" s="77" t="e">
        <f>VLOOKUP($D27,Résultats!$B$2:$AZ$251,N$2,FALSE)</f>
        <v>#N/A</v>
      </c>
      <c r="O27" s="77" t="e">
        <f>VLOOKUP($D27,Résultats!$B$2:$AZ$251,O$2,FALSE)</f>
        <v>#N/A</v>
      </c>
      <c r="P27" s="77" t="e">
        <f>VLOOKUP($D27,Résultats!$B$2:$AZ$251,P$2,FALSE)</f>
        <v>#N/A</v>
      </c>
      <c r="Q27" s="77" t="e">
        <f>VLOOKUP($D27,Résultats!$B$2:$AZ$251,Q$2,FALSE)</f>
        <v>#N/A</v>
      </c>
      <c r="R27" s="77" t="e">
        <f>VLOOKUP($D27,Résultats!$B$2:$AZ$251,R$2,FALSE)</f>
        <v>#N/A</v>
      </c>
      <c r="S27" s="77" t="e">
        <f>VLOOKUP($D27,Résultats!$B$2:$AZ$251,S$2,FALSE)</f>
        <v>#N/A</v>
      </c>
      <c r="T27" s="77" t="e">
        <f>VLOOKUP($D27,Résultats!$B$2:$AZ$251,T$2,FALSE)</f>
        <v>#N/A</v>
      </c>
      <c r="U27" s="77" t="e">
        <f>VLOOKUP($D27,Résultats!$B$2:$AZ$251,U$2,FALSE)</f>
        <v>#N/A</v>
      </c>
      <c r="V27" s="77" t="e">
        <f>VLOOKUP($D27,Résultats!$B$2:$AZ$251,V$2,FALSE)</f>
        <v>#N/A</v>
      </c>
      <c r="W27" s="77" t="e">
        <f>VLOOKUP($D27,Résultats!$B$2:$AZ$251,W$2,FALSE)</f>
        <v>#N/A</v>
      </c>
      <c r="X27" s="77" t="e">
        <f>VLOOKUP($D27,Résultats!$B$2:$AZ$251,X$2,FALSE)</f>
        <v>#N/A</v>
      </c>
      <c r="Y27" s="77" t="e">
        <f>VLOOKUP($D27,Résultats!$B$2:$AZ$251,Y$2,FALSE)</f>
        <v>#N/A</v>
      </c>
      <c r="Z27" s="77" t="e">
        <f>VLOOKUP($D27,Résultats!$B$2:$AZ$251,Z$2,FALSE)</f>
        <v>#N/A</v>
      </c>
      <c r="AA27" s="77" t="e">
        <f>VLOOKUP($D27,Résultats!$B$2:$AZ$251,AA$2,FALSE)</f>
        <v>#N/A</v>
      </c>
      <c r="AB27" s="77" t="e">
        <f>VLOOKUP($D27,Résultats!$B$2:$AZ$251,AB$2,FALSE)</f>
        <v>#N/A</v>
      </c>
      <c r="AC27" s="77" t="e">
        <f>VLOOKUP($D27,Résultats!$B$2:$AZ$251,AC$2,FALSE)</f>
        <v>#N/A</v>
      </c>
      <c r="AD27" s="77" t="e">
        <f>VLOOKUP($D27,Résultats!$B$2:$AZ$251,AD$2,FALSE)</f>
        <v>#N/A</v>
      </c>
      <c r="AE27" s="77" t="e">
        <f>VLOOKUP($D27,Résultats!$B$2:$AZ$251,AE$2,FALSE)</f>
        <v>#N/A</v>
      </c>
      <c r="AF27" s="77" t="e">
        <f>VLOOKUP($D27,Résultats!$B$2:$AZ$251,AF$2,FALSE)</f>
        <v>#N/A</v>
      </c>
      <c r="AG27" s="77" t="e">
        <f>VLOOKUP($D27,Résultats!$B$2:$AZ$251,AG$2,FALSE)</f>
        <v>#N/A</v>
      </c>
      <c r="AH27" s="77" t="e">
        <f>VLOOKUP($D27,Résultats!$B$2:$AZ$251,AH$2,FALSE)</f>
        <v>#N/A</v>
      </c>
      <c r="AI27" s="77" t="e">
        <f>VLOOKUP($D27,Résultats!$B$2:$AZ$251,AI$2,FALSE)</f>
        <v>#N/A</v>
      </c>
      <c r="AJ27" s="77" t="e">
        <f>VLOOKUP($D27,Résultats!$B$2:$AZ$251,AJ$2,FALSE)</f>
        <v>#N/A</v>
      </c>
      <c r="AK27" s="77" t="e">
        <f>VLOOKUP($D27,Résultats!$B$2:$AZ$251,AK$2,FALSE)</f>
        <v>#N/A</v>
      </c>
      <c r="AL27" s="77" t="e">
        <f>VLOOKUP($D27,Résultats!$B$2:$AZ$251,AL$2,FALSE)</f>
        <v>#N/A</v>
      </c>
      <c r="AM27" s="77" t="e">
        <f>VLOOKUP($D27,Résultats!$B$2:$AZ$251,AM$2,FALSE)</f>
        <v>#N/A</v>
      </c>
    </row>
    <row r="28" spans="1:39" x14ac:dyDescent="0.25">
      <c r="C28" s="56" t="s">
        <v>27</v>
      </c>
      <c r="D28" s="78" t="s">
        <v>74</v>
      </c>
      <c r="E28" s="31" t="e">
        <f>VLOOKUP($D28,Résultats!$B$2:$AZ$251,E$2,FALSE)</f>
        <v>#N/A</v>
      </c>
      <c r="F28" s="31" t="e">
        <f>VLOOKUP($D28,Résultats!$B$2:$AZ$251,F$2,FALSE)</f>
        <v>#N/A</v>
      </c>
      <c r="G28" s="31" t="e">
        <f>VLOOKUP($D28,Résultats!$B$2:$AZ$251,G$2,FALSE)</f>
        <v>#N/A</v>
      </c>
      <c r="H28" s="31" t="e">
        <f>VLOOKUP($D28,Résultats!$B$2:$AZ$251,H$2,FALSE)</f>
        <v>#N/A</v>
      </c>
      <c r="I28" s="31" t="e">
        <f>VLOOKUP($D28,Résultats!$B$2:$AZ$251,I$2,FALSE)</f>
        <v>#N/A</v>
      </c>
      <c r="J28" s="31" t="e">
        <f>VLOOKUP($D28,Résultats!$B$2:$AZ$251,J$2,FALSE)</f>
        <v>#N/A</v>
      </c>
      <c r="K28" s="31" t="e">
        <f>VLOOKUP($D28,Résultats!$B$2:$AZ$251,K$2,FALSE)</f>
        <v>#N/A</v>
      </c>
      <c r="L28" s="31" t="e">
        <f>VLOOKUP($D28,Résultats!$B$2:$AZ$251,L$2,FALSE)</f>
        <v>#N/A</v>
      </c>
      <c r="M28" s="31" t="e">
        <f>VLOOKUP($D28,Résultats!$B$2:$AZ$251,M$2,FALSE)</f>
        <v>#N/A</v>
      </c>
      <c r="N28" s="31" t="e">
        <f>VLOOKUP($D28,Résultats!$B$2:$AZ$251,N$2,FALSE)</f>
        <v>#N/A</v>
      </c>
      <c r="O28" s="31" t="e">
        <f>VLOOKUP($D28,Résultats!$B$2:$AZ$251,O$2,FALSE)</f>
        <v>#N/A</v>
      </c>
      <c r="P28" s="31" t="e">
        <f>VLOOKUP($D28,Résultats!$B$2:$AZ$251,P$2,FALSE)</f>
        <v>#N/A</v>
      </c>
      <c r="Q28" s="31" t="e">
        <f>VLOOKUP($D28,Résultats!$B$2:$AZ$251,Q$2,FALSE)</f>
        <v>#N/A</v>
      </c>
      <c r="R28" s="31" t="e">
        <f>VLOOKUP($D28,Résultats!$B$2:$AZ$251,R$2,FALSE)</f>
        <v>#N/A</v>
      </c>
      <c r="S28" s="31" t="e">
        <f>VLOOKUP($D28,Résultats!$B$2:$AZ$251,S$2,FALSE)</f>
        <v>#N/A</v>
      </c>
      <c r="T28" s="31" t="e">
        <f>VLOOKUP($D28,Résultats!$B$2:$AZ$251,T$2,FALSE)</f>
        <v>#N/A</v>
      </c>
      <c r="U28" s="31" t="e">
        <f>VLOOKUP($D28,Résultats!$B$2:$AZ$251,U$2,FALSE)</f>
        <v>#N/A</v>
      </c>
      <c r="V28" s="31" t="e">
        <f>VLOOKUP($D28,Résultats!$B$2:$AZ$251,V$2,FALSE)</f>
        <v>#N/A</v>
      </c>
      <c r="W28" s="31" t="e">
        <f>VLOOKUP($D28,Résultats!$B$2:$AZ$251,W$2,FALSE)</f>
        <v>#N/A</v>
      </c>
      <c r="X28" s="31" t="e">
        <f>VLOOKUP($D28,Résultats!$B$2:$AZ$251,X$2,FALSE)</f>
        <v>#N/A</v>
      </c>
      <c r="Y28" s="31" t="e">
        <f>VLOOKUP($D28,Résultats!$B$2:$AZ$251,Y$2,FALSE)</f>
        <v>#N/A</v>
      </c>
      <c r="Z28" s="31" t="e">
        <f>VLOOKUP($D28,Résultats!$B$2:$AZ$251,Z$2,FALSE)</f>
        <v>#N/A</v>
      </c>
      <c r="AA28" s="31" t="e">
        <f>VLOOKUP($D28,Résultats!$B$2:$AZ$251,AA$2,FALSE)</f>
        <v>#N/A</v>
      </c>
      <c r="AB28" s="31" t="e">
        <f>VLOOKUP($D28,Résultats!$B$2:$AZ$251,AB$2,FALSE)</f>
        <v>#N/A</v>
      </c>
      <c r="AC28" s="31" t="e">
        <f>VLOOKUP($D28,Résultats!$B$2:$AZ$251,AC$2,FALSE)</f>
        <v>#N/A</v>
      </c>
      <c r="AD28" s="31" t="e">
        <f>VLOOKUP($D28,Résultats!$B$2:$AZ$251,AD$2,FALSE)</f>
        <v>#N/A</v>
      </c>
      <c r="AE28" s="31" t="e">
        <f>VLOOKUP($D28,Résultats!$B$2:$AZ$251,AE$2,FALSE)</f>
        <v>#N/A</v>
      </c>
      <c r="AF28" s="31" t="e">
        <f>VLOOKUP($D28,Résultats!$B$2:$AZ$251,AF$2,FALSE)</f>
        <v>#N/A</v>
      </c>
      <c r="AG28" s="31" t="e">
        <f>VLOOKUP($D28,Résultats!$B$2:$AZ$251,AG$2,FALSE)</f>
        <v>#N/A</v>
      </c>
      <c r="AH28" s="31" t="e">
        <f>VLOOKUP($D28,Résultats!$B$2:$AZ$251,AH$2,FALSE)</f>
        <v>#N/A</v>
      </c>
      <c r="AI28" s="31" t="e">
        <f>VLOOKUP($D28,Résultats!$B$2:$AZ$251,AI$2,FALSE)</f>
        <v>#N/A</v>
      </c>
      <c r="AJ28" s="31" t="e">
        <f>VLOOKUP($D28,Résultats!$B$2:$AZ$251,AJ$2,FALSE)</f>
        <v>#N/A</v>
      </c>
      <c r="AK28" s="31" t="e">
        <f>VLOOKUP($D28,Résultats!$B$2:$AZ$251,AK$2,FALSE)</f>
        <v>#N/A</v>
      </c>
      <c r="AL28" s="31" t="e">
        <f>VLOOKUP($D28,Résultats!$B$2:$AZ$251,AL$2,FALSE)</f>
        <v>#N/A</v>
      </c>
      <c r="AM28" s="31" t="e">
        <f>VLOOKUP($D28,Résultats!$B$2:$AZ$251,AM$2,FALSE)</f>
        <v>#N/A</v>
      </c>
    </row>
    <row r="29" spans="1:39" x14ac:dyDescent="0.25">
      <c r="C29" s="56" t="s">
        <v>28</v>
      </c>
      <c r="D29" s="78" t="s">
        <v>75</v>
      </c>
      <c r="E29" s="31" t="e">
        <f>VLOOKUP($D29,Résultats!$B$2:$AZ$251,E$2,FALSE)</f>
        <v>#N/A</v>
      </c>
      <c r="F29" s="31" t="e">
        <f>VLOOKUP($D29,Résultats!$B$2:$AZ$251,F$2,FALSE)</f>
        <v>#N/A</v>
      </c>
      <c r="G29" s="31" t="e">
        <f>VLOOKUP($D29,Résultats!$B$2:$AZ$251,G$2,FALSE)</f>
        <v>#N/A</v>
      </c>
      <c r="H29" s="31" t="e">
        <f>VLOOKUP($D29,Résultats!$B$2:$AZ$251,H$2,FALSE)</f>
        <v>#N/A</v>
      </c>
      <c r="I29" s="31" t="e">
        <f>VLOOKUP($D29,Résultats!$B$2:$AZ$251,I$2,FALSE)</f>
        <v>#N/A</v>
      </c>
      <c r="J29" s="31" t="e">
        <f>VLOOKUP($D29,Résultats!$B$2:$AZ$251,J$2,FALSE)</f>
        <v>#N/A</v>
      </c>
      <c r="K29" s="31" t="e">
        <f>VLOOKUP($D29,Résultats!$B$2:$AZ$251,K$2,FALSE)</f>
        <v>#N/A</v>
      </c>
      <c r="L29" s="31" t="e">
        <f>VLOOKUP($D29,Résultats!$B$2:$AZ$251,L$2,FALSE)</f>
        <v>#N/A</v>
      </c>
      <c r="M29" s="31" t="e">
        <f>VLOOKUP($D29,Résultats!$B$2:$AZ$251,M$2,FALSE)</f>
        <v>#N/A</v>
      </c>
      <c r="N29" s="31" t="e">
        <f>VLOOKUP($D29,Résultats!$B$2:$AZ$251,N$2,FALSE)</f>
        <v>#N/A</v>
      </c>
      <c r="O29" s="31" t="e">
        <f>VLOOKUP($D29,Résultats!$B$2:$AZ$251,O$2,FALSE)</f>
        <v>#N/A</v>
      </c>
      <c r="P29" s="31" t="e">
        <f>VLOOKUP($D29,Résultats!$B$2:$AZ$251,P$2,FALSE)</f>
        <v>#N/A</v>
      </c>
      <c r="Q29" s="31" t="e">
        <f>VLOOKUP($D29,Résultats!$B$2:$AZ$251,Q$2,FALSE)</f>
        <v>#N/A</v>
      </c>
      <c r="R29" s="31" t="e">
        <f>VLOOKUP($D29,Résultats!$B$2:$AZ$251,R$2,FALSE)</f>
        <v>#N/A</v>
      </c>
      <c r="S29" s="31" t="e">
        <f>VLOOKUP($D29,Résultats!$B$2:$AZ$251,S$2,FALSE)</f>
        <v>#N/A</v>
      </c>
      <c r="T29" s="31" t="e">
        <f>VLOOKUP($D29,Résultats!$B$2:$AZ$251,T$2,FALSE)</f>
        <v>#N/A</v>
      </c>
      <c r="U29" s="31" t="e">
        <f>VLOOKUP($D29,Résultats!$B$2:$AZ$251,U$2,FALSE)</f>
        <v>#N/A</v>
      </c>
      <c r="V29" s="31" t="e">
        <f>VLOOKUP($D29,Résultats!$B$2:$AZ$251,V$2,FALSE)</f>
        <v>#N/A</v>
      </c>
      <c r="W29" s="31" t="e">
        <f>VLOOKUP($D29,Résultats!$B$2:$AZ$251,W$2,FALSE)</f>
        <v>#N/A</v>
      </c>
      <c r="X29" s="31" t="e">
        <f>VLOOKUP($D29,Résultats!$B$2:$AZ$251,X$2,FALSE)</f>
        <v>#N/A</v>
      </c>
      <c r="Y29" s="31" t="e">
        <f>VLOOKUP($D29,Résultats!$B$2:$AZ$251,Y$2,FALSE)</f>
        <v>#N/A</v>
      </c>
      <c r="Z29" s="31" t="e">
        <f>VLOOKUP($D29,Résultats!$B$2:$AZ$251,Z$2,FALSE)</f>
        <v>#N/A</v>
      </c>
      <c r="AA29" s="31" t="e">
        <f>VLOOKUP($D29,Résultats!$B$2:$AZ$251,AA$2,FALSE)</f>
        <v>#N/A</v>
      </c>
      <c r="AB29" s="31" t="e">
        <f>VLOOKUP($D29,Résultats!$B$2:$AZ$251,AB$2,FALSE)</f>
        <v>#N/A</v>
      </c>
      <c r="AC29" s="31" t="e">
        <f>VLOOKUP($D29,Résultats!$B$2:$AZ$251,AC$2,FALSE)</f>
        <v>#N/A</v>
      </c>
      <c r="AD29" s="31" t="e">
        <f>VLOOKUP($D29,Résultats!$B$2:$AZ$251,AD$2,FALSE)</f>
        <v>#N/A</v>
      </c>
      <c r="AE29" s="31" t="e">
        <f>VLOOKUP($D29,Résultats!$B$2:$AZ$251,AE$2,FALSE)</f>
        <v>#N/A</v>
      </c>
      <c r="AF29" s="31" t="e">
        <f>VLOOKUP($D29,Résultats!$B$2:$AZ$251,AF$2,FALSE)</f>
        <v>#N/A</v>
      </c>
      <c r="AG29" s="31" t="e">
        <f>VLOOKUP($D29,Résultats!$B$2:$AZ$251,AG$2,FALSE)</f>
        <v>#N/A</v>
      </c>
      <c r="AH29" s="31" t="e">
        <f>VLOOKUP($D29,Résultats!$B$2:$AZ$251,AH$2,FALSE)</f>
        <v>#N/A</v>
      </c>
      <c r="AI29" s="31" t="e">
        <f>VLOOKUP($D29,Résultats!$B$2:$AZ$251,AI$2,FALSE)</f>
        <v>#N/A</v>
      </c>
      <c r="AJ29" s="31" t="e">
        <f>VLOOKUP($D29,Résultats!$B$2:$AZ$251,AJ$2,FALSE)</f>
        <v>#N/A</v>
      </c>
      <c r="AK29" s="31" t="e">
        <f>VLOOKUP($D29,Résultats!$B$2:$AZ$251,AK$2,FALSE)</f>
        <v>#N/A</v>
      </c>
      <c r="AL29" s="31" t="e">
        <f>VLOOKUP($D29,Résultats!$B$2:$AZ$251,AL$2,FALSE)</f>
        <v>#N/A</v>
      </c>
      <c r="AM29" s="31" t="e">
        <f>VLOOKUP($D29,Résultats!$B$2:$AZ$251,AM$2,FALSE)</f>
        <v>#N/A</v>
      </c>
    </row>
    <row r="30" spans="1:39" x14ac:dyDescent="0.25">
      <c r="C30" s="56" t="s">
        <v>29</v>
      </c>
      <c r="D30" s="78" t="s">
        <v>76</v>
      </c>
      <c r="E30" s="31" t="e">
        <f>VLOOKUP($D30,Résultats!$B$2:$AZ$251,E$2,FALSE)</f>
        <v>#N/A</v>
      </c>
      <c r="F30" s="31" t="e">
        <f>VLOOKUP($D30,Résultats!$B$2:$AZ$251,F$2,FALSE)</f>
        <v>#N/A</v>
      </c>
      <c r="G30" s="31" t="e">
        <f>VLOOKUP($D30,Résultats!$B$2:$AZ$251,G$2,FALSE)</f>
        <v>#N/A</v>
      </c>
      <c r="H30" s="31" t="e">
        <f>VLOOKUP($D30,Résultats!$B$2:$AZ$251,H$2,FALSE)</f>
        <v>#N/A</v>
      </c>
      <c r="I30" s="31" t="e">
        <f>VLOOKUP($D30,Résultats!$B$2:$AZ$251,I$2,FALSE)</f>
        <v>#N/A</v>
      </c>
      <c r="J30" s="31" t="e">
        <f>VLOOKUP($D30,Résultats!$B$2:$AZ$251,J$2,FALSE)</f>
        <v>#N/A</v>
      </c>
      <c r="K30" s="31" t="e">
        <f>VLOOKUP($D30,Résultats!$B$2:$AZ$251,K$2,FALSE)</f>
        <v>#N/A</v>
      </c>
      <c r="L30" s="31" t="e">
        <f>VLOOKUP($D30,Résultats!$B$2:$AZ$251,L$2,FALSE)</f>
        <v>#N/A</v>
      </c>
      <c r="M30" s="31" t="e">
        <f>VLOOKUP($D30,Résultats!$B$2:$AZ$251,M$2,FALSE)</f>
        <v>#N/A</v>
      </c>
      <c r="N30" s="31" t="e">
        <f>VLOOKUP($D30,Résultats!$B$2:$AZ$251,N$2,FALSE)</f>
        <v>#N/A</v>
      </c>
      <c r="O30" s="31" t="e">
        <f>VLOOKUP($D30,Résultats!$B$2:$AZ$251,O$2,FALSE)</f>
        <v>#N/A</v>
      </c>
      <c r="P30" s="31" t="e">
        <f>VLOOKUP($D30,Résultats!$B$2:$AZ$251,P$2,FALSE)</f>
        <v>#N/A</v>
      </c>
      <c r="Q30" s="31" t="e">
        <f>VLOOKUP($D30,Résultats!$B$2:$AZ$251,Q$2,FALSE)</f>
        <v>#N/A</v>
      </c>
      <c r="R30" s="31" t="e">
        <f>VLOOKUP($D30,Résultats!$B$2:$AZ$251,R$2,FALSE)</f>
        <v>#N/A</v>
      </c>
      <c r="S30" s="31" t="e">
        <f>VLOOKUP($D30,Résultats!$B$2:$AZ$251,S$2,FALSE)</f>
        <v>#N/A</v>
      </c>
      <c r="T30" s="31" t="e">
        <f>VLOOKUP($D30,Résultats!$B$2:$AZ$251,T$2,FALSE)</f>
        <v>#N/A</v>
      </c>
      <c r="U30" s="31" t="e">
        <f>VLOOKUP($D30,Résultats!$B$2:$AZ$251,U$2,FALSE)</f>
        <v>#N/A</v>
      </c>
      <c r="V30" s="31" t="e">
        <f>VLOOKUP($D30,Résultats!$B$2:$AZ$251,V$2,FALSE)</f>
        <v>#N/A</v>
      </c>
      <c r="W30" s="31" t="e">
        <f>VLOOKUP($D30,Résultats!$B$2:$AZ$251,W$2,FALSE)</f>
        <v>#N/A</v>
      </c>
      <c r="X30" s="31" t="e">
        <f>VLOOKUP($D30,Résultats!$B$2:$AZ$251,X$2,FALSE)</f>
        <v>#N/A</v>
      </c>
      <c r="Y30" s="31" t="e">
        <f>VLOOKUP($D30,Résultats!$B$2:$AZ$251,Y$2,FALSE)</f>
        <v>#N/A</v>
      </c>
      <c r="Z30" s="31" t="e">
        <f>VLOOKUP($D30,Résultats!$B$2:$AZ$251,Z$2,FALSE)</f>
        <v>#N/A</v>
      </c>
      <c r="AA30" s="31" t="e">
        <f>VLOOKUP($D30,Résultats!$B$2:$AZ$251,AA$2,FALSE)</f>
        <v>#N/A</v>
      </c>
      <c r="AB30" s="31" t="e">
        <f>VLOOKUP($D30,Résultats!$B$2:$AZ$251,AB$2,FALSE)</f>
        <v>#N/A</v>
      </c>
      <c r="AC30" s="31" t="e">
        <f>VLOOKUP($D30,Résultats!$B$2:$AZ$251,AC$2,FALSE)</f>
        <v>#N/A</v>
      </c>
      <c r="AD30" s="31" t="e">
        <f>VLOOKUP($D30,Résultats!$B$2:$AZ$251,AD$2,FALSE)</f>
        <v>#N/A</v>
      </c>
      <c r="AE30" s="31" t="e">
        <f>VLOOKUP($D30,Résultats!$B$2:$AZ$251,AE$2,FALSE)</f>
        <v>#N/A</v>
      </c>
      <c r="AF30" s="31" t="e">
        <f>VLOOKUP($D30,Résultats!$B$2:$AZ$251,AF$2,FALSE)</f>
        <v>#N/A</v>
      </c>
      <c r="AG30" s="31" t="e">
        <f>VLOOKUP($D30,Résultats!$B$2:$AZ$251,AG$2,FALSE)</f>
        <v>#N/A</v>
      </c>
      <c r="AH30" s="31" t="e">
        <f>VLOOKUP($D30,Résultats!$B$2:$AZ$251,AH$2,FALSE)</f>
        <v>#N/A</v>
      </c>
      <c r="AI30" s="31" t="e">
        <f>VLOOKUP($D30,Résultats!$B$2:$AZ$251,AI$2,FALSE)</f>
        <v>#N/A</v>
      </c>
      <c r="AJ30" s="31" t="e">
        <f>VLOOKUP($D30,Résultats!$B$2:$AZ$251,AJ$2,FALSE)</f>
        <v>#N/A</v>
      </c>
      <c r="AK30" s="31" t="e">
        <f>VLOOKUP($D30,Résultats!$B$2:$AZ$251,AK$2,FALSE)</f>
        <v>#N/A</v>
      </c>
      <c r="AL30" s="31" t="e">
        <f>VLOOKUP($D30,Résultats!$B$2:$AZ$251,AL$2,FALSE)</f>
        <v>#N/A</v>
      </c>
      <c r="AM30" s="31" t="e">
        <f>VLOOKUP($D30,Résultats!$B$2:$AZ$251,AM$2,FALSE)</f>
        <v>#N/A</v>
      </c>
    </row>
    <row r="31" spans="1:39" x14ac:dyDescent="0.25">
      <c r="C31" s="56" t="s">
        <v>30</v>
      </c>
      <c r="D31" s="78" t="s">
        <v>77</v>
      </c>
      <c r="E31" s="31" t="e">
        <f>VLOOKUP($D31,Résultats!$B$2:$AZ$251,E$2,FALSE)</f>
        <v>#N/A</v>
      </c>
      <c r="F31" s="31" t="e">
        <f>VLOOKUP($D31,Résultats!$B$2:$AZ$251,F$2,FALSE)</f>
        <v>#N/A</v>
      </c>
      <c r="G31" s="31" t="e">
        <f>VLOOKUP($D31,Résultats!$B$2:$AZ$251,G$2,FALSE)</f>
        <v>#N/A</v>
      </c>
      <c r="H31" s="31" t="e">
        <f>VLOOKUP($D31,Résultats!$B$2:$AZ$251,H$2,FALSE)</f>
        <v>#N/A</v>
      </c>
      <c r="I31" s="31" t="e">
        <f>VLOOKUP($D31,Résultats!$B$2:$AZ$251,I$2,FALSE)</f>
        <v>#N/A</v>
      </c>
      <c r="J31" s="31" t="e">
        <f>VLOOKUP($D31,Résultats!$B$2:$AZ$251,J$2,FALSE)</f>
        <v>#N/A</v>
      </c>
      <c r="K31" s="31" t="e">
        <f>VLOOKUP($D31,Résultats!$B$2:$AZ$251,K$2,FALSE)</f>
        <v>#N/A</v>
      </c>
      <c r="L31" s="31" t="e">
        <f>VLOOKUP($D31,Résultats!$B$2:$AZ$251,L$2,FALSE)</f>
        <v>#N/A</v>
      </c>
      <c r="M31" s="31" t="e">
        <f>VLOOKUP($D31,Résultats!$B$2:$AZ$251,M$2,FALSE)</f>
        <v>#N/A</v>
      </c>
      <c r="N31" s="31" t="e">
        <f>VLOOKUP($D31,Résultats!$B$2:$AZ$251,N$2,FALSE)</f>
        <v>#N/A</v>
      </c>
      <c r="O31" s="31" t="e">
        <f>VLOOKUP($D31,Résultats!$B$2:$AZ$251,O$2,FALSE)</f>
        <v>#N/A</v>
      </c>
      <c r="P31" s="31" t="e">
        <f>VLOOKUP($D31,Résultats!$B$2:$AZ$251,P$2,FALSE)</f>
        <v>#N/A</v>
      </c>
      <c r="Q31" s="31" t="e">
        <f>VLOOKUP($D31,Résultats!$B$2:$AZ$251,Q$2,FALSE)</f>
        <v>#N/A</v>
      </c>
      <c r="R31" s="31" t="e">
        <f>VLOOKUP($D31,Résultats!$B$2:$AZ$251,R$2,FALSE)</f>
        <v>#N/A</v>
      </c>
      <c r="S31" s="31" t="e">
        <f>VLOOKUP($D31,Résultats!$B$2:$AZ$251,S$2,FALSE)</f>
        <v>#N/A</v>
      </c>
      <c r="T31" s="31" t="e">
        <f>VLOOKUP($D31,Résultats!$B$2:$AZ$251,T$2,FALSE)</f>
        <v>#N/A</v>
      </c>
      <c r="U31" s="31" t="e">
        <f>VLOOKUP($D31,Résultats!$B$2:$AZ$251,U$2,FALSE)</f>
        <v>#N/A</v>
      </c>
      <c r="V31" s="31" t="e">
        <f>VLOOKUP($D31,Résultats!$B$2:$AZ$251,V$2,FALSE)</f>
        <v>#N/A</v>
      </c>
      <c r="W31" s="31" t="e">
        <f>VLOOKUP($D31,Résultats!$B$2:$AZ$251,W$2,FALSE)</f>
        <v>#N/A</v>
      </c>
      <c r="X31" s="31" t="e">
        <f>VLOOKUP($D31,Résultats!$B$2:$AZ$251,X$2,FALSE)</f>
        <v>#N/A</v>
      </c>
      <c r="Y31" s="31" t="e">
        <f>VLOOKUP($D31,Résultats!$B$2:$AZ$251,Y$2,FALSE)</f>
        <v>#N/A</v>
      </c>
      <c r="Z31" s="31" t="e">
        <f>VLOOKUP($D31,Résultats!$B$2:$AZ$251,Z$2,FALSE)</f>
        <v>#N/A</v>
      </c>
      <c r="AA31" s="31" t="e">
        <f>VLOOKUP($D31,Résultats!$B$2:$AZ$251,AA$2,FALSE)</f>
        <v>#N/A</v>
      </c>
      <c r="AB31" s="31" t="e">
        <f>VLOOKUP($D31,Résultats!$B$2:$AZ$251,AB$2,FALSE)</f>
        <v>#N/A</v>
      </c>
      <c r="AC31" s="31" t="e">
        <f>VLOOKUP($D31,Résultats!$B$2:$AZ$251,AC$2,FALSE)</f>
        <v>#N/A</v>
      </c>
      <c r="AD31" s="31" t="e">
        <f>VLOOKUP($D31,Résultats!$B$2:$AZ$251,AD$2,FALSE)</f>
        <v>#N/A</v>
      </c>
      <c r="AE31" s="31" t="e">
        <f>VLOOKUP($D31,Résultats!$B$2:$AZ$251,AE$2,FALSE)</f>
        <v>#N/A</v>
      </c>
      <c r="AF31" s="31" t="e">
        <f>VLOOKUP($D31,Résultats!$B$2:$AZ$251,AF$2,FALSE)</f>
        <v>#N/A</v>
      </c>
      <c r="AG31" s="31" t="e">
        <f>VLOOKUP($D31,Résultats!$B$2:$AZ$251,AG$2,FALSE)</f>
        <v>#N/A</v>
      </c>
      <c r="AH31" s="31" t="e">
        <f>VLOOKUP($D31,Résultats!$B$2:$AZ$251,AH$2,FALSE)</f>
        <v>#N/A</v>
      </c>
      <c r="AI31" s="31" t="e">
        <f>VLOOKUP($D31,Résultats!$B$2:$AZ$251,AI$2,FALSE)</f>
        <v>#N/A</v>
      </c>
      <c r="AJ31" s="31" t="e">
        <f>VLOOKUP($D31,Résultats!$B$2:$AZ$251,AJ$2,FALSE)</f>
        <v>#N/A</v>
      </c>
      <c r="AK31" s="31" t="e">
        <f>VLOOKUP($D31,Résultats!$B$2:$AZ$251,AK$2,FALSE)</f>
        <v>#N/A</v>
      </c>
      <c r="AL31" s="31" t="e">
        <f>VLOOKUP($D31,Résultats!$B$2:$AZ$251,AL$2,FALSE)</f>
        <v>#N/A</v>
      </c>
      <c r="AM31" s="31" t="e">
        <f>VLOOKUP($D31,Résultats!$B$2:$AZ$251,AM$2,FALSE)</f>
        <v>#N/A</v>
      </c>
    </row>
    <row r="32" spans="1:39" x14ac:dyDescent="0.25">
      <c r="C32" s="56" t="s">
        <v>31</v>
      </c>
      <c r="D32" s="78" t="s">
        <v>78</v>
      </c>
      <c r="E32" s="31" t="e">
        <f>VLOOKUP($D32,Résultats!$B$2:$AZ$251,E$2,FALSE)</f>
        <v>#N/A</v>
      </c>
      <c r="F32" s="31" t="e">
        <f>VLOOKUP($D32,Résultats!$B$2:$AZ$251,F$2,FALSE)</f>
        <v>#N/A</v>
      </c>
      <c r="G32" s="31" t="e">
        <f>VLOOKUP($D32,Résultats!$B$2:$AZ$251,G$2,FALSE)</f>
        <v>#N/A</v>
      </c>
      <c r="H32" s="31" t="e">
        <f>VLOOKUP($D32,Résultats!$B$2:$AZ$251,H$2,FALSE)</f>
        <v>#N/A</v>
      </c>
      <c r="I32" s="31" t="e">
        <f>VLOOKUP($D32,Résultats!$B$2:$AZ$251,I$2,FALSE)</f>
        <v>#N/A</v>
      </c>
      <c r="J32" s="31" t="e">
        <f>VLOOKUP($D32,Résultats!$B$2:$AZ$251,J$2,FALSE)</f>
        <v>#N/A</v>
      </c>
      <c r="K32" s="31" t="e">
        <f>VLOOKUP($D32,Résultats!$B$2:$AZ$251,K$2,FALSE)</f>
        <v>#N/A</v>
      </c>
      <c r="L32" s="31" t="e">
        <f>VLOOKUP($D32,Résultats!$B$2:$AZ$251,L$2,FALSE)</f>
        <v>#N/A</v>
      </c>
      <c r="M32" s="31" t="e">
        <f>VLOOKUP($D32,Résultats!$B$2:$AZ$251,M$2,FALSE)</f>
        <v>#N/A</v>
      </c>
      <c r="N32" s="31" t="e">
        <f>VLOOKUP($D32,Résultats!$B$2:$AZ$251,N$2,FALSE)</f>
        <v>#N/A</v>
      </c>
      <c r="O32" s="31" t="e">
        <f>VLOOKUP($D32,Résultats!$B$2:$AZ$251,O$2,FALSE)</f>
        <v>#N/A</v>
      </c>
      <c r="P32" s="31" t="e">
        <f>VLOOKUP($D32,Résultats!$B$2:$AZ$251,P$2,FALSE)</f>
        <v>#N/A</v>
      </c>
      <c r="Q32" s="31" t="e">
        <f>VLOOKUP($D32,Résultats!$B$2:$AZ$251,Q$2,FALSE)</f>
        <v>#N/A</v>
      </c>
      <c r="R32" s="31" t="e">
        <f>VLOOKUP($D32,Résultats!$B$2:$AZ$251,R$2,FALSE)</f>
        <v>#N/A</v>
      </c>
      <c r="S32" s="31" t="e">
        <f>VLOOKUP($D32,Résultats!$B$2:$AZ$251,S$2,FALSE)</f>
        <v>#N/A</v>
      </c>
      <c r="T32" s="31" t="e">
        <f>VLOOKUP($D32,Résultats!$B$2:$AZ$251,T$2,FALSE)</f>
        <v>#N/A</v>
      </c>
      <c r="U32" s="31" t="e">
        <f>VLOOKUP($D32,Résultats!$B$2:$AZ$251,U$2,FALSE)</f>
        <v>#N/A</v>
      </c>
      <c r="V32" s="31" t="e">
        <f>VLOOKUP($D32,Résultats!$B$2:$AZ$251,V$2,FALSE)</f>
        <v>#N/A</v>
      </c>
      <c r="W32" s="31" t="e">
        <f>VLOOKUP($D32,Résultats!$B$2:$AZ$251,W$2,FALSE)</f>
        <v>#N/A</v>
      </c>
      <c r="X32" s="31" t="e">
        <f>VLOOKUP($D32,Résultats!$B$2:$AZ$251,X$2,FALSE)</f>
        <v>#N/A</v>
      </c>
      <c r="Y32" s="31" t="e">
        <f>VLOOKUP($D32,Résultats!$B$2:$AZ$251,Y$2,FALSE)</f>
        <v>#N/A</v>
      </c>
      <c r="Z32" s="31" t="e">
        <f>VLOOKUP($D32,Résultats!$B$2:$AZ$251,Z$2,FALSE)</f>
        <v>#N/A</v>
      </c>
      <c r="AA32" s="31" t="e">
        <f>VLOOKUP($D32,Résultats!$B$2:$AZ$251,AA$2,FALSE)</f>
        <v>#N/A</v>
      </c>
      <c r="AB32" s="31" t="e">
        <f>VLOOKUP($D32,Résultats!$B$2:$AZ$251,AB$2,FALSE)</f>
        <v>#N/A</v>
      </c>
      <c r="AC32" s="31" t="e">
        <f>VLOOKUP($D32,Résultats!$B$2:$AZ$251,AC$2,FALSE)</f>
        <v>#N/A</v>
      </c>
      <c r="AD32" s="31" t="e">
        <f>VLOOKUP($D32,Résultats!$B$2:$AZ$251,AD$2,FALSE)</f>
        <v>#N/A</v>
      </c>
      <c r="AE32" s="31" t="e">
        <f>VLOOKUP($D32,Résultats!$B$2:$AZ$251,AE$2,FALSE)</f>
        <v>#N/A</v>
      </c>
      <c r="AF32" s="31" t="e">
        <f>VLOOKUP($D32,Résultats!$B$2:$AZ$251,AF$2,FALSE)</f>
        <v>#N/A</v>
      </c>
      <c r="AG32" s="31" t="e">
        <f>VLOOKUP($D32,Résultats!$B$2:$AZ$251,AG$2,FALSE)</f>
        <v>#N/A</v>
      </c>
      <c r="AH32" s="31" t="e">
        <f>VLOOKUP($D32,Résultats!$B$2:$AZ$251,AH$2,FALSE)</f>
        <v>#N/A</v>
      </c>
      <c r="AI32" s="31" t="e">
        <f>VLOOKUP($D32,Résultats!$B$2:$AZ$251,AI$2,FALSE)</f>
        <v>#N/A</v>
      </c>
      <c r="AJ32" s="31" t="e">
        <f>VLOOKUP($D32,Résultats!$B$2:$AZ$251,AJ$2,FALSE)</f>
        <v>#N/A</v>
      </c>
      <c r="AK32" s="31" t="e">
        <f>VLOOKUP($D32,Résultats!$B$2:$AZ$251,AK$2,FALSE)</f>
        <v>#N/A</v>
      </c>
      <c r="AL32" s="31" t="e">
        <f>VLOOKUP($D32,Résultats!$B$2:$AZ$251,AL$2,FALSE)</f>
        <v>#N/A</v>
      </c>
      <c r="AM32" s="31" t="e">
        <f>VLOOKUP($D32,Résultats!$B$2:$AZ$251,AM$2,FALSE)</f>
        <v>#N/A</v>
      </c>
    </row>
    <row r="33" spans="2:39" x14ac:dyDescent="0.25">
      <c r="C33" s="56" t="s">
        <v>32</v>
      </c>
      <c r="D33" s="78" t="s">
        <v>79</v>
      </c>
      <c r="E33" s="31" t="e">
        <f>VLOOKUP($D33,Résultats!$B$2:$AZ$251,E$2,FALSE)</f>
        <v>#N/A</v>
      </c>
      <c r="F33" s="31" t="e">
        <f>VLOOKUP($D33,Résultats!$B$2:$AZ$251,F$2,FALSE)</f>
        <v>#N/A</v>
      </c>
      <c r="G33" s="31" t="e">
        <f>VLOOKUP($D33,Résultats!$B$2:$AZ$251,G$2,FALSE)</f>
        <v>#N/A</v>
      </c>
      <c r="H33" s="31" t="e">
        <f>VLOOKUP($D33,Résultats!$B$2:$AZ$251,H$2,FALSE)</f>
        <v>#N/A</v>
      </c>
      <c r="I33" s="31" t="e">
        <f>VLOOKUP($D33,Résultats!$B$2:$AZ$251,I$2,FALSE)</f>
        <v>#N/A</v>
      </c>
      <c r="J33" s="31" t="e">
        <f>VLOOKUP($D33,Résultats!$B$2:$AZ$251,J$2,FALSE)</f>
        <v>#N/A</v>
      </c>
      <c r="K33" s="31" t="e">
        <f>VLOOKUP($D33,Résultats!$B$2:$AZ$251,K$2,FALSE)</f>
        <v>#N/A</v>
      </c>
      <c r="L33" s="31" t="e">
        <f>VLOOKUP($D33,Résultats!$B$2:$AZ$251,L$2,FALSE)</f>
        <v>#N/A</v>
      </c>
      <c r="M33" s="31" t="e">
        <f>VLOOKUP($D33,Résultats!$B$2:$AZ$251,M$2,FALSE)</f>
        <v>#N/A</v>
      </c>
      <c r="N33" s="31" t="e">
        <f>VLOOKUP($D33,Résultats!$B$2:$AZ$251,N$2,FALSE)</f>
        <v>#N/A</v>
      </c>
      <c r="O33" s="31" t="e">
        <f>VLOOKUP($D33,Résultats!$B$2:$AZ$251,O$2,FALSE)</f>
        <v>#N/A</v>
      </c>
      <c r="P33" s="31" t="e">
        <f>VLOOKUP($D33,Résultats!$B$2:$AZ$251,P$2,FALSE)</f>
        <v>#N/A</v>
      </c>
      <c r="Q33" s="31" t="e">
        <f>VLOOKUP($D33,Résultats!$B$2:$AZ$251,Q$2,FALSE)</f>
        <v>#N/A</v>
      </c>
      <c r="R33" s="31" t="e">
        <f>VLOOKUP($D33,Résultats!$B$2:$AZ$251,R$2,FALSE)</f>
        <v>#N/A</v>
      </c>
      <c r="S33" s="31" t="e">
        <f>VLOOKUP($D33,Résultats!$B$2:$AZ$251,S$2,FALSE)</f>
        <v>#N/A</v>
      </c>
      <c r="T33" s="31" t="e">
        <f>VLOOKUP($D33,Résultats!$B$2:$AZ$251,T$2,FALSE)</f>
        <v>#N/A</v>
      </c>
      <c r="U33" s="31" t="e">
        <f>VLOOKUP($D33,Résultats!$B$2:$AZ$251,U$2,FALSE)</f>
        <v>#N/A</v>
      </c>
      <c r="V33" s="31" t="e">
        <f>VLOOKUP($D33,Résultats!$B$2:$AZ$251,V$2,FALSE)</f>
        <v>#N/A</v>
      </c>
      <c r="W33" s="31" t="e">
        <f>VLOOKUP($D33,Résultats!$B$2:$AZ$251,W$2,FALSE)</f>
        <v>#N/A</v>
      </c>
      <c r="X33" s="31" t="e">
        <f>VLOOKUP($D33,Résultats!$B$2:$AZ$251,X$2,FALSE)</f>
        <v>#N/A</v>
      </c>
      <c r="Y33" s="31" t="e">
        <f>VLOOKUP($D33,Résultats!$B$2:$AZ$251,Y$2,FALSE)</f>
        <v>#N/A</v>
      </c>
      <c r="Z33" s="31" t="e">
        <f>VLOOKUP($D33,Résultats!$B$2:$AZ$251,Z$2,FALSE)</f>
        <v>#N/A</v>
      </c>
      <c r="AA33" s="31" t="e">
        <f>VLOOKUP($D33,Résultats!$B$2:$AZ$251,AA$2,FALSE)</f>
        <v>#N/A</v>
      </c>
      <c r="AB33" s="31" t="e">
        <f>VLOOKUP($D33,Résultats!$B$2:$AZ$251,AB$2,FALSE)</f>
        <v>#N/A</v>
      </c>
      <c r="AC33" s="31" t="e">
        <f>VLOOKUP($D33,Résultats!$B$2:$AZ$251,AC$2,FALSE)</f>
        <v>#N/A</v>
      </c>
      <c r="AD33" s="31" t="e">
        <f>VLOOKUP($D33,Résultats!$B$2:$AZ$251,AD$2,FALSE)</f>
        <v>#N/A</v>
      </c>
      <c r="AE33" s="31" t="e">
        <f>VLOOKUP($D33,Résultats!$B$2:$AZ$251,AE$2,FALSE)</f>
        <v>#N/A</v>
      </c>
      <c r="AF33" s="31" t="e">
        <f>VLOOKUP($D33,Résultats!$B$2:$AZ$251,AF$2,FALSE)</f>
        <v>#N/A</v>
      </c>
      <c r="AG33" s="31" t="e">
        <f>VLOOKUP($D33,Résultats!$B$2:$AZ$251,AG$2,FALSE)</f>
        <v>#N/A</v>
      </c>
      <c r="AH33" s="31" t="e">
        <f>VLOOKUP($D33,Résultats!$B$2:$AZ$251,AH$2,FALSE)</f>
        <v>#N/A</v>
      </c>
      <c r="AI33" s="31" t="e">
        <f>VLOOKUP($D33,Résultats!$B$2:$AZ$251,AI$2,FALSE)</f>
        <v>#N/A</v>
      </c>
      <c r="AJ33" s="31" t="e">
        <f>VLOOKUP($D33,Résultats!$B$2:$AZ$251,AJ$2,FALSE)</f>
        <v>#N/A</v>
      </c>
      <c r="AK33" s="31" t="e">
        <f>VLOOKUP($D33,Résultats!$B$2:$AZ$251,AK$2,FALSE)</f>
        <v>#N/A</v>
      </c>
      <c r="AL33" s="31" t="e">
        <f>VLOOKUP($D33,Résultats!$B$2:$AZ$251,AL$2,FALSE)</f>
        <v>#N/A</v>
      </c>
      <c r="AM33" s="31" t="e">
        <f>VLOOKUP($D33,Résultats!$B$2:$AZ$251,AM$2,FALSE)</f>
        <v>#N/A</v>
      </c>
    </row>
    <row r="34" spans="2:39" x14ac:dyDescent="0.25">
      <c r="C34" s="56" t="s">
        <v>33</v>
      </c>
      <c r="D34" s="78" t="s">
        <v>80</v>
      </c>
      <c r="E34" s="79" t="e">
        <f>VLOOKUP($D34,Résultats!$B$2:$AZ$251,E$2,FALSE)</f>
        <v>#N/A</v>
      </c>
      <c r="F34" s="79" t="e">
        <f>VLOOKUP($D34,Résultats!$B$2:$AZ$251,F$2,FALSE)</f>
        <v>#N/A</v>
      </c>
      <c r="G34" s="79" t="e">
        <f>VLOOKUP($D34,Résultats!$B$2:$AZ$251,G$2,FALSE)</f>
        <v>#N/A</v>
      </c>
      <c r="H34" s="79" t="e">
        <f>VLOOKUP($D34,Résultats!$B$2:$AZ$251,H$2,FALSE)</f>
        <v>#N/A</v>
      </c>
      <c r="I34" s="79" t="e">
        <f>VLOOKUP($D34,Résultats!$B$2:$AZ$251,I$2,FALSE)</f>
        <v>#N/A</v>
      </c>
      <c r="J34" s="79" t="e">
        <f>VLOOKUP($D34,Résultats!$B$2:$AZ$251,J$2,FALSE)</f>
        <v>#N/A</v>
      </c>
      <c r="K34" s="79" t="e">
        <f>VLOOKUP($D34,Résultats!$B$2:$AZ$251,K$2,FALSE)</f>
        <v>#N/A</v>
      </c>
      <c r="L34" s="79" t="e">
        <f>VLOOKUP($D34,Résultats!$B$2:$AZ$251,L$2,FALSE)</f>
        <v>#N/A</v>
      </c>
      <c r="M34" s="79" t="e">
        <f>VLOOKUP($D34,Résultats!$B$2:$AZ$251,M$2,FALSE)</f>
        <v>#N/A</v>
      </c>
      <c r="N34" s="79" t="e">
        <f>VLOOKUP($D34,Résultats!$B$2:$AZ$251,N$2,FALSE)</f>
        <v>#N/A</v>
      </c>
      <c r="O34" s="79" t="e">
        <f>VLOOKUP($D34,Résultats!$B$2:$AZ$251,O$2,FALSE)</f>
        <v>#N/A</v>
      </c>
      <c r="P34" s="79" t="e">
        <f>VLOOKUP($D34,Résultats!$B$2:$AZ$251,P$2,FALSE)</f>
        <v>#N/A</v>
      </c>
      <c r="Q34" s="79" t="e">
        <f>VLOOKUP($D34,Résultats!$B$2:$AZ$251,Q$2,FALSE)</f>
        <v>#N/A</v>
      </c>
      <c r="R34" s="79" t="e">
        <f>VLOOKUP($D34,Résultats!$B$2:$AZ$251,R$2,FALSE)</f>
        <v>#N/A</v>
      </c>
      <c r="S34" s="79" t="e">
        <f>VLOOKUP($D34,Résultats!$B$2:$AZ$251,S$2,FALSE)</f>
        <v>#N/A</v>
      </c>
      <c r="T34" s="79" t="e">
        <f>VLOOKUP($D34,Résultats!$B$2:$AZ$251,T$2,FALSE)</f>
        <v>#N/A</v>
      </c>
      <c r="U34" s="79" t="e">
        <f>VLOOKUP($D34,Résultats!$B$2:$AZ$251,U$2,FALSE)</f>
        <v>#N/A</v>
      </c>
      <c r="V34" s="79" t="e">
        <f>VLOOKUP($D34,Résultats!$B$2:$AZ$251,V$2,FALSE)</f>
        <v>#N/A</v>
      </c>
      <c r="W34" s="79" t="e">
        <f>VLOOKUP($D34,Résultats!$B$2:$AZ$251,W$2,FALSE)</f>
        <v>#N/A</v>
      </c>
      <c r="X34" s="79" t="e">
        <f>VLOOKUP($D34,Résultats!$B$2:$AZ$251,X$2,FALSE)</f>
        <v>#N/A</v>
      </c>
      <c r="Y34" s="79" t="e">
        <f>VLOOKUP($D34,Résultats!$B$2:$AZ$251,Y$2,FALSE)</f>
        <v>#N/A</v>
      </c>
      <c r="Z34" s="79" t="e">
        <f>VLOOKUP($D34,Résultats!$B$2:$AZ$251,Z$2,FALSE)</f>
        <v>#N/A</v>
      </c>
      <c r="AA34" s="79" t="e">
        <f>VLOOKUP($D34,Résultats!$B$2:$AZ$251,AA$2,FALSE)</f>
        <v>#N/A</v>
      </c>
      <c r="AB34" s="79" t="e">
        <f>VLOOKUP($D34,Résultats!$B$2:$AZ$251,AB$2,FALSE)</f>
        <v>#N/A</v>
      </c>
      <c r="AC34" s="79" t="e">
        <f>VLOOKUP($D34,Résultats!$B$2:$AZ$251,AC$2,FALSE)</f>
        <v>#N/A</v>
      </c>
      <c r="AD34" s="79" t="e">
        <f>VLOOKUP($D34,Résultats!$B$2:$AZ$251,AD$2,FALSE)</f>
        <v>#N/A</v>
      </c>
      <c r="AE34" s="79" t="e">
        <f>VLOOKUP($D34,Résultats!$B$2:$AZ$251,AE$2,FALSE)</f>
        <v>#N/A</v>
      </c>
      <c r="AF34" s="79" t="e">
        <f>VLOOKUP($D34,Résultats!$B$2:$AZ$251,AF$2,FALSE)</f>
        <v>#N/A</v>
      </c>
      <c r="AG34" s="79" t="e">
        <f>VLOOKUP($D34,Résultats!$B$2:$AZ$251,AG$2,FALSE)</f>
        <v>#N/A</v>
      </c>
      <c r="AH34" s="79" t="e">
        <f>VLOOKUP($D34,Résultats!$B$2:$AZ$251,AH$2,FALSE)</f>
        <v>#N/A</v>
      </c>
      <c r="AI34" s="79" t="e">
        <f>VLOOKUP($D34,Résultats!$B$2:$AZ$251,AI$2,FALSE)</f>
        <v>#N/A</v>
      </c>
      <c r="AJ34" s="79" t="e">
        <f>VLOOKUP($D34,Résultats!$B$2:$AZ$251,AJ$2,FALSE)</f>
        <v>#N/A</v>
      </c>
      <c r="AK34" s="79" t="e">
        <f>VLOOKUP($D34,Résultats!$B$2:$AZ$251,AK$2,FALSE)</f>
        <v>#N/A</v>
      </c>
      <c r="AL34" s="79" t="e">
        <f>VLOOKUP($D34,Résultats!$B$2:$AZ$251,AL$2,FALSE)</f>
        <v>#N/A</v>
      </c>
      <c r="AM34" s="79" t="e">
        <f>VLOOKUP($D34,Résultats!$B$2:$AZ$251,AM$2,FALSE)</f>
        <v>#N/A</v>
      </c>
    </row>
    <row r="35" spans="2:39" x14ac:dyDescent="0.25">
      <c r="C35" s="76" t="s">
        <v>95</v>
      </c>
      <c r="D35" s="76" t="s">
        <v>65</v>
      </c>
      <c r="E35" s="77" t="e">
        <f>VLOOKUP($D35,Résultats!$B$2:$AZ$251,E$2,FALSE)</f>
        <v>#N/A</v>
      </c>
      <c r="F35" s="77" t="e">
        <f>VLOOKUP($D35,Résultats!$B$2:$AZ$251,F$2,FALSE)</f>
        <v>#N/A</v>
      </c>
      <c r="G35" s="77" t="e">
        <f>VLOOKUP($D35,Résultats!$B$2:$AZ$251,G$2,FALSE)</f>
        <v>#N/A</v>
      </c>
      <c r="H35" s="77" t="e">
        <f>VLOOKUP($D35,Résultats!$B$2:$AZ$251,H$2,FALSE)</f>
        <v>#N/A</v>
      </c>
      <c r="I35" s="77" t="e">
        <f>VLOOKUP($D35,Résultats!$B$2:$AZ$251,I$2,FALSE)</f>
        <v>#N/A</v>
      </c>
      <c r="J35" s="77" t="e">
        <f>VLOOKUP($D35,Résultats!$B$2:$AZ$251,J$2,FALSE)</f>
        <v>#N/A</v>
      </c>
      <c r="K35" s="77" t="e">
        <f>VLOOKUP($D35,Résultats!$B$2:$AZ$251,K$2,FALSE)</f>
        <v>#N/A</v>
      </c>
      <c r="L35" s="77" t="e">
        <f>VLOOKUP($D35,Résultats!$B$2:$AZ$251,L$2,FALSE)</f>
        <v>#N/A</v>
      </c>
      <c r="M35" s="77" t="e">
        <f>VLOOKUP($D35,Résultats!$B$2:$AZ$251,M$2,FALSE)</f>
        <v>#N/A</v>
      </c>
      <c r="N35" s="77" t="e">
        <f>VLOOKUP($D35,Résultats!$B$2:$AZ$251,N$2,FALSE)</f>
        <v>#N/A</v>
      </c>
      <c r="O35" s="77" t="e">
        <f>VLOOKUP($D35,Résultats!$B$2:$AZ$251,O$2,FALSE)</f>
        <v>#N/A</v>
      </c>
      <c r="P35" s="77" t="e">
        <f>VLOOKUP($D35,Résultats!$B$2:$AZ$251,P$2,FALSE)</f>
        <v>#N/A</v>
      </c>
      <c r="Q35" s="77" t="e">
        <f>VLOOKUP($D35,Résultats!$B$2:$AZ$251,Q$2,FALSE)</f>
        <v>#N/A</v>
      </c>
      <c r="R35" s="77" t="e">
        <f>VLOOKUP($D35,Résultats!$B$2:$AZ$251,R$2,FALSE)</f>
        <v>#N/A</v>
      </c>
      <c r="S35" s="77" t="e">
        <f>VLOOKUP($D35,Résultats!$B$2:$AZ$251,S$2,FALSE)</f>
        <v>#N/A</v>
      </c>
      <c r="T35" s="77" t="e">
        <f>VLOOKUP($D35,Résultats!$B$2:$AZ$251,T$2,FALSE)</f>
        <v>#N/A</v>
      </c>
      <c r="U35" s="77" t="e">
        <f>VLOOKUP($D35,Résultats!$B$2:$AZ$251,U$2,FALSE)</f>
        <v>#N/A</v>
      </c>
      <c r="V35" s="77" t="e">
        <f>VLOOKUP($D35,Résultats!$B$2:$AZ$251,V$2,FALSE)</f>
        <v>#N/A</v>
      </c>
      <c r="W35" s="77" t="e">
        <f>VLOOKUP($D35,Résultats!$B$2:$AZ$251,W$2,FALSE)</f>
        <v>#N/A</v>
      </c>
      <c r="X35" s="77" t="e">
        <f>VLOOKUP($D35,Résultats!$B$2:$AZ$251,X$2,FALSE)</f>
        <v>#N/A</v>
      </c>
      <c r="Y35" s="77" t="e">
        <f>VLOOKUP($D35,Résultats!$B$2:$AZ$251,Y$2,FALSE)</f>
        <v>#N/A</v>
      </c>
      <c r="Z35" s="77" t="e">
        <f>VLOOKUP($D35,Résultats!$B$2:$AZ$251,Z$2,FALSE)</f>
        <v>#N/A</v>
      </c>
      <c r="AA35" s="77" t="e">
        <f>VLOOKUP($D35,Résultats!$B$2:$AZ$251,AA$2,FALSE)</f>
        <v>#N/A</v>
      </c>
      <c r="AB35" s="77" t="e">
        <f>VLOOKUP($D35,Résultats!$B$2:$AZ$251,AB$2,FALSE)</f>
        <v>#N/A</v>
      </c>
      <c r="AC35" s="77" t="e">
        <f>VLOOKUP($D35,Résultats!$B$2:$AZ$251,AC$2,FALSE)</f>
        <v>#N/A</v>
      </c>
      <c r="AD35" s="77" t="e">
        <f>VLOOKUP($D35,Résultats!$B$2:$AZ$251,AD$2,FALSE)</f>
        <v>#N/A</v>
      </c>
      <c r="AE35" s="77" t="e">
        <f>VLOOKUP($D35,Résultats!$B$2:$AZ$251,AE$2,FALSE)</f>
        <v>#N/A</v>
      </c>
      <c r="AF35" s="77" t="e">
        <f>VLOOKUP($D35,Résultats!$B$2:$AZ$251,AF$2,FALSE)</f>
        <v>#N/A</v>
      </c>
      <c r="AG35" s="77" t="e">
        <f>VLOOKUP($D35,Résultats!$B$2:$AZ$251,AG$2,FALSE)</f>
        <v>#N/A</v>
      </c>
      <c r="AH35" s="77" t="e">
        <f>VLOOKUP($D35,Résultats!$B$2:$AZ$251,AH$2,FALSE)</f>
        <v>#N/A</v>
      </c>
      <c r="AI35" s="77" t="e">
        <f>VLOOKUP($D35,Résultats!$B$2:$AZ$251,AI$2,FALSE)</f>
        <v>#N/A</v>
      </c>
      <c r="AJ35" s="77" t="e">
        <f>VLOOKUP($D35,Résultats!$B$2:$AZ$251,AJ$2,FALSE)</f>
        <v>#N/A</v>
      </c>
      <c r="AK35" s="77" t="e">
        <f>VLOOKUP($D35,Résultats!$B$2:$AZ$251,AK$2,FALSE)</f>
        <v>#N/A</v>
      </c>
      <c r="AL35" s="77" t="e">
        <f>VLOOKUP($D35,Résultats!$B$2:$AZ$251,AL$2,FALSE)</f>
        <v>#N/A</v>
      </c>
      <c r="AM35" s="77" t="e">
        <f>VLOOKUP($D35,Résultats!$B$2:$AZ$251,AM$2,FALSE)</f>
        <v>#N/A</v>
      </c>
    </row>
    <row r="36" spans="2:39" x14ac:dyDescent="0.25">
      <c r="C36" s="56" t="s">
        <v>27</v>
      </c>
      <c r="D36" s="3" t="s">
        <v>66</v>
      </c>
      <c r="E36" s="31" t="e">
        <f>VLOOKUP($D36,Résultats!$B$2:$AZ$251,E$2,FALSE)</f>
        <v>#N/A</v>
      </c>
      <c r="F36" s="31" t="e">
        <f>VLOOKUP($D36,Résultats!$B$2:$AZ$251,F$2,FALSE)</f>
        <v>#N/A</v>
      </c>
      <c r="G36" s="31" t="e">
        <f>VLOOKUP($D36,Résultats!$B$2:$AZ$251,G$2,FALSE)</f>
        <v>#N/A</v>
      </c>
      <c r="H36" s="31" t="e">
        <f>VLOOKUP($D36,Résultats!$B$2:$AZ$251,H$2,FALSE)</f>
        <v>#N/A</v>
      </c>
      <c r="I36" s="31" t="e">
        <f>VLOOKUP($D36,Résultats!$B$2:$AZ$251,I$2,FALSE)</f>
        <v>#N/A</v>
      </c>
      <c r="J36" s="31" t="e">
        <f>VLOOKUP($D36,Résultats!$B$2:$AZ$251,J$2,FALSE)</f>
        <v>#N/A</v>
      </c>
      <c r="K36" s="31" t="e">
        <f>VLOOKUP($D36,Résultats!$B$2:$AZ$251,K$2,FALSE)</f>
        <v>#N/A</v>
      </c>
      <c r="L36" s="31" t="e">
        <f>VLOOKUP($D36,Résultats!$B$2:$AZ$251,L$2,FALSE)</f>
        <v>#N/A</v>
      </c>
      <c r="M36" s="31" t="e">
        <f>VLOOKUP($D36,Résultats!$B$2:$AZ$251,M$2,FALSE)</f>
        <v>#N/A</v>
      </c>
      <c r="N36" s="31" t="e">
        <f>VLOOKUP($D36,Résultats!$B$2:$AZ$251,N$2,FALSE)</f>
        <v>#N/A</v>
      </c>
      <c r="O36" s="31" t="e">
        <f>VLOOKUP($D36,Résultats!$B$2:$AZ$251,O$2,FALSE)</f>
        <v>#N/A</v>
      </c>
      <c r="P36" s="31" t="e">
        <f>VLOOKUP($D36,Résultats!$B$2:$AZ$251,P$2,FALSE)</f>
        <v>#N/A</v>
      </c>
      <c r="Q36" s="31" t="e">
        <f>VLOOKUP($D36,Résultats!$B$2:$AZ$251,Q$2,FALSE)</f>
        <v>#N/A</v>
      </c>
      <c r="R36" s="31" t="e">
        <f>VLOOKUP($D36,Résultats!$B$2:$AZ$251,R$2,FALSE)</f>
        <v>#N/A</v>
      </c>
      <c r="S36" s="31" t="e">
        <f>VLOOKUP($D36,Résultats!$B$2:$AZ$251,S$2,FALSE)</f>
        <v>#N/A</v>
      </c>
      <c r="T36" s="31" t="e">
        <f>VLOOKUP($D36,Résultats!$B$2:$AZ$251,T$2,FALSE)</f>
        <v>#N/A</v>
      </c>
      <c r="U36" s="31" t="e">
        <f>VLOOKUP($D36,Résultats!$B$2:$AZ$251,U$2,FALSE)</f>
        <v>#N/A</v>
      </c>
      <c r="V36" s="31" t="e">
        <f>VLOOKUP($D36,Résultats!$B$2:$AZ$251,V$2,FALSE)</f>
        <v>#N/A</v>
      </c>
      <c r="W36" s="31" t="e">
        <f>VLOOKUP($D36,Résultats!$B$2:$AZ$251,W$2,FALSE)</f>
        <v>#N/A</v>
      </c>
      <c r="X36" s="31" t="e">
        <f>VLOOKUP($D36,Résultats!$B$2:$AZ$251,X$2,FALSE)</f>
        <v>#N/A</v>
      </c>
      <c r="Y36" s="31" t="e">
        <f>VLOOKUP($D36,Résultats!$B$2:$AZ$251,Y$2,FALSE)</f>
        <v>#N/A</v>
      </c>
      <c r="Z36" s="31" t="e">
        <f>VLOOKUP($D36,Résultats!$B$2:$AZ$251,Z$2,FALSE)</f>
        <v>#N/A</v>
      </c>
      <c r="AA36" s="31" t="e">
        <f>VLOOKUP($D36,Résultats!$B$2:$AZ$251,AA$2,FALSE)</f>
        <v>#N/A</v>
      </c>
      <c r="AB36" s="31" t="e">
        <f>VLOOKUP($D36,Résultats!$B$2:$AZ$251,AB$2,FALSE)</f>
        <v>#N/A</v>
      </c>
      <c r="AC36" s="31" t="e">
        <f>VLOOKUP($D36,Résultats!$B$2:$AZ$251,AC$2,FALSE)</f>
        <v>#N/A</v>
      </c>
      <c r="AD36" s="31" t="e">
        <f>VLOOKUP($D36,Résultats!$B$2:$AZ$251,AD$2,FALSE)</f>
        <v>#N/A</v>
      </c>
      <c r="AE36" s="31" t="e">
        <f>VLOOKUP($D36,Résultats!$B$2:$AZ$251,AE$2,FALSE)</f>
        <v>#N/A</v>
      </c>
      <c r="AF36" s="31" t="e">
        <f>VLOOKUP($D36,Résultats!$B$2:$AZ$251,AF$2,FALSE)</f>
        <v>#N/A</v>
      </c>
      <c r="AG36" s="31" t="e">
        <f>VLOOKUP($D36,Résultats!$B$2:$AZ$251,AG$2,FALSE)</f>
        <v>#N/A</v>
      </c>
      <c r="AH36" s="31" t="e">
        <f>VLOOKUP($D36,Résultats!$B$2:$AZ$251,AH$2,FALSE)</f>
        <v>#N/A</v>
      </c>
      <c r="AI36" s="31" t="e">
        <f>VLOOKUP($D36,Résultats!$B$2:$AZ$251,AI$2,FALSE)</f>
        <v>#N/A</v>
      </c>
      <c r="AJ36" s="31" t="e">
        <f>VLOOKUP($D36,Résultats!$B$2:$AZ$251,AJ$2,FALSE)</f>
        <v>#N/A</v>
      </c>
      <c r="AK36" s="31" t="e">
        <f>VLOOKUP($D36,Résultats!$B$2:$AZ$251,AK$2,FALSE)</f>
        <v>#N/A</v>
      </c>
      <c r="AL36" s="31" t="e">
        <f>VLOOKUP($D36,Résultats!$B$2:$AZ$251,AL$2,FALSE)</f>
        <v>#N/A</v>
      </c>
      <c r="AM36" s="31" t="e">
        <f>VLOOKUP($D36,Résultats!$B$2:$AZ$251,AM$2,FALSE)</f>
        <v>#N/A</v>
      </c>
    </row>
    <row r="37" spans="2:39" x14ac:dyDescent="0.25">
      <c r="C37" s="56" t="s">
        <v>28</v>
      </c>
      <c r="D37" s="3" t="s">
        <v>67</v>
      </c>
      <c r="E37" s="31" t="e">
        <f>VLOOKUP($D37,Résultats!$B$2:$AZ$251,E$2,FALSE)</f>
        <v>#N/A</v>
      </c>
      <c r="F37" s="31" t="e">
        <f>VLOOKUP($D37,Résultats!$B$2:$AZ$251,F$2,FALSE)</f>
        <v>#N/A</v>
      </c>
      <c r="G37" s="31" t="e">
        <f>VLOOKUP($D37,Résultats!$B$2:$AZ$251,G$2,FALSE)</f>
        <v>#N/A</v>
      </c>
      <c r="H37" s="31" t="e">
        <f>VLOOKUP($D37,Résultats!$B$2:$AZ$251,H$2,FALSE)</f>
        <v>#N/A</v>
      </c>
      <c r="I37" s="31" t="e">
        <f>VLOOKUP($D37,Résultats!$B$2:$AZ$251,I$2,FALSE)</f>
        <v>#N/A</v>
      </c>
      <c r="J37" s="31" t="e">
        <f>VLOOKUP($D37,Résultats!$B$2:$AZ$251,J$2,FALSE)</f>
        <v>#N/A</v>
      </c>
      <c r="K37" s="31" t="e">
        <f>VLOOKUP($D37,Résultats!$B$2:$AZ$251,K$2,FALSE)</f>
        <v>#N/A</v>
      </c>
      <c r="L37" s="31" t="e">
        <f>VLOOKUP($D37,Résultats!$B$2:$AZ$251,L$2,FALSE)</f>
        <v>#N/A</v>
      </c>
      <c r="M37" s="31" t="e">
        <f>VLOOKUP($D37,Résultats!$B$2:$AZ$251,M$2,FALSE)</f>
        <v>#N/A</v>
      </c>
      <c r="N37" s="31" t="e">
        <f>VLOOKUP($D37,Résultats!$B$2:$AZ$251,N$2,FALSE)</f>
        <v>#N/A</v>
      </c>
      <c r="O37" s="31" t="e">
        <f>VLOOKUP($D37,Résultats!$B$2:$AZ$251,O$2,FALSE)</f>
        <v>#N/A</v>
      </c>
      <c r="P37" s="31" t="e">
        <f>VLOOKUP($D37,Résultats!$B$2:$AZ$251,P$2,FALSE)</f>
        <v>#N/A</v>
      </c>
      <c r="Q37" s="31" t="e">
        <f>VLOOKUP($D37,Résultats!$B$2:$AZ$251,Q$2,FALSE)</f>
        <v>#N/A</v>
      </c>
      <c r="R37" s="31" t="e">
        <f>VLOOKUP($D37,Résultats!$B$2:$AZ$251,R$2,FALSE)</f>
        <v>#N/A</v>
      </c>
      <c r="S37" s="31" t="e">
        <f>VLOOKUP($D37,Résultats!$B$2:$AZ$251,S$2,FALSE)</f>
        <v>#N/A</v>
      </c>
      <c r="T37" s="31" t="e">
        <f>VLOOKUP($D37,Résultats!$B$2:$AZ$251,T$2,FALSE)</f>
        <v>#N/A</v>
      </c>
      <c r="U37" s="31" t="e">
        <f>VLOOKUP($D37,Résultats!$B$2:$AZ$251,U$2,FALSE)</f>
        <v>#N/A</v>
      </c>
      <c r="V37" s="31" t="e">
        <f>VLOOKUP($D37,Résultats!$B$2:$AZ$251,V$2,FALSE)</f>
        <v>#N/A</v>
      </c>
      <c r="W37" s="31" t="e">
        <f>VLOOKUP($D37,Résultats!$B$2:$AZ$251,W$2,FALSE)</f>
        <v>#N/A</v>
      </c>
      <c r="X37" s="31" t="e">
        <f>VLOOKUP($D37,Résultats!$B$2:$AZ$251,X$2,FALSE)</f>
        <v>#N/A</v>
      </c>
      <c r="Y37" s="31" t="e">
        <f>VLOOKUP($D37,Résultats!$B$2:$AZ$251,Y$2,FALSE)</f>
        <v>#N/A</v>
      </c>
      <c r="Z37" s="31" t="e">
        <f>VLOOKUP($D37,Résultats!$B$2:$AZ$251,Z$2,FALSE)</f>
        <v>#N/A</v>
      </c>
      <c r="AA37" s="31" t="e">
        <f>VLOOKUP($D37,Résultats!$B$2:$AZ$251,AA$2,FALSE)</f>
        <v>#N/A</v>
      </c>
      <c r="AB37" s="31" t="e">
        <f>VLOOKUP($D37,Résultats!$B$2:$AZ$251,AB$2,FALSE)</f>
        <v>#N/A</v>
      </c>
      <c r="AC37" s="31" t="e">
        <f>VLOOKUP($D37,Résultats!$B$2:$AZ$251,AC$2,FALSE)</f>
        <v>#N/A</v>
      </c>
      <c r="AD37" s="31" t="e">
        <f>VLOOKUP($D37,Résultats!$B$2:$AZ$251,AD$2,FALSE)</f>
        <v>#N/A</v>
      </c>
      <c r="AE37" s="31" t="e">
        <f>VLOOKUP($D37,Résultats!$B$2:$AZ$251,AE$2,FALSE)</f>
        <v>#N/A</v>
      </c>
      <c r="AF37" s="31" t="e">
        <f>VLOOKUP($D37,Résultats!$B$2:$AZ$251,AF$2,FALSE)</f>
        <v>#N/A</v>
      </c>
      <c r="AG37" s="31" t="e">
        <f>VLOOKUP($D37,Résultats!$B$2:$AZ$251,AG$2,FALSE)</f>
        <v>#N/A</v>
      </c>
      <c r="AH37" s="31" t="e">
        <f>VLOOKUP($D37,Résultats!$B$2:$AZ$251,AH$2,FALSE)</f>
        <v>#N/A</v>
      </c>
      <c r="AI37" s="31" t="e">
        <f>VLOOKUP($D37,Résultats!$B$2:$AZ$251,AI$2,FALSE)</f>
        <v>#N/A</v>
      </c>
      <c r="AJ37" s="31" t="e">
        <f>VLOOKUP($D37,Résultats!$B$2:$AZ$251,AJ$2,FALSE)</f>
        <v>#N/A</v>
      </c>
      <c r="AK37" s="31" t="e">
        <f>VLOOKUP($D37,Résultats!$B$2:$AZ$251,AK$2,FALSE)</f>
        <v>#N/A</v>
      </c>
      <c r="AL37" s="31" t="e">
        <f>VLOOKUP($D37,Résultats!$B$2:$AZ$251,AL$2,FALSE)</f>
        <v>#N/A</v>
      </c>
      <c r="AM37" s="31" t="e">
        <f>VLOOKUP($D37,Résultats!$B$2:$AZ$251,AM$2,FALSE)</f>
        <v>#N/A</v>
      </c>
    </row>
    <row r="38" spans="2:39" x14ac:dyDescent="0.25">
      <c r="C38" s="56" t="s">
        <v>29</v>
      </c>
      <c r="D38" s="3" t="s">
        <v>68</v>
      </c>
      <c r="E38" s="31" t="e">
        <f>VLOOKUP($D38,Résultats!$B$2:$AZ$251,E$2,FALSE)</f>
        <v>#N/A</v>
      </c>
      <c r="F38" s="31" t="e">
        <f>VLOOKUP($D38,Résultats!$B$2:$AZ$251,F$2,FALSE)</f>
        <v>#N/A</v>
      </c>
      <c r="G38" s="31" t="e">
        <f>VLOOKUP($D38,Résultats!$B$2:$AZ$251,G$2,FALSE)</f>
        <v>#N/A</v>
      </c>
      <c r="H38" s="31" t="e">
        <f>VLOOKUP($D38,Résultats!$B$2:$AZ$251,H$2,FALSE)</f>
        <v>#N/A</v>
      </c>
      <c r="I38" s="31" t="e">
        <f>VLOOKUP($D38,Résultats!$B$2:$AZ$251,I$2,FALSE)</f>
        <v>#N/A</v>
      </c>
      <c r="J38" s="31" t="e">
        <f>VLOOKUP($D38,Résultats!$B$2:$AZ$251,J$2,FALSE)</f>
        <v>#N/A</v>
      </c>
      <c r="K38" s="31" t="e">
        <f>VLOOKUP($D38,Résultats!$B$2:$AZ$251,K$2,FALSE)</f>
        <v>#N/A</v>
      </c>
      <c r="L38" s="31" t="e">
        <f>VLOOKUP($D38,Résultats!$B$2:$AZ$251,L$2,FALSE)</f>
        <v>#N/A</v>
      </c>
      <c r="M38" s="31" t="e">
        <f>VLOOKUP($D38,Résultats!$B$2:$AZ$251,M$2,FALSE)</f>
        <v>#N/A</v>
      </c>
      <c r="N38" s="31" t="e">
        <f>VLOOKUP($D38,Résultats!$B$2:$AZ$251,N$2,FALSE)</f>
        <v>#N/A</v>
      </c>
      <c r="O38" s="31" t="e">
        <f>VLOOKUP($D38,Résultats!$B$2:$AZ$251,O$2,FALSE)</f>
        <v>#N/A</v>
      </c>
      <c r="P38" s="31" t="e">
        <f>VLOOKUP($D38,Résultats!$B$2:$AZ$251,P$2,FALSE)</f>
        <v>#N/A</v>
      </c>
      <c r="Q38" s="31" t="e">
        <f>VLOOKUP($D38,Résultats!$B$2:$AZ$251,Q$2,FALSE)</f>
        <v>#N/A</v>
      </c>
      <c r="R38" s="31" t="e">
        <f>VLOOKUP($D38,Résultats!$B$2:$AZ$251,R$2,FALSE)</f>
        <v>#N/A</v>
      </c>
      <c r="S38" s="31" t="e">
        <f>VLOOKUP($D38,Résultats!$B$2:$AZ$251,S$2,FALSE)</f>
        <v>#N/A</v>
      </c>
      <c r="T38" s="31" t="e">
        <f>VLOOKUP($D38,Résultats!$B$2:$AZ$251,T$2,FALSE)</f>
        <v>#N/A</v>
      </c>
      <c r="U38" s="31" t="e">
        <f>VLOOKUP($D38,Résultats!$B$2:$AZ$251,U$2,FALSE)</f>
        <v>#N/A</v>
      </c>
      <c r="V38" s="31" t="e">
        <f>VLOOKUP($D38,Résultats!$B$2:$AZ$251,V$2,FALSE)</f>
        <v>#N/A</v>
      </c>
      <c r="W38" s="31" t="e">
        <f>VLOOKUP($D38,Résultats!$B$2:$AZ$251,W$2,FALSE)</f>
        <v>#N/A</v>
      </c>
      <c r="X38" s="31" t="e">
        <f>VLOOKUP($D38,Résultats!$B$2:$AZ$251,X$2,FALSE)</f>
        <v>#N/A</v>
      </c>
      <c r="Y38" s="31" t="e">
        <f>VLOOKUP($D38,Résultats!$B$2:$AZ$251,Y$2,FALSE)</f>
        <v>#N/A</v>
      </c>
      <c r="Z38" s="31" t="e">
        <f>VLOOKUP($D38,Résultats!$B$2:$AZ$251,Z$2,FALSE)</f>
        <v>#N/A</v>
      </c>
      <c r="AA38" s="31" t="e">
        <f>VLOOKUP($D38,Résultats!$B$2:$AZ$251,AA$2,FALSE)</f>
        <v>#N/A</v>
      </c>
      <c r="AB38" s="31" t="e">
        <f>VLOOKUP($D38,Résultats!$B$2:$AZ$251,AB$2,FALSE)</f>
        <v>#N/A</v>
      </c>
      <c r="AC38" s="31" t="e">
        <f>VLOOKUP($D38,Résultats!$B$2:$AZ$251,AC$2,FALSE)</f>
        <v>#N/A</v>
      </c>
      <c r="AD38" s="31" t="e">
        <f>VLOOKUP($D38,Résultats!$B$2:$AZ$251,AD$2,FALSE)</f>
        <v>#N/A</v>
      </c>
      <c r="AE38" s="31" t="e">
        <f>VLOOKUP($D38,Résultats!$B$2:$AZ$251,AE$2,FALSE)</f>
        <v>#N/A</v>
      </c>
      <c r="AF38" s="31" t="e">
        <f>VLOOKUP($D38,Résultats!$B$2:$AZ$251,AF$2,FALSE)</f>
        <v>#N/A</v>
      </c>
      <c r="AG38" s="31" t="e">
        <f>VLOOKUP($D38,Résultats!$B$2:$AZ$251,AG$2,FALSE)</f>
        <v>#N/A</v>
      </c>
      <c r="AH38" s="31" t="e">
        <f>VLOOKUP($D38,Résultats!$B$2:$AZ$251,AH$2,FALSE)</f>
        <v>#N/A</v>
      </c>
      <c r="AI38" s="31" t="e">
        <f>VLOOKUP($D38,Résultats!$B$2:$AZ$251,AI$2,FALSE)</f>
        <v>#N/A</v>
      </c>
      <c r="AJ38" s="31" t="e">
        <f>VLOOKUP($D38,Résultats!$B$2:$AZ$251,AJ$2,FALSE)</f>
        <v>#N/A</v>
      </c>
      <c r="AK38" s="31" t="e">
        <f>VLOOKUP($D38,Résultats!$B$2:$AZ$251,AK$2,FALSE)</f>
        <v>#N/A</v>
      </c>
      <c r="AL38" s="31" t="e">
        <f>VLOOKUP($D38,Résultats!$B$2:$AZ$251,AL$2,FALSE)</f>
        <v>#N/A</v>
      </c>
      <c r="AM38" s="31" t="e">
        <f>VLOOKUP($D38,Résultats!$B$2:$AZ$251,AM$2,FALSE)</f>
        <v>#N/A</v>
      </c>
    </row>
    <row r="39" spans="2:39" x14ac:dyDescent="0.25">
      <c r="C39" s="56" t="s">
        <v>30</v>
      </c>
      <c r="D39" s="3" t="s">
        <v>69</v>
      </c>
      <c r="E39" s="31" t="e">
        <f>VLOOKUP($D39,Résultats!$B$2:$AZ$251,E$2,FALSE)</f>
        <v>#N/A</v>
      </c>
      <c r="F39" s="31" t="e">
        <f>VLOOKUP($D39,Résultats!$B$2:$AZ$251,F$2,FALSE)</f>
        <v>#N/A</v>
      </c>
      <c r="G39" s="31" t="e">
        <f>VLOOKUP($D39,Résultats!$B$2:$AZ$251,G$2,FALSE)</f>
        <v>#N/A</v>
      </c>
      <c r="H39" s="31" t="e">
        <f>VLOOKUP($D39,Résultats!$B$2:$AZ$251,H$2,FALSE)</f>
        <v>#N/A</v>
      </c>
      <c r="I39" s="31" t="e">
        <f>VLOOKUP($D39,Résultats!$B$2:$AZ$251,I$2,FALSE)</f>
        <v>#N/A</v>
      </c>
      <c r="J39" s="31" t="e">
        <f>VLOOKUP($D39,Résultats!$B$2:$AZ$251,J$2,FALSE)</f>
        <v>#N/A</v>
      </c>
      <c r="K39" s="31" t="e">
        <f>VLOOKUP($D39,Résultats!$B$2:$AZ$251,K$2,FALSE)</f>
        <v>#N/A</v>
      </c>
      <c r="L39" s="31" t="e">
        <f>VLOOKUP($D39,Résultats!$B$2:$AZ$251,L$2,FALSE)</f>
        <v>#N/A</v>
      </c>
      <c r="M39" s="31" t="e">
        <f>VLOOKUP($D39,Résultats!$B$2:$AZ$251,M$2,FALSE)</f>
        <v>#N/A</v>
      </c>
      <c r="N39" s="31" t="e">
        <f>VLOOKUP($D39,Résultats!$B$2:$AZ$251,N$2,FALSE)</f>
        <v>#N/A</v>
      </c>
      <c r="O39" s="31" t="e">
        <f>VLOOKUP($D39,Résultats!$B$2:$AZ$251,O$2,FALSE)</f>
        <v>#N/A</v>
      </c>
      <c r="P39" s="31" t="e">
        <f>VLOOKUP($D39,Résultats!$B$2:$AZ$251,P$2,FALSE)</f>
        <v>#N/A</v>
      </c>
      <c r="Q39" s="31" t="e">
        <f>VLOOKUP($D39,Résultats!$B$2:$AZ$251,Q$2,FALSE)</f>
        <v>#N/A</v>
      </c>
      <c r="R39" s="31" t="e">
        <f>VLOOKUP($D39,Résultats!$B$2:$AZ$251,R$2,FALSE)</f>
        <v>#N/A</v>
      </c>
      <c r="S39" s="31" t="e">
        <f>VLOOKUP($D39,Résultats!$B$2:$AZ$251,S$2,FALSE)</f>
        <v>#N/A</v>
      </c>
      <c r="T39" s="31" t="e">
        <f>VLOOKUP($D39,Résultats!$B$2:$AZ$251,T$2,FALSE)</f>
        <v>#N/A</v>
      </c>
      <c r="U39" s="31" t="e">
        <f>VLOOKUP($D39,Résultats!$B$2:$AZ$251,U$2,FALSE)</f>
        <v>#N/A</v>
      </c>
      <c r="V39" s="31" t="e">
        <f>VLOOKUP($D39,Résultats!$B$2:$AZ$251,V$2,FALSE)</f>
        <v>#N/A</v>
      </c>
      <c r="W39" s="31" t="e">
        <f>VLOOKUP($D39,Résultats!$B$2:$AZ$251,W$2,FALSE)</f>
        <v>#N/A</v>
      </c>
      <c r="X39" s="31" t="e">
        <f>VLOOKUP($D39,Résultats!$B$2:$AZ$251,X$2,FALSE)</f>
        <v>#N/A</v>
      </c>
      <c r="Y39" s="31" t="e">
        <f>VLOOKUP($D39,Résultats!$B$2:$AZ$251,Y$2,FALSE)</f>
        <v>#N/A</v>
      </c>
      <c r="Z39" s="31" t="e">
        <f>VLOOKUP($D39,Résultats!$B$2:$AZ$251,Z$2,FALSE)</f>
        <v>#N/A</v>
      </c>
      <c r="AA39" s="31" t="e">
        <f>VLOOKUP($D39,Résultats!$B$2:$AZ$251,AA$2,FALSE)</f>
        <v>#N/A</v>
      </c>
      <c r="AB39" s="31" t="e">
        <f>VLOOKUP($D39,Résultats!$B$2:$AZ$251,AB$2,FALSE)</f>
        <v>#N/A</v>
      </c>
      <c r="AC39" s="31" t="e">
        <f>VLOOKUP($D39,Résultats!$B$2:$AZ$251,AC$2,FALSE)</f>
        <v>#N/A</v>
      </c>
      <c r="AD39" s="31" t="e">
        <f>VLOOKUP($D39,Résultats!$B$2:$AZ$251,AD$2,FALSE)</f>
        <v>#N/A</v>
      </c>
      <c r="AE39" s="31" t="e">
        <f>VLOOKUP($D39,Résultats!$B$2:$AZ$251,AE$2,FALSE)</f>
        <v>#N/A</v>
      </c>
      <c r="AF39" s="31" t="e">
        <f>VLOOKUP($D39,Résultats!$B$2:$AZ$251,AF$2,FALSE)</f>
        <v>#N/A</v>
      </c>
      <c r="AG39" s="31" t="e">
        <f>VLOOKUP($D39,Résultats!$B$2:$AZ$251,AG$2,FALSE)</f>
        <v>#N/A</v>
      </c>
      <c r="AH39" s="31" t="e">
        <f>VLOOKUP($D39,Résultats!$B$2:$AZ$251,AH$2,FALSE)</f>
        <v>#N/A</v>
      </c>
      <c r="AI39" s="31" t="e">
        <f>VLOOKUP($D39,Résultats!$B$2:$AZ$251,AI$2,FALSE)</f>
        <v>#N/A</v>
      </c>
      <c r="AJ39" s="31" t="e">
        <f>VLOOKUP($D39,Résultats!$B$2:$AZ$251,AJ$2,FALSE)</f>
        <v>#N/A</v>
      </c>
      <c r="AK39" s="31" t="e">
        <f>VLOOKUP($D39,Résultats!$B$2:$AZ$251,AK$2,FALSE)</f>
        <v>#N/A</v>
      </c>
      <c r="AL39" s="31" t="e">
        <f>VLOOKUP($D39,Résultats!$B$2:$AZ$251,AL$2,FALSE)</f>
        <v>#N/A</v>
      </c>
      <c r="AM39" s="31" t="e">
        <f>VLOOKUP($D39,Résultats!$B$2:$AZ$251,AM$2,FALSE)</f>
        <v>#N/A</v>
      </c>
    </row>
    <row r="40" spans="2:39" x14ac:dyDescent="0.25">
      <c r="C40" s="56" t="s">
        <v>31</v>
      </c>
      <c r="D40" s="3" t="s">
        <v>70</v>
      </c>
      <c r="E40" s="31" t="e">
        <f>VLOOKUP($D40,Résultats!$B$2:$AZ$251,E$2,FALSE)</f>
        <v>#N/A</v>
      </c>
      <c r="F40" s="31" t="e">
        <f>VLOOKUP($D40,Résultats!$B$2:$AZ$251,F$2,FALSE)</f>
        <v>#N/A</v>
      </c>
      <c r="G40" s="31" t="e">
        <f>VLOOKUP($D40,Résultats!$B$2:$AZ$251,G$2,FALSE)</f>
        <v>#N/A</v>
      </c>
      <c r="H40" s="31" t="e">
        <f>VLOOKUP($D40,Résultats!$B$2:$AZ$251,H$2,FALSE)</f>
        <v>#N/A</v>
      </c>
      <c r="I40" s="31" t="e">
        <f>VLOOKUP($D40,Résultats!$B$2:$AZ$251,I$2,FALSE)</f>
        <v>#N/A</v>
      </c>
      <c r="J40" s="31" t="e">
        <f>VLOOKUP($D40,Résultats!$B$2:$AZ$251,J$2,FALSE)</f>
        <v>#N/A</v>
      </c>
      <c r="K40" s="31" t="e">
        <f>VLOOKUP($D40,Résultats!$B$2:$AZ$251,K$2,FALSE)</f>
        <v>#N/A</v>
      </c>
      <c r="L40" s="31" t="e">
        <f>VLOOKUP($D40,Résultats!$B$2:$AZ$251,L$2,FALSE)</f>
        <v>#N/A</v>
      </c>
      <c r="M40" s="31" t="e">
        <f>VLOOKUP($D40,Résultats!$B$2:$AZ$251,M$2,FALSE)</f>
        <v>#N/A</v>
      </c>
      <c r="N40" s="31" t="e">
        <f>VLOOKUP($D40,Résultats!$B$2:$AZ$251,N$2,FALSE)</f>
        <v>#N/A</v>
      </c>
      <c r="O40" s="31" t="e">
        <f>VLOOKUP($D40,Résultats!$B$2:$AZ$251,O$2,FALSE)</f>
        <v>#N/A</v>
      </c>
      <c r="P40" s="31" t="e">
        <f>VLOOKUP($D40,Résultats!$B$2:$AZ$251,P$2,FALSE)</f>
        <v>#N/A</v>
      </c>
      <c r="Q40" s="31" t="e">
        <f>VLOOKUP($D40,Résultats!$B$2:$AZ$251,Q$2,FALSE)</f>
        <v>#N/A</v>
      </c>
      <c r="R40" s="31" t="e">
        <f>VLOOKUP($D40,Résultats!$B$2:$AZ$251,R$2,FALSE)</f>
        <v>#N/A</v>
      </c>
      <c r="S40" s="31" t="e">
        <f>VLOOKUP($D40,Résultats!$B$2:$AZ$251,S$2,FALSE)</f>
        <v>#N/A</v>
      </c>
      <c r="T40" s="31" t="e">
        <f>VLOOKUP($D40,Résultats!$B$2:$AZ$251,T$2,FALSE)</f>
        <v>#N/A</v>
      </c>
      <c r="U40" s="31" t="e">
        <f>VLOOKUP($D40,Résultats!$B$2:$AZ$251,U$2,FALSE)</f>
        <v>#N/A</v>
      </c>
      <c r="V40" s="31" t="e">
        <f>VLOOKUP($D40,Résultats!$B$2:$AZ$251,V$2,FALSE)</f>
        <v>#N/A</v>
      </c>
      <c r="W40" s="31" t="e">
        <f>VLOOKUP($D40,Résultats!$B$2:$AZ$251,W$2,FALSE)</f>
        <v>#N/A</v>
      </c>
      <c r="X40" s="31" t="e">
        <f>VLOOKUP($D40,Résultats!$B$2:$AZ$251,X$2,FALSE)</f>
        <v>#N/A</v>
      </c>
      <c r="Y40" s="31" t="e">
        <f>VLOOKUP($D40,Résultats!$B$2:$AZ$251,Y$2,FALSE)</f>
        <v>#N/A</v>
      </c>
      <c r="Z40" s="31" t="e">
        <f>VLOOKUP($D40,Résultats!$B$2:$AZ$251,Z$2,FALSE)</f>
        <v>#N/A</v>
      </c>
      <c r="AA40" s="31" t="e">
        <f>VLOOKUP($D40,Résultats!$B$2:$AZ$251,AA$2,FALSE)</f>
        <v>#N/A</v>
      </c>
      <c r="AB40" s="31" t="e">
        <f>VLOOKUP($D40,Résultats!$B$2:$AZ$251,AB$2,FALSE)</f>
        <v>#N/A</v>
      </c>
      <c r="AC40" s="31" t="e">
        <f>VLOOKUP($D40,Résultats!$B$2:$AZ$251,AC$2,FALSE)</f>
        <v>#N/A</v>
      </c>
      <c r="AD40" s="31" t="e">
        <f>VLOOKUP($D40,Résultats!$B$2:$AZ$251,AD$2,FALSE)</f>
        <v>#N/A</v>
      </c>
      <c r="AE40" s="31" t="e">
        <f>VLOOKUP($D40,Résultats!$B$2:$AZ$251,AE$2,FALSE)</f>
        <v>#N/A</v>
      </c>
      <c r="AF40" s="31" t="e">
        <f>VLOOKUP($D40,Résultats!$B$2:$AZ$251,AF$2,FALSE)</f>
        <v>#N/A</v>
      </c>
      <c r="AG40" s="31" t="e">
        <f>VLOOKUP($D40,Résultats!$B$2:$AZ$251,AG$2,FALSE)</f>
        <v>#N/A</v>
      </c>
      <c r="AH40" s="31" t="e">
        <f>VLOOKUP($D40,Résultats!$B$2:$AZ$251,AH$2,FALSE)</f>
        <v>#N/A</v>
      </c>
      <c r="AI40" s="31" t="e">
        <f>VLOOKUP($D40,Résultats!$B$2:$AZ$251,AI$2,FALSE)</f>
        <v>#N/A</v>
      </c>
      <c r="AJ40" s="31" t="e">
        <f>VLOOKUP($D40,Résultats!$B$2:$AZ$251,AJ$2,FALSE)</f>
        <v>#N/A</v>
      </c>
      <c r="AK40" s="31" t="e">
        <f>VLOOKUP($D40,Résultats!$B$2:$AZ$251,AK$2,FALSE)</f>
        <v>#N/A</v>
      </c>
      <c r="AL40" s="31" t="e">
        <f>VLOOKUP($D40,Résultats!$B$2:$AZ$251,AL$2,FALSE)</f>
        <v>#N/A</v>
      </c>
      <c r="AM40" s="31" t="e">
        <f>VLOOKUP($D40,Résultats!$B$2:$AZ$251,AM$2,FALSE)</f>
        <v>#N/A</v>
      </c>
    </row>
    <row r="41" spans="2:39" x14ac:dyDescent="0.25">
      <c r="C41" s="56" t="s">
        <v>32</v>
      </c>
      <c r="D41" s="3" t="s">
        <v>71</v>
      </c>
      <c r="E41" s="31" t="e">
        <f>VLOOKUP($D41,Résultats!$B$2:$AZ$251,E$2,FALSE)</f>
        <v>#N/A</v>
      </c>
      <c r="F41" s="31" t="e">
        <f>VLOOKUP($D41,Résultats!$B$2:$AZ$251,F$2,FALSE)</f>
        <v>#N/A</v>
      </c>
      <c r="G41" s="31" t="e">
        <f>VLOOKUP($D41,Résultats!$B$2:$AZ$251,G$2,FALSE)</f>
        <v>#N/A</v>
      </c>
      <c r="H41" s="31" t="e">
        <f>VLOOKUP($D41,Résultats!$B$2:$AZ$251,H$2,FALSE)</f>
        <v>#N/A</v>
      </c>
      <c r="I41" s="31" t="e">
        <f>VLOOKUP($D41,Résultats!$B$2:$AZ$251,I$2,FALSE)</f>
        <v>#N/A</v>
      </c>
      <c r="J41" s="31" t="e">
        <f>VLOOKUP($D41,Résultats!$B$2:$AZ$251,J$2,FALSE)</f>
        <v>#N/A</v>
      </c>
      <c r="K41" s="31" t="e">
        <f>VLOOKUP($D41,Résultats!$B$2:$AZ$251,K$2,FALSE)</f>
        <v>#N/A</v>
      </c>
      <c r="L41" s="31" t="e">
        <f>VLOOKUP($D41,Résultats!$B$2:$AZ$251,L$2,FALSE)</f>
        <v>#N/A</v>
      </c>
      <c r="M41" s="31" t="e">
        <f>VLOOKUP($D41,Résultats!$B$2:$AZ$251,M$2,FALSE)</f>
        <v>#N/A</v>
      </c>
      <c r="N41" s="31" t="e">
        <f>VLOOKUP($D41,Résultats!$B$2:$AZ$251,N$2,FALSE)</f>
        <v>#N/A</v>
      </c>
      <c r="O41" s="31" t="e">
        <f>VLOOKUP($D41,Résultats!$B$2:$AZ$251,O$2,FALSE)</f>
        <v>#N/A</v>
      </c>
      <c r="P41" s="31" t="e">
        <f>VLOOKUP($D41,Résultats!$B$2:$AZ$251,P$2,FALSE)</f>
        <v>#N/A</v>
      </c>
      <c r="Q41" s="31" t="e">
        <f>VLOOKUP($D41,Résultats!$B$2:$AZ$251,Q$2,FALSE)</f>
        <v>#N/A</v>
      </c>
      <c r="R41" s="31" t="e">
        <f>VLOOKUP($D41,Résultats!$B$2:$AZ$251,R$2,FALSE)</f>
        <v>#N/A</v>
      </c>
      <c r="S41" s="31" t="e">
        <f>VLOOKUP($D41,Résultats!$B$2:$AZ$251,S$2,FALSE)</f>
        <v>#N/A</v>
      </c>
      <c r="T41" s="31" t="e">
        <f>VLOOKUP($D41,Résultats!$B$2:$AZ$251,T$2,FALSE)</f>
        <v>#N/A</v>
      </c>
      <c r="U41" s="31" t="e">
        <f>VLOOKUP($D41,Résultats!$B$2:$AZ$251,U$2,FALSE)</f>
        <v>#N/A</v>
      </c>
      <c r="V41" s="31" t="e">
        <f>VLOOKUP($D41,Résultats!$B$2:$AZ$251,V$2,FALSE)</f>
        <v>#N/A</v>
      </c>
      <c r="W41" s="31" t="e">
        <f>VLOOKUP($D41,Résultats!$B$2:$AZ$251,W$2,FALSE)</f>
        <v>#N/A</v>
      </c>
      <c r="X41" s="31" t="e">
        <f>VLOOKUP($D41,Résultats!$B$2:$AZ$251,X$2,FALSE)</f>
        <v>#N/A</v>
      </c>
      <c r="Y41" s="31" t="e">
        <f>VLOOKUP($D41,Résultats!$B$2:$AZ$251,Y$2,FALSE)</f>
        <v>#N/A</v>
      </c>
      <c r="Z41" s="31" t="e">
        <f>VLOOKUP($D41,Résultats!$B$2:$AZ$251,Z$2,FALSE)</f>
        <v>#N/A</v>
      </c>
      <c r="AA41" s="31" t="e">
        <f>VLOOKUP($D41,Résultats!$B$2:$AZ$251,AA$2,FALSE)</f>
        <v>#N/A</v>
      </c>
      <c r="AB41" s="31" t="e">
        <f>VLOOKUP($D41,Résultats!$B$2:$AZ$251,AB$2,FALSE)</f>
        <v>#N/A</v>
      </c>
      <c r="AC41" s="31" t="e">
        <f>VLOOKUP($D41,Résultats!$B$2:$AZ$251,AC$2,FALSE)</f>
        <v>#N/A</v>
      </c>
      <c r="AD41" s="31" t="e">
        <f>VLOOKUP($D41,Résultats!$B$2:$AZ$251,AD$2,FALSE)</f>
        <v>#N/A</v>
      </c>
      <c r="AE41" s="31" t="e">
        <f>VLOOKUP($D41,Résultats!$B$2:$AZ$251,AE$2,FALSE)</f>
        <v>#N/A</v>
      </c>
      <c r="AF41" s="31" t="e">
        <f>VLOOKUP($D41,Résultats!$B$2:$AZ$251,AF$2,FALSE)</f>
        <v>#N/A</v>
      </c>
      <c r="AG41" s="31" t="e">
        <f>VLOOKUP($D41,Résultats!$B$2:$AZ$251,AG$2,FALSE)</f>
        <v>#N/A</v>
      </c>
      <c r="AH41" s="31" t="e">
        <f>VLOOKUP($D41,Résultats!$B$2:$AZ$251,AH$2,FALSE)</f>
        <v>#N/A</v>
      </c>
      <c r="AI41" s="31" t="e">
        <f>VLOOKUP($D41,Résultats!$B$2:$AZ$251,AI$2,FALSE)</f>
        <v>#N/A</v>
      </c>
      <c r="AJ41" s="31" t="e">
        <f>VLOOKUP($D41,Résultats!$B$2:$AZ$251,AJ$2,FALSE)</f>
        <v>#N/A</v>
      </c>
      <c r="AK41" s="31" t="e">
        <f>VLOOKUP($D41,Résultats!$B$2:$AZ$251,AK$2,FALSE)</f>
        <v>#N/A</v>
      </c>
      <c r="AL41" s="31" t="e">
        <f>VLOOKUP($D41,Résultats!$B$2:$AZ$251,AL$2,FALSE)</f>
        <v>#N/A</v>
      </c>
      <c r="AM41" s="31" t="e">
        <f>VLOOKUP($D41,Résultats!$B$2:$AZ$251,AM$2,FALSE)</f>
        <v>#N/A</v>
      </c>
    </row>
    <row r="42" spans="2:39" x14ac:dyDescent="0.25">
      <c r="C42" s="80" t="s">
        <v>33</v>
      </c>
      <c r="D42" s="7" t="s">
        <v>72</v>
      </c>
      <c r="E42" s="81" t="e">
        <f>VLOOKUP($D42,Résultats!$B$2:$AZ$251,E$2,FALSE)</f>
        <v>#N/A</v>
      </c>
      <c r="F42" s="81" t="e">
        <f>VLOOKUP($D42,Résultats!$B$2:$AZ$251,F$2,FALSE)</f>
        <v>#N/A</v>
      </c>
      <c r="G42" s="81" t="e">
        <f>VLOOKUP($D42,Résultats!$B$2:$AZ$251,G$2,FALSE)</f>
        <v>#N/A</v>
      </c>
      <c r="H42" s="81" t="e">
        <f>VLOOKUP($D42,Résultats!$B$2:$AZ$251,H$2,FALSE)</f>
        <v>#N/A</v>
      </c>
      <c r="I42" s="81" t="e">
        <f>VLOOKUP($D42,Résultats!$B$2:$AZ$251,I$2,FALSE)</f>
        <v>#N/A</v>
      </c>
      <c r="J42" s="81" t="e">
        <f>VLOOKUP($D42,Résultats!$B$2:$AZ$251,J$2,FALSE)</f>
        <v>#N/A</v>
      </c>
      <c r="K42" s="81" t="e">
        <f>VLOOKUP($D42,Résultats!$B$2:$AZ$251,K$2,FALSE)</f>
        <v>#N/A</v>
      </c>
      <c r="L42" s="81" t="e">
        <f>VLOOKUP($D42,Résultats!$B$2:$AZ$251,L$2,FALSE)</f>
        <v>#N/A</v>
      </c>
      <c r="M42" s="81" t="e">
        <f>VLOOKUP($D42,Résultats!$B$2:$AZ$251,M$2,FALSE)</f>
        <v>#N/A</v>
      </c>
      <c r="N42" s="81" t="e">
        <f>VLOOKUP($D42,Résultats!$B$2:$AZ$251,N$2,FALSE)</f>
        <v>#N/A</v>
      </c>
      <c r="O42" s="81" t="e">
        <f>VLOOKUP($D42,Résultats!$B$2:$AZ$251,O$2,FALSE)</f>
        <v>#N/A</v>
      </c>
      <c r="P42" s="81" t="e">
        <f>VLOOKUP($D42,Résultats!$B$2:$AZ$251,P$2,FALSE)</f>
        <v>#N/A</v>
      </c>
      <c r="Q42" s="81" t="e">
        <f>VLOOKUP($D42,Résultats!$B$2:$AZ$251,Q$2,FALSE)</f>
        <v>#N/A</v>
      </c>
      <c r="R42" s="81" t="e">
        <f>VLOOKUP($D42,Résultats!$B$2:$AZ$251,R$2,FALSE)</f>
        <v>#N/A</v>
      </c>
      <c r="S42" s="81" t="e">
        <f>VLOOKUP($D42,Résultats!$B$2:$AZ$251,S$2,FALSE)</f>
        <v>#N/A</v>
      </c>
      <c r="T42" s="81" t="e">
        <f>VLOOKUP($D42,Résultats!$B$2:$AZ$251,T$2,FALSE)</f>
        <v>#N/A</v>
      </c>
      <c r="U42" s="81" t="e">
        <f>VLOOKUP($D42,Résultats!$B$2:$AZ$251,U$2,FALSE)</f>
        <v>#N/A</v>
      </c>
      <c r="V42" s="81" t="e">
        <f>VLOOKUP($D42,Résultats!$B$2:$AZ$251,V$2,FALSE)</f>
        <v>#N/A</v>
      </c>
      <c r="W42" s="81" t="e">
        <f>VLOOKUP($D42,Résultats!$B$2:$AZ$251,W$2,FALSE)</f>
        <v>#N/A</v>
      </c>
      <c r="X42" s="81" t="e">
        <f>VLOOKUP($D42,Résultats!$B$2:$AZ$251,X$2,FALSE)</f>
        <v>#N/A</v>
      </c>
      <c r="Y42" s="81" t="e">
        <f>VLOOKUP($D42,Résultats!$B$2:$AZ$251,Y$2,FALSE)</f>
        <v>#N/A</v>
      </c>
      <c r="Z42" s="81" t="e">
        <f>VLOOKUP($D42,Résultats!$B$2:$AZ$251,Z$2,FALSE)</f>
        <v>#N/A</v>
      </c>
      <c r="AA42" s="81" t="e">
        <f>VLOOKUP($D42,Résultats!$B$2:$AZ$251,AA$2,FALSE)</f>
        <v>#N/A</v>
      </c>
      <c r="AB42" s="81" t="e">
        <f>VLOOKUP($D42,Résultats!$B$2:$AZ$251,AB$2,FALSE)</f>
        <v>#N/A</v>
      </c>
      <c r="AC42" s="81" t="e">
        <f>VLOOKUP($D42,Résultats!$B$2:$AZ$251,AC$2,FALSE)</f>
        <v>#N/A</v>
      </c>
      <c r="AD42" s="81" t="e">
        <f>VLOOKUP($D42,Résultats!$B$2:$AZ$251,AD$2,FALSE)</f>
        <v>#N/A</v>
      </c>
      <c r="AE42" s="81" t="e">
        <f>VLOOKUP($D42,Résultats!$B$2:$AZ$251,AE$2,FALSE)</f>
        <v>#N/A</v>
      </c>
      <c r="AF42" s="81" t="e">
        <f>VLOOKUP($D42,Résultats!$B$2:$AZ$251,AF$2,FALSE)</f>
        <v>#N/A</v>
      </c>
      <c r="AG42" s="81" t="e">
        <f>VLOOKUP($D42,Résultats!$B$2:$AZ$251,AG$2,FALSE)</f>
        <v>#N/A</v>
      </c>
      <c r="AH42" s="81" t="e">
        <f>VLOOKUP($D42,Résultats!$B$2:$AZ$251,AH$2,FALSE)</f>
        <v>#N/A</v>
      </c>
      <c r="AI42" s="81" t="e">
        <f>VLOOKUP($D42,Résultats!$B$2:$AZ$251,AI$2,FALSE)</f>
        <v>#N/A</v>
      </c>
      <c r="AJ42" s="81" t="e">
        <f>VLOOKUP($D42,Résultats!$B$2:$AZ$251,AJ$2,FALSE)</f>
        <v>#N/A</v>
      </c>
      <c r="AK42" s="81" t="e">
        <f>VLOOKUP($D42,Résultats!$B$2:$AZ$251,AK$2,FALSE)</f>
        <v>#N/A</v>
      </c>
      <c r="AL42" s="81" t="e">
        <f>VLOOKUP($D42,Résultats!$B$2:$AZ$251,AL$2,FALSE)</f>
        <v>#N/A</v>
      </c>
      <c r="AM42" s="81" t="e">
        <f>VLOOKUP($D42,Résultats!$B$2:$AZ$251,AM$2,FALSE)</f>
        <v>#N/A</v>
      </c>
    </row>
    <row r="43" spans="2:39" x14ac:dyDescent="0.25">
      <c r="C43" s="56"/>
      <c r="D43" s="3"/>
      <c r="E43" s="127"/>
      <c r="F43" s="127"/>
      <c r="G43" s="127"/>
      <c r="H43" s="127"/>
      <c r="I43" s="127"/>
      <c r="J43" s="126"/>
      <c r="K43" s="31"/>
      <c r="L43" s="31"/>
      <c r="M43" s="31"/>
      <c r="N43" s="127"/>
      <c r="O43" s="126"/>
      <c r="P43" s="31"/>
      <c r="Q43" s="31"/>
      <c r="R43" s="31"/>
      <c r="S43" s="127"/>
      <c r="T43" s="127"/>
      <c r="U43" s="127"/>
      <c r="V43" s="127"/>
      <c r="W43" s="127"/>
      <c r="X43" s="31"/>
      <c r="Y43" s="31"/>
      <c r="Z43" s="31"/>
      <c r="AA43" s="31"/>
      <c r="AB43" s="31"/>
      <c r="AC43" s="130"/>
      <c r="AD43" s="130"/>
      <c r="AE43" s="130"/>
      <c r="AF43" s="130"/>
      <c r="AG43" s="130"/>
      <c r="AH43" s="31"/>
      <c r="AI43" s="31"/>
      <c r="AJ43" s="31"/>
      <c r="AK43" s="31"/>
      <c r="AL43" s="31"/>
      <c r="AM43" s="130"/>
    </row>
    <row r="44" spans="2:39" x14ac:dyDescent="0.25">
      <c r="B44" s="23" t="s">
        <v>163</v>
      </c>
      <c r="C44" s="82" t="s">
        <v>134</v>
      </c>
      <c r="D44" s="82" t="s">
        <v>45</v>
      </c>
      <c r="E44" s="124" t="e">
        <f>VLOOKUP($D49,Résultats!$B$2:$AZ$212,E$2,FALSE)</f>
        <v>#N/A</v>
      </c>
      <c r="F44" s="124" t="e">
        <f>VLOOKUP($D49,Résultats!$B$2:$AZ$212,F$2,FALSE)</f>
        <v>#N/A</v>
      </c>
      <c r="G44" s="124" t="e">
        <f>VLOOKUP($D49,Résultats!$B$2:$AZ$212,G$2,FALSE)</f>
        <v>#N/A</v>
      </c>
      <c r="H44" s="124" t="e">
        <f>VLOOKUP($D49,Résultats!$B$2:$AZ$212,H$2,FALSE)</f>
        <v>#N/A</v>
      </c>
      <c r="I44" s="124" t="e">
        <f>VLOOKUP($D49,Résultats!$B$2:$AZ$212,I$2,FALSE)</f>
        <v>#N/A</v>
      </c>
      <c r="J44" s="124" t="e">
        <f>VLOOKUP($D49,Résultats!$B$2:$AZ$212,J$2,FALSE)</f>
        <v>#N/A</v>
      </c>
      <c r="K44" s="124" t="e">
        <f>VLOOKUP($D49,Résultats!$B$2:$AZ$212,K$2,FALSE)</f>
        <v>#N/A</v>
      </c>
      <c r="L44" s="124" t="e">
        <f>VLOOKUP($D49,Résultats!$B$2:$AZ$212,L$2,FALSE)</f>
        <v>#N/A</v>
      </c>
      <c r="M44" s="124" t="e">
        <f>VLOOKUP($D49,Résultats!$B$2:$AZ$212,M$2,FALSE)</f>
        <v>#N/A</v>
      </c>
      <c r="N44" s="124" t="e">
        <f>VLOOKUP($D49,Résultats!$B$2:$AZ$212,N$2,FALSE)</f>
        <v>#N/A</v>
      </c>
      <c r="O44" s="124" t="e">
        <f>VLOOKUP($D49,Résultats!$B$2:$AZ$212,O$2,FALSE)</f>
        <v>#N/A</v>
      </c>
      <c r="P44" s="124" t="e">
        <f>VLOOKUP($D49,Résultats!$B$2:$AZ$212,P$2,FALSE)</f>
        <v>#N/A</v>
      </c>
      <c r="Q44" s="124" t="e">
        <f>VLOOKUP($D49,Résultats!$B$2:$AZ$212,Q$2,FALSE)</f>
        <v>#N/A</v>
      </c>
      <c r="R44" s="124" t="e">
        <f>VLOOKUP($D49,Résultats!$B$2:$AZ$212,R$2,FALSE)</f>
        <v>#N/A</v>
      </c>
      <c r="S44" s="124" t="e">
        <f>VLOOKUP($D49,Résultats!$B$2:$AZ$212,S$2,FALSE)</f>
        <v>#N/A</v>
      </c>
      <c r="T44" s="124" t="e">
        <f>VLOOKUP($D49,Résultats!$B$2:$AZ$212,T$2,FALSE)</f>
        <v>#N/A</v>
      </c>
      <c r="U44" s="124" t="e">
        <f>VLOOKUP($D49,Résultats!$B$2:$AZ$212,U$2,FALSE)</f>
        <v>#N/A</v>
      </c>
      <c r="V44" s="124" t="e">
        <f>VLOOKUP($D49,Résultats!$B$2:$AZ$212,V$2,FALSE)</f>
        <v>#N/A</v>
      </c>
      <c r="W44" s="124" t="e">
        <f>VLOOKUP($D49,Résultats!$B$2:$AZ$212,W$2,FALSE)</f>
        <v>#N/A</v>
      </c>
      <c r="X44" s="124" t="e">
        <f>VLOOKUP($D49,Résultats!$B$2:$AZ$212,X$2,FALSE)</f>
        <v>#N/A</v>
      </c>
      <c r="Y44" s="124" t="e">
        <f>VLOOKUP($D49,Résultats!$B$2:$AZ$212,Y$2,FALSE)</f>
        <v>#N/A</v>
      </c>
      <c r="Z44" s="124" t="e">
        <f>VLOOKUP($D49,Résultats!$B$2:$AZ$212,Z$2,FALSE)</f>
        <v>#N/A</v>
      </c>
      <c r="AA44" s="124" t="e">
        <f>VLOOKUP($D49,Résultats!$B$2:$AZ$212,AA$2,FALSE)</f>
        <v>#N/A</v>
      </c>
      <c r="AB44" s="124" t="e">
        <f>VLOOKUP($D49,Résultats!$B$2:$AZ$212,AB$2,FALSE)</f>
        <v>#N/A</v>
      </c>
      <c r="AC44" s="124" t="e">
        <f>VLOOKUP($D49,Résultats!$B$2:$AZ$212,AC$2,FALSE)</f>
        <v>#N/A</v>
      </c>
      <c r="AD44" s="124" t="e">
        <f>VLOOKUP($D49,Résultats!$B$2:$AZ$212,AD$2,FALSE)</f>
        <v>#N/A</v>
      </c>
      <c r="AE44" s="124" t="e">
        <f>VLOOKUP($D49,Résultats!$B$2:$AZ$212,AE$2,FALSE)</f>
        <v>#N/A</v>
      </c>
      <c r="AF44" s="124" t="e">
        <f>VLOOKUP($D49,Résultats!$B$2:$AZ$212,AF$2,FALSE)</f>
        <v>#N/A</v>
      </c>
      <c r="AG44" s="124" t="e">
        <f>VLOOKUP($D49,Résultats!$B$2:$AZ$212,AG$2,FALSE)</f>
        <v>#N/A</v>
      </c>
      <c r="AH44" s="124" t="e">
        <f>VLOOKUP($D49,Résultats!$B$2:$AZ$212,AH$2,FALSE)</f>
        <v>#N/A</v>
      </c>
      <c r="AI44" s="124" t="e">
        <f>VLOOKUP($D49,Résultats!$B$2:$AZ$212,AI$2,FALSE)</f>
        <v>#N/A</v>
      </c>
      <c r="AJ44" s="124" t="e">
        <f>VLOOKUP($D49,Résultats!$B$2:$AZ$212,AJ$2,FALSE)</f>
        <v>#N/A</v>
      </c>
      <c r="AK44" s="124" t="e">
        <f>VLOOKUP($D49,Résultats!$B$2:$AZ$212,AK$2,FALSE)</f>
        <v>#N/A</v>
      </c>
      <c r="AL44" s="124" t="e">
        <f>VLOOKUP($D49,Résultats!$B$2:$AZ$212,AL$2,FALSE)</f>
        <v>#N/A</v>
      </c>
      <c r="AM44" s="124" t="e">
        <f>VLOOKUP($D49,Résultats!$B$2:$AZ$212,AM$2,FALSE)</f>
        <v>#N/A</v>
      </c>
    </row>
    <row r="45" spans="2:39" x14ac:dyDescent="0.25">
      <c r="C45" s="56" t="s">
        <v>8</v>
      </c>
      <c r="D45" s="78" t="s">
        <v>60</v>
      </c>
      <c r="E45" s="31" t="e">
        <f>VLOOKUP($D45,Résultats!$B$2:$AZ$212,E$2,FALSE)</f>
        <v>#N/A</v>
      </c>
      <c r="F45" s="31" t="e">
        <f>VLOOKUP($D45,Résultats!$B$2:$AZ$212,F$2,FALSE)</f>
        <v>#N/A</v>
      </c>
      <c r="G45" s="31" t="e">
        <f>VLOOKUP($D45,Résultats!$B$2:$AZ$212,G$2,FALSE)</f>
        <v>#N/A</v>
      </c>
      <c r="H45" s="31" t="e">
        <f>VLOOKUP($D45,Résultats!$B$2:$AZ$212,H$2,FALSE)</f>
        <v>#N/A</v>
      </c>
      <c r="I45" s="31" t="e">
        <f>VLOOKUP($D45,Résultats!$B$2:$AZ$212,I$2,FALSE)</f>
        <v>#N/A</v>
      </c>
      <c r="J45" s="31" t="e">
        <f>VLOOKUP($D45,Résultats!$B$2:$AZ$212,J$2,FALSE)</f>
        <v>#N/A</v>
      </c>
      <c r="K45" s="31" t="e">
        <f>VLOOKUP($D45,Résultats!$B$2:$AZ$212,K$2,FALSE)</f>
        <v>#N/A</v>
      </c>
      <c r="L45" s="31" t="e">
        <f>VLOOKUP($D45,Résultats!$B$2:$AZ$212,L$2,FALSE)</f>
        <v>#N/A</v>
      </c>
      <c r="M45" s="31" t="e">
        <f>VLOOKUP($D45,Résultats!$B$2:$AZ$212,M$2,FALSE)</f>
        <v>#N/A</v>
      </c>
      <c r="N45" s="31" t="e">
        <f>VLOOKUP($D45,Résultats!$B$2:$AZ$212,N$2,FALSE)</f>
        <v>#N/A</v>
      </c>
      <c r="O45" s="31" t="e">
        <f>VLOOKUP($D45,Résultats!$B$2:$AZ$212,O$2,FALSE)</f>
        <v>#N/A</v>
      </c>
      <c r="P45" s="31" t="e">
        <f>VLOOKUP($D45,Résultats!$B$2:$AZ$212,P$2,FALSE)</f>
        <v>#N/A</v>
      </c>
      <c r="Q45" s="31" t="e">
        <f>VLOOKUP($D45,Résultats!$B$2:$AZ$212,Q$2,FALSE)</f>
        <v>#N/A</v>
      </c>
      <c r="R45" s="31" t="e">
        <f>VLOOKUP($D45,Résultats!$B$2:$AZ$212,R$2,FALSE)</f>
        <v>#N/A</v>
      </c>
      <c r="S45" s="31" t="e">
        <f>VLOOKUP($D45,Résultats!$B$2:$AZ$212,S$2,FALSE)</f>
        <v>#N/A</v>
      </c>
      <c r="T45" s="31" t="e">
        <f>VLOOKUP($D45,Résultats!$B$2:$AZ$212,T$2,FALSE)</f>
        <v>#N/A</v>
      </c>
      <c r="U45" s="31" t="e">
        <f>VLOOKUP($D45,Résultats!$B$2:$AZ$212,U$2,FALSE)</f>
        <v>#N/A</v>
      </c>
      <c r="V45" s="31" t="e">
        <f>VLOOKUP($D45,Résultats!$B$2:$AZ$212,V$2,FALSE)</f>
        <v>#N/A</v>
      </c>
      <c r="W45" s="31" t="e">
        <f>VLOOKUP($D45,Résultats!$B$2:$AZ$212,W$2,FALSE)</f>
        <v>#N/A</v>
      </c>
      <c r="X45" s="31" t="e">
        <f>VLOOKUP($D45,Résultats!$B$2:$AZ$212,X$2,FALSE)</f>
        <v>#N/A</v>
      </c>
      <c r="Y45" s="31" t="e">
        <f>VLOOKUP($D45,Résultats!$B$2:$AZ$212,Y$2,FALSE)</f>
        <v>#N/A</v>
      </c>
      <c r="Z45" s="31" t="e">
        <f>VLOOKUP($D45,Résultats!$B$2:$AZ$212,Z$2,FALSE)</f>
        <v>#N/A</v>
      </c>
      <c r="AA45" s="31" t="e">
        <f>VLOOKUP($D45,Résultats!$B$2:$AZ$212,AA$2,FALSE)</f>
        <v>#N/A</v>
      </c>
      <c r="AB45" s="31" t="e">
        <f>VLOOKUP($D45,Résultats!$B$2:$AZ$212,AB$2,FALSE)</f>
        <v>#N/A</v>
      </c>
      <c r="AC45" s="31" t="e">
        <f>VLOOKUP($D45,Résultats!$B$2:$AZ$212,AC$2,FALSE)</f>
        <v>#N/A</v>
      </c>
      <c r="AD45" s="31" t="e">
        <f>VLOOKUP($D45,Résultats!$B$2:$AZ$212,AD$2,FALSE)</f>
        <v>#N/A</v>
      </c>
      <c r="AE45" s="31" t="e">
        <f>VLOOKUP($D45,Résultats!$B$2:$AZ$212,AE$2,FALSE)</f>
        <v>#N/A</v>
      </c>
      <c r="AF45" s="31" t="e">
        <f>VLOOKUP($D45,Résultats!$B$2:$AZ$212,AF$2,FALSE)</f>
        <v>#N/A</v>
      </c>
      <c r="AG45" s="31" t="e">
        <f>VLOOKUP($D45,Résultats!$B$2:$AZ$212,AG$2,FALSE)</f>
        <v>#N/A</v>
      </c>
      <c r="AH45" s="31" t="e">
        <f>VLOOKUP($D45,Résultats!$B$2:$AZ$212,AH$2,FALSE)</f>
        <v>#N/A</v>
      </c>
      <c r="AI45" s="31" t="e">
        <f>VLOOKUP($D45,Résultats!$B$2:$AZ$212,AI$2,FALSE)</f>
        <v>#N/A</v>
      </c>
      <c r="AJ45" s="31" t="e">
        <f>VLOOKUP($D45,Résultats!$B$2:$AZ$212,AJ$2,FALSE)</f>
        <v>#N/A</v>
      </c>
      <c r="AK45" s="31" t="e">
        <f>VLOOKUP($D45,Résultats!$B$2:$AZ$212,AK$2,FALSE)</f>
        <v>#N/A</v>
      </c>
      <c r="AL45" s="31" t="e">
        <f>VLOOKUP($D45,Résultats!$B$2:$AZ$212,AL$2,FALSE)</f>
        <v>#N/A</v>
      </c>
      <c r="AM45" s="31" t="e">
        <f>VLOOKUP($D45,Résultats!$B$2:$AZ$212,AM$2,FALSE)</f>
        <v>#N/A</v>
      </c>
    </row>
    <row r="46" spans="2:39" x14ac:dyDescent="0.25">
      <c r="C46" s="56" t="s">
        <v>6</v>
      </c>
      <c r="D46" s="3" t="s">
        <v>61</v>
      </c>
      <c r="E46" s="31" t="e">
        <f>VLOOKUP($D46,Résultats!$B$2:$AZ$212,E$2,FALSE)</f>
        <v>#N/A</v>
      </c>
      <c r="F46" s="31" t="e">
        <f>VLOOKUP($D46,Résultats!$B$2:$AZ$212,F$2,FALSE)</f>
        <v>#N/A</v>
      </c>
      <c r="G46" s="31" t="e">
        <f>VLOOKUP($D46,Résultats!$B$2:$AZ$212,G$2,FALSE)</f>
        <v>#N/A</v>
      </c>
      <c r="H46" s="31" t="e">
        <f>VLOOKUP($D46,Résultats!$B$2:$AZ$212,H$2,FALSE)</f>
        <v>#N/A</v>
      </c>
      <c r="I46" s="31" t="e">
        <f>VLOOKUP($D46,Résultats!$B$2:$AZ$212,I$2,FALSE)</f>
        <v>#N/A</v>
      </c>
      <c r="J46" s="31" t="e">
        <f>VLOOKUP($D46,Résultats!$B$2:$AZ$212,J$2,FALSE)</f>
        <v>#N/A</v>
      </c>
      <c r="K46" s="31" t="e">
        <f>VLOOKUP($D46,Résultats!$B$2:$AZ$212,K$2,FALSE)</f>
        <v>#N/A</v>
      </c>
      <c r="L46" s="31" t="e">
        <f>VLOOKUP($D46,Résultats!$B$2:$AZ$212,L$2,FALSE)</f>
        <v>#N/A</v>
      </c>
      <c r="M46" s="31" t="e">
        <f>VLOOKUP($D46,Résultats!$B$2:$AZ$212,M$2,FALSE)</f>
        <v>#N/A</v>
      </c>
      <c r="N46" s="31" t="e">
        <f>VLOOKUP($D46,Résultats!$B$2:$AZ$212,N$2,FALSE)</f>
        <v>#N/A</v>
      </c>
      <c r="O46" s="31" t="e">
        <f>VLOOKUP($D46,Résultats!$B$2:$AZ$212,O$2,FALSE)</f>
        <v>#N/A</v>
      </c>
      <c r="P46" s="31" t="e">
        <f>VLOOKUP($D46,Résultats!$B$2:$AZ$212,P$2,FALSE)</f>
        <v>#N/A</v>
      </c>
      <c r="Q46" s="31" t="e">
        <f>VLOOKUP($D46,Résultats!$B$2:$AZ$212,Q$2,FALSE)</f>
        <v>#N/A</v>
      </c>
      <c r="R46" s="31" t="e">
        <f>VLOOKUP($D46,Résultats!$B$2:$AZ$212,R$2,FALSE)</f>
        <v>#N/A</v>
      </c>
      <c r="S46" s="31" t="e">
        <f>VLOOKUP($D46,Résultats!$B$2:$AZ$212,S$2,FALSE)</f>
        <v>#N/A</v>
      </c>
      <c r="T46" s="31" t="e">
        <f>VLOOKUP($D46,Résultats!$B$2:$AZ$212,T$2,FALSE)</f>
        <v>#N/A</v>
      </c>
      <c r="U46" s="31" t="e">
        <f>VLOOKUP($D46,Résultats!$B$2:$AZ$212,U$2,FALSE)</f>
        <v>#N/A</v>
      </c>
      <c r="V46" s="31" t="e">
        <f>VLOOKUP($D46,Résultats!$B$2:$AZ$212,V$2,FALSE)</f>
        <v>#N/A</v>
      </c>
      <c r="W46" s="31" t="e">
        <f>VLOOKUP($D46,Résultats!$B$2:$AZ$212,W$2,FALSE)</f>
        <v>#N/A</v>
      </c>
      <c r="X46" s="31" t="e">
        <f>VLOOKUP($D46,Résultats!$B$2:$AZ$212,X$2,FALSE)</f>
        <v>#N/A</v>
      </c>
      <c r="Y46" s="31" t="e">
        <f>VLOOKUP($D46,Résultats!$B$2:$AZ$212,Y$2,FALSE)</f>
        <v>#N/A</v>
      </c>
      <c r="Z46" s="31" t="e">
        <f>VLOOKUP($D46,Résultats!$B$2:$AZ$212,Z$2,FALSE)</f>
        <v>#N/A</v>
      </c>
      <c r="AA46" s="31" t="e">
        <f>VLOOKUP($D46,Résultats!$B$2:$AZ$212,AA$2,FALSE)</f>
        <v>#N/A</v>
      </c>
      <c r="AB46" s="31" t="e">
        <f>VLOOKUP($D46,Résultats!$B$2:$AZ$212,AB$2,FALSE)</f>
        <v>#N/A</v>
      </c>
      <c r="AC46" s="31" t="e">
        <f>VLOOKUP($D46,Résultats!$B$2:$AZ$212,AC$2,FALSE)</f>
        <v>#N/A</v>
      </c>
      <c r="AD46" s="31" t="e">
        <f>VLOOKUP($D46,Résultats!$B$2:$AZ$212,AD$2,FALSE)</f>
        <v>#N/A</v>
      </c>
      <c r="AE46" s="31" t="e">
        <f>VLOOKUP($D46,Résultats!$B$2:$AZ$212,AE$2,FALSE)</f>
        <v>#N/A</v>
      </c>
      <c r="AF46" s="31" t="e">
        <f>VLOOKUP($D46,Résultats!$B$2:$AZ$212,AF$2,FALSE)</f>
        <v>#N/A</v>
      </c>
      <c r="AG46" s="31" t="e">
        <f>VLOOKUP($D46,Résultats!$B$2:$AZ$212,AG$2,FALSE)</f>
        <v>#N/A</v>
      </c>
      <c r="AH46" s="31" t="e">
        <f>VLOOKUP($D46,Résultats!$B$2:$AZ$212,AH$2,FALSE)</f>
        <v>#N/A</v>
      </c>
      <c r="AI46" s="31" t="e">
        <f>VLOOKUP($D46,Résultats!$B$2:$AZ$212,AI$2,FALSE)</f>
        <v>#N/A</v>
      </c>
      <c r="AJ46" s="31" t="e">
        <f>VLOOKUP($D46,Résultats!$B$2:$AZ$212,AJ$2,FALSE)</f>
        <v>#N/A</v>
      </c>
      <c r="AK46" s="31" t="e">
        <f>VLOOKUP($D46,Résultats!$B$2:$AZ$212,AK$2,FALSE)</f>
        <v>#N/A</v>
      </c>
      <c r="AL46" s="31" t="e">
        <f>VLOOKUP($D46,Résultats!$B$2:$AZ$212,AL$2,FALSE)</f>
        <v>#N/A</v>
      </c>
      <c r="AM46" s="31" t="e">
        <f>VLOOKUP($D46,Résultats!$B$2:$AZ$212,AM$2,FALSE)</f>
        <v>#N/A</v>
      </c>
    </row>
    <row r="47" spans="2:39" x14ac:dyDescent="0.25">
      <c r="C47" s="56" t="s">
        <v>34</v>
      </c>
      <c r="D47" s="3" t="s">
        <v>62</v>
      </c>
      <c r="E47" s="31" t="e">
        <f>VLOOKUP($D47,Résultats!$B$2:$AZ$212,E$2,FALSE)</f>
        <v>#N/A</v>
      </c>
      <c r="F47" s="31" t="e">
        <f>VLOOKUP($D47,Résultats!$B$2:$AZ$212,F$2,FALSE)</f>
        <v>#N/A</v>
      </c>
      <c r="G47" s="31" t="e">
        <f>VLOOKUP($D47,Résultats!$B$2:$AZ$212,G$2,FALSE)</f>
        <v>#N/A</v>
      </c>
      <c r="H47" s="31" t="e">
        <f>VLOOKUP($D47,Résultats!$B$2:$AZ$212,H$2,FALSE)</f>
        <v>#N/A</v>
      </c>
      <c r="I47" s="31" t="e">
        <f>VLOOKUP($D47,Résultats!$B$2:$AZ$212,I$2,FALSE)</f>
        <v>#N/A</v>
      </c>
      <c r="J47" s="31" t="e">
        <f>VLOOKUP($D47,Résultats!$B$2:$AZ$212,J$2,FALSE)</f>
        <v>#N/A</v>
      </c>
      <c r="K47" s="31" t="e">
        <f>VLOOKUP($D47,Résultats!$B$2:$AZ$212,K$2,FALSE)</f>
        <v>#N/A</v>
      </c>
      <c r="L47" s="31" t="e">
        <f>VLOOKUP($D47,Résultats!$B$2:$AZ$212,L$2,FALSE)</f>
        <v>#N/A</v>
      </c>
      <c r="M47" s="31" t="e">
        <f>VLOOKUP($D47,Résultats!$B$2:$AZ$212,M$2,FALSE)</f>
        <v>#N/A</v>
      </c>
      <c r="N47" s="31" t="e">
        <f>VLOOKUP($D47,Résultats!$B$2:$AZ$212,N$2,FALSE)</f>
        <v>#N/A</v>
      </c>
      <c r="O47" s="31" t="e">
        <f>VLOOKUP($D47,Résultats!$B$2:$AZ$212,O$2,FALSE)</f>
        <v>#N/A</v>
      </c>
      <c r="P47" s="31" t="e">
        <f>VLOOKUP($D47,Résultats!$B$2:$AZ$212,P$2,FALSE)</f>
        <v>#N/A</v>
      </c>
      <c r="Q47" s="31" t="e">
        <f>VLOOKUP($D47,Résultats!$B$2:$AZ$212,Q$2,FALSE)</f>
        <v>#N/A</v>
      </c>
      <c r="R47" s="31" t="e">
        <f>VLOOKUP($D47,Résultats!$B$2:$AZ$212,R$2,FALSE)</f>
        <v>#N/A</v>
      </c>
      <c r="S47" s="31" t="e">
        <f>VLOOKUP($D47,Résultats!$B$2:$AZ$212,S$2,FALSE)</f>
        <v>#N/A</v>
      </c>
      <c r="T47" s="31" t="e">
        <f>VLOOKUP($D47,Résultats!$B$2:$AZ$212,T$2,FALSE)</f>
        <v>#N/A</v>
      </c>
      <c r="U47" s="31" t="e">
        <f>VLOOKUP($D47,Résultats!$B$2:$AZ$212,U$2,FALSE)</f>
        <v>#N/A</v>
      </c>
      <c r="V47" s="31" t="e">
        <f>VLOOKUP($D47,Résultats!$B$2:$AZ$212,V$2,FALSE)</f>
        <v>#N/A</v>
      </c>
      <c r="W47" s="31" t="e">
        <f>VLOOKUP($D47,Résultats!$B$2:$AZ$212,W$2,FALSE)</f>
        <v>#N/A</v>
      </c>
      <c r="X47" s="31" t="e">
        <f>VLOOKUP($D47,Résultats!$B$2:$AZ$212,X$2,FALSE)</f>
        <v>#N/A</v>
      </c>
      <c r="Y47" s="31" t="e">
        <f>VLOOKUP($D47,Résultats!$B$2:$AZ$212,Y$2,FALSE)</f>
        <v>#N/A</v>
      </c>
      <c r="Z47" s="31" t="e">
        <f>VLOOKUP($D47,Résultats!$B$2:$AZ$212,Z$2,FALSE)</f>
        <v>#N/A</v>
      </c>
      <c r="AA47" s="31" t="e">
        <f>VLOOKUP($D47,Résultats!$B$2:$AZ$212,AA$2,FALSE)</f>
        <v>#N/A</v>
      </c>
      <c r="AB47" s="31" t="e">
        <f>VLOOKUP($D47,Résultats!$B$2:$AZ$212,AB$2,FALSE)</f>
        <v>#N/A</v>
      </c>
      <c r="AC47" s="31" t="e">
        <f>VLOOKUP($D47,Résultats!$B$2:$AZ$212,AC$2,FALSE)</f>
        <v>#N/A</v>
      </c>
      <c r="AD47" s="31" t="e">
        <f>VLOOKUP($D47,Résultats!$B$2:$AZ$212,AD$2,FALSE)</f>
        <v>#N/A</v>
      </c>
      <c r="AE47" s="31" t="e">
        <f>VLOOKUP($D47,Résultats!$B$2:$AZ$212,AE$2,FALSE)</f>
        <v>#N/A</v>
      </c>
      <c r="AF47" s="31" t="e">
        <f>VLOOKUP($D47,Résultats!$B$2:$AZ$212,AF$2,FALSE)</f>
        <v>#N/A</v>
      </c>
      <c r="AG47" s="31" t="e">
        <f>VLOOKUP($D47,Résultats!$B$2:$AZ$212,AG$2,FALSE)</f>
        <v>#N/A</v>
      </c>
      <c r="AH47" s="31" t="e">
        <f>VLOOKUP($D47,Résultats!$B$2:$AZ$212,AH$2,FALSE)</f>
        <v>#N/A</v>
      </c>
      <c r="AI47" s="31" t="e">
        <f>VLOOKUP($D47,Résultats!$B$2:$AZ$212,AI$2,FALSE)</f>
        <v>#N/A</v>
      </c>
      <c r="AJ47" s="31" t="e">
        <f>VLOOKUP($D47,Résultats!$B$2:$AZ$212,AJ$2,FALSE)</f>
        <v>#N/A</v>
      </c>
      <c r="AK47" s="31" t="e">
        <f>VLOOKUP($D47,Résultats!$B$2:$AZ$212,AK$2,FALSE)</f>
        <v>#N/A</v>
      </c>
      <c r="AL47" s="31" t="e">
        <f>VLOOKUP($D47,Résultats!$B$2:$AZ$212,AL$2,FALSE)</f>
        <v>#N/A</v>
      </c>
      <c r="AM47" s="31" t="e">
        <f>VLOOKUP($D47,Résultats!$B$2:$AZ$212,AM$2,FALSE)</f>
        <v>#N/A</v>
      </c>
    </row>
    <row r="48" spans="2:39" x14ac:dyDescent="0.25">
      <c r="C48" s="56" t="s">
        <v>35</v>
      </c>
      <c r="D48" s="3" t="s">
        <v>63</v>
      </c>
      <c r="E48" s="31" t="e">
        <f>VLOOKUP($D48,Résultats!$B$2:$AZ$212,E$2,FALSE)</f>
        <v>#N/A</v>
      </c>
      <c r="F48" s="31" t="e">
        <f>VLOOKUP($D48,Résultats!$B$2:$AZ$212,F$2,FALSE)</f>
        <v>#N/A</v>
      </c>
      <c r="G48" s="31" t="e">
        <f>VLOOKUP($D48,Résultats!$B$2:$AZ$212,G$2,FALSE)</f>
        <v>#N/A</v>
      </c>
      <c r="H48" s="31" t="e">
        <f>VLOOKUP($D48,Résultats!$B$2:$AZ$212,H$2,FALSE)</f>
        <v>#N/A</v>
      </c>
      <c r="I48" s="31" t="e">
        <f>VLOOKUP($D48,Résultats!$B$2:$AZ$212,I$2,FALSE)</f>
        <v>#N/A</v>
      </c>
      <c r="J48" s="31" t="e">
        <f>VLOOKUP($D48,Résultats!$B$2:$AZ$212,J$2,FALSE)</f>
        <v>#N/A</v>
      </c>
      <c r="K48" s="31" t="e">
        <f>VLOOKUP($D48,Résultats!$B$2:$AZ$212,K$2,FALSE)</f>
        <v>#N/A</v>
      </c>
      <c r="L48" s="31" t="e">
        <f>VLOOKUP($D48,Résultats!$B$2:$AZ$212,L$2,FALSE)</f>
        <v>#N/A</v>
      </c>
      <c r="M48" s="31" t="e">
        <f>VLOOKUP($D48,Résultats!$B$2:$AZ$212,M$2,FALSE)</f>
        <v>#N/A</v>
      </c>
      <c r="N48" s="31" t="e">
        <f>VLOOKUP($D48,Résultats!$B$2:$AZ$212,N$2,FALSE)</f>
        <v>#N/A</v>
      </c>
      <c r="O48" s="31" t="e">
        <f>VLOOKUP($D48,Résultats!$B$2:$AZ$212,O$2,FALSE)</f>
        <v>#N/A</v>
      </c>
      <c r="P48" s="31" t="e">
        <f>VLOOKUP($D48,Résultats!$B$2:$AZ$212,P$2,FALSE)</f>
        <v>#N/A</v>
      </c>
      <c r="Q48" s="31" t="e">
        <f>VLOOKUP($D48,Résultats!$B$2:$AZ$212,Q$2,FALSE)</f>
        <v>#N/A</v>
      </c>
      <c r="R48" s="31" t="e">
        <f>VLOOKUP($D48,Résultats!$B$2:$AZ$212,R$2,FALSE)</f>
        <v>#N/A</v>
      </c>
      <c r="S48" s="31" t="e">
        <f>VLOOKUP($D48,Résultats!$B$2:$AZ$212,S$2,FALSE)</f>
        <v>#N/A</v>
      </c>
      <c r="T48" s="31" t="e">
        <f>VLOOKUP($D48,Résultats!$B$2:$AZ$212,T$2,FALSE)</f>
        <v>#N/A</v>
      </c>
      <c r="U48" s="31" t="e">
        <f>VLOOKUP($D48,Résultats!$B$2:$AZ$212,U$2,FALSE)</f>
        <v>#N/A</v>
      </c>
      <c r="V48" s="31" t="e">
        <f>VLOOKUP($D48,Résultats!$B$2:$AZ$212,V$2,FALSE)</f>
        <v>#N/A</v>
      </c>
      <c r="W48" s="31" t="e">
        <f>VLOOKUP($D48,Résultats!$B$2:$AZ$212,W$2,FALSE)</f>
        <v>#N/A</v>
      </c>
      <c r="X48" s="31" t="e">
        <f>VLOOKUP($D48,Résultats!$B$2:$AZ$212,X$2,FALSE)</f>
        <v>#N/A</v>
      </c>
      <c r="Y48" s="31" t="e">
        <f>VLOOKUP($D48,Résultats!$B$2:$AZ$212,Y$2,FALSE)</f>
        <v>#N/A</v>
      </c>
      <c r="Z48" s="31" t="e">
        <f>VLOOKUP($D48,Résultats!$B$2:$AZ$212,Z$2,FALSE)</f>
        <v>#N/A</v>
      </c>
      <c r="AA48" s="31" t="e">
        <f>VLOOKUP($D48,Résultats!$B$2:$AZ$212,AA$2,FALSE)</f>
        <v>#N/A</v>
      </c>
      <c r="AB48" s="31" t="e">
        <f>VLOOKUP($D48,Résultats!$B$2:$AZ$212,AB$2,FALSE)</f>
        <v>#N/A</v>
      </c>
      <c r="AC48" s="31" t="e">
        <f>VLOOKUP($D48,Résultats!$B$2:$AZ$212,AC$2,FALSE)</f>
        <v>#N/A</v>
      </c>
      <c r="AD48" s="31" t="e">
        <f>VLOOKUP($D48,Résultats!$B$2:$AZ$212,AD$2,FALSE)</f>
        <v>#N/A</v>
      </c>
      <c r="AE48" s="31" t="e">
        <f>VLOOKUP($D48,Résultats!$B$2:$AZ$212,AE$2,FALSE)</f>
        <v>#N/A</v>
      </c>
      <c r="AF48" s="31" t="e">
        <f>VLOOKUP($D48,Résultats!$B$2:$AZ$212,AF$2,FALSE)</f>
        <v>#N/A</v>
      </c>
      <c r="AG48" s="31" t="e">
        <f>VLOOKUP($D48,Résultats!$B$2:$AZ$212,AG$2,FALSE)</f>
        <v>#N/A</v>
      </c>
      <c r="AH48" s="31" t="e">
        <f>VLOOKUP($D48,Résultats!$B$2:$AZ$212,AH$2,FALSE)</f>
        <v>#N/A</v>
      </c>
      <c r="AI48" s="31" t="e">
        <f>VLOOKUP($D48,Résultats!$B$2:$AZ$212,AI$2,FALSE)</f>
        <v>#N/A</v>
      </c>
      <c r="AJ48" s="31" t="e">
        <f>VLOOKUP($D48,Résultats!$B$2:$AZ$212,AJ$2,FALSE)</f>
        <v>#N/A</v>
      </c>
      <c r="AK48" s="31" t="e">
        <f>VLOOKUP($D48,Résultats!$B$2:$AZ$212,AK$2,FALSE)</f>
        <v>#N/A</v>
      </c>
      <c r="AL48" s="31" t="e">
        <f>VLOOKUP($D48,Résultats!$B$2:$AZ$212,AL$2,FALSE)</f>
        <v>#N/A</v>
      </c>
      <c r="AM48" s="31" t="e">
        <f>VLOOKUP($D48,Résultats!$B$2:$AZ$212,AM$2,FALSE)</f>
        <v>#N/A</v>
      </c>
    </row>
    <row r="49" spans="3:40" x14ac:dyDescent="0.25">
      <c r="C49" s="82" t="s">
        <v>134</v>
      </c>
      <c r="D49" s="82" t="s">
        <v>45</v>
      </c>
      <c r="E49" s="83" t="e">
        <f>VLOOKUP($D49,Résultats!$B$2:$AZ$212,E$2,FALSE)</f>
        <v>#N/A</v>
      </c>
      <c r="F49" s="83" t="e">
        <f>VLOOKUP($D49,Résultats!$B$2:$AZ$212,F$2,FALSE)</f>
        <v>#N/A</v>
      </c>
      <c r="G49" s="83" t="e">
        <f>VLOOKUP($D49,Résultats!$B$2:$AZ$212,G$2,FALSE)</f>
        <v>#N/A</v>
      </c>
      <c r="H49" s="83" t="e">
        <f>VLOOKUP($D49,Résultats!$B$2:$AZ$212,H$2,FALSE)</f>
        <v>#N/A</v>
      </c>
      <c r="I49" s="83" t="e">
        <f>VLOOKUP($D49,Résultats!$B$2:$AZ$212,I$2,FALSE)</f>
        <v>#N/A</v>
      </c>
      <c r="J49" s="83" t="e">
        <f>VLOOKUP($D49,Résultats!$B$2:$AZ$212,J$2,FALSE)</f>
        <v>#N/A</v>
      </c>
      <c r="K49" s="83" t="e">
        <f>VLOOKUP($D49,Résultats!$B$2:$AZ$212,K$2,FALSE)</f>
        <v>#N/A</v>
      </c>
      <c r="L49" s="83" t="e">
        <f>VLOOKUP($D49,Résultats!$B$2:$AZ$212,L$2,FALSE)</f>
        <v>#N/A</v>
      </c>
      <c r="M49" s="83" t="e">
        <f>VLOOKUP($D49,Résultats!$B$2:$AZ$212,M$2,FALSE)</f>
        <v>#N/A</v>
      </c>
      <c r="N49" s="83" t="e">
        <f>VLOOKUP($D49,Résultats!$B$2:$AZ$212,N$2,FALSE)</f>
        <v>#N/A</v>
      </c>
      <c r="O49" s="83" t="e">
        <f>VLOOKUP($D49,Résultats!$B$2:$AZ$212,O$2,FALSE)</f>
        <v>#N/A</v>
      </c>
      <c r="P49" s="83" t="e">
        <f>VLOOKUP($D49,Résultats!$B$2:$AZ$212,P$2,FALSE)</f>
        <v>#N/A</v>
      </c>
      <c r="Q49" s="83" t="e">
        <f>VLOOKUP($D49,Résultats!$B$2:$AZ$212,Q$2,FALSE)</f>
        <v>#N/A</v>
      </c>
      <c r="R49" s="83" t="e">
        <f>VLOOKUP($D49,Résultats!$B$2:$AZ$212,R$2,FALSE)</f>
        <v>#N/A</v>
      </c>
      <c r="S49" s="83" t="e">
        <f>VLOOKUP($D49,Résultats!$B$2:$AZ$212,S$2,FALSE)</f>
        <v>#N/A</v>
      </c>
      <c r="T49" s="83" t="e">
        <f>VLOOKUP($D49,Résultats!$B$2:$AZ$212,T$2,FALSE)</f>
        <v>#N/A</v>
      </c>
      <c r="U49" s="83" t="e">
        <f>VLOOKUP($D49,Résultats!$B$2:$AZ$212,U$2,FALSE)</f>
        <v>#N/A</v>
      </c>
      <c r="V49" s="83" t="e">
        <f>VLOOKUP($D49,Résultats!$B$2:$AZ$212,V$2,FALSE)</f>
        <v>#N/A</v>
      </c>
      <c r="W49" s="83" t="e">
        <f>VLOOKUP($D49,Résultats!$B$2:$AZ$212,W$2,FALSE)</f>
        <v>#N/A</v>
      </c>
      <c r="X49" s="83" t="e">
        <f>VLOOKUP($D49,Résultats!$B$2:$AZ$212,X$2,FALSE)</f>
        <v>#N/A</v>
      </c>
      <c r="Y49" s="83" t="e">
        <f>VLOOKUP($D49,Résultats!$B$2:$AZ$212,Y$2,FALSE)</f>
        <v>#N/A</v>
      </c>
      <c r="Z49" s="83" t="e">
        <f>VLOOKUP($D49,Résultats!$B$2:$AZ$212,Z$2,FALSE)</f>
        <v>#N/A</v>
      </c>
      <c r="AA49" s="83" t="e">
        <f>VLOOKUP($D49,Résultats!$B$2:$AZ$212,AA$2,FALSE)</f>
        <v>#N/A</v>
      </c>
      <c r="AB49" s="83" t="e">
        <f>VLOOKUP($D49,Résultats!$B$2:$AZ$212,AB$2,FALSE)</f>
        <v>#N/A</v>
      </c>
      <c r="AC49" s="83" t="e">
        <f>VLOOKUP($D49,Résultats!$B$2:$AZ$212,AC$2,FALSE)</f>
        <v>#N/A</v>
      </c>
      <c r="AD49" s="83" t="e">
        <f>VLOOKUP($D49,Résultats!$B$2:$AZ$212,AD$2,FALSE)</f>
        <v>#N/A</v>
      </c>
      <c r="AE49" s="83" t="e">
        <f>VLOOKUP($D49,Résultats!$B$2:$AZ$212,AE$2,FALSE)</f>
        <v>#N/A</v>
      </c>
      <c r="AF49" s="83" t="e">
        <f>VLOOKUP($D49,Résultats!$B$2:$AZ$212,AF$2,FALSE)</f>
        <v>#N/A</v>
      </c>
      <c r="AG49" s="83" t="e">
        <f>VLOOKUP($D49,Résultats!$B$2:$AZ$212,AG$2,FALSE)</f>
        <v>#N/A</v>
      </c>
      <c r="AH49" s="83" t="e">
        <f>VLOOKUP($D49,Résultats!$B$2:$AZ$212,AH$2,FALSE)</f>
        <v>#N/A</v>
      </c>
      <c r="AI49" s="83" t="e">
        <f>VLOOKUP($D49,Résultats!$B$2:$AZ$212,AI$2,FALSE)</f>
        <v>#N/A</v>
      </c>
      <c r="AJ49" s="83" t="e">
        <f>VLOOKUP($D49,Résultats!$B$2:$AZ$212,AJ$2,FALSE)</f>
        <v>#N/A</v>
      </c>
      <c r="AK49" s="83" t="e">
        <f>VLOOKUP($D49,Résultats!$B$2:$AZ$212,AK$2,FALSE)</f>
        <v>#N/A</v>
      </c>
      <c r="AL49" s="83" t="e">
        <f>VLOOKUP($D49,Résultats!$B$2:$AZ$212,AL$2,FALSE)</f>
        <v>#N/A</v>
      </c>
      <c r="AM49" s="83" t="e">
        <f>VLOOKUP($D49,Résultats!$B$2:$AZ$212,AM$2,FALSE)</f>
        <v>#N/A</v>
      </c>
    </row>
    <row r="50" spans="3:40" x14ac:dyDescent="0.25">
      <c r="C50" s="84" t="s">
        <v>94</v>
      </c>
      <c r="D50" s="3" t="s">
        <v>62</v>
      </c>
      <c r="E50" s="85" t="e">
        <f>VLOOKUP($D50,Résultats!$B$2:$AZ$212,E$2,FALSE)</f>
        <v>#N/A</v>
      </c>
      <c r="F50" s="85" t="e">
        <f>VLOOKUP($D50,Résultats!$B$2:$AZ$212,F$2,FALSE)</f>
        <v>#N/A</v>
      </c>
      <c r="G50" s="85" t="e">
        <f>VLOOKUP($D50,Résultats!$B$2:$AZ$212,G$2,FALSE)</f>
        <v>#N/A</v>
      </c>
      <c r="H50" s="85" t="e">
        <f>VLOOKUP($D50,Résultats!$B$2:$AZ$212,H$2,FALSE)</f>
        <v>#N/A</v>
      </c>
      <c r="I50" s="85" t="e">
        <f>VLOOKUP($D50,Résultats!$B$2:$AZ$212,I$2,FALSE)</f>
        <v>#N/A</v>
      </c>
      <c r="J50" s="85" t="e">
        <f>VLOOKUP($D50,Résultats!$B$2:$AZ$212,J$2,FALSE)</f>
        <v>#N/A</v>
      </c>
      <c r="K50" s="85" t="e">
        <f>VLOOKUP($D50,Résultats!$B$2:$AZ$212,K$2,FALSE)</f>
        <v>#N/A</v>
      </c>
      <c r="L50" s="85" t="e">
        <f>VLOOKUP($D50,Résultats!$B$2:$AZ$212,L$2,FALSE)</f>
        <v>#N/A</v>
      </c>
      <c r="M50" s="85" t="e">
        <f>VLOOKUP($D50,Résultats!$B$2:$AZ$212,M$2,FALSE)</f>
        <v>#N/A</v>
      </c>
      <c r="N50" s="85" t="e">
        <f>VLOOKUP($D50,Résultats!$B$2:$AZ$212,N$2,FALSE)</f>
        <v>#N/A</v>
      </c>
      <c r="O50" s="85" t="e">
        <f>VLOOKUP($D50,Résultats!$B$2:$AZ$212,O$2,FALSE)</f>
        <v>#N/A</v>
      </c>
      <c r="P50" s="85" t="e">
        <f>VLOOKUP($D50,Résultats!$B$2:$AZ$212,P$2,FALSE)</f>
        <v>#N/A</v>
      </c>
      <c r="Q50" s="85" t="e">
        <f>VLOOKUP($D50,Résultats!$B$2:$AZ$212,Q$2,FALSE)</f>
        <v>#N/A</v>
      </c>
      <c r="R50" s="85" t="e">
        <f>VLOOKUP($D50,Résultats!$B$2:$AZ$212,R$2,FALSE)</f>
        <v>#N/A</v>
      </c>
      <c r="S50" s="85" t="e">
        <f>VLOOKUP($D50,Résultats!$B$2:$AZ$212,S$2,FALSE)</f>
        <v>#N/A</v>
      </c>
      <c r="T50" s="85" t="e">
        <f>VLOOKUP($D50,Résultats!$B$2:$AZ$212,T$2,FALSE)</f>
        <v>#N/A</v>
      </c>
      <c r="U50" s="85" t="e">
        <f>VLOOKUP($D50,Résultats!$B$2:$AZ$212,U$2,FALSE)</f>
        <v>#N/A</v>
      </c>
      <c r="V50" s="85" t="e">
        <f>VLOOKUP($D50,Résultats!$B$2:$AZ$212,V$2,FALSE)</f>
        <v>#N/A</v>
      </c>
      <c r="W50" s="85" t="e">
        <f>VLOOKUP($D50,Résultats!$B$2:$AZ$212,W$2,FALSE)</f>
        <v>#N/A</v>
      </c>
      <c r="X50" s="85" t="e">
        <f>VLOOKUP($D50,Résultats!$B$2:$AZ$212,X$2,FALSE)</f>
        <v>#N/A</v>
      </c>
      <c r="Y50" s="85" t="e">
        <f>VLOOKUP($D50,Résultats!$B$2:$AZ$212,Y$2,FALSE)</f>
        <v>#N/A</v>
      </c>
      <c r="Z50" s="85" t="e">
        <f>VLOOKUP($D50,Résultats!$B$2:$AZ$212,Z$2,FALSE)</f>
        <v>#N/A</v>
      </c>
      <c r="AA50" s="85" t="e">
        <f>VLOOKUP($D50,Résultats!$B$2:$AZ$212,AA$2,FALSE)</f>
        <v>#N/A</v>
      </c>
      <c r="AB50" s="85" t="e">
        <f>VLOOKUP($D50,Résultats!$B$2:$AZ$212,AB$2,FALSE)</f>
        <v>#N/A</v>
      </c>
      <c r="AC50" s="85" t="e">
        <f>VLOOKUP($D50,Résultats!$B$2:$AZ$212,AC$2,FALSE)</f>
        <v>#N/A</v>
      </c>
      <c r="AD50" s="85" t="e">
        <f>VLOOKUP($D50,Résultats!$B$2:$AZ$212,AD$2,FALSE)</f>
        <v>#N/A</v>
      </c>
      <c r="AE50" s="85" t="e">
        <f>VLOOKUP($D50,Résultats!$B$2:$AZ$212,AE$2,FALSE)</f>
        <v>#N/A</v>
      </c>
      <c r="AF50" s="85" t="e">
        <f>VLOOKUP($D50,Résultats!$B$2:$AZ$212,AF$2,FALSE)</f>
        <v>#N/A</v>
      </c>
      <c r="AG50" s="85" t="e">
        <f>VLOOKUP($D50,Résultats!$B$2:$AZ$212,AG$2,FALSE)</f>
        <v>#N/A</v>
      </c>
      <c r="AH50" s="85" t="e">
        <f>VLOOKUP($D50,Résultats!$B$2:$AZ$212,AH$2,FALSE)</f>
        <v>#N/A</v>
      </c>
      <c r="AI50" s="85" t="e">
        <f>VLOOKUP($D50,Résultats!$B$2:$AZ$212,AI$2,FALSE)</f>
        <v>#N/A</v>
      </c>
      <c r="AJ50" s="85" t="e">
        <f>VLOOKUP($D50,Résultats!$B$2:$AZ$212,AJ$2,FALSE)</f>
        <v>#N/A</v>
      </c>
      <c r="AK50" s="85" t="e">
        <f>VLOOKUP($D50,Résultats!$B$2:$AZ$212,AK$2,FALSE)</f>
        <v>#N/A</v>
      </c>
      <c r="AL50" s="85" t="e">
        <f>VLOOKUP($D50,Résultats!$B$2:$AZ$212,AL$2,FALSE)</f>
        <v>#N/A</v>
      </c>
      <c r="AM50" s="85" t="e">
        <f>VLOOKUP($D50,Résultats!$B$2:$AZ$212,AM$2,FALSE)</f>
        <v>#N/A</v>
      </c>
    </row>
    <row r="51" spans="3:40" x14ac:dyDescent="0.25">
      <c r="C51" s="86" t="s">
        <v>27</v>
      </c>
      <c r="D51" s="87" t="s">
        <v>53</v>
      </c>
      <c r="E51" s="31" t="e">
        <f>VLOOKUP($D51,Résultats!$B$2:$AZ$212,E$2,FALSE)</f>
        <v>#N/A</v>
      </c>
      <c r="F51" s="31" t="e">
        <f>VLOOKUP($D51,Résultats!$B$2:$AZ$212,F$2,FALSE)</f>
        <v>#N/A</v>
      </c>
      <c r="G51" s="31" t="e">
        <f>VLOOKUP($D51,Résultats!$B$2:$AZ$212,G$2,FALSE)</f>
        <v>#N/A</v>
      </c>
      <c r="H51" s="31" t="e">
        <f>VLOOKUP($D51,Résultats!$B$2:$AZ$212,H$2,FALSE)</f>
        <v>#N/A</v>
      </c>
      <c r="I51" s="31" t="e">
        <f>VLOOKUP($D51,Résultats!$B$2:$AZ$212,I$2,FALSE)</f>
        <v>#N/A</v>
      </c>
      <c r="J51" s="31" t="e">
        <f>VLOOKUP($D51,Résultats!$B$2:$AZ$212,J$2,FALSE)</f>
        <v>#N/A</v>
      </c>
      <c r="K51" s="31" t="e">
        <f>VLOOKUP($D51,Résultats!$B$2:$AZ$212,K$2,FALSE)</f>
        <v>#N/A</v>
      </c>
      <c r="L51" s="31" t="e">
        <f>VLOOKUP($D51,Résultats!$B$2:$AZ$212,L$2,FALSE)</f>
        <v>#N/A</v>
      </c>
      <c r="M51" s="31" t="e">
        <f>VLOOKUP($D51,Résultats!$B$2:$AZ$212,M$2,FALSE)</f>
        <v>#N/A</v>
      </c>
      <c r="N51" s="31" t="e">
        <f>VLOOKUP($D51,Résultats!$B$2:$AZ$212,N$2,FALSE)</f>
        <v>#N/A</v>
      </c>
      <c r="O51" s="31" t="e">
        <f>VLOOKUP($D51,Résultats!$B$2:$AZ$212,O$2,FALSE)</f>
        <v>#N/A</v>
      </c>
      <c r="P51" s="31" t="e">
        <f>VLOOKUP($D51,Résultats!$B$2:$AZ$212,P$2,FALSE)</f>
        <v>#N/A</v>
      </c>
      <c r="Q51" s="31" t="e">
        <f>VLOOKUP($D51,Résultats!$B$2:$AZ$212,Q$2,FALSE)</f>
        <v>#N/A</v>
      </c>
      <c r="R51" s="31" t="e">
        <f>VLOOKUP($D51,Résultats!$B$2:$AZ$212,R$2,FALSE)</f>
        <v>#N/A</v>
      </c>
      <c r="S51" s="31" t="e">
        <f>VLOOKUP($D51,Résultats!$B$2:$AZ$212,S$2,FALSE)</f>
        <v>#N/A</v>
      </c>
      <c r="T51" s="31" t="e">
        <f>VLOOKUP($D51,Résultats!$B$2:$AZ$212,T$2,FALSE)</f>
        <v>#N/A</v>
      </c>
      <c r="U51" s="31" t="e">
        <f>VLOOKUP($D51,Résultats!$B$2:$AZ$212,U$2,FALSE)</f>
        <v>#N/A</v>
      </c>
      <c r="V51" s="31" t="e">
        <f>VLOOKUP($D51,Résultats!$B$2:$AZ$212,V$2,FALSE)</f>
        <v>#N/A</v>
      </c>
      <c r="W51" s="31" t="e">
        <f>VLOOKUP($D51,Résultats!$B$2:$AZ$212,W$2,FALSE)</f>
        <v>#N/A</v>
      </c>
      <c r="X51" s="31" t="e">
        <f>VLOOKUP($D51,Résultats!$B$2:$AZ$212,X$2,FALSE)</f>
        <v>#N/A</v>
      </c>
      <c r="Y51" s="31" t="e">
        <f>VLOOKUP($D51,Résultats!$B$2:$AZ$212,Y$2,FALSE)</f>
        <v>#N/A</v>
      </c>
      <c r="Z51" s="31" t="e">
        <f>VLOOKUP($D51,Résultats!$B$2:$AZ$212,Z$2,FALSE)</f>
        <v>#N/A</v>
      </c>
      <c r="AA51" s="31" t="e">
        <f>VLOOKUP($D51,Résultats!$B$2:$AZ$212,AA$2,FALSE)</f>
        <v>#N/A</v>
      </c>
      <c r="AB51" s="31" t="e">
        <f>VLOOKUP($D51,Résultats!$B$2:$AZ$212,AB$2,FALSE)</f>
        <v>#N/A</v>
      </c>
      <c r="AC51" s="31" t="e">
        <f>VLOOKUP($D51,Résultats!$B$2:$AZ$212,AC$2,FALSE)</f>
        <v>#N/A</v>
      </c>
      <c r="AD51" s="31" t="e">
        <f>VLOOKUP($D51,Résultats!$B$2:$AZ$212,AD$2,FALSE)</f>
        <v>#N/A</v>
      </c>
      <c r="AE51" s="31" t="e">
        <f>VLOOKUP($D51,Résultats!$B$2:$AZ$212,AE$2,FALSE)</f>
        <v>#N/A</v>
      </c>
      <c r="AF51" s="31" t="e">
        <f>VLOOKUP($D51,Résultats!$B$2:$AZ$212,AF$2,FALSE)</f>
        <v>#N/A</v>
      </c>
      <c r="AG51" s="31" t="e">
        <f>VLOOKUP($D51,Résultats!$B$2:$AZ$212,AG$2,FALSE)</f>
        <v>#N/A</v>
      </c>
      <c r="AH51" s="31" t="e">
        <f>VLOOKUP($D51,Résultats!$B$2:$AZ$212,AH$2,FALSE)</f>
        <v>#N/A</v>
      </c>
      <c r="AI51" s="31" t="e">
        <f>VLOOKUP($D51,Résultats!$B$2:$AZ$212,AI$2,FALSE)</f>
        <v>#N/A</v>
      </c>
      <c r="AJ51" s="31" t="e">
        <f>VLOOKUP($D51,Résultats!$B$2:$AZ$212,AJ$2,FALSE)</f>
        <v>#N/A</v>
      </c>
      <c r="AK51" s="31" t="e">
        <f>VLOOKUP($D51,Résultats!$B$2:$AZ$212,AK$2,FALSE)</f>
        <v>#N/A</v>
      </c>
      <c r="AL51" s="31" t="e">
        <f>VLOOKUP($D51,Résultats!$B$2:$AZ$212,AL$2,FALSE)</f>
        <v>#N/A</v>
      </c>
      <c r="AM51" s="31" t="e">
        <f>VLOOKUP($D51,Résultats!$B$2:$AZ$212,AM$2,FALSE)</f>
        <v>#N/A</v>
      </c>
    </row>
    <row r="52" spans="3:40" x14ac:dyDescent="0.25">
      <c r="C52" s="56" t="s">
        <v>28</v>
      </c>
      <c r="D52" s="78" t="s">
        <v>54</v>
      </c>
      <c r="E52" s="31" t="e">
        <f>VLOOKUP($D52,Résultats!$B$2:$AZ$212,E$2,FALSE)</f>
        <v>#N/A</v>
      </c>
      <c r="F52" s="31" t="e">
        <f>VLOOKUP($D52,Résultats!$B$2:$AZ$212,F$2,FALSE)</f>
        <v>#N/A</v>
      </c>
      <c r="G52" s="31" t="e">
        <f>VLOOKUP($D52,Résultats!$B$2:$AZ$212,G$2,FALSE)</f>
        <v>#N/A</v>
      </c>
      <c r="H52" s="31" t="e">
        <f>VLOOKUP($D52,Résultats!$B$2:$AZ$212,H$2,FALSE)</f>
        <v>#N/A</v>
      </c>
      <c r="I52" s="31" t="e">
        <f>VLOOKUP($D52,Résultats!$B$2:$AZ$212,I$2,FALSE)</f>
        <v>#N/A</v>
      </c>
      <c r="J52" s="31" t="e">
        <f>VLOOKUP($D52,Résultats!$B$2:$AZ$212,J$2,FALSE)</f>
        <v>#N/A</v>
      </c>
      <c r="K52" s="31" t="e">
        <f>VLOOKUP($D52,Résultats!$B$2:$AZ$212,K$2,FALSE)</f>
        <v>#N/A</v>
      </c>
      <c r="L52" s="31" t="e">
        <f>VLOOKUP($D52,Résultats!$B$2:$AZ$212,L$2,FALSE)</f>
        <v>#N/A</v>
      </c>
      <c r="M52" s="31" t="e">
        <f>VLOOKUP($D52,Résultats!$B$2:$AZ$212,M$2,FALSE)</f>
        <v>#N/A</v>
      </c>
      <c r="N52" s="31" t="e">
        <f>VLOOKUP($D52,Résultats!$B$2:$AZ$212,N$2,FALSE)</f>
        <v>#N/A</v>
      </c>
      <c r="O52" s="31" t="e">
        <f>VLOOKUP($D52,Résultats!$B$2:$AZ$212,O$2,FALSE)</f>
        <v>#N/A</v>
      </c>
      <c r="P52" s="31" t="e">
        <f>VLOOKUP($D52,Résultats!$B$2:$AZ$212,P$2,FALSE)</f>
        <v>#N/A</v>
      </c>
      <c r="Q52" s="31" t="e">
        <f>VLOOKUP($D52,Résultats!$B$2:$AZ$212,Q$2,FALSE)</f>
        <v>#N/A</v>
      </c>
      <c r="R52" s="31" t="e">
        <f>VLOOKUP($D52,Résultats!$B$2:$AZ$212,R$2,FALSE)</f>
        <v>#N/A</v>
      </c>
      <c r="S52" s="31" t="e">
        <f>VLOOKUP($D52,Résultats!$B$2:$AZ$212,S$2,FALSE)</f>
        <v>#N/A</v>
      </c>
      <c r="T52" s="31" t="e">
        <f>VLOOKUP($D52,Résultats!$B$2:$AZ$212,T$2,FALSE)</f>
        <v>#N/A</v>
      </c>
      <c r="U52" s="31" t="e">
        <f>VLOOKUP($D52,Résultats!$B$2:$AZ$212,U$2,FALSE)</f>
        <v>#N/A</v>
      </c>
      <c r="V52" s="31" t="e">
        <f>VLOOKUP($D52,Résultats!$B$2:$AZ$212,V$2,FALSE)</f>
        <v>#N/A</v>
      </c>
      <c r="W52" s="31" t="e">
        <f>VLOOKUP($D52,Résultats!$B$2:$AZ$212,W$2,FALSE)</f>
        <v>#N/A</v>
      </c>
      <c r="X52" s="31" t="e">
        <f>VLOOKUP($D52,Résultats!$B$2:$AZ$212,X$2,FALSE)</f>
        <v>#N/A</v>
      </c>
      <c r="Y52" s="31" t="e">
        <f>VLOOKUP($D52,Résultats!$B$2:$AZ$212,Y$2,FALSE)</f>
        <v>#N/A</v>
      </c>
      <c r="Z52" s="31" t="e">
        <f>VLOOKUP($D52,Résultats!$B$2:$AZ$212,Z$2,FALSE)</f>
        <v>#N/A</v>
      </c>
      <c r="AA52" s="31" t="e">
        <f>VLOOKUP($D52,Résultats!$B$2:$AZ$212,AA$2,FALSE)</f>
        <v>#N/A</v>
      </c>
      <c r="AB52" s="31" t="e">
        <f>VLOOKUP($D52,Résultats!$B$2:$AZ$212,AB$2,FALSE)</f>
        <v>#N/A</v>
      </c>
      <c r="AC52" s="31" t="e">
        <f>VLOOKUP($D52,Résultats!$B$2:$AZ$212,AC$2,FALSE)</f>
        <v>#N/A</v>
      </c>
      <c r="AD52" s="31" t="e">
        <f>VLOOKUP($D52,Résultats!$B$2:$AZ$212,AD$2,FALSE)</f>
        <v>#N/A</v>
      </c>
      <c r="AE52" s="31" t="e">
        <f>VLOOKUP($D52,Résultats!$B$2:$AZ$212,AE$2,FALSE)</f>
        <v>#N/A</v>
      </c>
      <c r="AF52" s="31" t="e">
        <f>VLOOKUP($D52,Résultats!$B$2:$AZ$212,AF$2,FALSE)</f>
        <v>#N/A</v>
      </c>
      <c r="AG52" s="31" t="e">
        <f>VLOOKUP($D52,Résultats!$B$2:$AZ$212,AG$2,FALSE)</f>
        <v>#N/A</v>
      </c>
      <c r="AH52" s="31" t="e">
        <f>VLOOKUP($D52,Résultats!$B$2:$AZ$212,AH$2,FALSE)</f>
        <v>#N/A</v>
      </c>
      <c r="AI52" s="31" t="e">
        <f>VLOOKUP($D52,Résultats!$B$2:$AZ$212,AI$2,FALSE)</f>
        <v>#N/A</v>
      </c>
      <c r="AJ52" s="31" t="e">
        <f>VLOOKUP($D52,Résultats!$B$2:$AZ$212,AJ$2,FALSE)</f>
        <v>#N/A</v>
      </c>
      <c r="AK52" s="31" t="e">
        <f>VLOOKUP($D52,Résultats!$B$2:$AZ$212,AK$2,FALSE)</f>
        <v>#N/A</v>
      </c>
      <c r="AL52" s="31" t="e">
        <f>VLOOKUP($D52,Résultats!$B$2:$AZ$212,AL$2,FALSE)</f>
        <v>#N/A</v>
      </c>
      <c r="AM52" s="31" t="e">
        <f>VLOOKUP($D52,Résultats!$B$2:$AZ$212,AM$2,FALSE)</f>
        <v>#N/A</v>
      </c>
    </row>
    <row r="53" spans="3:40" x14ac:dyDescent="0.25">
      <c r="C53" s="56" t="s">
        <v>29</v>
      </c>
      <c r="D53" s="78" t="s">
        <v>55</v>
      </c>
      <c r="E53" s="31" t="e">
        <f>VLOOKUP($D53,Résultats!$B$2:$AZ$212,E$2,FALSE)</f>
        <v>#N/A</v>
      </c>
      <c r="F53" s="31" t="e">
        <f>VLOOKUP($D53,Résultats!$B$2:$AZ$212,F$2,FALSE)</f>
        <v>#N/A</v>
      </c>
      <c r="G53" s="31" t="e">
        <f>VLOOKUP($D53,Résultats!$B$2:$AZ$212,G$2,FALSE)</f>
        <v>#N/A</v>
      </c>
      <c r="H53" s="31" t="e">
        <f>VLOOKUP($D53,Résultats!$B$2:$AZ$212,H$2,FALSE)</f>
        <v>#N/A</v>
      </c>
      <c r="I53" s="31" t="e">
        <f>VLOOKUP($D53,Résultats!$B$2:$AZ$212,I$2,FALSE)</f>
        <v>#N/A</v>
      </c>
      <c r="J53" s="31" t="e">
        <f>VLOOKUP($D53,Résultats!$B$2:$AZ$212,J$2,FALSE)</f>
        <v>#N/A</v>
      </c>
      <c r="K53" s="31" t="e">
        <f>VLOOKUP($D53,Résultats!$B$2:$AZ$212,K$2,FALSE)</f>
        <v>#N/A</v>
      </c>
      <c r="L53" s="31" t="e">
        <f>VLOOKUP($D53,Résultats!$B$2:$AZ$212,L$2,FALSE)</f>
        <v>#N/A</v>
      </c>
      <c r="M53" s="31" t="e">
        <f>VLOOKUP($D53,Résultats!$B$2:$AZ$212,M$2,FALSE)</f>
        <v>#N/A</v>
      </c>
      <c r="N53" s="31" t="e">
        <f>VLOOKUP($D53,Résultats!$B$2:$AZ$212,N$2,FALSE)</f>
        <v>#N/A</v>
      </c>
      <c r="O53" s="31" t="e">
        <f>VLOOKUP($D53,Résultats!$B$2:$AZ$212,O$2,FALSE)</f>
        <v>#N/A</v>
      </c>
      <c r="P53" s="31" t="e">
        <f>VLOOKUP($D53,Résultats!$B$2:$AZ$212,P$2,FALSE)</f>
        <v>#N/A</v>
      </c>
      <c r="Q53" s="31" t="e">
        <f>VLOOKUP($D53,Résultats!$B$2:$AZ$212,Q$2,FALSE)</f>
        <v>#N/A</v>
      </c>
      <c r="R53" s="31" t="e">
        <f>VLOOKUP($D53,Résultats!$B$2:$AZ$212,R$2,FALSE)</f>
        <v>#N/A</v>
      </c>
      <c r="S53" s="31" t="e">
        <f>VLOOKUP($D53,Résultats!$B$2:$AZ$212,S$2,FALSE)</f>
        <v>#N/A</v>
      </c>
      <c r="T53" s="31" t="e">
        <f>VLOOKUP($D53,Résultats!$B$2:$AZ$212,T$2,FALSE)</f>
        <v>#N/A</v>
      </c>
      <c r="U53" s="31" t="e">
        <f>VLOOKUP($D53,Résultats!$B$2:$AZ$212,U$2,FALSE)</f>
        <v>#N/A</v>
      </c>
      <c r="V53" s="31" t="e">
        <f>VLOOKUP($D53,Résultats!$B$2:$AZ$212,V$2,FALSE)</f>
        <v>#N/A</v>
      </c>
      <c r="W53" s="31" t="e">
        <f>VLOOKUP($D53,Résultats!$B$2:$AZ$212,W$2,FALSE)</f>
        <v>#N/A</v>
      </c>
      <c r="X53" s="31" t="e">
        <f>VLOOKUP($D53,Résultats!$B$2:$AZ$212,X$2,FALSE)</f>
        <v>#N/A</v>
      </c>
      <c r="Y53" s="31" t="e">
        <f>VLOOKUP($D53,Résultats!$B$2:$AZ$212,Y$2,FALSE)</f>
        <v>#N/A</v>
      </c>
      <c r="Z53" s="31" t="e">
        <f>VLOOKUP($D53,Résultats!$B$2:$AZ$212,Z$2,FALSE)</f>
        <v>#N/A</v>
      </c>
      <c r="AA53" s="31" t="e">
        <f>VLOOKUP($D53,Résultats!$B$2:$AZ$212,AA$2,FALSE)</f>
        <v>#N/A</v>
      </c>
      <c r="AB53" s="31" t="e">
        <f>VLOOKUP($D53,Résultats!$B$2:$AZ$212,AB$2,FALSE)</f>
        <v>#N/A</v>
      </c>
      <c r="AC53" s="31" t="e">
        <f>VLOOKUP($D53,Résultats!$B$2:$AZ$212,AC$2,FALSE)</f>
        <v>#N/A</v>
      </c>
      <c r="AD53" s="31" t="e">
        <f>VLOOKUP($D53,Résultats!$B$2:$AZ$212,AD$2,FALSE)</f>
        <v>#N/A</v>
      </c>
      <c r="AE53" s="31" t="e">
        <f>VLOOKUP($D53,Résultats!$B$2:$AZ$212,AE$2,FALSE)</f>
        <v>#N/A</v>
      </c>
      <c r="AF53" s="31" t="e">
        <f>VLOOKUP($D53,Résultats!$B$2:$AZ$212,AF$2,FALSE)</f>
        <v>#N/A</v>
      </c>
      <c r="AG53" s="31" t="e">
        <f>VLOOKUP($D53,Résultats!$B$2:$AZ$212,AG$2,FALSE)</f>
        <v>#N/A</v>
      </c>
      <c r="AH53" s="31" t="e">
        <f>VLOOKUP($D53,Résultats!$B$2:$AZ$212,AH$2,FALSE)</f>
        <v>#N/A</v>
      </c>
      <c r="AI53" s="31" t="e">
        <f>VLOOKUP($D53,Résultats!$B$2:$AZ$212,AI$2,FALSE)</f>
        <v>#N/A</v>
      </c>
      <c r="AJ53" s="31" t="e">
        <f>VLOOKUP($D53,Résultats!$B$2:$AZ$212,AJ$2,FALSE)</f>
        <v>#N/A</v>
      </c>
      <c r="AK53" s="31" t="e">
        <f>VLOOKUP($D53,Résultats!$B$2:$AZ$212,AK$2,FALSE)</f>
        <v>#N/A</v>
      </c>
      <c r="AL53" s="31" t="e">
        <f>VLOOKUP($D53,Résultats!$B$2:$AZ$212,AL$2,FALSE)</f>
        <v>#N/A</v>
      </c>
      <c r="AM53" s="31" t="e">
        <f>VLOOKUP($D53,Résultats!$B$2:$AZ$212,AM$2,FALSE)</f>
        <v>#N/A</v>
      </c>
    </row>
    <row r="54" spans="3:40" x14ac:dyDescent="0.25">
      <c r="C54" s="56" t="s">
        <v>30</v>
      </c>
      <c r="D54" s="78" t="s">
        <v>56</v>
      </c>
      <c r="E54" s="31" t="e">
        <f>VLOOKUP($D54,Résultats!$B$2:$AZ$212,E$2,FALSE)</f>
        <v>#N/A</v>
      </c>
      <c r="F54" s="31" t="e">
        <f>VLOOKUP($D54,Résultats!$B$2:$AZ$212,F$2,FALSE)</f>
        <v>#N/A</v>
      </c>
      <c r="G54" s="31" t="e">
        <f>VLOOKUP($D54,Résultats!$B$2:$AZ$212,G$2,FALSE)</f>
        <v>#N/A</v>
      </c>
      <c r="H54" s="31" t="e">
        <f>VLOOKUP($D54,Résultats!$B$2:$AZ$212,H$2,FALSE)</f>
        <v>#N/A</v>
      </c>
      <c r="I54" s="31" t="e">
        <f>VLOOKUP($D54,Résultats!$B$2:$AZ$212,I$2,FALSE)</f>
        <v>#N/A</v>
      </c>
      <c r="J54" s="31" t="e">
        <f>VLOOKUP($D54,Résultats!$B$2:$AZ$212,J$2,FALSE)</f>
        <v>#N/A</v>
      </c>
      <c r="K54" s="31" t="e">
        <f>VLOOKUP($D54,Résultats!$B$2:$AZ$212,K$2,FALSE)</f>
        <v>#N/A</v>
      </c>
      <c r="L54" s="31" t="e">
        <f>VLOOKUP($D54,Résultats!$B$2:$AZ$212,L$2,FALSE)</f>
        <v>#N/A</v>
      </c>
      <c r="M54" s="31" t="e">
        <f>VLOOKUP($D54,Résultats!$B$2:$AZ$212,M$2,FALSE)</f>
        <v>#N/A</v>
      </c>
      <c r="N54" s="31" t="e">
        <f>VLOOKUP($D54,Résultats!$B$2:$AZ$212,N$2,FALSE)</f>
        <v>#N/A</v>
      </c>
      <c r="O54" s="31" t="e">
        <f>VLOOKUP($D54,Résultats!$B$2:$AZ$212,O$2,FALSE)</f>
        <v>#N/A</v>
      </c>
      <c r="P54" s="31" t="e">
        <f>VLOOKUP($D54,Résultats!$B$2:$AZ$212,P$2,FALSE)</f>
        <v>#N/A</v>
      </c>
      <c r="Q54" s="31" t="e">
        <f>VLOOKUP($D54,Résultats!$B$2:$AZ$212,Q$2,FALSE)</f>
        <v>#N/A</v>
      </c>
      <c r="R54" s="31" t="e">
        <f>VLOOKUP($D54,Résultats!$B$2:$AZ$212,R$2,FALSE)</f>
        <v>#N/A</v>
      </c>
      <c r="S54" s="31" t="e">
        <f>VLOOKUP($D54,Résultats!$B$2:$AZ$212,S$2,FALSE)</f>
        <v>#N/A</v>
      </c>
      <c r="T54" s="31" t="e">
        <f>VLOOKUP($D54,Résultats!$B$2:$AZ$212,T$2,FALSE)</f>
        <v>#N/A</v>
      </c>
      <c r="U54" s="31" t="e">
        <f>VLOOKUP($D54,Résultats!$B$2:$AZ$212,U$2,FALSE)</f>
        <v>#N/A</v>
      </c>
      <c r="V54" s="31" t="e">
        <f>VLOOKUP($D54,Résultats!$B$2:$AZ$212,V$2,FALSE)</f>
        <v>#N/A</v>
      </c>
      <c r="W54" s="31" t="e">
        <f>VLOOKUP($D54,Résultats!$B$2:$AZ$212,W$2,FALSE)</f>
        <v>#N/A</v>
      </c>
      <c r="X54" s="31" t="e">
        <f>VLOOKUP($D54,Résultats!$B$2:$AZ$212,X$2,FALSE)</f>
        <v>#N/A</v>
      </c>
      <c r="Y54" s="31" t="e">
        <f>VLOOKUP($D54,Résultats!$B$2:$AZ$212,Y$2,FALSE)</f>
        <v>#N/A</v>
      </c>
      <c r="Z54" s="31" t="e">
        <f>VLOOKUP($D54,Résultats!$B$2:$AZ$212,Z$2,FALSE)</f>
        <v>#N/A</v>
      </c>
      <c r="AA54" s="31" t="e">
        <f>VLOOKUP($D54,Résultats!$B$2:$AZ$212,AA$2,FALSE)</f>
        <v>#N/A</v>
      </c>
      <c r="AB54" s="31" t="e">
        <f>VLOOKUP($D54,Résultats!$B$2:$AZ$212,AB$2,FALSE)</f>
        <v>#N/A</v>
      </c>
      <c r="AC54" s="31" t="e">
        <f>VLOOKUP($D54,Résultats!$B$2:$AZ$212,AC$2,FALSE)</f>
        <v>#N/A</v>
      </c>
      <c r="AD54" s="31" t="e">
        <f>VLOOKUP($D54,Résultats!$B$2:$AZ$212,AD$2,FALSE)</f>
        <v>#N/A</v>
      </c>
      <c r="AE54" s="31" t="e">
        <f>VLOOKUP($D54,Résultats!$B$2:$AZ$212,AE$2,FALSE)</f>
        <v>#N/A</v>
      </c>
      <c r="AF54" s="31" t="e">
        <f>VLOOKUP($D54,Résultats!$B$2:$AZ$212,AF$2,FALSE)</f>
        <v>#N/A</v>
      </c>
      <c r="AG54" s="31" t="e">
        <f>VLOOKUP($D54,Résultats!$B$2:$AZ$212,AG$2,FALSE)</f>
        <v>#N/A</v>
      </c>
      <c r="AH54" s="31" t="e">
        <f>VLOOKUP($D54,Résultats!$B$2:$AZ$212,AH$2,FALSE)</f>
        <v>#N/A</v>
      </c>
      <c r="AI54" s="31" t="e">
        <f>VLOOKUP($D54,Résultats!$B$2:$AZ$212,AI$2,FALSE)</f>
        <v>#N/A</v>
      </c>
      <c r="AJ54" s="31" t="e">
        <f>VLOOKUP($D54,Résultats!$B$2:$AZ$212,AJ$2,FALSE)</f>
        <v>#N/A</v>
      </c>
      <c r="AK54" s="31" t="e">
        <f>VLOOKUP($D54,Résultats!$B$2:$AZ$212,AK$2,FALSE)</f>
        <v>#N/A</v>
      </c>
      <c r="AL54" s="31" t="e">
        <f>VLOOKUP($D54,Résultats!$B$2:$AZ$212,AL$2,FALSE)</f>
        <v>#N/A</v>
      </c>
      <c r="AM54" s="31" t="e">
        <f>VLOOKUP($D54,Résultats!$B$2:$AZ$212,AM$2,FALSE)</f>
        <v>#N/A</v>
      </c>
    </row>
    <row r="55" spans="3:40" x14ac:dyDescent="0.25">
      <c r="C55" s="56" t="s">
        <v>31</v>
      </c>
      <c r="D55" s="78" t="s">
        <v>57</v>
      </c>
      <c r="E55" s="31" t="e">
        <f>VLOOKUP($D55,Résultats!$B$2:$AZ$212,E$2,FALSE)</f>
        <v>#N/A</v>
      </c>
      <c r="F55" s="31" t="e">
        <f>VLOOKUP($D55,Résultats!$B$2:$AZ$212,F$2,FALSE)</f>
        <v>#N/A</v>
      </c>
      <c r="G55" s="31" t="e">
        <f>VLOOKUP($D55,Résultats!$B$2:$AZ$212,G$2,FALSE)</f>
        <v>#N/A</v>
      </c>
      <c r="H55" s="31" t="e">
        <f>VLOOKUP($D55,Résultats!$B$2:$AZ$212,H$2,FALSE)</f>
        <v>#N/A</v>
      </c>
      <c r="I55" s="31" t="e">
        <f>VLOOKUP($D55,Résultats!$B$2:$AZ$212,I$2,FALSE)</f>
        <v>#N/A</v>
      </c>
      <c r="J55" s="31" t="e">
        <f>VLOOKUP($D55,Résultats!$B$2:$AZ$212,J$2,FALSE)</f>
        <v>#N/A</v>
      </c>
      <c r="K55" s="31" t="e">
        <f>VLOOKUP($D55,Résultats!$B$2:$AZ$212,K$2,FALSE)</f>
        <v>#N/A</v>
      </c>
      <c r="L55" s="31" t="e">
        <f>VLOOKUP($D55,Résultats!$B$2:$AZ$212,L$2,FALSE)</f>
        <v>#N/A</v>
      </c>
      <c r="M55" s="31" t="e">
        <f>VLOOKUP($D55,Résultats!$B$2:$AZ$212,M$2,FALSE)</f>
        <v>#N/A</v>
      </c>
      <c r="N55" s="31" t="e">
        <f>VLOOKUP($D55,Résultats!$B$2:$AZ$212,N$2,FALSE)</f>
        <v>#N/A</v>
      </c>
      <c r="O55" s="31" t="e">
        <f>VLOOKUP($D55,Résultats!$B$2:$AZ$212,O$2,FALSE)</f>
        <v>#N/A</v>
      </c>
      <c r="P55" s="31" t="e">
        <f>VLOOKUP($D55,Résultats!$B$2:$AZ$212,P$2,FALSE)</f>
        <v>#N/A</v>
      </c>
      <c r="Q55" s="31" t="e">
        <f>VLOOKUP($D55,Résultats!$B$2:$AZ$212,Q$2,FALSE)</f>
        <v>#N/A</v>
      </c>
      <c r="R55" s="31" t="e">
        <f>VLOOKUP($D55,Résultats!$B$2:$AZ$212,R$2,FALSE)</f>
        <v>#N/A</v>
      </c>
      <c r="S55" s="31" t="e">
        <f>VLOOKUP($D55,Résultats!$B$2:$AZ$212,S$2,FALSE)</f>
        <v>#N/A</v>
      </c>
      <c r="T55" s="31" t="e">
        <f>VLOOKUP($D55,Résultats!$B$2:$AZ$212,T$2,FALSE)</f>
        <v>#N/A</v>
      </c>
      <c r="U55" s="31" t="e">
        <f>VLOOKUP($D55,Résultats!$B$2:$AZ$212,U$2,FALSE)</f>
        <v>#N/A</v>
      </c>
      <c r="V55" s="31" t="e">
        <f>VLOOKUP($D55,Résultats!$B$2:$AZ$212,V$2,FALSE)</f>
        <v>#N/A</v>
      </c>
      <c r="W55" s="31" t="e">
        <f>VLOOKUP($D55,Résultats!$B$2:$AZ$212,W$2,FALSE)</f>
        <v>#N/A</v>
      </c>
      <c r="X55" s="31" t="e">
        <f>VLOOKUP($D55,Résultats!$B$2:$AZ$212,X$2,FALSE)</f>
        <v>#N/A</v>
      </c>
      <c r="Y55" s="31" t="e">
        <f>VLOOKUP($D55,Résultats!$B$2:$AZ$212,Y$2,FALSE)</f>
        <v>#N/A</v>
      </c>
      <c r="Z55" s="31" t="e">
        <f>VLOOKUP($D55,Résultats!$B$2:$AZ$212,Z$2,FALSE)</f>
        <v>#N/A</v>
      </c>
      <c r="AA55" s="31" t="e">
        <f>VLOOKUP($D55,Résultats!$B$2:$AZ$212,AA$2,FALSE)</f>
        <v>#N/A</v>
      </c>
      <c r="AB55" s="31" t="e">
        <f>VLOOKUP($D55,Résultats!$B$2:$AZ$212,AB$2,FALSE)</f>
        <v>#N/A</v>
      </c>
      <c r="AC55" s="31" t="e">
        <f>VLOOKUP($D55,Résultats!$B$2:$AZ$212,AC$2,FALSE)</f>
        <v>#N/A</v>
      </c>
      <c r="AD55" s="31" t="e">
        <f>VLOOKUP($D55,Résultats!$B$2:$AZ$212,AD$2,FALSE)</f>
        <v>#N/A</v>
      </c>
      <c r="AE55" s="31" t="e">
        <f>VLOOKUP($D55,Résultats!$B$2:$AZ$212,AE$2,FALSE)</f>
        <v>#N/A</v>
      </c>
      <c r="AF55" s="31" t="e">
        <f>VLOOKUP($D55,Résultats!$B$2:$AZ$212,AF$2,FALSE)</f>
        <v>#N/A</v>
      </c>
      <c r="AG55" s="31" t="e">
        <f>VLOOKUP($D55,Résultats!$B$2:$AZ$212,AG$2,FALSE)</f>
        <v>#N/A</v>
      </c>
      <c r="AH55" s="31" t="e">
        <f>VLOOKUP($D55,Résultats!$B$2:$AZ$212,AH$2,FALSE)</f>
        <v>#N/A</v>
      </c>
      <c r="AI55" s="31" t="e">
        <f>VLOOKUP($D55,Résultats!$B$2:$AZ$212,AI$2,FALSE)</f>
        <v>#N/A</v>
      </c>
      <c r="AJ55" s="31" t="e">
        <f>VLOOKUP($D55,Résultats!$B$2:$AZ$212,AJ$2,FALSE)</f>
        <v>#N/A</v>
      </c>
      <c r="AK55" s="31" t="e">
        <f>VLOOKUP($D55,Résultats!$B$2:$AZ$212,AK$2,FALSE)</f>
        <v>#N/A</v>
      </c>
      <c r="AL55" s="31" t="e">
        <f>VLOOKUP($D55,Résultats!$B$2:$AZ$212,AL$2,FALSE)</f>
        <v>#N/A</v>
      </c>
      <c r="AM55" s="31" t="e">
        <f>VLOOKUP($D55,Résultats!$B$2:$AZ$212,AM$2,FALSE)</f>
        <v>#N/A</v>
      </c>
    </row>
    <row r="56" spans="3:40" x14ac:dyDescent="0.25">
      <c r="C56" s="56" t="s">
        <v>32</v>
      </c>
      <c r="D56" s="78" t="s">
        <v>58</v>
      </c>
      <c r="E56" s="31" t="e">
        <f>VLOOKUP($D56,Résultats!$B$2:$AZ$212,E$2,FALSE)</f>
        <v>#N/A</v>
      </c>
      <c r="F56" s="31" t="e">
        <f>VLOOKUP($D56,Résultats!$B$2:$AZ$212,F$2,FALSE)</f>
        <v>#N/A</v>
      </c>
      <c r="G56" s="31" t="e">
        <f>VLOOKUP($D56,Résultats!$B$2:$AZ$212,G$2,FALSE)</f>
        <v>#N/A</v>
      </c>
      <c r="H56" s="31" t="e">
        <f>VLOOKUP($D56,Résultats!$B$2:$AZ$212,H$2,FALSE)</f>
        <v>#N/A</v>
      </c>
      <c r="I56" s="31" t="e">
        <f>VLOOKUP($D56,Résultats!$B$2:$AZ$212,I$2,FALSE)</f>
        <v>#N/A</v>
      </c>
      <c r="J56" s="31" t="e">
        <f>VLOOKUP($D56,Résultats!$B$2:$AZ$212,J$2,FALSE)</f>
        <v>#N/A</v>
      </c>
      <c r="K56" s="31" t="e">
        <f>VLOOKUP($D56,Résultats!$B$2:$AZ$212,K$2,FALSE)</f>
        <v>#N/A</v>
      </c>
      <c r="L56" s="31" t="e">
        <f>VLOOKUP($D56,Résultats!$B$2:$AZ$212,L$2,FALSE)</f>
        <v>#N/A</v>
      </c>
      <c r="M56" s="31" t="e">
        <f>VLOOKUP($D56,Résultats!$B$2:$AZ$212,M$2,FALSE)</f>
        <v>#N/A</v>
      </c>
      <c r="N56" s="31" t="e">
        <f>VLOOKUP($D56,Résultats!$B$2:$AZ$212,N$2,FALSE)</f>
        <v>#N/A</v>
      </c>
      <c r="O56" s="31" t="e">
        <f>VLOOKUP($D56,Résultats!$B$2:$AZ$212,O$2,FALSE)</f>
        <v>#N/A</v>
      </c>
      <c r="P56" s="31" t="e">
        <f>VLOOKUP($D56,Résultats!$B$2:$AZ$212,P$2,FALSE)</f>
        <v>#N/A</v>
      </c>
      <c r="Q56" s="31" t="e">
        <f>VLOOKUP($D56,Résultats!$B$2:$AZ$212,Q$2,FALSE)</f>
        <v>#N/A</v>
      </c>
      <c r="R56" s="31" t="e">
        <f>VLOOKUP($D56,Résultats!$B$2:$AZ$212,R$2,FALSE)</f>
        <v>#N/A</v>
      </c>
      <c r="S56" s="31" t="e">
        <f>VLOOKUP($D56,Résultats!$B$2:$AZ$212,S$2,FALSE)</f>
        <v>#N/A</v>
      </c>
      <c r="T56" s="31" t="e">
        <f>VLOOKUP($D56,Résultats!$B$2:$AZ$212,T$2,FALSE)</f>
        <v>#N/A</v>
      </c>
      <c r="U56" s="31" t="e">
        <f>VLOOKUP($D56,Résultats!$B$2:$AZ$212,U$2,FALSE)</f>
        <v>#N/A</v>
      </c>
      <c r="V56" s="31" t="e">
        <f>VLOOKUP($D56,Résultats!$B$2:$AZ$212,V$2,FALSE)</f>
        <v>#N/A</v>
      </c>
      <c r="W56" s="31" t="e">
        <f>VLOOKUP($D56,Résultats!$B$2:$AZ$212,W$2,FALSE)</f>
        <v>#N/A</v>
      </c>
      <c r="X56" s="31" t="e">
        <f>VLOOKUP($D56,Résultats!$B$2:$AZ$212,X$2,FALSE)</f>
        <v>#N/A</v>
      </c>
      <c r="Y56" s="31" t="e">
        <f>VLOOKUP($D56,Résultats!$B$2:$AZ$212,Y$2,FALSE)</f>
        <v>#N/A</v>
      </c>
      <c r="Z56" s="31" t="e">
        <f>VLOOKUP($D56,Résultats!$B$2:$AZ$212,Z$2,FALSE)</f>
        <v>#N/A</v>
      </c>
      <c r="AA56" s="31" t="e">
        <f>VLOOKUP($D56,Résultats!$B$2:$AZ$212,AA$2,FALSE)</f>
        <v>#N/A</v>
      </c>
      <c r="AB56" s="31" t="e">
        <f>VLOOKUP($D56,Résultats!$B$2:$AZ$212,AB$2,FALSE)</f>
        <v>#N/A</v>
      </c>
      <c r="AC56" s="31" t="e">
        <f>VLOOKUP($D56,Résultats!$B$2:$AZ$212,AC$2,FALSE)</f>
        <v>#N/A</v>
      </c>
      <c r="AD56" s="31" t="e">
        <f>VLOOKUP($D56,Résultats!$B$2:$AZ$212,AD$2,FALSE)</f>
        <v>#N/A</v>
      </c>
      <c r="AE56" s="31" t="e">
        <f>VLOOKUP($D56,Résultats!$B$2:$AZ$212,AE$2,FALSE)</f>
        <v>#N/A</v>
      </c>
      <c r="AF56" s="31" t="e">
        <f>VLOOKUP($D56,Résultats!$B$2:$AZ$212,AF$2,FALSE)</f>
        <v>#N/A</v>
      </c>
      <c r="AG56" s="31" t="e">
        <f>VLOOKUP($D56,Résultats!$B$2:$AZ$212,AG$2,FALSE)</f>
        <v>#N/A</v>
      </c>
      <c r="AH56" s="31" t="e">
        <f>VLOOKUP($D56,Résultats!$B$2:$AZ$212,AH$2,FALSE)</f>
        <v>#N/A</v>
      </c>
      <c r="AI56" s="31" t="e">
        <f>VLOOKUP($D56,Résultats!$B$2:$AZ$212,AI$2,FALSE)</f>
        <v>#N/A</v>
      </c>
      <c r="AJ56" s="31" t="e">
        <f>VLOOKUP($D56,Résultats!$B$2:$AZ$212,AJ$2,FALSE)</f>
        <v>#N/A</v>
      </c>
      <c r="AK56" s="31" t="e">
        <f>VLOOKUP($D56,Résultats!$B$2:$AZ$212,AK$2,FALSE)</f>
        <v>#N/A</v>
      </c>
      <c r="AL56" s="31" t="e">
        <f>VLOOKUP($D56,Résultats!$B$2:$AZ$212,AL$2,FALSE)</f>
        <v>#N/A</v>
      </c>
      <c r="AM56" s="31" t="e">
        <f>VLOOKUP($D56,Résultats!$B$2:$AZ$212,AM$2,FALSE)</f>
        <v>#N/A</v>
      </c>
    </row>
    <row r="57" spans="3:40" x14ac:dyDescent="0.25">
      <c r="C57" s="56" t="s">
        <v>33</v>
      </c>
      <c r="D57" s="78" t="s">
        <v>59</v>
      </c>
      <c r="E57" s="31" t="e">
        <f>VLOOKUP($D57,Résultats!$B$2:$AZ$212,E$2,FALSE)</f>
        <v>#N/A</v>
      </c>
      <c r="F57" s="31" t="e">
        <f>VLOOKUP($D57,Résultats!$B$2:$AZ$212,F$2,FALSE)</f>
        <v>#N/A</v>
      </c>
      <c r="G57" s="31" t="e">
        <f>VLOOKUP($D57,Résultats!$B$2:$AZ$212,G$2,FALSE)</f>
        <v>#N/A</v>
      </c>
      <c r="H57" s="31" t="e">
        <f>VLOOKUP($D57,Résultats!$B$2:$AZ$212,H$2,FALSE)</f>
        <v>#N/A</v>
      </c>
      <c r="I57" s="31" t="e">
        <f>VLOOKUP($D57,Résultats!$B$2:$AZ$212,I$2,FALSE)</f>
        <v>#N/A</v>
      </c>
      <c r="J57" s="31" t="e">
        <f>VLOOKUP($D57,Résultats!$B$2:$AZ$212,J$2,FALSE)</f>
        <v>#N/A</v>
      </c>
      <c r="K57" s="31" t="e">
        <f>VLOOKUP($D57,Résultats!$B$2:$AZ$212,K$2,FALSE)</f>
        <v>#N/A</v>
      </c>
      <c r="L57" s="31" t="e">
        <f>VLOOKUP($D57,Résultats!$B$2:$AZ$212,L$2,FALSE)</f>
        <v>#N/A</v>
      </c>
      <c r="M57" s="31" t="e">
        <f>VLOOKUP($D57,Résultats!$B$2:$AZ$212,M$2,FALSE)</f>
        <v>#N/A</v>
      </c>
      <c r="N57" s="31" t="e">
        <f>VLOOKUP($D57,Résultats!$B$2:$AZ$212,N$2,FALSE)</f>
        <v>#N/A</v>
      </c>
      <c r="O57" s="31" t="e">
        <f>VLOOKUP($D57,Résultats!$B$2:$AZ$212,O$2,FALSE)</f>
        <v>#N/A</v>
      </c>
      <c r="P57" s="31" t="e">
        <f>VLOOKUP($D57,Résultats!$B$2:$AZ$212,P$2,FALSE)</f>
        <v>#N/A</v>
      </c>
      <c r="Q57" s="31" t="e">
        <f>VLOOKUP($D57,Résultats!$B$2:$AZ$212,Q$2,FALSE)</f>
        <v>#N/A</v>
      </c>
      <c r="R57" s="31" t="e">
        <f>VLOOKUP($D57,Résultats!$B$2:$AZ$212,R$2,FALSE)</f>
        <v>#N/A</v>
      </c>
      <c r="S57" s="31" t="e">
        <f>VLOOKUP($D57,Résultats!$B$2:$AZ$212,S$2,FALSE)</f>
        <v>#N/A</v>
      </c>
      <c r="T57" s="31" t="e">
        <f>VLOOKUP($D57,Résultats!$B$2:$AZ$212,T$2,FALSE)</f>
        <v>#N/A</v>
      </c>
      <c r="U57" s="31" t="e">
        <f>VLOOKUP($D57,Résultats!$B$2:$AZ$212,U$2,FALSE)</f>
        <v>#N/A</v>
      </c>
      <c r="V57" s="31" t="e">
        <f>VLOOKUP($D57,Résultats!$B$2:$AZ$212,V$2,FALSE)</f>
        <v>#N/A</v>
      </c>
      <c r="W57" s="31" t="e">
        <f>VLOOKUP($D57,Résultats!$B$2:$AZ$212,W$2,FALSE)</f>
        <v>#N/A</v>
      </c>
      <c r="X57" s="31" t="e">
        <f>VLOOKUP($D57,Résultats!$B$2:$AZ$212,X$2,FALSE)</f>
        <v>#N/A</v>
      </c>
      <c r="Y57" s="31" t="e">
        <f>VLOOKUP($D57,Résultats!$B$2:$AZ$212,Y$2,FALSE)</f>
        <v>#N/A</v>
      </c>
      <c r="Z57" s="31" t="e">
        <f>VLOOKUP($D57,Résultats!$B$2:$AZ$212,Z$2,FALSE)</f>
        <v>#N/A</v>
      </c>
      <c r="AA57" s="31" t="e">
        <f>VLOOKUP($D57,Résultats!$B$2:$AZ$212,AA$2,FALSE)</f>
        <v>#N/A</v>
      </c>
      <c r="AB57" s="31" t="e">
        <f>VLOOKUP($D57,Résultats!$B$2:$AZ$212,AB$2,FALSE)</f>
        <v>#N/A</v>
      </c>
      <c r="AC57" s="31" t="e">
        <f>VLOOKUP($D57,Résultats!$B$2:$AZ$212,AC$2,FALSE)</f>
        <v>#N/A</v>
      </c>
      <c r="AD57" s="31" t="e">
        <f>VLOOKUP($D57,Résultats!$B$2:$AZ$212,AD$2,FALSE)</f>
        <v>#N/A</v>
      </c>
      <c r="AE57" s="31" t="e">
        <f>VLOOKUP($D57,Résultats!$B$2:$AZ$212,AE$2,FALSE)</f>
        <v>#N/A</v>
      </c>
      <c r="AF57" s="31" t="e">
        <f>VLOOKUP($D57,Résultats!$B$2:$AZ$212,AF$2,FALSE)</f>
        <v>#N/A</v>
      </c>
      <c r="AG57" s="31" t="e">
        <f>VLOOKUP($D57,Résultats!$B$2:$AZ$212,AG$2,FALSE)</f>
        <v>#N/A</v>
      </c>
      <c r="AH57" s="31" t="e">
        <f>VLOOKUP($D57,Résultats!$B$2:$AZ$212,AH$2,FALSE)</f>
        <v>#N/A</v>
      </c>
      <c r="AI57" s="31" t="e">
        <f>VLOOKUP($D57,Résultats!$B$2:$AZ$212,AI$2,FALSE)</f>
        <v>#N/A</v>
      </c>
      <c r="AJ57" s="31" t="e">
        <f>VLOOKUP($D57,Résultats!$B$2:$AZ$212,AJ$2,FALSE)</f>
        <v>#N/A</v>
      </c>
      <c r="AK57" s="31" t="e">
        <f>VLOOKUP($D57,Résultats!$B$2:$AZ$212,AK$2,FALSE)</f>
        <v>#N/A</v>
      </c>
      <c r="AL57" s="31" t="e">
        <f>VLOOKUP($D57,Résultats!$B$2:$AZ$212,AL$2,FALSE)</f>
        <v>#N/A</v>
      </c>
      <c r="AM57" s="31" t="e">
        <f>VLOOKUP($D57,Résultats!$B$2:$AZ$212,AM$2,FALSE)</f>
        <v>#N/A</v>
      </c>
    </row>
    <row r="58" spans="3:40" x14ac:dyDescent="0.25">
      <c r="C58" s="88" t="s">
        <v>95</v>
      </c>
      <c r="D58" s="76" t="s">
        <v>61</v>
      </c>
      <c r="E58" s="85" t="e">
        <f>VLOOKUP($D58,Résultats!$B$2:$AZ$212,E$2,FALSE)</f>
        <v>#N/A</v>
      </c>
      <c r="F58" s="85" t="e">
        <f>VLOOKUP($D58,Résultats!$B$2:$AZ$212,F$2,FALSE)</f>
        <v>#N/A</v>
      </c>
      <c r="G58" s="85" t="e">
        <f>VLOOKUP($D58,Résultats!$B$2:$AZ$212,G$2,FALSE)</f>
        <v>#N/A</v>
      </c>
      <c r="H58" s="85" t="e">
        <f>VLOOKUP($D58,Résultats!$B$2:$AZ$212,H$2,FALSE)</f>
        <v>#N/A</v>
      </c>
      <c r="I58" s="85" t="e">
        <f>VLOOKUP($D58,Résultats!$B$2:$AZ$212,I$2,FALSE)</f>
        <v>#N/A</v>
      </c>
      <c r="J58" s="85" t="e">
        <f>VLOOKUP($D58,Résultats!$B$2:$AZ$212,J$2,FALSE)</f>
        <v>#N/A</v>
      </c>
      <c r="K58" s="85" t="e">
        <f>VLOOKUP($D58,Résultats!$B$2:$AZ$212,K$2,FALSE)</f>
        <v>#N/A</v>
      </c>
      <c r="L58" s="85" t="e">
        <f>VLOOKUP($D58,Résultats!$B$2:$AZ$212,L$2,FALSE)</f>
        <v>#N/A</v>
      </c>
      <c r="M58" s="85" t="e">
        <f>VLOOKUP($D58,Résultats!$B$2:$AZ$212,M$2,FALSE)</f>
        <v>#N/A</v>
      </c>
      <c r="N58" s="85" t="e">
        <f>VLOOKUP($D58,Résultats!$B$2:$AZ$212,N$2,FALSE)</f>
        <v>#N/A</v>
      </c>
      <c r="O58" s="85" t="e">
        <f>VLOOKUP($D58,Résultats!$B$2:$AZ$212,O$2,FALSE)</f>
        <v>#N/A</v>
      </c>
      <c r="P58" s="85" t="e">
        <f>VLOOKUP($D58,Résultats!$B$2:$AZ$212,P$2,FALSE)</f>
        <v>#N/A</v>
      </c>
      <c r="Q58" s="85" t="e">
        <f>VLOOKUP($D58,Résultats!$B$2:$AZ$212,Q$2,FALSE)</f>
        <v>#N/A</v>
      </c>
      <c r="R58" s="85" t="e">
        <f>VLOOKUP($D58,Résultats!$B$2:$AZ$212,R$2,FALSE)</f>
        <v>#N/A</v>
      </c>
      <c r="S58" s="85" t="e">
        <f>VLOOKUP($D58,Résultats!$B$2:$AZ$212,S$2,FALSE)</f>
        <v>#N/A</v>
      </c>
      <c r="T58" s="85" t="e">
        <f>VLOOKUP($D58,Résultats!$B$2:$AZ$212,T$2,FALSE)</f>
        <v>#N/A</v>
      </c>
      <c r="U58" s="85" t="e">
        <f>VLOOKUP($D58,Résultats!$B$2:$AZ$212,U$2,FALSE)</f>
        <v>#N/A</v>
      </c>
      <c r="V58" s="85" t="e">
        <f>VLOOKUP($D58,Résultats!$B$2:$AZ$212,V$2,FALSE)</f>
        <v>#N/A</v>
      </c>
      <c r="W58" s="85" t="e">
        <f>VLOOKUP($D58,Résultats!$B$2:$AZ$212,W$2,FALSE)</f>
        <v>#N/A</v>
      </c>
      <c r="X58" s="85" t="e">
        <f>VLOOKUP($D58,Résultats!$B$2:$AZ$212,X$2,FALSE)</f>
        <v>#N/A</v>
      </c>
      <c r="Y58" s="85" t="e">
        <f>VLOOKUP($D58,Résultats!$B$2:$AZ$212,Y$2,FALSE)</f>
        <v>#N/A</v>
      </c>
      <c r="Z58" s="85" t="e">
        <f>VLOOKUP($D58,Résultats!$B$2:$AZ$212,Z$2,FALSE)</f>
        <v>#N/A</v>
      </c>
      <c r="AA58" s="85" t="e">
        <f>VLOOKUP($D58,Résultats!$B$2:$AZ$212,AA$2,FALSE)</f>
        <v>#N/A</v>
      </c>
      <c r="AB58" s="85" t="e">
        <f>VLOOKUP($D58,Résultats!$B$2:$AZ$212,AB$2,FALSE)</f>
        <v>#N/A</v>
      </c>
      <c r="AC58" s="85" t="e">
        <f>VLOOKUP($D58,Résultats!$B$2:$AZ$212,AC$2,FALSE)</f>
        <v>#N/A</v>
      </c>
      <c r="AD58" s="85" t="e">
        <f>VLOOKUP($D58,Résultats!$B$2:$AZ$212,AD$2,FALSE)</f>
        <v>#N/A</v>
      </c>
      <c r="AE58" s="85" t="e">
        <f>VLOOKUP($D58,Résultats!$B$2:$AZ$212,AE$2,FALSE)</f>
        <v>#N/A</v>
      </c>
      <c r="AF58" s="85" t="e">
        <f>VLOOKUP($D58,Résultats!$B$2:$AZ$212,AF$2,FALSE)</f>
        <v>#N/A</v>
      </c>
      <c r="AG58" s="85" t="e">
        <f>VLOOKUP($D58,Résultats!$B$2:$AZ$212,AG$2,FALSE)</f>
        <v>#N/A</v>
      </c>
      <c r="AH58" s="85" t="e">
        <f>VLOOKUP($D58,Résultats!$B$2:$AZ$212,AH$2,FALSE)</f>
        <v>#N/A</v>
      </c>
      <c r="AI58" s="85" t="e">
        <f>VLOOKUP($D58,Résultats!$B$2:$AZ$212,AI$2,FALSE)</f>
        <v>#N/A</v>
      </c>
      <c r="AJ58" s="85" t="e">
        <f>VLOOKUP($D58,Résultats!$B$2:$AZ$212,AJ$2,FALSE)</f>
        <v>#N/A</v>
      </c>
      <c r="AK58" s="85" t="e">
        <f>VLOOKUP($D58,Résultats!$B$2:$AZ$212,AK$2,FALSE)</f>
        <v>#N/A</v>
      </c>
      <c r="AL58" s="85" t="e">
        <f>VLOOKUP($D58,Résultats!$B$2:$AZ$212,AL$2,FALSE)</f>
        <v>#N/A</v>
      </c>
      <c r="AM58" s="85" t="e">
        <f>VLOOKUP($D58,Résultats!$B$2:$AZ$212,AM$2,FALSE)</f>
        <v>#N/A</v>
      </c>
      <c r="AN58" s="21"/>
    </row>
    <row r="59" spans="3:40" x14ac:dyDescent="0.25">
      <c r="C59" s="56" t="s">
        <v>27</v>
      </c>
      <c r="D59" s="78" t="s">
        <v>46</v>
      </c>
      <c r="E59" s="89" t="e">
        <f>VLOOKUP($D59,Résultats!$B$2:$AZ$212,E$2,FALSE)</f>
        <v>#N/A</v>
      </c>
      <c r="F59" s="89" t="e">
        <f>VLOOKUP($D59,Résultats!$B$2:$AZ$212,F$2,FALSE)</f>
        <v>#N/A</v>
      </c>
      <c r="G59" s="89" t="e">
        <f>VLOOKUP($D59,Résultats!$B$2:$AZ$212,G$2,FALSE)</f>
        <v>#N/A</v>
      </c>
      <c r="H59" s="89" t="e">
        <f>VLOOKUP($D59,Résultats!$B$2:$AZ$212,H$2,FALSE)</f>
        <v>#N/A</v>
      </c>
      <c r="I59" s="89" t="e">
        <f>VLOOKUP($D59,Résultats!$B$2:$AZ$212,I$2,FALSE)</f>
        <v>#N/A</v>
      </c>
      <c r="J59" s="89" t="e">
        <f>VLOOKUP($D59,Résultats!$B$2:$AZ$212,J$2,FALSE)</f>
        <v>#N/A</v>
      </c>
      <c r="K59" s="89" t="e">
        <f>VLOOKUP($D59,Résultats!$B$2:$AZ$212,K$2,FALSE)</f>
        <v>#N/A</v>
      </c>
      <c r="L59" s="89" t="e">
        <f>VLOOKUP($D59,Résultats!$B$2:$AZ$212,L$2,FALSE)</f>
        <v>#N/A</v>
      </c>
      <c r="M59" s="89" t="e">
        <f>VLOOKUP($D59,Résultats!$B$2:$AZ$212,M$2,FALSE)</f>
        <v>#N/A</v>
      </c>
      <c r="N59" s="89" t="e">
        <f>VLOOKUP($D59,Résultats!$B$2:$AZ$212,N$2,FALSE)</f>
        <v>#N/A</v>
      </c>
      <c r="O59" s="89" t="e">
        <f>VLOOKUP($D59,Résultats!$B$2:$AZ$212,O$2,FALSE)</f>
        <v>#N/A</v>
      </c>
      <c r="P59" s="89" t="e">
        <f>VLOOKUP($D59,Résultats!$B$2:$AZ$212,P$2,FALSE)</f>
        <v>#N/A</v>
      </c>
      <c r="Q59" s="89" t="e">
        <f>VLOOKUP($D59,Résultats!$B$2:$AZ$212,Q$2,FALSE)</f>
        <v>#N/A</v>
      </c>
      <c r="R59" s="89" t="e">
        <f>VLOOKUP($D59,Résultats!$B$2:$AZ$212,R$2,FALSE)</f>
        <v>#N/A</v>
      </c>
      <c r="S59" s="89" t="e">
        <f>VLOOKUP($D59,Résultats!$B$2:$AZ$212,S$2,FALSE)</f>
        <v>#N/A</v>
      </c>
      <c r="T59" s="89" t="e">
        <f>VLOOKUP($D59,Résultats!$B$2:$AZ$212,T$2,FALSE)</f>
        <v>#N/A</v>
      </c>
      <c r="U59" s="89" t="e">
        <f>VLOOKUP($D59,Résultats!$B$2:$AZ$212,U$2,FALSE)</f>
        <v>#N/A</v>
      </c>
      <c r="V59" s="89" t="e">
        <f>VLOOKUP($D59,Résultats!$B$2:$AZ$212,V$2,FALSE)</f>
        <v>#N/A</v>
      </c>
      <c r="W59" s="89" t="e">
        <f>VLOOKUP($D59,Résultats!$B$2:$AZ$212,W$2,FALSE)</f>
        <v>#N/A</v>
      </c>
      <c r="X59" s="89" t="e">
        <f>VLOOKUP($D59,Résultats!$B$2:$AZ$212,X$2,FALSE)</f>
        <v>#N/A</v>
      </c>
      <c r="Y59" s="89" t="e">
        <f>VLOOKUP($D59,Résultats!$B$2:$AZ$212,Y$2,FALSE)</f>
        <v>#N/A</v>
      </c>
      <c r="Z59" s="89" t="e">
        <f>VLOOKUP($D59,Résultats!$B$2:$AZ$212,Z$2,FALSE)</f>
        <v>#N/A</v>
      </c>
      <c r="AA59" s="89" t="e">
        <f>VLOOKUP($D59,Résultats!$B$2:$AZ$212,AA$2,FALSE)</f>
        <v>#N/A</v>
      </c>
      <c r="AB59" s="89" t="e">
        <f>VLOOKUP($D59,Résultats!$B$2:$AZ$212,AB$2,FALSE)</f>
        <v>#N/A</v>
      </c>
      <c r="AC59" s="89" t="e">
        <f>VLOOKUP($D59,Résultats!$B$2:$AZ$212,AC$2,FALSE)</f>
        <v>#N/A</v>
      </c>
      <c r="AD59" s="89" t="e">
        <f>VLOOKUP($D59,Résultats!$B$2:$AZ$212,AD$2,FALSE)</f>
        <v>#N/A</v>
      </c>
      <c r="AE59" s="89" t="e">
        <f>VLOOKUP($D59,Résultats!$B$2:$AZ$212,AE$2,FALSE)</f>
        <v>#N/A</v>
      </c>
      <c r="AF59" s="89" t="e">
        <f>VLOOKUP($D59,Résultats!$B$2:$AZ$212,AF$2,FALSE)</f>
        <v>#N/A</v>
      </c>
      <c r="AG59" s="89" t="e">
        <f>VLOOKUP($D59,Résultats!$B$2:$AZ$212,AG$2,FALSE)</f>
        <v>#N/A</v>
      </c>
      <c r="AH59" s="89" t="e">
        <f>VLOOKUP($D59,Résultats!$B$2:$AZ$212,AH$2,FALSE)</f>
        <v>#N/A</v>
      </c>
      <c r="AI59" s="89" t="e">
        <f>VLOOKUP($D59,Résultats!$B$2:$AZ$212,AI$2,FALSE)</f>
        <v>#N/A</v>
      </c>
      <c r="AJ59" s="89" t="e">
        <f>VLOOKUP($D59,Résultats!$B$2:$AZ$212,AJ$2,FALSE)</f>
        <v>#N/A</v>
      </c>
      <c r="AK59" s="89" t="e">
        <f>VLOOKUP($D59,Résultats!$B$2:$AZ$212,AK$2,FALSE)</f>
        <v>#N/A</v>
      </c>
      <c r="AL59" s="89" t="e">
        <f>VLOOKUP($D59,Résultats!$B$2:$AZ$212,AL$2,FALSE)</f>
        <v>#N/A</v>
      </c>
      <c r="AM59" s="89" t="e">
        <f>VLOOKUP($D59,Résultats!$B$2:$AZ$212,AM$2,FALSE)</f>
        <v>#N/A</v>
      </c>
    </row>
    <row r="60" spans="3:40" x14ac:dyDescent="0.25">
      <c r="C60" s="56" t="s">
        <v>28</v>
      </c>
      <c r="D60" s="78" t="s">
        <v>47</v>
      </c>
      <c r="E60" s="89" t="e">
        <f>VLOOKUP($D60,Résultats!$B$2:$AZ$212,E$2,FALSE)</f>
        <v>#N/A</v>
      </c>
      <c r="F60" s="89" t="e">
        <f>VLOOKUP($D60,Résultats!$B$2:$AZ$212,F$2,FALSE)</f>
        <v>#N/A</v>
      </c>
      <c r="G60" s="89" t="e">
        <f>VLOOKUP($D60,Résultats!$B$2:$AZ$212,G$2,FALSE)</f>
        <v>#N/A</v>
      </c>
      <c r="H60" s="89" t="e">
        <f>VLOOKUP($D60,Résultats!$B$2:$AZ$212,H$2,FALSE)</f>
        <v>#N/A</v>
      </c>
      <c r="I60" s="89" t="e">
        <f>VLOOKUP($D60,Résultats!$B$2:$AZ$212,I$2,FALSE)</f>
        <v>#N/A</v>
      </c>
      <c r="J60" s="89" t="e">
        <f>VLOOKUP($D60,Résultats!$B$2:$AZ$212,J$2,FALSE)</f>
        <v>#N/A</v>
      </c>
      <c r="K60" s="89" t="e">
        <f>VLOOKUP($D60,Résultats!$B$2:$AZ$212,K$2,FALSE)</f>
        <v>#N/A</v>
      </c>
      <c r="L60" s="89" t="e">
        <f>VLOOKUP($D60,Résultats!$B$2:$AZ$212,L$2,FALSE)</f>
        <v>#N/A</v>
      </c>
      <c r="M60" s="89" t="e">
        <f>VLOOKUP($D60,Résultats!$B$2:$AZ$212,M$2,FALSE)</f>
        <v>#N/A</v>
      </c>
      <c r="N60" s="89" t="e">
        <f>VLOOKUP($D60,Résultats!$B$2:$AZ$212,N$2,FALSE)</f>
        <v>#N/A</v>
      </c>
      <c r="O60" s="89" t="e">
        <f>VLOOKUP($D60,Résultats!$B$2:$AZ$212,O$2,FALSE)</f>
        <v>#N/A</v>
      </c>
      <c r="P60" s="89" t="e">
        <f>VLOOKUP($D60,Résultats!$B$2:$AZ$212,P$2,FALSE)</f>
        <v>#N/A</v>
      </c>
      <c r="Q60" s="89" t="e">
        <f>VLOOKUP($D60,Résultats!$B$2:$AZ$212,Q$2,FALSE)</f>
        <v>#N/A</v>
      </c>
      <c r="R60" s="89" t="e">
        <f>VLOOKUP($D60,Résultats!$B$2:$AZ$212,R$2,FALSE)</f>
        <v>#N/A</v>
      </c>
      <c r="S60" s="89" t="e">
        <f>VLOOKUP($D60,Résultats!$B$2:$AZ$212,S$2,FALSE)</f>
        <v>#N/A</v>
      </c>
      <c r="T60" s="89" t="e">
        <f>VLOOKUP($D60,Résultats!$B$2:$AZ$212,T$2,FALSE)</f>
        <v>#N/A</v>
      </c>
      <c r="U60" s="89" t="e">
        <f>VLOOKUP($D60,Résultats!$B$2:$AZ$212,U$2,FALSE)</f>
        <v>#N/A</v>
      </c>
      <c r="V60" s="89" t="e">
        <f>VLOOKUP($D60,Résultats!$B$2:$AZ$212,V$2,FALSE)</f>
        <v>#N/A</v>
      </c>
      <c r="W60" s="89" t="e">
        <f>VLOOKUP($D60,Résultats!$B$2:$AZ$212,W$2,FALSE)</f>
        <v>#N/A</v>
      </c>
      <c r="X60" s="89" t="e">
        <f>VLOOKUP($D60,Résultats!$B$2:$AZ$212,X$2,FALSE)</f>
        <v>#N/A</v>
      </c>
      <c r="Y60" s="89" t="e">
        <f>VLOOKUP($D60,Résultats!$B$2:$AZ$212,Y$2,FALSE)</f>
        <v>#N/A</v>
      </c>
      <c r="Z60" s="89" t="e">
        <f>VLOOKUP($D60,Résultats!$B$2:$AZ$212,Z$2,FALSE)</f>
        <v>#N/A</v>
      </c>
      <c r="AA60" s="89" t="e">
        <f>VLOOKUP($D60,Résultats!$B$2:$AZ$212,AA$2,FALSE)</f>
        <v>#N/A</v>
      </c>
      <c r="AB60" s="89" t="e">
        <f>VLOOKUP($D60,Résultats!$B$2:$AZ$212,AB$2,FALSE)</f>
        <v>#N/A</v>
      </c>
      <c r="AC60" s="89" t="e">
        <f>VLOOKUP($D60,Résultats!$B$2:$AZ$212,AC$2,FALSE)</f>
        <v>#N/A</v>
      </c>
      <c r="AD60" s="89" t="e">
        <f>VLOOKUP($D60,Résultats!$B$2:$AZ$212,AD$2,FALSE)</f>
        <v>#N/A</v>
      </c>
      <c r="AE60" s="89" t="e">
        <f>VLOOKUP($D60,Résultats!$B$2:$AZ$212,AE$2,FALSE)</f>
        <v>#N/A</v>
      </c>
      <c r="AF60" s="89" t="e">
        <f>VLOOKUP($D60,Résultats!$B$2:$AZ$212,AF$2,FALSE)</f>
        <v>#N/A</v>
      </c>
      <c r="AG60" s="89" t="e">
        <f>VLOOKUP($D60,Résultats!$B$2:$AZ$212,AG$2,FALSE)</f>
        <v>#N/A</v>
      </c>
      <c r="AH60" s="89" t="e">
        <f>VLOOKUP($D60,Résultats!$B$2:$AZ$212,AH$2,FALSE)</f>
        <v>#N/A</v>
      </c>
      <c r="AI60" s="89" t="e">
        <f>VLOOKUP($D60,Résultats!$B$2:$AZ$212,AI$2,FALSE)</f>
        <v>#N/A</v>
      </c>
      <c r="AJ60" s="89" t="e">
        <f>VLOOKUP($D60,Résultats!$B$2:$AZ$212,AJ$2,FALSE)</f>
        <v>#N/A</v>
      </c>
      <c r="AK60" s="89" t="e">
        <f>VLOOKUP($D60,Résultats!$B$2:$AZ$212,AK$2,FALSE)</f>
        <v>#N/A</v>
      </c>
      <c r="AL60" s="89" t="e">
        <f>VLOOKUP($D60,Résultats!$B$2:$AZ$212,AL$2,FALSE)</f>
        <v>#N/A</v>
      </c>
      <c r="AM60" s="89" t="e">
        <f>VLOOKUP($D60,Résultats!$B$2:$AZ$212,AM$2,FALSE)</f>
        <v>#N/A</v>
      </c>
    </row>
    <row r="61" spans="3:40" x14ac:dyDescent="0.25">
      <c r="C61" s="56" t="s">
        <v>29</v>
      </c>
      <c r="D61" s="78" t="s">
        <v>48</v>
      </c>
      <c r="E61" s="89" t="e">
        <f>VLOOKUP($D61,Résultats!$B$2:$AZ$212,E$2,FALSE)</f>
        <v>#N/A</v>
      </c>
      <c r="F61" s="89" t="e">
        <f>VLOOKUP($D61,Résultats!$B$2:$AZ$212,F$2,FALSE)</f>
        <v>#N/A</v>
      </c>
      <c r="G61" s="89" t="e">
        <f>VLOOKUP($D61,Résultats!$B$2:$AZ$212,G$2,FALSE)</f>
        <v>#N/A</v>
      </c>
      <c r="H61" s="89" t="e">
        <f>VLOOKUP($D61,Résultats!$B$2:$AZ$212,H$2,FALSE)</f>
        <v>#N/A</v>
      </c>
      <c r="I61" s="89" t="e">
        <f>VLOOKUP($D61,Résultats!$B$2:$AZ$212,I$2,FALSE)</f>
        <v>#N/A</v>
      </c>
      <c r="J61" s="89" t="e">
        <f>VLOOKUP($D61,Résultats!$B$2:$AZ$212,J$2,FALSE)</f>
        <v>#N/A</v>
      </c>
      <c r="K61" s="89" t="e">
        <f>VLOOKUP($D61,Résultats!$B$2:$AZ$212,K$2,FALSE)</f>
        <v>#N/A</v>
      </c>
      <c r="L61" s="89" t="e">
        <f>VLOOKUP($D61,Résultats!$B$2:$AZ$212,L$2,FALSE)</f>
        <v>#N/A</v>
      </c>
      <c r="M61" s="89" t="e">
        <f>VLOOKUP($D61,Résultats!$B$2:$AZ$212,M$2,FALSE)</f>
        <v>#N/A</v>
      </c>
      <c r="N61" s="89" t="e">
        <f>VLOOKUP($D61,Résultats!$B$2:$AZ$212,N$2,FALSE)</f>
        <v>#N/A</v>
      </c>
      <c r="O61" s="89" t="e">
        <f>VLOOKUP($D61,Résultats!$B$2:$AZ$212,O$2,FALSE)</f>
        <v>#N/A</v>
      </c>
      <c r="P61" s="89" t="e">
        <f>VLOOKUP($D61,Résultats!$B$2:$AZ$212,P$2,FALSE)</f>
        <v>#N/A</v>
      </c>
      <c r="Q61" s="89" t="e">
        <f>VLOOKUP($D61,Résultats!$B$2:$AZ$212,Q$2,FALSE)</f>
        <v>#N/A</v>
      </c>
      <c r="R61" s="89" t="e">
        <f>VLOOKUP($D61,Résultats!$B$2:$AZ$212,R$2,FALSE)</f>
        <v>#N/A</v>
      </c>
      <c r="S61" s="89" t="e">
        <f>VLOOKUP($D61,Résultats!$B$2:$AZ$212,S$2,FALSE)</f>
        <v>#N/A</v>
      </c>
      <c r="T61" s="89" t="e">
        <f>VLOOKUP($D61,Résultats!$B$2:$AZ$212,T$2,FALSE)</f>
        <v>#N/A</v>
      </c>
      <c r="U61" s="89" t="e">
        <f>VLOOKUP($D61,Résultats!$B$2:$AZ$212,U$2,FALSE)</f>
        <v>#N/A</v>
      </c>
      <c r="V61" s="89" t="e">
        <f>VLOOKUP($D61,Résultats!$B$2:$AZ$212,V$2,FALSE)</f>
        <v>#N/A</v>
      </c>
      <c r="W61" s="89" t="e">
        <f>VLOOKUP($D61,Résultats!$B$2:$AZ$212,W$2,FALSE)</f>
        <v>#N/A</v>
      </c>
      <c r="X61" s="89" t="e">
        <f>VLOOKUP($D61,Résultats!$B$2:$AZ$212,X$2,FALSE)</f>
        <v>#N/A</v>
      </c>
      <c r="Y61" s="89" t="e">
        <f>VLOOKUP($D61,Résultats!$B$2:$AZ$212,Y$2,FALSE)</f>
        <v>#N/A</v>
      </c>
      <c r="Z61" s="89" t="e">
        <f>VLOOKUP($D61,Résultats!$B$2:$AZ$212,Z$2,FALSE)</f>
        <v>#N/A</v>
      </c>
      <c r="AA61" s="89" t="e">
        <f>VLOOKUP($D61,Résultats!$B$2:$AZ$212,AA$2,FALSE)</f>
        <v>#N/A</v>
      </c>
      <c r="AB61" s="89" t="e">
        <f>VLOOKUP($D61,Résultats!$B$2:$AZ$212,AB$2,FALSE)</f>
        <v>#N/A</v>
      </c>
      <c r="AC61" s="89" t="e">
        <f>VLOOKUP($D61,Résultats!$B$2:$AZ$212,AC$2,FALSE)</f>
        <v>#N/A</v>
      </c>
      <c r="AD61" s="89" t="e">
        <f>VLOOKUP($D61,Résultats!$B$2:$AZ$212,AD$2,FALSE)</f>
        <v>#N/A</v>
      </c>
      <c r="AE61" s="89" t="e">
        <f>VLOOKUP($D61,Résultats!$B$2:$AZ$212,AE$2,FALSE)</f>
        <v>#N/A</v>
      </c>
      <c r="AF61" s="89" t="e">
        <f>VLOOKUP($D61,Résultats!$B$2:$AZ$212,AF$2,FALSE)</f>
        <v>#N/A</v>
      </c>
      <c r="AG61" s="89" t="e">
        <f>VLOOKUP($D61,Résultats!$B$2:$AZ$212,AG$2,FALSE)</f>
        <v>#N/A</v>
      </c>
      <c r="AH61" s="89" t="e">
        <f>VLOOKUP($D61,Résultats!$B$2:$AZ$212,AH$2,FALSE)</f>
        <v>#N/A</v>
      </c>
      <c r="AI61" s="89" t="e">
        <f>VLOOKUP($D61,Résultats!$B$2:$AZ$212,AI$2,FALSE)</f>
        <v>#N/A</v>
      </c>
      <c r="AJ61" s="89" t="e">
        <f>VLOOKUP($D61,Résultats!$B$2:$AZ$212,AJ$2,FALSE)</f>
        <v>#N/A</v>
      </c>
      <c r="AK61" s="89" t="e">
        <f>VLOOKUP($D61,Résultats!$B$2:$AZ$212,AK$2,FALSE)</f>
        <v>#N/A</v>
      </c>
      <c r="AL61" s="89" t="e">
        <f>VLOOKUP($D61,Résultats!$B$2:$AZ$212,AL$2,FALSE)</f>
        <v>#N/A</v>
      </c>
      <c r="AM61" s="89" t="e">
        <f>VLOOKUP($D61,Résultats!$B$2:$AZ$212,AM$2,FALSE)</f>
        <v>#N/A</v>
      </c>
    </row>
    <row r="62" spans="3:40" x14ac:dyDescent="0.25">
      <c r="C62" s="56" t="s">
        <v>30</v>
      </c>
      <c r="D62" s="78" t="s">
        <v>49</v>
      </c>
      <c r="E62" s="89" t="e">
        <f>VLOOKUP($D62,Résultats!$B$2:$AZ$212,E$2,FALSE)</f>
        <v>#N/A</v>
      </c>
      <c r="F62" s="89" t="e">
        <f>VLOOKUP($D62,Résultats!$B$2:$AZ$212,F$2,FALSE)</f>
        <v>#N/A</v>
      </c>
      <c r="G62" s="89" t="e">
        <f>VLOOKUP($D62,Résultats!$B$2:$AZ$212,G$2,FALSE)</f>
        <v>#N/A</v>
      </c>
      <c r="H62" s="89" t="e">
        <f>VLOOKUP($D62,Résultats!$B$2:$AZ$212,H$2,FALSE)</f>
        <v>#N/A</v>
      </c>
      <c r="I62" s="89" t="e">
        <f>VLOOKUP($D62,Résultats!$B$2:$AZ$212,I$2,FALSE)</f>
        <v>#N/A</v>
      </c>
      <c r="J62" s="89" t="e">
        <f>VLOOKUP($D62,Résultats!$B$2:$AZ$212,J$2,FALSE)</f>
        <v>#N/A</v>
      </c>
      <c r="K62" s="89" t="e">
        <f>VLOOKUP($D62,Résultats!$B$2:$AZ$212,K$2,FALSE)</f>
        <v>#N/A</v>
      </c>
      <c r="L62" s="89" t="e">
        <f>VLOOKUP($D62,Résultats!$B$2:$AZ$212,L$2,FALSE)</f>
        <v>#N/A</v>
      </c>
      <c r="M62" s="89" t="e">
        <f>VLOOKUP($D62,Résultats!$B$2:$AZ$212,M$2,FALSE)</f>
        <v>#N/A</v>
      </c>
      <c r="N62" s="89" t="e">
        <f>VLOOKUP($D62,Résultats!$B$2:$AZ$212,N$2,FALSE)</f>
        <v>#N/A</v>
      </c>
      <c r="O62" s="89" t="e">
        <f>VLOOKUP($D62,Résultats!$B$2:$AZ$212,O$2,FALSE)</f>
        <v>#N/A</v>
      </c>
      <c r="P62" s="89" t="e">
        <f>VLOOKUP($D62,Résultats!$B$2:$AZ$212,P$2,FALSE)</f>
        <v>#N/A</v>
      </c>
      <c r="Q62" s="89" t="e">
        <f>VLOOKUP($D62,Résultats!$B$2:$AZ$212,Q$2,FALSE)</f>
        <v>#N/A</v>
      </c>
      <c r="R62" s="89" t="e">
        <f>VLOOKUP($D62,Résultats!$B$2:$AZ$212,R$2,FALSE)</f>
        <v>#N/A</v>
      </c>
      <c r="S62" s="89" t="e">
        <f>VLOOKUP($D62,Résultats!$B$2:$AZ$212,S$2,FALSE)</f>
        <v>#N/A</v>
      </c>
      <c r="T62" s="89" t="e">
        <f>VLOOKUP($D62,Résultats!$B$2:$AZ$212,T$2,FALSE)</f>
        <v>#N/A</v>
      </c>
      <c r="U62" s="89" t="e">
        <f>VLOOKUP($D62,Résultats!$B$2:$AZ$212,U$2,FALSE)</f>
        <v>#N/A</v>
      </c>
      <c r="V62" s="89" t="e">
        <f>VLOOKUP($D62,Résultats!$B$2:$AZ$212,V$2,FALSE)</f>
        <v>#N/A</v>
      </c>
      <c r="W62" s="89" t="e">
        <f>VLOOKUP($D62,Résultats!$B$2:$AZ$212,W$2,FALSE)</f>
        <v>#N/A</v>
      </c>
      <c r="X62" s="89" t="e">
        <f>VLOOKUP($D62,Résultats!$B$2:$AZ$212,X$2,FALSE)</f>
        <v>#N/A</v>
      </c>
      <c r="Y62" s="89" t="e">
        <f>VLOOKUP($D62,Résultats!$B$2:$AZ$212,Y$2,FALSE)</f>
        <v>#N/A</v>
      </c>
      <c r="Z62" s="89" t="e">
        <f>VLOOKUP($D62,Résultats!$B$2:$AZ$212,Z$2,FALSE)</f>
        <v>#N/A</v>
      </c>
      <c r="AA62" s="89" t="e">
        <f>VLOOKUP($D62,Résultats!$B$2:$AZ$212,AA$2,FALSE)</f>
        <v>#N/A</v>
      </c>
      <c r="AB62" s="89" t="e">
        <f>VLOOKUP($D62,Résultats!$B$2:$AZ$212,AB$2,FALSE)</f>
        <v>#N/A</v>
      </c>
      <c r="AC62" s="89" t="e">
        <f>VLOOKUP($D62,Résultats!$B$2:$AZ$212,AC$2,FALSE)</f>
        <v>#N/A</v>
      </c>
      <c r="AD62" s="89" t="e">
        <f>VLOOKUP($D62,Résultats!$B$2:$AZ$212,AD$2,FALSE)</f>
        <v>#N/A</v>
      </c>
      <c r="AE62" s="89" t="e">
        <f>VLOOKUP($D62,Résultats!$B$2:$AZ$212,AE$2,FALSE)</f>
        <v>#N/A</v>
      </c>
      <c r="AF62" s="89" t="e">
        <f>VLOOKUP($D62,Résultats!$B$2:$AZ$212,AF$2,FALSE)</f>
        <v>#N/A</v>
      </c>
      <c r="AG62" s="89" t="e">
        <f>VLOOKUP($D62,Résultats!$B$2:$AZ$212,AG$2,FALSE)</f>
        <v>#N/A</v>
      </c>
      <c r="AH62" s="89" t="e">
        <f>VLOOKUP($D62,Résultats!$B$2:$AZ$212,AH$2,FALSE)</f>
        <v>#N/A</v>
      </c>
      <c r="AI62" s="89" t="e">
        <f>VLOOKUP($D62,Résultats!$B$2:$AZ$212,AI$2,FALSE)</f>
        <v>#N/A</v>
      </c>
      <c r="AJ62" s="89" t="e">
        <f>VLOOKUP($D62,Résultats!$B$2:$AZ$212,AJ$2,FALSE)</f>
        <v>#N/A</v>
      </c>
      <c r="AK62" s="89" t="e">
        <f>VLOOKUP($D62,Résultats!$B$2:$AZ$212,AK$2,FALSE)</f>
        <v>#N/A</v>
      </c>
      <c r="AL62" s="89" t="e">
        <f>VLOOKUP($D62,Résultats!$B$2:$AZ$212,AL$2,FALSE)</f>
        <v>#N/A</v>
      </c>
      <c r="AM62" s="89" t="e">
        <f>VLOOKUP($D62,Résultats!$B$2:$AZ$212,AM$2,FALSE)</f>
        <v>#N/A</v>
      </c>
    </row>
    <row r="63" spans="3:40" x14ac:dyDescent="0.25">
      <c r="C63" s="56" t="s">
        <v>31</v>
      </c>
      <c r="D63" s="78" t="s">
        <v>50</v>
      </c>
      <c r="E63" s="89" t="e">
        <f>VLOOKUP($D63,Résultats!$B$2:$AZ$212,E$2,FALSE)</f>
        <v>#N/A</v>
      </c>
      <c r="F63" s="89" t="e">
        <f>VLOOKUP($D63,Résultats!$B$2:$AZ$212,F$2,FALSE)</f>
        <v>#N/A</v>
      </c>
      <c r="G63" s="89" t="e">
        <f>VLOOKUP($D63,Résultats!$B$2:$AZ$212,G$2,FALSE)</f>
        <v>#N/A</v>
      </c>
      <c r="H63" s="89" t="e">
        <f>VLOOKUP($D63,Résultats!$B$2:$AZ$212,H$2,FALSE)</f>
        <v>#N/A</v>
      </c>
      <c r="I63" s="89" t="e">
        <f>VLOOKUP($D63,Résultats!$B$2:$AZ$212,I$2,FALSE)</f>
        <v>#N/A</v>
      </c>
      <c r="J63" s="89" t="e">
        <f>VLOOKUP($D63,Résultats!$B$2:$AZ$212,J$2,FALSE)</f>
        <v>#N/A</v>
      </c>
      <c r="K63" s="89" t="e">
        <f>VLOOKUP($D63,Résultats!$B$2:$AZ$212,K$2,FALSE)</f>
        <v>#N/A</v>
      </c>
      <c r="L63" s="89" t="e">
        <f>VLOOKUP($D63,Résultats!$B$2:$AZ$212,L$2,FALSE)</f>
        <v>#N/A</v>
      </c>
      <c r="M63" s="89" t="e">
        <f>VLOOKUP($D63,Résultats!$B$2:$AZ$212,M$2,FALSE)</f>
        <v>#N/A</v>
      </c>
      <c r="N63" s="89" t="e">
        <f>VLOOKUP($D63,Résultats!$B$2:$AZ$212,N$2,FALSE)</f>
        <v>#N/A</v>
      </c>
      <c r="O63" s="89" t="e">
        <f>VLOOKUP($D63,Résultats!$B$2:$AZ$212,O$2,FALSE)</f>
        <v>#N/A</v>
      </c>
      <c r="P63" s="89" t="e">
        <f>VLOOKUP($D63,Résultats!$B$2:$AZ$212,P$2,FALSE)</f>
        <v>#N/A</v>
      </c>
      <c r="Q63" s="89" t="e">
        <f>VLOOKUP($D63,Résultats!$B$2:$AZ$212,Q$2,FALSE)</f>
        <v>#N/A</v>
      </c>
      <c r="R63" s="89" t="e">
        <f>VLOOKUP($D63,Résultats!$B$2:$AZ$212,R$2,FALSE)</f>
        <v>#N/A</v>
      </c>
      <c r="S63" s="89" t="e">
        <f>VLOOKUP($D63,Résultats!$B$2:$AZ$212,S$2,FALSE)</f>
        <v>#N/A</v>
      </c>
      <c r="T63" s="89" t="e">
        <f>VLOOKUP($D63,Résultats!$B$2:$AZ$212,T$2,FALSE)</f>
        <v>#N/A</v>
      </c>
      <c r="U63" s="89" t="e">
        <f>VLOOKUP($D63,Résultats!$B$2:$AZ$212,U$2,FALSE)</f>
        <v>#N/A</v>
      </c>
      <c r="V63" s="89" t="e">
        <f>VLOOKUP($D63,Résultats!$B$2:$AZ$212,V$2,FALSE)</f>
        <v>#N/A</v>
      </c>
      <c r="W63" s="89" t="e">
        <f>VLOOKUP($D63,Résultats!$B$2:$AZ$212,W$2,FALSE)</f>
        <v>#N/A</v>
      </c>
      <c r="X63" s="89" t="e">
        <f>VLOOKUP($D63,Résultats!$B$2:$AZ$212,X$2,FALSE)</f>
        <v>#N/A</v>
      </c>
      <c r="Y63" s="89" t="e">
        <f>VLOOKUP($D63,Résultats!$B$2:$AZ$212,Y$2,FALSE)</f>
        <v>#N/A</v>
      </c>
      <c r="Z63" s="89" t="e">
        <f>VLOOKUP($D63,Résultats!$B$2:$AZ$212,Z$2,FALSE)</f>
        <v>#N/A</v>
      </c>
      <c r="AA63" s="89" t="e">
        <f>VLOOKUP($D63,Résultats!$B$2:$AZ$212,AA$2,FALSE)</f>
        <v>#N/A</v>
      </c>
      <c r="AB63" s="89" t="e">
        <f>VLOOKUP($D63,Résultats!$B$2:$AZ$212,AB$2,FALSE)</f>
        <v>#N/A</v>
      </c>
      <c r="AC63" s="89" t="e">
        <f>VLOOKUP($D63,Résultats!$B$2:$AZ$212,AC$2,FALSE)</f>
        <v>#N/A</v>
      </c>
      <c r="AD63" s="89" t="e">
        <f>VLOOKUP($D63,Résultats!$B$2:$AZ$212,AD$2,FALSE)</f>
        <v>#N/A</v>
      </c>
      <c r="AE63" s="89" t="e">
        <f>VLOOKUP($D63,Résultats!$B$2:$AZ$212,AE$2,FALSE)</f>
        <v>#N/A</v>
      </c>
      <c r="AF63" s="89" t="e">
        <f>VLOOKUP($D63,Résultats!$B$2:$AZ$212,AF$2,FALSE)</f>
        <v>#N/A</v>
      </c>
      <c r="AG63" s="89" t="e">
        <f>VLOOKUP($D63,Résultats!$B$2:$AZ$212,AG$2,FALSE)</f>
        <v>#N/A</v>
      </c>
      <c r="AH63" s="89" t="e">
        <f>VLOOKUP($D63,Résultats!$B$2:$AZ$212,AH$2,FALSE)</f>
        <v>#N/A</v>
      </c>
      <c r="AI63" s="89" t="e">
        <f>VLOOKUP($D63,Résultats!$B$2:$AZ$212,AI$2,FALSE)</f>
        <v>#N/A</v>
      </c>
      <c r="AJ63" s="89" t="e">
        <f>VLOOKUP($D63,Résultats!$B$2:$AZ$212,AJ$2,FALSE)</f>
        <v>#N/A</v>
      </c>
      <c r="AK63" s="89" t="e">
        <f>VLOOKUP($D63,Résultats!$B$2:$AZ$212,AK$2,FALSE)</f>
        <v>#N/A</v>
      </c>
      <c r="AL63" s="89" t="e">
        <f>VLOOKUP($D63,Résultats!$B$2:$AZ$212,AL$2,FALSE)</f>
        <v>#N/A</v>
      </c>
      <c r="AM63" s="89" t="e">
        <f>VLOOKUP($D63,Résultats!$B$2:$AZ$212,AM$2,FALSE)</f>
        <v>#N/A</v>
      </c>
    </row>
    <row r="64" spans="3:40" x14ac:dyDescent="0.25">
      <c r="C64" s="56" t="s">
        <v>32</v>
      </c>
      <c r="D64" s="78" t="s">
        <v>51</v>
      </c>
      <c r="E64" s="89" t="e">
        <f>VLOOKUP($D64,Résultats!$B$2:$AZ$212,E$2,FALSE)</f>
        <v>#N/A</v>
      </c>
      <c r="F64" s="89" t="e">
        <f>VLOOKUP($D64,Résultats!$B$2:$AZ$212,F$2,FALSE)</f>
        <v>#N/A</v>
      </c>
      <c r="G64" s="89" t="e">
        <f>VLOOKUP($D64,Résultats!$B$2:$AZ$212,G$2,FALSE)</f>
        <v>#N/A</v>
      </c>
      <c r="H64" s="89" t="e">
        <f>VLOOKUP($D64,Résultats!$B$2:$AZ$212,H$2,FALSE)</f>
        <v>#N/A</v>
      </c>
      <c r="I64" s="89" t="e">
        <f>VLOOKUP($D64,Résultats!$B$2:$AZ$212,I$2,FALSE)</f>
        <v>#N/A</v>
      </c>
      <c r="J64" s="89" t="e">
        <f>VLOOKUP($D64,Résultats!$B$2:$AZ$212,J$2,FALSE)</f>
        <v>#N/A</v>
      </c>
      <c r="K64" s="89" t="e">
        <f>VLOOKUP($D64,Résultats!$B$2:$AZ$212,K$2,FALSE)</f>
        <v>#N/A</v>
      </c>
      <c r="L64" s="89" t="e">
        <f>VLOOKUP($D64,Résultats!$B$2:$AZ$212,L$2,FALSE)</f>
        <v>#N/A</v>
      </c>
      <c r="M64" s="89" t="e">
        <f>VLOOKUP($D64,Résultats!$B$2:$AZ$212,M$2,FALSE)</f>
        <v>#N/A</v>
      </c>
      <c r="N64" s="89" t="e">
        <f>VLOOKUP($D64,Résultats!$B$2:$AZ$212,N$2,FALSE)</f>
        <v>#N/A</v>
      </c>
      <c r="O64" s="89" t="e">
        <f>VLOOKUP($D64,Résultats!$B$2:$AZ$212,O$2,FALSE)</f>
        <v>#N/A</v>
      </c>
      <c r="P64" s="89" t="e">
        <f>VLOOKUP($D64,Résultats!$B$2:$AZ$212,P$2,FALSE)</f>
        <v>#N/A</v>
      </c>
      <c r="Q64" s="89" t="e">
        <f>VLOOKUP($D64,Résultats!$B$2:$AZ$212,Q$2,FALSE)</f>
        <v>#N/A</v>
      </c>
      <c r="R64" s="89" t="e">
        <f>VLOOKUP($D64,Résultats!$B$2:$AZ$212,R$2,FALSE)</f>
        <v>#N/A</v>
      </c>
      <c r="S64" s="89" t="e">
        <f>VLOOKUP($D64,Résultats!$B$2:$AZ$212,S$2,FALSE)</f>
        <v>#N/A</v>
      </c>
      <c r="T64" s="89" t="e">
        <f>VLOOKUP($D64,Résultats!$B$2:$AZ$212,T$2,FALSE)</f>
        <v>#N/A</v>
      </c>
      <c r="U64" s="89" t="e">
        <f>VLOOKUP($D64,Résultats!$B$2:$AZ$212,U$2,FALSE)</f>
        <v>#N/A</v>
      </c>
      <c r="V64" s="89" t="e">
        <f>VLOOKUP($D64,Résultats!$B$2:$AZ$212,V$2,FALSE)</f>
        <v>#N/A</v>
      </c>
      <c r="W64" s="89" t="e">
        <f>VLOOKUP($D64,Résultats!$B$2:$AZ$212,W$2,FALSE)</f>
        <v>#N/A</v>
      </c>
      <c r="X64" s="89" t="e">
        <f>VLOOKUP($D64,Résultats!$B$2:$AZ$212,X$2,FALSE)</f>
        <v>#N/A</v>
      </c>
      <c r="Y64" s="89" t="e">
        <f>VLOOKUP($D64,Résultats!$B$2:$AZ$212,Y$2,FALSE)</f>
        <v>#N/A</v>
      </c>
      <c r="Z64" s="89" t="e">
        <f>VLOOKUP($D64,Résultats!$B$2:$AZ$212,Z$2,FALSE)</f>
        <v>#N/A</v>
      </c>
      <c r="AA64" s="89" t="e">
        <f>VLOOKUP($D64,Résultats!$B$2:$AZ$212,AA$2,FALSE)</f>
        <v>#N/A</v>
      </c>
      <c r="AB64" s="89" t="e">
        <f>VLOOKUP($D64,Résultats!$B$2:$AZ$212,AB$2,FALSE)</f>
        <v>#N/A</v>
      </c>
      <c r="AC64" s="89" t="e">
        <f>VLOOKUP($D64,Résultats!$B$2:$AZ$212,AC$2,FALSE)</f>
        <v>#N/A</v>
      </c>
      <c r="AD64" s="89" t="e">
        <f>VLOOKUP($D64,Résultats!$B$2:$AZ$212,AD$2,FALSE)</f>
        <v>#N/A</v>
      </c>
      <c r="AE64" s="89" t="e">
        <f>VLOOKUP($D64,Résultats!$B$2:$AZ$212,AE$2,FALSE)</f>
        <v>#N/A</v>
      </c>
      <c r="AF64" s="89" t="e">
        <f>VLOOKUP($D64,Résultats!$B$2:$AZ$212,AF$2,FALSE)</f>
        <v>#N/A</v>
      </c>
      <c r="AG64" s="89" t="e">
        <f>VLOOKUP($D64,Résultats!$B$2:$AZ$212,AG$2,FALSE)</f>
        <v>#N/A</v>
      </c>
      <c r="AH64" s="89" t="e">
        <f>VLOOKUP($D64,Résultats!$B$2:$AZ$212,AH$2,FALSE)</f>
        <v>#N/A</v>
      </c>
      <c r="AI64" s="89" t="e">
        <f>VLOOKUP($D64,Résultats!$B$2:$AZ$212,AI$2,FALSE)</f>
        <v>#N/A</v>
      </c>
      <c r="AJ64" s="89" t="e">
        <f>VLOOKUP($D64,Résultats!$B$2:$AZ$212,AJ$2,FALSE)</f>
        <v>#N/A</v>
      </c>
      <c r="AK64" s="89" t="e">
        <f>VLOOKUP($D64,Résultats!$B$2:$AZ$212,AK$2,FALSE)</f>
        <v>#N/A</v>
      </c>
      <c r="AL64" s="89" t="e">
        <f>VLOOKUP($D64,Résultats!$B$2:$AZ$212,AL$2,FALSE)</f>
        <v>#N/A</v>
      </c>
      <c r="AM64" s="89" t="e">
        <f>VLOOKUP($D64,Résultats!$B$2:$AZ$212,AM$2,FALSE)</f>
        <v>#N/A</v>
      </c>
    </row>
    <row r="65" spans="2:39" x14ac:dyDescent="0.25">
      <c r="C65" s="56" t="s">
        <v>33</v>
      </c>
      <c r="D65" s="78" t="s">
        <v>52</v>
      </c>
      <c r="E65" s="89" t="e">
        <f>VLOOKUP($D65,Résultats!$B$2:$AZ$212,E$2,FALSE)</f>
        <v>#N/A</v>
      </c>
      <c r="F65" s="89" t="e">
        <f>VLOOKUP($D65,Résultats!$B$2:$AZ$212,F$2,FALSE)</f>
        <v>#N/A</v>
      </c>
      <c r="G65" s="89" t="e">
        <f>VLOOKUP($D65,Résultats!$B$2:$AZ$212,G$2,FALSE)</f>
        <v>#N/A</v>
      </c>
      <c r="H65" s="89" t="e">
        <f>VLOOKUP($D65,Résultats!$B$2:$AZ$212,H$2,FALSE)</f>
        <v>#N/A</v>
      </c>
      <c r="I65" s="89" t="e">
        <f>VLOOKUP($D65,Résultats!$B$2:$AZ$212,I$2,FALSE)</f>
        <v>#N/A</v>
      </c>
      <c r="J65" s="89" t="e">
        <f>VLOOKUP($D65,Résultats!$B$2:$AZ$212,J$2,FALSE)</f>
        <v>#N/A</v>
      </c>
      <c r="K65" s="89" t="e">
        <f>VLOOKUP($D65,Résultats!$B$2:$AZ$212,K$2,FALSE)</f>
        <v>#N/A</v>
      </c>
      <c r="L65" s="89" t="e">
        <f>VLOOKUP($D65,Résultats!$B$2:$AZ$212,L$2,FALSE)</f>
        <v>#N/A</v>
      </c>
      <c r="M65" s="89" t="e">
        <f>VLOOKUP($D65,Résultats!$B$2:$AZ$212,M$2,FALSE)</f>
        <v>#N/A</v>
      </c>
      <c r="N65" s="89" t="e">
        <f>VLOOKUP($D65,Résultats!$B$2:$AZ$212,N$2,FALSE)</f>
        <v>#N/A</v>
      </c>
      <c r="O65" s="89" t="e">
        <f>VLOOKUP($D65,Résultats!$B$2:$AZ$212,O$2,FALSE)</f>
        <v>#N/A</v>
      </c>
      <c r="P65" s="89" t="e">
        <f>VLOOKUP($D65,Résultats!$B$2:$AZ$212,P$2,FALSE)</f>
        <v>#N/A</v>
      </c>
      <c r="Q65" s="89" t="e">
        <f>VLOOKUP($D65,Résultats!$B$2:$AZ$212,Q$2,FALSE)</f>
        <v>#N/A</v>
      </c>
      <c r="R65" s="89" t="e">
        <f>VLOOKUP($D65,Résultats!$B$2:$AZ$212,R$2,FALSE)</f>
        <v>#N/A</v>
      </c>
      <c r="S65" s="89" t="e">
        <f>VLOOKUP($D65,Résultats!$B$2:$AZ$212,S$2,FALSE)</f>
        <v>#N/A</v>
      </c>
      <c r="T65" s="89" t="e">
        <f>VLOOKUP($D65,Résultats!$B$2:$AZ$212,T$2,FALSE)</f>
        <v>#N/A</v>
      </c>
      <c r="U65" s="89" t="e">
        <f>VLOOKUP($D65,Résultats!$B$2:$AZ$212,U$2,FALSE)</f>
        <v>#N/A</v>
      </c>
      <c r="V65" s="89" t="e">
        <f>VLOOKUP($D65,Résultats!$B$2:$AZ$212,V$2,FALSE)</f>
        <v>#N/A</v>
      </c>
      <c r="W65" s="89" t="e">
        <f>VLOOKUP($D65,Résultats!$B$2:$AZ$212,W$2,FALSE)</f>
        <v>#N/A</v>
      </c>
      <c r="X65" s="89" t="e">
        <f>VLOOKUP($D65,Résultats!$B$2:$AZ$212,X$2,FALSE)</f>
        <v>#N/A</v>
      </c>
      <c r="Y65" s="89" t="e">
        <f>VLOOKUP($D65,Résultats!$B$2:$AZ$212,Y$2,FALSE)</f>
        <v>#N/A</v>
      </c>
      <c r="Z65" s="89" t="e">
        <f>VLOOKUP($D65,Résultats!$B$2:$AZ$212,Z$2,FALSE)</f>
        <v>#N/A</v>
      </c>
      <c r="AA65" s="89" t="e">
        <f>VLOOKUP($D65,Résultats!$B$2:$AZ$212,AA$2,FALSE)</f>
        <v>#N/A</v>
      </c>
      <c r="AB65" s="89" t="e">
        <f>VLOOKUP($D65,Résultats!$B$2:$AZ$212,AB$2,FALSE)</f>
        <v>#N/A</v>
      </c>
      <c r="AC65" s="89" t="e">
        <f>VLOOKUP($D65,Résultats!$B$2:$AZ$212,AC$2,FALSE)</f>
        <v>#N/A</v>
      </c>
      <c r="AD65" s="89" t="e">
        <f>VLOOKUP($D65,Résultats!$B$2:$AZ$212,AD$2,FALSE)</f>
        <v>#N/A</v>
      </c>
      <c r="AE65" s="89" t="e">
        <f>VLOOKUP($D65,Résultats!$B$2:$AZ$212,AE$2,FALSE)</f>
        <v>#N/A</v>
      </c>
      <c r="AF65" s="89" t="e">
        <f>VLOOKUP($D65,Résultats!$B$2:$AZ$212,AF$2,FALSE)</f>
        <v>#N/A</v>
      </c>
      <c r="AG65" s="89" t="e">
        <f>VLOOKUP($D65,Résultats!$B$2:$AZ$212,AG$2,FALSE)</f>
        <v>#N/A</v>
      </c>
      <c r="AH65" s="89" t="e">
        <f>VLOOKUP($D65,Résultats!$B$2:$AZ$212,AH$2,FALSE)</f>
        <v>#N/A</v>
      </c>
      <c r="AI65" s="89" t="e">
        <f>VLOOKUP($D65,Résultats!$B$2:$AZ$212,AI$2,FALSE)</f>
        <v>#N/A</v>
      </c>
      <c r="AJ65" s="89" t="e">
        <f>VLOOKUP($D65,Résultats!$B$2:$AZ$212,AJ$2,FALSE)</f>
        <v>#N/A</v>
      </c>
      <c r="AK65" s="89" t="e">
        <f>VLOOKUP($D65,Résultats!$B$2:$AZ$212,AK$2,FALSE)</f>
        <v>#N/A</v>
      </c>
      <c r="AL65" s="89" t="e">
        <f>VLOOKUP($D65,Résultats!$B$2:$AZ$212,AL$2,FALSE)</f>
        <v>#N/A</v>
      </c>
      <c r="AM65" s="89" t="e">
        <f>VLOOKUP($D65,Résultats!$B$2:$AZ$212,AM$2,FALSE)</f>
        <v>#N/A</v>
      </c>
    </row>
    <row r="68" spans="2:39" x14ac:dyDescent="0.25">
      <c r="C68" s="12"/>
      <c r="D68" s="12"/>
      <c r="E68" s="117">
        <v>2016</v>
      </c>
      <c r="F68" s="117">
        <v>2017</v>
      </c>
      <c r="G68" s="117">
        <v>2018</v>
      </c>
      <c r="H68" s="117">
        <v>2019</v>
      </c>
      <c r="I68" s="117">
        <v>2020</v>
      </c>
      <c r="J68" s="26">
        <v>2021</v>
      </c>
      <c r="K68" s="4">
        <v>2022</v>
      </c>
      <c r="L68" s="4">
        <v>2023</v>
      </c>
      <c r="M68" s="4">
        <v>2024</v>
      </c>
      <c r="N68" s="117">
        <v>2025</v>
      </c>
      <c r="O68" s="26">
        <v>2026</v>
      </c>
      <c r="P68" s="4">
        <v>2027</v>
      </c>
      <c r="Q68" s="4">
        <v>2028</v>
      </c>
      <c r="R68" s="4">
        <v>2029</v>
      </c>
      <c r="S68" s="117">
        <v>2030</v>
      </c>
      <c r="T68" s="117">
        <v>2031</v>
      </c>
      <c r="U68" s="117">
        <v>2032</v>
      </c>
      <c r="V68" s="117">
        <v>2033</v>
      </c>
      <c r="W68" s="117">
        <v>2034</v>
      </c>
      <c r="X68" s="118">
        <v>2035</v>
      </c>
      <c r="Y68" s="118">
        <v>2036</v>
      </c>
      <c r="Z68" s="118">
        <v>2037</v>
      </c>
      <c r="AA68" s="118">
        <v>2038</v>
      </c>
      <c r="AB68" s="118">
        <v>2039</v>
      </c>
      <c r="AC68" s="118">
        <v>2040</v>
      </c>
      <c r="AD68" s="118">
        <v>2041</v>
      </c>
      <c r="AE68" s="118">
        <v>2042</v>
      </c>
      <c r="AF68" s="118">
        <v>2043</v>
      </c>
      <c r="AG68" s="118">
        <v>2044</v>
      </c>
      <c r="AH68" s="118">
        <v>2045</v>
      </c>
      <c r="AI68" s="118">
        <v>2046</v>
      </c>
      <c r="AJ68" s="118">
        <v>2047</v>
      </c>
      <c r="AK68" s="118">
        <v>2048</v>
      </c>
      <c r="AL68" s="118">
        <v>2049</v>
      </c>
      <c r="AM68" s="118">
        <v>2050</v>
      </c>
    </row>
    <row r="69" spans="2:39" x14ac:dyDescent="0.25">
      <c r="B69" s="23" t="s">
        <v>164</v>
      </c>
      <c r="C69" s="74" t="s">
        <v>133</v>
      </c>
      <c r="D69" s="74" t="s">
        <v>64</v>
      </c>
      <c r="E69" s="75" t="e">
        <f t="shared" ref="E69:F69" si="11">E26</f>
        <v>#N/A</v>
      </c>
      <c r="F69" s="75" t="e">
        <f t="shared" si="11"/>
        <v>#N/A</v>
      </c>
      <c r="G69" s="75" t="e">
        <f t="shared" ref="G69:AM69" si="12">G26</f>
        <v>#N/A</v>
      </c>
      <c r="H69" s="75" t="e">
        <f t="shared" si="12"/>
        <v>#N/A</v>
      </c>
      <c r="I69" s="75" t="e">
        <f t="shared" si="12"/>
        <v>#N/A</v>
      </c>
      <c r="J69" s="75" t="e">
        <f t="shared" si="12"/>
        <v>#N/A</v>
      </c>
      <c r="K69" s="75" t="e">
        <f t="shared" si="12"/>
        <v>#N/A</v>
      </c>
      <c r="L69" s="75" t="e">
        <f t="shared" si="12"/>
        <v>#N/A</v>
      </c>
      <c r="M69" s="75" t="e">
        <f t="shared" si="12"/>
        <v>#N/A</v>
      </c>
      <c r="N69" s="75" t="e">
        <f t="shared" si="12"/>
        <v>#N/A</v>
      </c>
      <c r="O69" s="75" t="e">
        <f t="shared" si="12"/>
        <v>#N/A</v>
      </c>
      <c r="P69" s="75" t="e">
        <f t="shared" si="12"/>
        <v>#N/A</v>
      </c>
      <c r="Q69" s="75" t="e">
        <f t="shared" si="12"/>
        <v>#N/A</v>
      </c>
      <c r="R69" s="75" t="e">
        <f t="shared" si="12"/>
        <v>#N/A</v>
      </c>
      <c r="S69" s="75" t="e">
        <f t="shared" si="12"/>
        <v>#N/A</v>
      </c>
      <c r="T69" s="75" t="e">
        <f t="shared" si="12"/>
        <v>#N/A</v>
      </c>
      <c r="U69" s="75" t="e">
        <f t="shared" si="12"/>
        <v>#N/A</v>
      </c>
      <c r="V69" s="75" t="e">
        <f t="shared" si="12"/>
        <v>#N/A</v>
      </c>
      <c r="W69" s="75" t="e">
        <f t="shared" si="12"/>
        <v>#N/A</v>
      </c>
      <c r="X69" s="75" t="e">
        <f t="shared" si="12"/>
        <v>#N/A</v>
      </c>
      <c r="Y69" s="75" t="e">
        <f t="shared" si="12"/>
        <v>#N/A</v>
      </c>
      <c r="Z69" s="75" t="e">
        <f t="shared" si="12"/>
        <v>#N/A</v>
      </c>
      <c r="AA69" s="75" t="e">
        <f t="shared" si="12"/>
        <v>#N/A</v>
      </c>
      <c r="AB69" s="75" t="e">
        <f t="shared" si="12"/>
        <v>#N/A</v>
      </c>
      <c r="AC69" s="75" t="e">
        <f t="shared" si="12"/>
        <v>#N/A</v>
      </c>
      <c r="AD69" s="75" t="e">
        <f t="shared" si="12"/>
        <v>#N/A</v>
      </c>
      <c r="AE69" s="75" t="e">
        <f t="shared" si="12"/>
        <v>#N/A</v>
      </c>
      <c r="AF69" s="75" t="e">
        <f t="shared" si="12"/>
        <v>#N/A</v>
      </c>
      <c r="AG69" s="75" t="e">
        <f t="shared" si="12"/>
        <v>#N/A</v>
      </c>
      <c r="AH69" s="75" t="e">
        <f t="shared" si="12"/>
        <v>#N/A</v>
      </c>
      <c r="AI69" s="75" t="e">
        <f t="shared" si="12"/>
        <v>#N/A</v>
      </c>
      <c r="AJ69" s="75" t="e">
        <f t="shared" si="12"/>
        <v>#N/A</v>
      </c>
      <c r="AK69" s="75" t="e">
        <f t="shared" si="12"/>
        <v>#N/A</v>
      </c>
      <c r="AL69" s="75" t="e">
        <f t="shared" si="12"/>
        <v>#N/A</v>
      </c>
      <c r="AM69" s="75" t="e">
        <f t="shared" si="12"/>
        <v>#N/A</v>
      </c>
    </row>
    <row r="70" spans="2:39" x14ac:dyDescent="0.25">
      <c r="C70" s="76" t="s">
        <v>94</v>
      </c>
      <c r="D70" s="76" t="s">
        <v>166</v>
      </c>
      <c r="E70" s="149" t="e">
        <f t="shared" ref="E70:F77" si="13">E27/E$26</f>
        <v>#N/A</v>
      </c>
      <c r="F70" s="149" t="e">
        <f t="shared" si="13"/>
        <v>#N/A</v>
      </c>
      <c r="G70" s="149" t="e">
        <f t="shared" ref="G70:AM77" si="14">G27/G$26</f>
        <v>#N/A</v>
      </c>
      <c r="H70" s="149" t="e">
        <f t="shared" si="14"/>
        <v>#N/A</v>
      </c>
      <c r="I70" s="149" t="e">
        <f t="shared" si="14"/>
        <v>#N/A</v>
      </c>
      <c r="J70" s="148" t="e">
        <f t="shared" si="14"/>
        <v>#N/A</v>
      </c>
      <c r="K70" s="91" t="e">
        <f t="shared" si="14"/>
        <v>#N/A</v>
      </c>
      <c r="L70" s="91" t="e">
        <f t="shared" si="14"/>
        <v>#N/A</v>
      </c>
      <c r="M70" s="91" t="e">
        <f t="shared" si="14"/>
        <v>#N/A</v>
      </c>
      <c r="N70" s="149" t="e">
        <f t="shared" si="14"/>
        <v>#N/A</v>
      </c>
      <c r="O70" s="148" t="e">
        <f t="shared" si="14"/>
        <v>#N/A</v>
      </c>
      <c r="P70" s="91" t="e">
        <f t="shared" si="14"/>
        <v>#N/A</v>
      </c>
      <c r="Q70" s="91" t="e">
        <f t="shared" si="14"/>
        <v>#N/A</v>
      </c>
      <c r="R70" s="91" t="e">
        <f t="shared" si="14"/>
        <v>#N/A</v>
      </c>
      <c r="S70" s="149" t="e">
        <f t="shared" si="14"/>
        <v>#N/A</v>
      </c>
      <c r="T70" s="149" t="e">
        <f t="shared" si="14"/>
        <v>#N/A</v>
      </c>
      <c r="U70" s="149" t="e">
        <f t="shared" si="14"/>
        <v>#N/A</v>
      </c>
      <c r="V70" s="149" t="e">
        <f t="shared" si="14"/>
        <v>#N/A</v>
      </c>
      <c r="W70" s="149" t="e">
        <f t="shared" si="14"/>
        <v>#N/A</v>
      </c>
      <c r="X70" s="143" t="e">
        <f t="shared" si="14"/>
        <v>#N/A</v>
      </c>
      <c r="Y70" s="143" t="e">
        <f t="shared" si="14"/>
        <v>#N/A</v>
      </c>
      <c r="Z70" s="143" t="e">
        <f t="shared" si="14"/>
        <v>#N/A</v>
      </c>
      <c r="AA70" s="143" t="e">
        <f t="shared" si="14"/>
        <v>#N/A</v>
      </c>
      <c r="AB70" s="143" t="e">
        <f t="shared" si="14"/>
        <v>#N/A</v>
      </c>
      <c r="AC70" s="143" t="e">
        <f t="shared" si="14"/>
        <v>#N/A</v>
      </c>
      <c r="AD70" s="143" t="e">
        <f t="shared" si="14"/>
        <v>#N/A</v>
      </c>
      <c r="AE70" s="143" t="e">
        <f t="shared" si="14"/>
        <v>#N/A</v>
      </c>
      <c r="AF70" s="143" t="e">
        <f t="shared" si="14"/>
        <v>#N/A</v>
      </c>
      <c r="AG70" s="143" t="e">
        <f t="shared" si="14"/>
        <v>#N/A</v>
      </c>
      <c r="AH70" s="143" t="e">
        <f t="shared" si="14"/>
        <v>#N/A</v>
      </c>
      <c r="AI70" s="143" t="e">
        <f t="shared" si="14"/>
        <v>#N/A</v>
      </c>
      <c r="AJ70" s="143" t="e">
        <f t="shared" si="14"/>
        <v>#N/A</v>
      </c>
      <c r="AK70" s="143" t="e">
        <f t="shared" si="14"/>
        <v>#N/A</v>
      </c>
      <c r="AL70" s="143" t="e">
        <f t="shared" si="14"/>
        <v>#N/A</v>
      </c>
      <c r="AM70" s="143" t="e">
        <f t="shared" si="14"/>
        <v>#N/A</v>
      </c>
    </row>
    <row r="71" spans="2:39" x14ac:dyDescent="0.25">
      <c r="C71" s="56" t="s">
        <v>27</v>
      </c>
      <c r="D71" s="78" t="s">
        <v>167</v>
      </c>
      <c r="E71" s="136" t="e">
        <f t="shared" si="13"/>
        <v>#N/A</v>
      </c>
      <c r="F71" s="136" t="e">
        <f t="shared" si="13"/>
        <v>#N/A</v>
      </c>
      <c r="G71" s="136" t="e">
        <f t="shared" si="14"/>
        <v>#N/A</v>
      </c>
      <c r="H71" s="136" t="e">
        <f t="shared" si="14"/>
        <v>#N/A</v>
      </c>
      <c r="I71" s="136" t="e">
        <f t="shared" si="14"/>
        <v>#N/A</v>
      </c>
      <c r="J71" s="135" t="e">
        <f t="shared" si="14"/>
        <v>#N/A</v>
      </c>
      <c r="K71" s="92" t="e">
        <f t="shared" si="14"/>
        <v>#N/A</v>
      </c>
      <c r="L71" s="92" t="e">
        <f t="shared" si="14"/>
        <v>#N/A</v>
      </c>
      <c r="M71" s="92" t="e">
        <f t="shared" si="14"/>
        <v>#N/A</v>
      </c>
      <c r="N71" s="136" t="e">
        <f t="shared" si="14"/>
        <v>#N/A</v>
      </c>
      <c r="O71" s="135" t="e">
        <f t="shared" si="14"/>
        <v>#N/A</v>
      </c>
      <c r="P71" s="92" t="e">
        <f t="shared" si="14"/>
        <v>#N/A</v>
      </c>
      <c r="Q71" s="92" t="e">
        <f t="shared" si="14"/>
        <v>#N/A</v>
      </c>
      <c r="R71" s="92" t="e">
        <f t="shared" si="14"/>
        <v>#N/A</v>
      </c>
      <c r="S71" s="136" t="e">
        <f t="shared" si="14"/>
        <v>#N/A</v>
      </c>
      <c r="T71" s="136" t="e">
        <f t="shared" si="14"/>
        <v>#N/A</v>
      </c>
      <c r="U71" s="136" t="e">
        <f t="shared" si="14"/>
        <v>#N/A</v>
      </c>
      <c r="V71" s="136" t="e">
        <f t="shared" si="14"/>
        <v>#N/A</v>
      </c>
      <c r="W71" s="136" t="e">
        <f t="shared" si="14"/>
        <v>#N/A</v>
      </c>
      <c r="X71" s="141" t="e">
        <f t="shared" si="14"/>
        <v>#N/A</v>
      </c>
      <c r="Y71" s="141" t="e">
        <f t="shared" si="14"/>
        <v>#N/A</v>
      </c>
      <c r="Z71" s="141" t="e">
        <f t="shared" si="14"/>
        <v>#N/A</v>
      </c>
      <c r="AA71" s="141" t="e">
        <f t="shared" si="14"/>
        <v>#N/A</v>
      </c>
      <c r="AB71" s="141" t="e">
        <f t="shared" si="14"/>
        <v>#N/A</v>
      </c>
      <c r="AC71" s="141" t="e">
        <f t="shared" si="14"/>
        <v>#N/A</v>
      </c>
      <c r="AD71" s="141" t="e">
        <f t="shared" si="14"/>
        <v>#N/A</v>
      </c>
      <c r="AE71" s="141" t="e">
        <f t="shared" si="14"/>
        <v>#N/A</v>
      </c>
      <c r="AF71" s="141" t="e">
        <f t="shared" si="14"/>
        <v>#N/A</v>
      </c>
      <c r="AG71" s="141" t="e">
        <f t="shared" si="14"/>
        <v>#N/A</v>
      </c>
      <c r="AH71" s="141" t="e">
        <f t="shared" si="14"/>
        <v>#N/A</v>
      </c>
      <c r="AI71" s="141" t="e">
        <f t="shared" si="14"/>
        <v>#N/A</v>
      </c>
      <c r="AJ71" s="141" t="e">
        <f t="shared" si="14"/>
        <v>#N/A</v>
      </c>
      <c r="AK71" s="141" t="e">
        <f t="shared" si="14"/>
        <v>#N/A</v>
      </c>
      <c r="AL71" s="141" t="e">
        <f t="shared" si="14"/>
        <v>#N/A</v>
      </c>
      <c r="AM71" s="141" t="e">
        <f t="shared" si="14"/>
        <v>#N/A</v>
      </c>
    </row>
    <row r="72" spans="2:39" x14ac:dyDescent="0.25">
      <c r="C72" s="56" t="s">
        <v>28</v>
      </c>
      <c r="D72" s="78" t="s">
        <v>168</v>
      </c>
      <c r="E72" s="136" t="e">
        <f t="shared" si="13"/>
        <v>#N/A</v>
      </c>
      <c r="F72" s="136" t="e">
        <f t="shared" si="13"/>
        <v>#N/A</v>
      </c>
      <c r="G72" s="136" t="e">
        <f t="shared" si="14"/>
        <v>#N/A</v>
      </c>
      <c r="H72" s="136" t="e">
        <f t="shared" si="14"/>
        <v>#N/A</v>
      </c>
      <c r="I72" s="136" t="e">
        <f t="shared" si="14"/>
        <v>#N/A</v>
      </c>
      <c r="J72" s="135" t="e">
        <f t="shared" si="14"/>
        <v>#N/A</v>
      </c>
      <c r="K72" s="92" t="e">
        <f t="shared" si="14"/>
        <v>#N/A</v>
      </c>
      <c r="L72" s="92" t="e">
        <f t="shared" si="14"/>
        <v>#N/A</v>
      </c>
      <c r="M72" s="92" t="e">
        <f t="shared" si="14"/>
        <v>#N/A</v>
      </c>
      <c r="N72" s="136" t="e">
        <f t="shared" si="14"/>
        <v>#N/A</v>
      </c>
      <c r="O72" s="135" t="e">
        <f t="shared" si="14"/>
        <v>#N/A</v>
      </c>
      <c r="P72" s="92" t="e">
        <f t="shared" si="14"/>
        <v>#N/A</v>
      </c>
      <c r="Q72" s="92" t="e">
        <f t="shared" si="14"/>
        <v>#N/A</v>
      </c>
      <c r="R72" s="92" t="e">
        <f t="shared" si="14"/>
        <v>#N/A</v>
      </c>
      <c r="S72" s="136" t="e">
        <f t="shared" si="14"/>
        <v>#N/A</v>
      </c>
      <c r="T72" s="136" t="e">
        <f t="shared" si="14"/>
        <v>#N/A</v>
      </c>
      <c r="U72" s="136" t="e">
        <f t="shared" si="14"/>
        <v>#N/A</v>
      </c>
      <c r="V72" s="136" t="e">
        <f t="shared" si="14"/>
        <v>#N/A</v>
      </c>
      <c r="W72" s="136" t="e">
        <f t="shared" si="14"/>
        <v>#N/A</v>
      </c>
      <c r="X72" s="141" t="e">
        <f t="shared" si="14"/>
        <v>#N/A</v>
      </c>
      <c r="Y72" s="141" t="e">
        <f t="shared" si="14"/>
        <v>#N/A</v>
      </c>
      <c r="Z72" s="141" t="e">
        <f t="shared" si="14"/>
        <v>#N/A</v>
      </c>
      <c r="AA72" s="141" t="e">
        <f t="shared" si="14"/>
        <v>#N/A</v>
      </c>
      <c r="AB72" s="141" t="e">
        <f t="shared" si="14"/>
        <v>#N/A</v>
      </c>
      <c r="AC72" s="141" t="e">
        <f t="shared" si="14"/>
        <v>#N/A</v>
      </c>
      <c r="AD72" s="141" t="e">
        <f t="shared" si="14"/>
        <v>#N/A</v>
      </c>
      <c r="AE72" s="141" t="e">
        <f t="shared" si="14"/>
        <v>#N/A</v>
      </c>
      <c r="AF72" s="141" t="e">
        <f t="shared" si="14"/>
        <v>#N/A</v>
      </c>
      <c r="AG72" s="141" t="e">
        <f t="shared" si="14"/>
        <v>#N/A</v>
      </c>
      <c r="AH72" s="141" t="e">
        <f t="shared" si="14"/>
        <v>#N/A</v>
      </c>
      <c r="AI72" s="141" t="e">
        <f t="shared" si="14"/>
        <v>#N/A</v>
      </c>
      <c r="AJ72" s="141" t="e">
        <f t="shared" si="14"/>
        <v>#N/A</v>
      </c>
      <c r="AK72" s="141" t="e">
        <f t="shared" si="14"/>
        <v>#N/A</v>
      </c>
      <c r="AL72" s="141" t="e">
        <f t="shared" si="14"/>
        <v>#N/A</v>
      </c>
      <c r="AM72" s="141" t="e">
        <f t="shared" si="14"/>
        <v>#N/A</v>
      </c>
    </row>
    <row r="73" spans="2:39" x14ac:dyDescent="0.25">
      <c r="C73" s="56" t="s">
        <v>29</v>
      </c>
      <c r="D73" s="78" t="s">
        <v>169</v>
      </c>
      <c r="E73" s="136" t="e">
        <f t="shared" si="13"/>
        <v>#N/A</v>
      </c>
      <c r="F73" s="136" t="e">
        <f t="shared" si="13"/>
        <v>#N/A</v>
      </c>
      <c r="G73" s="136" t="e">
        <f t="shared" si="14"/>
        <v>#N/A</v>
      </c>
      <c r="H73" s="136" t="e">
        <f t="shared" si="14"/>
        <v>#N/A</v>
      </c>
      <c r="I73" s="136" t="e">
        <f t="shared" si="14"/>
        <v>#N/A</v>
      </c>
      <c r="J73" s="135" t="e">
        <f t="shared" si="14"/>
        <v>#N/A</v>
      </c>
      <c r="K73" s="92" t="e">
        <f t="shared" si="14"/>
        <v>#N/A</v>
      </c>
      <c r="L73" s="92" t="e">
        <f t="shared" si="14"/>
        <v>#N/A</v>
      </c>
      <c r="M73" s="92" t="e">
        <f t="shared" si="14"/>
        <v>#N/A</v>
      </c>
      <c r="N73" s="136" t="e">
        <f t="shared" si="14"/>
        <v>#N/A</v>
      </c>
      <c r="O73" s="135" t="e">
        <f t="shared" si="14"/>
        <v>#N/A</v>
      </c>
      <c r="P73" s="92" t="e">
        <f t="shared" si="14"/>
        <v>#N/A</v>
      </c>
      <c r="Q73" s="92" t="e">
        <f t="shared" si="14"/>
        <v>#N/A</v>
      </c>
      <c r="R73" s="92" t="e">
        <f t="shared" si="14"/>
        <v>#N/A</v>
      </c>
      <c r="S73" s="136" t="e">
        <f t="shared" si="14"/>
        <v>#N/A</v>
      </c>
      <c r="T73" s="136" t="e">
        <f t="shared" si="14"/>
        <v>#N/A</v>
      </c>
      <c r="U73" s="136" t="e">
        <f t="shared" si="14"/>
        <v>#N/A</v>
      </c>
      <c r="V73" s="136" t="e">
        <f t="shared" si="14"/>
        <v>#N/A</v>
      </c>
      <c r="W73" s="136" t="e">
        <f t="shared" si="14"/>
        <v>#N/A</v>
      </c>
      <c r="X73" s="141" t="e">
        <f t="shared" si="14"/>
        <v>#N/A</v>
      </c>
      <c r="Y73" s="141" t="e">
        <f t="shared" si="14"/>
        <v>#N/A</v>
      </c>
      <c r="Z73" s="141" t="e">
        <f t="shared" si="14"/>
        <v>#N/A</v>
      </c>
      <c r="AA73" s="141" t="e">
        <f t="shared" si="14"/>
        <v>#N/A</v>
      </c>
      <c r="AB73" s="141" t="e">
        <f t="shared" si="14"/>
        <v>#N/A</v>
      </c>
      <c r="AC73" s="141" t="e">
        <f t="shared" si="14"/>
        <v>#N/A</v>
      </c>
      <c r="AD73" s="141" t="e">
        <f t="shared" si="14"/>
        <v>#N/A</v>
      </c>
      <c r="AE73" s="141" t="e">
        <f t="shared" si="14"/>
        <v>#N/A</v>
      </c>
      <c r="AF73" s="141" t="e">
        <f t="shared" si="14"/>
        <v>#N/A</v>
      </c>
      <c r="AG73" s="141" t="e">
        <f t="shared" si="14"/>
        <v>#N/A</v>
      </c>
      <c r="AH73" s="141" t="e">
        <f t="shared" si="14"/>
        <v>#N/A</v>
      </c>
      <c r="AI73" s="141" t="e">
        <f t="shared" si="14"/>
        <v>#N/A</v>
      </c>
      <c r="AJ73" s="141" t="e">
        <f t="shared" si="14"/>
        <v>#N/A</v>
      </c>
      <c r="AK73" s="141" t="e">
        <f t="shared" si="14"/>
        <v>#N/A</v>
      </c>
      <c r="AL73" s="141" t="e">
        <f t="shared" si="14"/>
        <v>#N/A</v>
      </c>
      <c r="AM73" s="141" t="e">
        <f t="shared" si="14"/>
        <v>#N/A</v>
      </c>
    </row>
    <row r="74" spans="2:39" x14ac:dyDescent="0.25">
      <c r="C74" s="56" t="s">
        <v>30</v>
      </c>
      <c r="D74" s="78" t="s">
        <v>170</v>
      </c>
      <c r="E74" s="136" t="e">
        <f t="shared" si="13"/>
        <v>#N/A</v>
      </c>
      <c r="F74" s="136" t="e">
        <f t="shared" si="13"/>
        <v>#N/A</v>
      </c>
      <c r="G74" s="136" t="e">
        <f t="shared" si="14"/>
        <v>#N/A</v>
      </c>
      <c r="H74" s="136" t="e">
        <f t="shared" si="14"/>
        <v>#N/A</v>
      </c>
      <c r="I74" s="136" t="e">
        <f t="shared" si="14"/>
        <v>#N/A</v>
      </c>
      <c r="J74" s="135" t="e">
        <f t="shared" si="14"/>
        <v>#N/A</v>
      </c>
      <c r="K74" s="92" t="e">
        <f t="shared" si="14"/>
        <v>#N/A</v>
      </c>
      <c r="L74" s="92" t="e">
        <f t="shared" si="14"/>
        <v>#N/A</v>
      </c>
      <c r="M74" s="92" t="e">
        <f t="shared" si="14"/>
        <v>#N/A</v>
      </c>
      <c r="N74" s="136" t="e">
        <f t="shared" si="14"/>
        <v>#N/A</v>
      </c>
      <c r="O74" s="135" t="e">
        <f t="shared" si="14"/>
        <v>#N/A</v>
      </c>
      <c r="P74" s="92" t="e">
        <f t="shared" si="14"/>
        <v>#N/A</v>
      </c>
      <c r="Q74" s="92" t="e">
        <f t="shared" si="14"/>
        <v>#N/A</v>
      </c>
      <c r="R74" s="92" t="e">
        <f t="shared" si="14"/>
        <v>#N/A</v>
      </c>
      <c r="S74" s="136" t="e">
        <f t="shared" si="14"/>
        <v>#N/A</v>
      </c>
      <c r="T74" s="136" t="e">
        <f t="shared" si="14"/>
        <v>#N/A</v>
      </c>
      <c r="U74" s="136" t="e">
        <f t="shared" si="14"/>
        <v>#N/A</v>
      </c>
      <c r="V74" s="136" t="e">
        <f t="shared" si="14"/>
        <v>#N/A</v>
      </c>
      <c r="W74" s="136" t="e">
        <f t="shared" si="14"/>
        <v>#N/A</v>
      </c>
      <c r="X74" s="141" t="e">
        <f t="shared" si="14"/>
        <v>#N/A</v>
      </c>
      <c r="Y74" s="141" t="e">
        <f t="shared" si="14"/>
        <v>#N/A</v>
      </c>
      <c r="Z74" s="141" t="e">
        <f t="shared" si="14"/>
        <v>#N/A</v>
      </c>
      <c r="AA74" s="141" t="e">
        <f t="shared" si="14"/>
        <v>#N/A</v>
      </c>
      <c r="AB74" s="141" t="e">
        <f t="shared" si="14"/>
        <v>#N/A</v>
      </c>
      <c r="AC74" s="141" t="e">
        <f t="shared" si="14"/>
        <v>#N/A</v>
      </c>
      <c r="AD74" s="141" t="e">
        <f t="shared" si="14"/>
        <v>#N/A</v>
      </c>
      <c r="AE74" s="141" t="e">
        <f t="shared" si="14"/>
        <v>#N/A</v>
      </c>
      <c r="AF74" s="141" t="e">
        <f t="shared" si="14"/>
        <v>#N/A</v>
      </c>
      <c r="AG74" s="141" t="e">
        <f t="shared" si="14"/>
        <v>#N/A</v>
      </c>
      <c r="AH74" s="141" t="e">
        <f t="shared" si="14"/>
        <v>#N/A</v>
      </c>
      <c r="AI74" s="141" t="e">
        <f t="shared" si="14"/>
        <v>#N/A</v>
      </c>
      <c r="AJ74" s="141" t="e">
        <f t="shared" si="14"/>
        <v>#N/A</v>
      </c>
      <c r="AK74" s="141" t="e">
        <f t="shared" si="14"/>
        <v>#N/A</v>
      </c>
      <c r="AL74" s="141" t="e">
        <f t="shared" si="14"/>
        <v>#N/A</v>
      </c>
      <c r="AM74" s="141" t="e">
        <f t="shared" si="14"/>
        <v>#N/A</v>
      </c>
    </row>
    <row r="75" spans="2:39" x14ac:dyDescent="0.25">
      <c r="C75" s="56" t="s">
        <v>31</v>
      </c>
      <c r="D75" s="78" t="s">
        <v>171</v>
      </c>
      <c r="E75" s="136" t="e">
        <f t="shared" si="13"/>
        <v>#N/A</v>
      </c>
      <c r="F75" s="136" t="e">
        <f t="shared" si="13"/>
        <v>#N/A</v>
      </c>
      <c r="G75" s="136" t="e">
        <f t="shared" si="14"/>
        <v>#N/A</v>
      </c>
      <c r="H75" s="136" t="e">
        <f t="shared" si="14"/>
        <v>#N/A</v>
      </c>
      <c r="I75" s="136" t="e">
        <f t="shared" si="14"/>
        <v>#N/A</v>
      </c>
      <c r="J75" s="135" t="e">
        <f t="shared" si="14"/>
        <v>#N/A</v>
      </c>
      <c r="K75" s="92" t="e">
        <f t="shared" si="14"/>
        <v>#N/A</v>
      </c>
      <c r="L75" s="92" t="e">
        <f t="shared" si="14"/>
        <v>#N/A</v>
      </c>
      <c r="M75" s="92" t="e">
        <f t="shared" si="14"/>
        <v>#N/A</v>
      </c>
      <c r="N75" s="136" t="e">
        <f t="shared" si="14"/>
        <v>#N/A</v>
      </c>
      <c r="O75" s="135" t="e">
        <f t="shared" si="14"/>
        <v>#N/A</v>
      </c>
      <c r="P75" s="92" t="e">
        <f t="shared" si="14"/>
        <v>#N/A</v>
      </c>
      <c r="Q75" s="92" t="e">
        <f t="shared" si="14"/>
        <v>#N/A</v>
      </c>
      <c r="R75" s="92" t="e">
        <f t="shared" si="14"/>
        <v>#N/A</v>
      </c>
      <c r="S75" s="136" t="e">
        <f t="shared" si="14"/>
        <v>#N/A</v>
      </c>
      <c r="T75" s="136" t="e">
        <f t="shared" si="14"/>
        <v>#N/A</v>
      </c>
      <c r="U75" s="136" t="e">
        <f t="shared" si="14"/>
        <v>#N/A</v>
      </c>
      <c r="V75" s="136" t="e">
        <f t="shared" si="14"/>
        <v>#N/A</v>
      </c>
      <c r="W75" s="136" t="e">
        <f t="shared" si="14"/>
        <v>#N/A</v>
      </c>
      <c r="X75" s="141" t="e">
        <f t="shared" si="14"/>
        <v>#N/A</v>
      </c>
      <c r="Y75" s="141" t="e">
        <f t="shared" si="14"/>
        <v>#N/A</v>
      </c>
      <c r="Z75" s="141" t="e">
        <f t="shared" si="14"/>
        <v>#N/A</v>
      </c>
      <c r="AA75" s="141" t="e">
        <f t="shared" si="14"/>
        <v>#N/A</v>
      </c>
      <c r="AB75" s="141" t="e">
        <f t="shared" si="14"/>
        <v>#N/A</v>
      </c>
      <c r="AC75" s="141" t="e">
        <f t="shared" si="14"/>
        <v>#N/A</v>
      </c>
      <c r="AD75" s="141" t="e">
        <f t="shared" si="14"/>
        <v>#N/A</v>
      </c>
      <c r="AE75" s="141" t="e">
        <f t="shared" si="14"/>
        <v>#N/A</v>
      </c>
      <c r="AF75" s="141" t="e">
        <f t="shared" si="14"/>
        <v>#N/A</v>
      </c>
      <c r="AG75" s="141" t="e">
        <f t="shared" si="14"/>
        <v>#N/A</v>
      </c>
      <c r="AH75" s="141" t="e">
        <f t="shared" si="14"/>
        <v>#N/A</v>
      </c>
      <c r="AI75" s="141" t="e">
        <f t="shared" si="14"/>
        <v>#N/A</v>
      </c>
      <c r="AJ75" s="141" t="e">
        <f t="shared" si="14"/>
        <v>#N/A</v>
      </c>
      <c r="AK75" s="141" t="e">
        <f t="shared" si="14"/>
        <v>#N/A</v>
      </c>
      <c r="AL75" s="141" t="e">
        <f t="shared" si="14"/>
        <v>#N/A</v>
      </c>
      <c r="AM75" s="141" t="e">
        <f t="shared" si="14"/>
        <v>#N/A</v>
      </c>
    </row>
    <row r="76" spans="2:39" x14ac:dyDescent="0.25">
      <c r="C76" s="56" t="s">
        <v>32</v>
      </c>
      <c r="D76" s="78" t="s">
        <v>172</v>
      </c>
      <c r="E76" s="136" t="e">
        <f t="shared" si="13"/>
        <v>#N/A</v>
      </c>
      <c r="F76" s="136" t="e">
        <f t="shared" si="13"/>
        <v>#N/A</v>
      </c>
      <c r="G76" s="136" t="e">
        <f t="shared" si="14"/>
        <v>#N/A</v>
      </c>
      <c r="H76" s="136" t="e">
        <f t="shared" si="14"/>
        <v>#N/A</v>
      </c>
      <c r="I76" s="136" t="e">
        <f t="shared" si="14"/>
        <v>#N/A</v>
      </c>
      <c r="J76" s="135" t="e">
        <f t="shared" si="14"/>
        <v>#N/A</v>
      </c>
      <c r="K76" s="92" t="e">
        <f t="shared" si="14"/>
        <v>#N/A</v>
      </c>
      <c r="L76" s="92" t="e">
        <f t="shared" si="14"/>
        <v>#N/A</v>
      </c>
      <c r="M76" s="92" t="e">
        <f t="shared" si="14"/>
        <v>#N/A</v>
      </c>
      <c r="N76" s="136" t="e">
        <f t="shared" si="14"/>
        <v>#N/A</v>
      </c>
      <c r="O76" s="135" t="e">
        <f t="shared" si="14"/>
        <v>#N/A</v>
      </c>
      <c r="P76" s="92" t="e">
        <f t="shared" si="14"/>
        <v>#N/A</v>
      </c>
      <c r="Q76" s="92" t="e">
        <f t="shared" si="14"/>
        <v>#N/A</v>
      </c>
      <c r="R76" s="92" t="e">
        <f t="shared" si="14"/>
        <v>#N/A</v>
      </c>
      <c r="S76" s="136" t="e">
        <f t="shared" si="14"/>
        <v>#N/A</v>
      </c>
      <c r="T76" s="136" t="e">
        <f t="shared" si="14"/>
        <v>#N/A</v>
      </c>
      <c r="U76" s="136" t="e">
        <f t="shared" si="14"/>
        <v>#N/A</v>
      </c>
      <c r="V76" s="136" t="e">
        <f t="shared" si="14"/>
        <v>#N/A</v>
      </c>
      <c r="W76" s="136" t="e">
        <f t="shared" si="14"/>
        <v>#N/A</v>
      </c>
      <c r="X76" s="141" t="e">
        <f t="shared" si="14"/>
        <v>#N/A</v>
      </c>
      <c r="Y76" s="141" t="e">
        <f t="shared" si="14"/>
        <v>#N/A</v>
      </c>
      <c r="Z76" s="141" t="e">
        <f t="shared" si="14"/>
        <v>#N/A</v>
      </c>
      <c r="AA76" s="141" t="e">
        <f t="shared" si="14"/>
        <v>#N/A</v>
      </c>
      <c r="AB76" s="141" t="e">
        <f t="shared" si="14"/>
        <v>#N/A</v>
      </c>
      <c r="AC76" s="141" t="e">
        <f t="shared" si="14"/>
        <v>#N/A</v>
      </c>
      <c r="AD76" s="141" t="e">
        <f t="shared" si="14"/>
        <v>#N/A</v>
      </c>
      <c r="AE76" s="141" t="e">
        <f t="shared" si="14"/>
        <v>#N/A</v>
      </c>
      <c r="AF76" s="141" t="e">
        <f t="shared" si="14"/>
        <v>#N/A</v>
      </c>
      <c r="AG76" s="141" t="e">
        <f t="shared" si="14"/>
        <v>#N/A</v>
      </c>
      <c r="AH76" s="141" t="e">
        <f t="shared" si="14"/>
        <v>#N/A</v>
      </c>
      <c r="AI76" s="141" t="e">
        <f t="shared" si="14"/>
        <v>#N/A</v>
      </c>
      <c r="AJ76" s="141" t="e">
        <f t="shared" si="14"/>
        <v>#N/A</v>
      </c>
      <c r="AK76" s="141" t="e">
        <f t="shared" si="14"/>
        <v>#N/A</v>
      </c>
      <c r="AL76" s="141" t="e">
        <f t="shared" si="14"/>
        <v>#N/A</v>
      </c>
      <c r="AM76" s="141" t="e">
        <f t="shared" si="14"/>
        <v>#N/A</v>
      </c>
    </row>
    <row r="77" spans="2:39" x14ac:dyDescent="0.25">
      <c r="C77" s="56" t="s">
        <v>33</v>
      </c>
      <c r="D77" s="78" t="s">
        <v>173</v>
      </c>
      <c r="E77" s="151" t="e">
        <f t="shared" si="13"/>
        <v>#N/A</v>
      </c>
      <c r="F77" s="151" t="e">
        <f t="shared" si="13"/>
        <v>#N/A</v>
      </c>
      <c r="G77" s="151" t="e">
        <f t="shared" si="14"/>
        <v>#N/A</v>
      </c>
      <c r="H77" s="151" t="e">
        <f t="shared" si="14"/>
        <v>#N/A</v>
      </c>
      <c r="I77" s="151" t="e">
        <f t="shared" si="14"/>
        <v>#N/A</v>
      </c>
      <c r="J77" s="150" t="e">
        <f t="shared" si="14"/>
        <v>#N/A</v>
      </c>
      <c r="K77" s="93" t="e">
        <f t="shared" si="14"/>
        <v>#N/A</v>
      </c>
      <c r="L77" s="93" t="e">
        <f t="shared" si="14"/>
        <v>#N/A</v>
      </c>
      <c r="M77" s="93" t="e">
        <f t="shared" si="14"/>
        <v>#N/A</v>
      </c>
      <c r="N77" s="151" t="e">
        <f t="shared" si="14"/>
        <v>#N/A</v>
      </c>
      <c r="O77" s="150" t="e">
        <f t="shared" ref="O77:AM85" si="15">O34/O$26</f>
        <v>#N/A</v>
      </c>
      <c r="P77" s="93" t="e">
        <f t="shared" si="15"/>
        <v>#N/A</v>
      </c>
      <c r="Q77" s="93" t="e">
        <f t="shared" si="15"/>
        <v>#N/A</v>
      </c>
      <c r="R77" s="93" t="e">
        <f t="shared" si="15"/>
        <v>#N/A</v>
      </c>
      <c r="S77" s="151" t="e">
        <f t="shared" si="15"/>
        <v>#N/A</v>
      </c>
      <c r="T77" s="151" t="e">
        <f t="shared" si="15"/>
        <v>#N/A</v>
      </c>
      <c r="U77" s="151" t="e">
        <f t="shared" si="15"/>
        <v>#N/A</v>
      </c>
      <c r="V77" s="151" t="e">
        <f t="shared" si="15"/>
        <v>#N/A</v>
      </c>
      <c r="W77" s="151" t="e">
        <f t="shared" si="15"/>
        <v>#N/A</v>
      </c>
      <c r="X77" s="144" t="e">
        <f t="shared" si="15"/>
        <v>#N/A</v>
      </c>
      <c r="Y77" s="144" t="e">
        <f t="shared" si="15"/>
        <v>#N/A</v>
      </c>
      <c r="Z77" s="144" t="e">
        <f t="shared" si="15"/>
        <v>#N/A</v>
      </c>
      <c r="AA77" s="144" t="e">
        <f t="shared" si="15"/>
        <v>#N/A</v>
      </c>
      <c r="AB77" s="144" t="e">
        <f t="shared" si="15"/>
        <v>#N/A</v>
      </c>
      <c r="AC77" s="144" t="e">
        <f t="shared" si="15"/>
        <v>#N/A</v>
      </c>
      <c r="AD77" s="144" t="e">
        <f t="shared" si="15"/>
        <v>#N/A</v>
      </c>
      <c r="AE77" s="144" t="e">
        <f t="shared" si="15"/>
        <v>#N/A</v>
      </c>
      <c r="AF77" s="144" t="e">
        <f t="shared" si="15"/>
        <v>#N/A</v>
      </c>
      <c r="AG77" s="144" t="e">
        <f t="shared" si="15"/>
        <v>#N/A</v>
      </c>
      <c r="AH77" s="144" t="e">
        <f t="shared" si="15"/>
        <v>#N/A</v>
      </c>
      <c r="AI77" s="144" t="e">
        <f t="shared" si="15"/>
        <v>#N/A</v>
      </c>
      <c r="AJ77" s="144" t="e">
        <f t="shared" si="15"/>
        <v>#N/A</v>
      </c>
      <c r="AK77" s="144" t="e">
        <f t="shared" si="15"/>
        <v>#N/A</v>
      </c>
      <c r="AL77" s="144" t="e">
        <f t="shared" si="15"/>
        <v>#N/A</v>
      </c>
      <c r="AM77" s="144" t="e">
        <f t="shared" si="15"/>
        <v>#N/A</v>
      </c>
    </row>
    <row r="78" spans="2:39" x14ac:dyDescent="0.25">
      <c r="C78" s="76" t="s">
        <v>95</v>
      </c>
      <c r="D78" s="76" t="s">
        <v>174</v>
      </c>
      <c r="E78" s="149" t="e">
        <f t="shared" ref="E78:F78" si="16">E35/E$26</f>
        <v>#N/A</v>
      </c>
      <c r="F78" s="149" t="e">
        <f t="shared" si="16"/>
        <v>#N/A</v>
      </c>
      <c r="G78" s="149" t="e">
        <f t="shared" ref="G78:S85" si="17">G35/G$26</f>
        <v>#N/A</v>
      </c>
      <c r="H78" s="149" t="e">
        <f t="shared" si="17"/>
        <v>#N/A</v>
      </c>
      <c r="I78" s="149" t="e">
        <f t="shared" si="17"/>
        <v>#N/A</v>
      </c>
      <c r="J78" s="148" t="e">
        <f t="shared" si="17"/>
        <v>#N/A</v>
      </c>
      <c r="K78" s="91" t="e">
        <f t="shared" si="17"/>
        <v>#N/A</v>
      </c>
      <c r="L78" s="91" t="e">
        <f t="shared" si="17"/>
        <v>#N/A</v>
      </c>
      <c r="M78" s="91" t="e">
        <f t="shared" si="17"/>
        <v>#N/A</v>
      </c>
      <c r="N78" s="149" t="e">
        <f t="shared" si="17"/>
        <v>#N/A</v>
      </c>
      <c r="O78" s="148" t="e">
        <f t="shared" si="17"/>
        <v>#N/A</v>
      </c>
      <c r="P78" s="91" t="e">
        <f t="shared" si="17"/>
        <v>#N/A</v>
      </c>
      <c r="Q78" s="91" t="e">
        <f t="shared" si="17"/>
        <v>#N/A</v>
      </c>
      <c r="R78" s="91" t="e">
        <f t="shared" si="17"/>
        <v>#N/A</v>
      </c>
      <c r="S78" s="149" t="e">
        <f t="shared" si="17"/>
        <v>#N/A</v>
      </c>
      <c r="T78" s="149" t="e">
        <f t="shared" si="15"/>
        <v>#N/A</v>
      </c>
      <c r="U78" s="149" t="e">
        <f t="shared" si="15"/>
        <v>#N/A</v>
      </c>
      <c r="V78" s="149" t="e">
        <f t="shared" si="15"/>
        <v>#N/A</v>
      </c>
      <c r="W78" s="149" t="e">
        <f t="shared" si="15"/>
        <v>#N/A</v>
      </c>
      <c r="X78" s="143" t="e">
        <f t="shared" si="15"/>
        <v>#N/A</v>
      </c>
      <c r="Y78" s="143" t="e">
        <f t="shared" si="15"/>
        <v>#N/A</v>
      </c>
      <c r="Z78" s="143" t="e">
        <f t="shared" si="15"/>
        <v>#N/A</v>
      </c>
      <c r="AA78" s="143" t="e">
        <f t="shared" si="15"/>
        <v>#N/A</v>
      </c>
      <c r="AB78" s="143" t="e">
        <f t="shared" si="15"/>
        <v>#N/A</v>
      </c>
      <c r="AC78" s="143" t="e">
        <f t="shared" si="15"/>
        <v>#N/A</v>
      </c>
      <c r="AD78" s="143" t="e">
        <f t="shared" si="15"/>
        <v>#N/A</v>
      </c>
      <c r="AE78" s="143" t="e">
        <f t="shared" si="15"/>
        <v>#N/A</v>
      </c>
      <c r="AF78" s="143" t="e">
        <f t="shared" si="15"/>
        <v>#N/A</v>
      </c>
      <c r="AG78" s="143" t="e">
        <f t="shared" si="15"/>
        <v>#N/A</v>
      </c>
      <c r="AH78" s="143" t="e">
        <f t="shared" si="15"/>
        <v>#N/A</v>
      </c>
      <c r="AI78" s="143" t="e">
        <f t="shared" si="15"/>
        <v>#N/A</v>
      </c>
      <c r="AJ78" s="143" t="e">
        <f t="shared" si="15"/>
        <v>#N/A</v>
      </c>
      <c r="AK78" s="143" t="e">
        <f t="shared" si="15"/>
        <v>#N/A</v>
      </c>
      <c r="AL78" s="143" t="e">
        <f t="shared" si="15"/>
        <v>#N/A</v>
      </c>
      <c r="AM78" s="143" t="e">
        <f t="shared" si="15"/>
        <v>#N/A</v>
      </c>
    </row>
    <row r="79" spans="2:39" x14ac:dyDescent="0.25">
      <c r="C79" s="56" t="s">
        <v>27</v>
      </c>
      <c r="D79" s="3" t="s">
        <v>175</v>
      </c>
      <c r="E79" s="136" t="e">
        <f t="shared" ref="E79:F79" si="18">E36/E$26</f>
        <v>#N/A</v>
      </c>
      <c r="F79" s="136" t="e">
        <f t="shared" si="18"/>
        <v>#N/A</v>
      </c>
      <c r="G79" s="136" t="e">
        <f t="shared" si="17"/>
        <v>#N/A</v>
      </c>
      <c r="H79" s="136" t="e">
        <f t="shared" si="17"/>
        <v>#N/A</v>
      </c>
      <c r="I79" s="136" t="e">
        <f t="shared" si="17"/>
        <v>#N/A</v>
      </c>
      <c r="J79" s="135" t="e">
        <f t="shared" si="17"/>
        <v>#N/A</v>
      </c>
      <c r="K79" s="92" t="e">
        <f t="shared" si="17"/>
        <v>#N/A</v>
      </c>
      <c r="L79" s="92" t="e">
        <f t="shared" si="17"/>
        <v>#N/A</v>
      </c>
      <c r="M79" s="92" t="e">
        <f t="shared" si="17"/>
        <v>#N/A</v>
      </c>
      <c r="N79" s="136" t="e">
        <f t="shared" si="17"/>
        <v>#N/A</v>
      </c>
      <c r="O79" s="135" t="e">
        <f t="shared" si="17"/>
        <v>#N/A</v>
      </c>
      <c r="P79" s="92" t="e">
        <f t="shared" si="17"/>
        <v>#N/A</v>
      </c>
      <c r="Q79" s="92" t="e">
        <f t="shared" si="17"/>
        <v>#N/A</v>
      </c>
      <c r="R79" s="92" t="e">
        <f t="shared" si="17"/>
        <v>#N/A</v>
      </c>
      <c r="S79" s="136" t="e">
        <f t="shared" si="17"/>
        <v>#N/A</v>
      </c>
      <c r="T79" s="136" t="e">
        <f t="shared" si="15"/>
        <v>#N/A</v>
      </c>
      <c r="U79" s="136" t="e">
        <f t="shared" si="15"/>
        <v>#N/A</v>
      </c>
      <c r="V79" s="136" t="e">
        <f t="shared" si="15"/>
        <v>#N/A</v>
      </c>
      <c r="W79" s="136" t="e">
        <f t="shared" si="15"/>
        <v>#N/A</v>
      </c>
      <c r="X79" s="141" t="e">
        <f t="shared" si="15"/>
        <v>#N/A</v>
      </c>
      <c r="Y79" s="141" t="e">
        <f t="shared" si="15"/>
        <v>#N/A</v>
      </c>
      <c r="Z79" s="141" t="e">
        <f t="shared" si="15"/>
        <v>#N/A</v>
      </c>
      <c r="AA79" s="141" t="e">
        <f t="shared" si="15"/>
        <v>#N/A</v>
      </c>
      <c r="AB79" s="141" t="e">
        <f t="shared" si="15"/>
        <v>#N/A</v>
      </c>
      <c r="AC79" s="141" t="e">
        <f t="shared" si="15"/>
        <v>#N/A</v>
      </c>
      <c r="AD79" s="141" t="e">
        <f t="shared" si="15"/>
        <v>#N/A</v>
      </c>
      <c r="AE79" s="141" t="e">
        <f t="shared" si="15"/>
        <v>#N/A</v>
      </c>
      <c r="AF79" s="141" t="e">
        <f t="shared" si="15"/>
        <v>#N/A</v>
      </c>
      <c r="AG79" s="141" t="e">
        <f t="shared" si="15"/>
        <v>#N/A</v>
      </c>
      <c r="AH79" s="141" t="e">
        <f t="shared" si="15"/>
        <v>#N/A</v>
      </c>
      <c r="AI79" s="141" t="e">
        <f t="shared" si="15"/>
        <v>#N/A</v>
      </c>
      <c r="AJ79" s="141" t="e">
        <f t="shared" si="15"/>
        <v>#N/A</v>
      </c>
      <c r="AK79" s="141" t="e">
        <f t="shared" si="15"/>
        <v>#N/A</v>
      </c>
      <c r="AL79" s="141" t="e">
        <f t="shared" si="15"/>
        <v>#N/A</v>
      </c>
      <c r="AM79" s="141" t="e">
        <f t="shared" si="15"/>
        <v>#N/A</v>
      </c>
    </row>
    <row r="80" spans="2:39" x14ac:dyDescent="0.25">
      <c r="C80" s="56" t="s">
        <v>28</v>
      </c>
      <c r="D80" s="3" t="s">
        <v>176</v>
      </c>
      <c r="E80" s="136" t="e">
        <f t="shared" ref="E80:F80" si="19">E37/E$26</f>
        <v>#N/A</v>
      </c>
      <c r="F80" s="136" t="e">
        <f t="shared" si="19"/>
        <v>#N/A</v>
      </c>
      <c r="G80" s="136" t="e">
        <f t="shared" si="17"/>
        <v>#N/A</v>
      </c>
      <c r="H80" s="136" t="e">
        <f t="shared" si="17"/>
        <v>#N/A</v>
      </c>
      <c r="I80" s="136" t="e">
        <f t="shared" si="17"/>
        <v>#N/A</v>
      </c>
      <c r="J80" s="135" t="e">
        <f t="shared" si="17"/>
        <v>#N/A</v>
      </c>
      <c r="K80" s="92" t="e">
        <f t="shared" si="17"/>
        <v>#N/A</v>
      </c>
      <c r="L80" s="92" t="e">
        <f t="shared" si="17"/>
        <v>#N/A</v>
      </c>
      <c r="M80" s="92" t="e">
        <f t="shared" si="17"/>
        <v>#N/A</v>
      </c>
      <c r="N80" s="136" t="e">
        <f t="shared" si="17"/>
        <v>#N/A</v>
      </c>
      <c r="O80" s="135" t="e">
        <f t="shared" si="17"/>
        <v>#N/A</v>
      </c>
      <c r="P80" s="92" t="e">
        <f t="shared" si="17"/>
        <v>#N/A</v>
      </c>
      <c r="Q80" s="92" t="e">
        <f t="shared" si="17"/>
        <v>#N/A</v>
      </c>
      <c r="R80" s="92" t="e">
        <f t="shared" si="17"/>
        <v>#N/A</v>
      </c>
      <c r="S80" s="136" t="e">
        <f t="shared" si="17"/>
        <v>#N/A</v>
      </c>
      <c r="T80" s="136" t="e">
        <f t="shared" si="15"/>
        <v>#N/A</v>
      </c>
      <c r="U80" s="136" t="e">
        <f t="shared" si="15"/>
        <v>#N/A</v>
      </c>
      <c r="V80" s="136" t="e">
        <f t="shared" si="15"/>
        <v>#N/A</v>
      </c>
      <c r="W80" s="136" t="e">
        <f t="shared" si="15"/>
        <v>#N/A</v>
      </c>
      <c r="X80" s="141" t="e">
        <f t="shared" si="15"/>
        <v>#N/A</v>
      </c>
      <c r="Y80" s="141" t="e">
        <f t="shared" si="15"/>
        <v>#N/A</v>
      </c>
      <c r="Z80" s="141" t="e">
        <f t="shared" si="15"/>
        <v>#N/A</v>
      </c>
      <c r="AA80" s="141" t="e">
        <f t="shared" si="15"/>
        <v>#N/A</v>
      </c>
      <c r="AB80" s="141" t="e">
        <f t="shared" si="15"/>
        <v>#N/A</v>
      </c>
      <c r="AC80" s="141" t="e">
        <f t="shared" si="15"/>
        <v>#N/A</v>
      </c>
      <c r="AD80" s="141" t="e">
        <f t="shared" si="15"/>
        <v>#N/A</v>
      </c>
      <c r="AE80" s="141" t="e">
        <f t="shared" si="15"/>
        <v>#N/A</v>
      </c>
      <c r="AF80" s="141" t="e">
        <f t="shared" si="15"/>
        <v>#N/A</v>
      </c>
      <c r="AG80" s="141" t="e">
        <f t="shared" si="15"/>
        <v>#N/A</v>
      </c>
      <c r="AH80" s="141" t="e">
        <f t="shared" si="15"/>
        <v>#N/A</v>
      </c>
      <c r="AI80" s="141" t="e">
        <f t="shared" si="15"/>
        <v>#N/A</v>
      </c>
      <c r="AJ80" s="141" t="e">
        <f t="shared" si="15"/>
        <v>#N/A</v>
      </c>
      <c r="AK80" s="141" t="e">
        <f t="shared" si="15"/>
        <v>#N/A</v>
      </c>
      <c r="AL80" s="141" t="e">
        <f t="shared" si="15"/>
        <v>#N/A</v>
      </c>
      <c r="AM80" s="141" t="e">
        <f t="shared" si="15"/>
        <v>#N/A</v>
      </c>
    </row>
    <row r="81" spans="2:39" x14ac:dyDescent="0.25">
      <c r="C81" s="56" t="s">
        <v>29</v>
      </c>
      <c r="D81" s="3" t="s">
        <v>177</v>
      </c>
      <c r="E81" s="136" t="e">
        <f t="shared" ref="E81:F81" si="20">E38/E$26</f>
        <v>#N/A</v>
      </c>
      <c r="F81" s="136" t="e">
        <f t="shared" si="20"/>
        <v>#N/A</v>
      </c>
      <c r="G81" s="136" t="e">
        <f t="shared" si="17"/>
        <v>#N/A</v>
      </c>
      <c r="H81" s="136" t="e">
        <f t="shared" si="17"/>
        <v>#N/A</v>
      </c>
      <c r="I81" s="136" t="e">
        <f t="shared" si="17"/>
        <v>#N/A</v>
      </c>
      <c r="J81" s="135" t="e">
        <f t="shared" si="17"/>
        <v>#N/A</v>
      </c>
      <c r="K81" s="92" t="e">
        <f t="shared" si="17"/>
        <v>#N/A</v>
      </c>
      <c r="L81" s="92" t="e">
        <f t="shared" si="17"/>
        <v>#N/A</v>
      </c>
      <c r="M81" s="92" t="e">
        <f t="shared" si="17"/>
        <v>#N/A</v>
      </c>
      <c r="N81" s="136" t="e">
        <f t="shared" si="17"/>
        <v>#N/A</v>
      </c>
      <c r="O81" s="135" t="e">
        <f t="shared" si="17"/>
        <v>#N/A</v>
      </c>
      <c r="P81" s="92" t="e">
        <f t="shared" si="17"/>
        <v>#N/A</v>
      </c>
      <c r="Q81" s="92" t="e">
        <f t="shared" si="17"/>
        <v>#N/A</v>
      </c>
      <c r="R81" s="92" t="e">
        <f t="shared" si="17"/>
        <v>#N/A</v>
      </c>
      <c r="S81" s="136" t="e">
        <f t="shared" si="17"/>
        <v>#N/A</v>
      </c>
      <c r="T81" s="136" t="e">
        <f t="shared" si="15"/>
        <v>#N/A</v>
      </c>
      <c r="U81" s="136" t="e">
        <f t="shared" si="15"/>
        <v>#N/A</v>
      </c>
      <c r="V81" s="136" t="e">
        <f t="shared" si="15"/>
        <v>#N/A</v>
      </c>
      <c r="W81" s="136" t="e">
        <f t="shared" si="15"/>
        <v>#N/A</v>
      </c>
      <c r="X81" s="141" t="e">
        <f t="shared" si="15"/>
        <v>#N/A</v>
      </c>
      <c r="Y81" s="141" t="e">
        <f t="shared" si="15"/>
        <v>#N/A</v>
      </c>
      <c r="Z81" s="141" t="e">
        <f t="shared" si="15"/>
        <v>#N/A</v>
      </c>
      <c r="AA81" s="141" t="e">
        <f t="shared" si="15"/>
        <v>#N/A</v>
      </c>
      <c r="AB81" s="141" t="e">
        <f t="shared" si="15"/>
        <v>#N/A</v>
      </c>
      <c r="AC81" s="141" t="e">
        <f t="shared" si="15"/>
        <v>#N/A</v>
      </c>
      <c r="AD81" s="141" t="e">
        <f t="shared" si="15"/>
        <v>#N/A</v>
      </c>
      <c r="AE81" s="141" t="e">
        <f t="shared" si="15"/>
        <v>#N/A</v>
      </c>
      <c r="AF81" s="141" t="e">
        <f t="shared" si="15"/>
        <v>#N/A</v>
      </c>
      <c r="AG81" s="141" t="e">
        <f t="shared" si="15"/>
        <v>#N/A</v>
      </c>
      <c r="AH81" s="141" t="e">
        <f t="shared" si="15"/>
        <v>#N/A</v>
      </c>
      <c r="AI81" s="141" t="e">
        <f t="shared" si="15"/>
        <v>#N/A</v>
      </c>
      <c r="AJ81" s="141" t="e">
        <f t="shared" si="15"/>
        <v>#N/A</v>
      </c>
      <c r="AK81" s="141" t="e">
        <f t="shared" si="15"/>
        <v>#N/A</v>
      </c>
      <c r="AL81" s="141" t="e">
        <f t="shared" si="15"/>
        <v>#N/A</v>
      </c>
      <c r="AM81" s="141" t="e">
        <f t="shared" si="15"/>
        <v>#N/A</v>
      </c>
    </row>
    <row r="82" spans="2:39" x14ac:dyDescent="0.25">
      <c r="C82" s="56" t="s">
        <v>30</v>
      </c>
      <c r="D82" s="3" t="s">
        <v>178</v>
      </c>
      <c r="E82" s="136" t="e">
        <f t="shared" ref="E82:F82" si="21">E39/E$26</f>
        <v>#N/A</v>
      </c>
      <c r="F82" s="136" t="e">
        <f t="shared" si="21"/>
        <v>#N/A</v>
      </c>
      <c r="G82" s="136" t="e">
        <f t="shared" si="17"/>
        <v>#N/A</v>
      </c>
      <c r="H82" s="136" t="e">
        <f t="shared" si="17"/>
        <v>#N/A</v>
      </c>
      <c r="I82" s="136" t="e">
        <f t="shared" si="17"/>
        <v>#N/A</v>
      </c>
      <c r="J82" s="135" t="e">
        <f t="shared" si="17"/>
        <v>#N/A</v>
      </c>
      <c r="K82" s="92" t="e">
        <f t="shared" si="17"/>
        <v>#N/A</v>
      </c>
      <c r="L82" s="92" t="e">
        <f t="shared" si="17"/>
        <v>#N/A</v>
      </c>
      <c r="M82" s="92" t="e">
        <f t="shared" si="17"/>
        <v>#N/A</v>
      </c>
      <c r="N82" s="136" t="e">
        <f t="shared" si="17"/>
        <v>#N/A</v>
      </c>
      <c r="O82" s="135" t="e">
        <f t="shared" si="17"/>
        <v>#N/A</v>
      </c>
      <c r="P82" s="92" t="e">
        <f t="shared" si="17"/>
        <v>#N/A</v>
      </c>
      <c r="Q82" s="92" t="e">
        <f t="shared" si="17"/>
        <v>#N/A</v>
      </c>
      <c r="R82" s="92" t="e">
        <f t="shared" si="17"/>
        <v>#N/A</v>
      </c>
      <c r="S82" s="136" t="e">
        <f t="shared" si="17"/>
        <v>#N/A</v>
      </c>
      <c r="T82" s="136" t="e">
        <f t="shared" si="15"/>
        <v>#N/A</v>
      </c>
      <c r="U82" s="136" t="e">
        <f t="shared" si="15"/>
        <v>#N/A</v>
      </c>
      <c r="V82" s="136" t="e">
        <f t="shared" si="15"/>
        <v>#N/A</v>
      </c>
      <c r="W82" s="136" t="e">
        <f t="shared" si="15"/>
        <v>#N/A</v>
      </c>
      <c r="X82" s="141" t="e">
        <f t="shared" si="15"/>
        <v>#N/A</v>
      </c>
      <c r="Y82" s="141" t="e">
        <f t="shared" si="15"/>
        <v>#N/A</v>
      </c>
      <c r="Z82" s="141" t="e">
        <f t="shared" si="15"/>
        <v>#N/A</v>
      </c>
      <c r="AA82" s="141" t="e">
        <f t="shared" si="15"/>
        <v>#N/A</v>
      </c>
      <c r="AB82" s="141" t="e">
        <f t="shared" si="15"/>
        <v>#N/A</v>
      </c>
      <c r="AC82" s="141" t="e">
        <f t="shared" si="15"/>
        <v>#N/A</v>
      </c>
      <c r="AD82" s="141" t="e">
        <f t="shared" si="15"/>
        <v>#N/A</v>
      </c>
      <c r="AE82" s="141" t="e">
        <f t="shared" si="15"/>
        <v>#N/A</v>
      </c>
      <c r="AF82" s="141" t="e">
        <f t="shared" si="15"/>
        <v>#N/A</v>
      </c>
      <c r="AG82" s="141" t="e">
        <f t="shared" si="15"/>
        <v>#N/A</v>
      </c>
      <c r="AH82" s="141" t="e">
        <f t="shared" si="15"/>
        <v>#N/A</v>
      </c>
      <c r="AI82" s="141" t="e">
        <f t="shared" si="15"/>
        <v>#N/A</v>
      </c>
      <c r="AJ82" s="141" t="e">
        <f t="shared" si="15"/>
        <v>#N/A</v>
      </c>
      <c r="AK82" s="141" t="e">
        <f t="shared" si="15"/>
        <v>#N/A</v>
      </c>
      <c r="AL82" s="141" t="e">
        <f t="shared" si="15"/>
        <v>#N/A</v>
      </c>
      <c r="AM82" s="141" t="e">
        <f t="shared" si="15"/>
        <v>#N/A</v>
      </c>
    </row>
    <row r="83" spans="2:39" x14ac:dyDescent="0.25">
      <c r="C83" s="56" t="s">
        <v>31</v>
      </c>
      <c r="D83" s="3" t="s">
        <v>179</v>
      </c>
      <c r="E83" s="136" t="e">
        <f t="shared" ref="E83:F83" si="22">E40/E$26</f>
        <v>#N/A</v>
      </c>
      <c r="F83" s="136" t="e">
        <f t="shared" si="22"/>
        <v>#N/A</v>
      </c>
      <c r="G83" s="136" t="e">
        <f t="shared" si="17"/>
        <v>#N/A</v>
      </c>
      <c r="H83" s="136" t="e">
        <f t="shared" si="17"/>
        <v>#N/A</v>
      </c>
      <c r="I83" s="136" t="e">
        <f t="shared" si="17"/>
        <v>#N/A</v>
      </c>
      <c r="J83" s="135" t="e">
        <f t="shared" si="17"/>
        <v>#N/A</v>
      </c>
      <c r="K83" s="92" t="e">
        <f t="shared" si="17"/>
        <v>#N/A</v>
      </c>
      <c r="L83" s="92" t="e">
        <f t="shared" si="17"/>
        <v>#N/A</v>
      </c>
      <c r="M83" s="92" t="e">
        <f t="shared" si="17"/>
        <v>#N/A</v>
      </c>
      <c r="N83" s="136" t="e">
        <f t="shared" si="17"/>
        <v>#N/A</v>
      </c>
      <c r="O83" s="135" t="e">
        <f t="shared" si="17"/>
        <v>#N/A</v>
      </c>
      <c r="P83" s="92" t="e">
        <f t="shared" si="17"/>
        <v>#N/A</v>
      </c>
      <c r="Q83" s="92" t="e">
        <f t="shared" si="17"/>
        <v>#N/A</v>
      </c>
      <c r="R83" s="92" t="e">
        <f t="shared" si="17"/>
        <v>#N/A</v>
      </c>
      <c r="S83" s="136" t="e">
        <f t="shared" si="17"/>
        <v>#N/A</v>
      </c>
      <c r="T83" s="136" t="e">
        <f t="shared" si="15"/>
        <v>#N/A</v>
      </c>
      <c r="U83" s="136" t="e">
        <f t="shared" si="15"/>
        <v>#N/A</v>
      </c>
      <c r="V83" s="136" t="e">
        <f t="shared" si="15"/>
        <v>#N/A</v>
      </c>
      <c r="W83" s="136" t="e">
        <f t="shared" si="15"/>
        <v>#N/A</v>
      </c>
      <c r="X83" s="141" t="e">
        <f t="shared" si="15"/>
        <v>#N/A</v>
      </c>
      <c r="Y83" s="141" t="e">
        <f t="shared" si="15"/>
        <v>#N/A</v>
      </c>
      <c r="Z83" s="141" t="e">
        <f t="shared" si="15"/>
        <v>#N/A</v>
      </c>
      <c r="AA83" s="141" t="e">
        <f t="shared" si="15"/>
        <v>#N/A</v>
      </c>
      <c r="AB83" s="141" t="e">
        <f t="shared" si="15"/>
        <v>#N/A</v>
      </c>
      <c r="AC83" s="141" t="e">
        <f t="shared" si="15"/>
        <v>#N/A</v>
      </c>
      <c r="AD83" s="141" t="e">
        <f t="shared" si="15"/>
        <v>#N/A</v>
      </c>
      <c r="AE83" s="141" t="e">
        <f t="shared" si="15"/>
        <v>#N/A</v>
      </c>
      <c r="AF83" s="141" t="e">
        <f t="shared" si="15"/>
        <v>#N/A</v>
      </c>
      <c r="AG83" s="141" t="e">
        <f t="shared" si="15"/>
        <v>#N/A</v>
      </c>
      <c r="AH83" s="141" t="e">
        <f t="shared" si="15"/>
        <v>#N/A</v>
      </c>
      <c r="AI83" s="141" t="e">
        <f t="shared" si="15"/>
        <v>#N/A</v>
      </c>
      <c r="AJ83" s="141" t="e">
        <f t="shared" si="15"/>
        <v>#N/A</v>
      </c>
      <c r="AK83" s="141" t="e">
        <f t="shared" si="15"/>
        <v>#N/A</v>
      </c>
      <c r="AL83" s="141" t="e">
        <f t="shared" si="15"/>
        <v>#N/A</v>
      </c>
      <c r="AM83" s="141" t="e">
        <f t="shared" si="15"/>
        <v>#N/A</v>
      </c>
    </row>
    <row r="84" spans="2:39" x14ac:dyDescent="0.25">
      <c r="C84" s="56" t="s">
        <v>32</v>
      </c>
      <c r="D84" s="3" t="s">
        <v>180</v>
      </c>
      <c r="E84" s="136" t="e">
        <f t="shared" ref="E84:F84" si="23">E41/E$26</f>
        <v>#N/A</v>
      </c>
      <c r="F84" s="136" t="e">
        <f t="shared" si="23"/>
        <v>#N/A</v>
      </c>
      <c r="G84" s="136" t="e">
        <f t="shared" si="17"/>
        <v>#N/A</v>
      </c>
      <c r="H84" s="136" t="e">
        <f t="shared" si="17"/>
        <v>#N/A</v>
      </c>
      <c r="I84" s="136" t="e">
        <f t="shared" si="17"/>
        <v>#N/A</v>
      </c>
      <c r="J84" s="135" t="e">
        <f t="shared" si="17"/>
        <v>#N/A</v>
      </c>
      <c r="K84" s="92" t="e">
        <f t="shared" si="17"/>
        <v>#N/A</v>
      </c>
      <c r="L84" s="92" t="e">
        <f t="shared" si="17"/>
        <v>#N/A</v>
      </c>
      <c r="M84" s="92" t="e">
        <f t="shared" si="17"/>
        <v>#N/A</v>
      </c>
      <c r="N84" s="136" t="e">
        <f t="shared" si="17"/>
        <v>#N/A</v>
      </c>
      <c r="O84" s="135" t="e">
        <f t="shared" si="17"/>
        <v>#N/A</v>
      </c>
      <c r="P84" s="92" t="e">
        <f t="shared" si="17"/>
        <v>#N/A</v>
      </c>
      <c r="Q84" s="92" t="e">
        <f t="shared" si="17"/>
        <v>#N/A</v>
      </c>
      <c r="R84" s="92" t="e">
        <f t="shared" si="17"/>
        <v>#N/A</v>
      </c>
      <c r="S84" s="136" t="e">
        <f t="shared" si="17"/>
        <v>#N/A</v>
      </c>
      <c r="T84" s="136" t="e">
        <f t="shared" si="15"/>
        <v>#N/A</v>
      </c>
      <c r="U84" s="136" t="e">
        <f t="shared" si="15"/>
        <v>#N/A</v>
      </c>
      <c r="V84" s="136" t="e">
        <f t="shared" si="15"/>
        <v>#N/A</v>
      </c>
      <c r="W84" s="136" t="e">
        <f t="shared" si="15"/>
        <v>#N/A</v>
      </c>
      <c r="X84" s="141" t="e">
        <f t="shared" si="15"/>
        <v>#N/A</v>
      </c>
      <c r="Y84" s="141" t="e">
        <f t="shared" si="15"/>
        <v>#N/A</v>
      </c>
      <c r="Z84" s="141" t="e">
        <f t="shared" si="15"/>
        <v>#N/A</v>
      </c>
      <c r="AA84" s="141" t="e">
        <f t="shared" si="15"/>
        <v>#N/A</v>
      </c>
      <c r="AB84" s="141" t="e">
        <f t="shared" si="15"/>
        <v>#N/A</v>
      </c>
      <c r="AC84" s="141" t="e">
        <f t="shared" si="15"/>
        <v>#N/A</v>
      </c>
      <c r="AD84" s="141" t="e">
        <f t="shared" si="15"/>
        <v>#N/A</v>
      </c>
      <c r="AE84" s="141" t="e">
        <f t="shared" si="15"/>
        <v>#N/A</v>
      </c>
      <c r="AF84" s="141" t="e">
        <f t="shared" si="15"/>
        <v>#N/A</v>
      </c>
      <c r="AG84" s="141" t="e">
        <f t="shared" si="15"/>
        <v>#N/A</v>
      </c>
      <c r="AH84" s="141" t="e">
        <f t="shared" si="15"/>
        <v>#N/A</v>
      </c>
      <c r="AI84" s="141" t="e">
        <f t="shared" si="15"/>
        <v>#N/A</v>
      </c>
      <c r="AJ84" s="141" t="e">
        <f t="shared" si="15"/>
        <v>#N/A</v>
      </c>
      <c r="AK84" s="141" t="e">
        <f t="shared" si="15"/>
        <v>#N/A</v>
      </c>
      <c r="AL84" s="141" t="e">
        <f t="shared" si="15"/>
        <v>#N/A</v>
      </c>
      <c r="AM84" s="141" t="e">
        <f t="shared" si="15"/>
        <v>#N/A</v>
      </c>
    </row>
    <row r="85" spans="2:39" x14ac:dyDescent="0.25">
      <c r="C85" s="80" t="s">
        <v>33</v>
      </c>
      <c r="D85" s="7" t="s">
        <v>181</v>
      </c>
      <c r="E85" s="138" t="e">
        <f t="shared" ref="E85:F85" si="24">E42/E$26</f>
        <v>#N/A</v>
      </c>
      <c r="F85" s="138" t="e">
        <f t="shared" si="24"/>
        <v>#N/A</v>
      </c>
      <c r="G85" s="138" t="e">
        <f t="shared" si="17"/>
        <v>#N/A</v>
      </c>
      <c r="H85" s="138" t="e">
        <f t="shared" si="17"/>
        <v>#N/A</v>
      </c>
      <c r="I85" s="138" t="e">
        <f t="shared" si="17"/>
        <v>#N/A</v>
      </c>
      <c r="J85" s="137" t="e">
        <f t="shared" si="17"/>
        <v>#N/A</v>
      </c>
      <c r="K85" s="94" t="e">
        <f t="shared" si="17"/>
        <v>#N/A</v>
      </c>
      <c r="L85" s="94" t="e">
        <f t="shared" si="17"/>
        <v>#N/A</v>
      </c>
      <c r="M85" s="94" t="e">
        <f t="shared" si="17"/>
        <v>#N/A</v>
      </c>
      <c r="N85" s="138" t="e">
        <f t="shared" si="17"/>
        <v>#N/A</v>
      </c>
      <c r="O85" s="137" t="e">
        <f t="shared" si="17"/>
        <v>#N/A</v>
      </c>
      <c r="P85" s="94" t="e">
        <f t="shared" si="17"/>
        <v>#N/A</v>
      </c>
      <c r="Q85" s="94" t="e">
        <f t="shared" si="17"/>
        <v>#N/A</v>
      </c>
      <c r="R85" s="94" t="e">
        <f t="shared" si="17"/>
        <v>#N/A</v>
      </c>
      <c r="S85" s="138" t="e">
        <f t="shared" si="17"/>
        <v>#N/A</v>
      </c>
      <c r="T85" s="138" t="e">
        <f t="shared" si="15"/>
        <v>#N/A</v>
      </c>
      <c r="U85" s="138" t="e">
        <f t="shared" si="15"/>
        <v>#N/A</v>
      </c>
      <c r="V85" s="138" t="e">
        <f t="shared" si="15"/>
        <v>#N/A</v>
      </c>
      <c r="W85" s="138" t="e">
        <f t="shared" si="15"/>
        <v>#N/A</v>
      </c>
      <c r="X85" s="142" t="e">
        <f t="shared" si="15"/>
        <v>#N/A</v>
      </c>
      <c r="Y85" s="142" t="e">
        <f t="shared" si="15"/>
        <v>#N/A</v>
      </c>
      <c r="Z85" s="142" t="e">
        <f t="shared" si="15"/>
        <v>#N/A</v>
      </c>
      <c r="AA85" s="142" t="e">
        <f t="shared" si="15"/>
        <v>#N/A</v>
      </c>
      <c r="AB85" s="142" t="e">
        <f t="shared" si="15"/>
        <v>#N/A</v>
      </c>
      <c r="AC85" s="142" t="e">
        <f t="shared" si="15"/>
        <v>#N/A</v>
      </c>
      <c r="AD85" s="142" t="e">
        <f t="shared" si="15"/>
        <v>#N/A</v>
      </c>
      <c r="AE85" s="142" t="e">
        <f t="shared" si="15"/>
        <v>#N/A</v>
      </c>
      <c r="AF85" s="142" t="e">
        <f t="shared" si="15"/>
        <v>#N/A</v>
      </c>
      <c r="AG85" s="142" t="e">
        <f t="shared" si="15"/>
        <v>#N/A</v>
      </c>
      <c r="AH85" s="142" t="e">
        <f t="shared" si="15"/>
        <v>#N/A</v>
      </c>
      <c r="AI85" s="142" t="e">
        <f t="shared" si="15"/>
        <v>#N/A</v>
      </c>
      <c r="AJ85" s="142" t="e">
        <f t="shared" si="15"/>
        <v>#N/A</v>
      </c>
      <c r="AK85" s="142" t="e">
        <f t="shared" si="15"/>
        <v>#N/A</v>
      </c>
      <c r="AL85" s="142" t="e">
        <f t="shared" si="15"/>
        <v>#N/A</v>
      </c>
      <c r="AM85" s="142" t="e">
        <f t="shared" si="15"/>
        <v>#N/A</v>
      </c>
    </row>
    <row r="86" spans="2:39" x14ac:dyDescent="0.25">
      <c r="C86" s="56"/>
      <c r="D86" s="3"/>
      <c r="E86" s="136"/>
      <c r="F86" s="136"/>
      <c r="G86" s="136"/>
      <c r="H86" s="136"/>
      <c r="I86" s="136"/>
      <c r="J86" s="135"/>
      <c r="K86" s="92"/>
      <c r="L86" s="92"/>
      <c r="M86" s="92"/>
      <c r="N86" s="136"/>
      <c r="O86" s="135"/>
      <c r="P86" s="92"/>
      <c r="Q86" s="92"/>
      <c r="R86" s="92"/>
      <c r="S86" s="136"/>
      <c r="T86" s="136"/>
      <c r="U86" s="136"/>
      <c r="V86" s="136"/>
      <c r="W86" s="136"/>
      <c r="X86" s="141"/>
      <c r="Y86" s="141"/>
      <c r="Z86" s="141"/>
      <c r="AA86" s="141"/>
      <c r="AB86" s="141"/>
      <c r="AC86" s="141"/>
      <c r="AD86" s="141"/>
      <c r="AE86" s="141"/>
      <c r="AF86" s="141"/>
      <c r="AG86" s="141"/>
      <c r="AH86" s="141"/>
      <c r="AI86" s="141"/>
      <c r="AJ86" s="141"/>
      <c r="AK86" s="141"/>
      <c r="AL86" s="141"/>
      <c r="AM86" s="141"/>
    </row>
    <row r="87" spans="2:39" x14ac:dyDescent="0.25">
      <c r="B87" s="23" t="s">
        <v>165</v>
      </c>
      <c r="C87" s="82" t="s">
        <v>134</v>
      </c>
      <c r="D87" s="82" t="s">
        <v>45</v>
      </c>
      <c r="E87" s="125" t="e">
        <f t="shared" ref="E87:AM87" si="25">E44</f>
        <v>#N/A</v>
      </c>
      <c r="F87" s="125" t="e">
        <f t="shared" si="25"/>
        <v>#N/A</v>
      </c>
      <c r="G87" s="125" t="e">
        <f t="shared" si="25"/>
        <v>#N/A</v>
      </c>
      <c r="H87" s="125" t="e">
        <f t="shared" si="25"/>
        <v>#N/A</v>
      </c>
      <c r="I87" s="125" t="e">
        <f t="shared" si="25"/>
        <v>#N/A</v>
      </c>
      <c r="J87" s="124" t="e">
        <f t="shared" si="25"/>
        <v>#N/A</v>
      </c>
      <c r="K87" s="75" t="e">
        <f t="shared" si="25"/>
        <v>#N/A</v>
      </c>
      <c r="L87" s="75" t="e">
        <f t="shared" si="25"/>
        <v>#N/A</v>
      </c>
      <c r="M87" s="75" t="e">
        <f t="shared" si="25"/>
        <v>#N/A</v>
      </c>
      <c r="N87" s="125" t="e">
        <f t="shared" si="25"/>
        <v>#N/A</v>
      </c>
      <c r="O87" s="124" t="e">
        <f t="shared" si="25"/>
        <v>#N/A</v>
      </c>
      <c r="P87" s="75" t="e">
        <f t="shared" si="25"/>
        <v>#N/A</v>
      </c>
      <c r="Q87" s="75" t="e">
        <f t="shared" si="25"/>
        <v>#N/A</v>
      </c>
      <c r="R87" s="75" t="e">
        <f t="shared" si="25"/>
        <v>#N/A</v>
      </c>
      <c r="S87" s="125" t="e">
        <f t="shared" si="25"/>
        <v>#N/A</v>
      </c>
      <c r="T87" s="125" t="e">
        <f t="shared" si="25"/>
        <v>#N/A</v>
      </c>
      <c r="U87" s="125" t="e">
        <f t="shared" si="25"/>
        <v>#N/A</v>
      </c>
      <c r="V87" s="125" t="e">
        <f t="shared" si="25"/>
        <v>#N/A</v>
      </c>
      <c r="W87" s="125" t="e">
        <f t="shared" si="25"/>
        <v>#N/A</v>
      </c>
      <c r="X87" s="129" t="e">
        <f t="shared" si="25"/>
        <v>#N/A</v>
      </c>
      <c r="Y87" s="129" t="e">
        <f t="shared" si="25"/>
        <v>#N/A</v>
      </c>
      <c r="Z87" s="129" t="e">
        <f t="shared" si="25"/>
        <v>#N/A</v>
      </c>
      <c r="AA87" s="129" t="e">
        <f t="shared" si="25"/>
        <v>#N/A</v>
      </c>
      <c r="AB87" s="129" t="e">
        <f t="shared" si="25"/>
        <v>#N/A</v>
      </c>
      <c r="AC87" s="129" t="e">
        <f t="shared" si="25"/>
        <v>#N/A</v>
      </c>
      <c r="AD87" s="129" t="e">
        <f t="shared" si="25"/>
        <v>#N/A</v>
      </c>
      <c r="AE87" s="129" t="e">
        <f t="shared" si="25"/>
        <v>#N/A</v>
      </c>
      <c r="AF87" s="129" t="e">
        <f t="shared" si="25"/>
        <v>#N/A</v>
      </c>
      <c r="AG87" s="129" t="e">
        <f t="shared" si="25"/>
        <v>#N/A</v>
      </c>
      <c r="AH87" s="129" t="e">
        <f t="shared" si="25"/>
        <v>#N/A</v>
      </c>
      <c r="AI87" s="129" t="e">
        <f t="shared" si="25"/>
        <v>#N/A</v>
      </c>
      <c r="AJ87" s="129" t="e">
        <f t="shared" si="25"/>
        <v>#N/A</v>
      </c>
      <c r="AK87" s="129" t="e">
        <f t="shared" si="25"/>
        <v>#N/A</v>
      </c>
      <c r="AL87" s="129" t="e">
        <f t="shared" si="25"/>
        <v>#N/A</v>
      </c>
      <c r="AM87" s="129" t="e">
        <f t="shared" si="25"/>
        <v>#N/A</v>
      </c>
    </row>
    <row r="88" spans="2:39" x14ac:dyDescent="0.25">
      <c r="C88" s="56" t="s">
        <v>8</v>
      </c>
      <c r="D88" s="78" t="s">
        <v>182</v>
      </c>
      <c r="E88" s="136" t="e">
        <f t="shared" ref="E88:AM91" si="26">E45/E$44</f>
        <v>#N/A</v>
      </c>
      <c r="F88" s="136" t="e">
        <f t="shared" si="26"/>
        <v>#N/A</v>
      </c>
      <c r="G88" s="136" t="e">
        <f t="shared" si="26"/>
        <v>#N/A</v>
      </c>
      <c r="H88" s="136" t="e">
        <f t="shared" si="26"/>
        <v>#N/A</v>
      </c>
      <c r="I88" s="136" t="e">
        <f t="shared" si="26"/>
        <v>#N/A</v>
      </c>
      <c r="J88" s="135" t="e">
        <f t="shared" si="26"/>
        <v>#N/A</v>
      </c>
      <c r="K88" s="92" t="e">
        <f t="shared" si="26"/>
        <v>#N/A</v>
      </c>
      <c r="L88" s="92" t="e">
        <f t="shared" si="26"/>
        <v>#N/A</v>
      </c>
      <c r="M88" s="92" t="e">
        <f t="shared" si="26"/>
        <v>#N/A</v>
      </c>
      <c r="N88" s="136" t="e">
        <f t="shared" si="26"/>
        <v>#N/A</v>
      </c>
      <c r="O88" s="135" t="e">
        <f t="shared" si="26"/>
        <v>#N/A</v>
      </c>
      <c r="P88" s="92" t="e">
        <f t="shared" si="26"/>
        <v>#N/A</v>
      </c>
      <c r="Q88" s="92" t="e">
        <f t="shared" si="26"/>
        <v>#N/A</v>
      </c>
      <c r="R88" s="92" t="e">
        <f t="shared" si="26"/>
        <v>#N/A</v>
      </c>
      <c r="S88" s="136" t="e">
        <f t="shared" si="26"/>
        <v>#N/A</v>
      </c>
      <c r="T88" s="136" t="e">
        <f t="shared" si="26"/>
        <v>#N/A</v>
      </c>
      <c r="U88" s="136" t="e">
        <f t="shared" si="26"/>
        <v>#N/A</v>
      </c>
      <c r="V88" s="136" t="e">
        <f t="shared" si="26"/>
        <v>#N/A</v>
      </c>
      <c r="W88" s="136" t="e">
        <f t="shared" si="26"/>
        <v>#N/A</v>
      </c>
      <c r="X88" s="141" t="e">
        <f t="shared" si="26"/>
        <v>#N/A</v>
      </c>
      <c r="Y88" s="141" t="e">
        <f t="shared" si="26"/>
        <v>#N/A</v>
      </c>
      <c r="Z88" s="141" t="e">
        <f t="shared" si="26"/>
        <v>#N/A</v>
      </c>
      <c r="AA88" s="141" t="e">
        <f t="shared" si="26"/>
        <v>#N/A</v>
      </c>
      <c r="AB88" s="141" t="e">
        <f t="shared" si="26"/>
        <v>#N/A</v>
      </c>
      <c r="AC88" s="141" t="e">
        <f t="shared" si="26"/>
        <v>#N/A</v>
      </c>
      <c r="AD88" s="141" t="e">
        <f t="shared" si="26"/>
        <v>#N/A</v>
      </c>
      <c r="AE88" s="141" t="e">
        <f t="shared" si="26"/>
        <v>#N/A</v>
      </c>
      <c r="AF88" s="141" t="e">
        <f t="shared" si="26"/>
        <v>#N/A</v>
      </c>
      <c r="AG88" s="141" t="e">
        <f t="shared" si="26"/>
        <v>#N/A</v>
      </c>
      <c r="AH88" s="141" t="e">
        <f t="shared" si="26"/>
        <v>#N/A</v>
      </c>
      <c r="AI88" s="141" t="e">
        <f t="shared" si="26"/>
        <v>#N/A</v>
      </c>
      <c r="AJ88" s="141" t="e">
        <f t="shared" si="26"/>
        <v>#N/A</v>
      </c>
      <c r="AK88" s="141" t="e">
        <f t="shared" si="26"/>
        <v>#N/A</v>
      </c>
      <c r="AL88" s="141" t="e">
        <f t="shared" si="26"/>
        <v>#N/A</v>
      </c>
      <c r="AM88" s="141" t="e">
        <f t="shared" si="26"/>
        <v>#N/A</v>
      </c>
    </row>
    <row r="89" spans="2:39" x14ac:dyDescent="0.25">
      <c r="C89" s="56" t="s">
        <v>6</v>
      </c>
      <c r="D89" s="3" t="s">
        <v>183</v>
      </c>
      <c r="E89" s="136" t="e">
        <f t="shared" si="26"/>
        <v>#N/A</v>
      </c>
      <c r="F89" s="136" t="e">
        <f t="shared" si="26"/>
        <v>#N/A</v>
      </c>
      <c r="G89" s="136" t="e">
        <f t="shared" si="26"/>
        <v>#N/A</v>
      </c>
      <c r="H89" s="136" t="e">
        <f t="shared" si="26"/>
        <v>#N/A</v>
      </c>
      <c r="I89" s="136" t="e">
        <f t="shared" si="26"/>
        <v>#N/A</v>
      </c>
      <c r="J89" s="135" t="e">
        <f t="shared" si="26"/>
        <v>#N/A</v>
      </c>
      <c r="K89" s="92" t="e">
        <f t="shared" si="26"/>
        <v>#N/A</v>
      </c>
      <c r="L89" s="92" t="e">
        <f t="shared" si="26"/>
        <v>#N/A</v>
      </c>
      <c r="M89" s="92" t="e">
        <f t="shared" si="26"/>
        <v>#N/A</v>
      </c>
      <c r="N89" s="136" t="e">
        <f t="shared" si="26"/>
        <v>#N/A</v>
      </c>
      <c r="O89" s="135" t="e">
        <f t="shared" si="26"/>
        <v>#N/A</v>
      </c>
      <c r="P89" s="92" t="e">
        <f t="shared" si="26"/>
        <v>#N/A</v>
      </c>
      <c r="Q89" s="92" t="e">
        <f t="shared" si="26"/>
        <v>#N/A</v>
      </c>
      <c r="R89" s="92" t="e">
        <f t="shared" si="26"/>
        <v>#N/A</v>
      </c>
      <c r="S89" s="136" t="e">
        <f t="shared" si="26"/>
        <v>#N/A</v>
      </c>
      <c r="T89" s="136" t="e">
        <f t="shared" si="26"/>
        <v>#N/A</v>
      </c>
      <c r="U89" s="136" t="e">
        <f t="shared" si="26"/>
        <v>#N/A</v>
      </c>
      <c r="V89" s="136" t="e">
        <f t="shared" si="26"/>
        <v>#N/A</v>
      </c>
      <c r="W89" s="136" t="e">
        <f t="shared" si="26"/>
        <v>#N/A</v>
      </c>
      <c r="X89" s="141" t="e">
        <f t="shared" si="26"/>
        <v>#N/A</v>
      </c>
      <c r="Y89" s="141" t="e">
        <f t="shared" si="26"/>
        <v>#N/A</v>
      </c>
      <c r="Z89" s="141" t="e">
        <f t="shared" si="26"/>
        <v>#N/A</v>
      </c>
      <c r="AA89" s="141" t="e">
        <f t="shared" si="26"/>
        <v>#N/A</v>
      </c>
      <c r="AB89" s="141" t="e">
        <f t="shared" si="26"/>
        <v>#N/A</v>
      </c>
      <c r="AC89" s="141" t="e">
        <f t="shared" si="26"/>
        <v>#N/A</v>
      </c>
      <c r="AD89" s="141" t="e">
        <f t="shared" si="26"/>
        <v>#N/A</v>
      </c>
      <c r="AE89" s="141" t="e">
        <f t="shared" si="26"/>
        <v>#N/A</v>
      </c>
      <c r="AF89" s="141" t="e">
        <f t="shared" si="26"/>
        <v>#N/A</v>
      </c>
      <c r="AG89" s="141" t="e">
        <f t="shared" si="26"/>
        <v>#N/A</v>
      </c>
      <c r="AH89" s="141" t="e">
        <f t="shared" si="26"/>
        <v>#N/A</v>
      </c>
      <c r="AI89" s="141" t="e">
        <f t="shared" si="26"/>
        <v>#N/A</v>
      </c>
      <c r="AJ89" s="141" t="e">
        <f t="shared" si="26"/>
        <v>#N/A</v>
      </c>
      <c r="AK89" s="141" t="e">
        <f t="shared" si="26"/>
        <v>#N/A</v>
      </c>
      <c r="AL89" s="141" t="e">
        <f t="shared" si="26"/>
        <v>#N/A</v>
      </c>
      <c r="AM89" s="141" t="e">
        <f t="shared" si="26"/>
        <v>#N/A</v>
      </c>
    </row>
    <row r="90" spans="2:39" x14ac:dyDescent="0.25">
      <c r="C90" s="56" t="s">
        <v>34</v>
      </c>
      <c r="D90" s="3" t="s">
        <v>159</v>
      </c>
      <c r="E90" s="136" t="e">
        <f t="shared" si="26"/>
        <v>#N/A</v>
      </c>
      <c r="F90" s="136" t="e">
        <f t="shared" si="26"/>
        <v>#N/A</v>
      </c>
      <c r="G90" s="136" t="e">
        <f t="shared" si="26"/>
        <v>#N/A</v>
      </c>
      <c r="H90" s="136" t="e">
        <f t="shared" si="26"/>
        <v>#N/A</v>
      </c>
      <c r="I90" s="136" t="e">
        <f t="shared" si="26"/>
        <v>#N/A</v>
      </c>
      <c r="J90" s="135" t="e">
        <f t="shared" si="26"/>
        <v>#N/A</v>
      </c>
      <c r="K90" s="92" t="e">
        <f t="shared" si="26"/>
        <v>#N/A</v>
      </c>
      <c r="L90" s="92" t="e">
        <f t="shared" si="26"/>
        <v>#N/A</v>
      </c>
      <c r="M90" s="92" t="e">
        <f t="shared" si="26"/>
        <v>#N/A</v>
      </c>
      <c r="N90" s="136" t="e">
        <f t="shared" si="26"/>
        <v>#N/A</v>
      </c>
      <c r="O90" s="135" t="e">
        <f t="shared" si="26"/>
        <v>#N/A</v>
      </c>
      <c r="P90" s="92" t="e">
        <f t="shared" si="26"/>
        <v>#N/A</v>
      </c>
      <c r="Q90" s="92" t="e">
        <f t="shared" si="26"/>
        <v>#N/A</v>
      </c>
      <c r="R90" s="92" t="e">
        <f t="shared" si="26"/>
        <v>#N/A</v>
      </c>
      <c r="S90" s="136" t="e">
        <f t="shared" si="26"/>
        <v>#N/A</v>
      </c>
      <c r="T90" s="136" t="e">
        <f t="shared" si="26"/>
        <v>#N/A</v>
      </c>
      <c r="U90" s="136" t="e">
        <f t="shared" si="26"/>
        <v>#N/A</v>
      </c>
      <c r="V90" s="136" t="e">
        <f t="shared" si="26"/>
        <v>#N/A</v>
      </c>
      <c r="W90" s="136" t="e">
        <f t="shared" si="26"/>
        <v>#N/A</v>
      </c>
      <c r="X90" s="141" t="e">
        <f t="shared" si="26"/>
        <v>#N/A</v>
      </c>
      <c r="Y90" s="141" t="e">
        <f t="shared" si="26"/>
        <v>#N/A</v>
      </c>
      <c r="Z90" s="141" t="e">
        <f t="shared" si="26"/>
        <v>#N/A</v>
      </c>
      <c r="AA90" s="141" t="e">
        <f t="shared" si="26"/>
        <v>#N/A</v>
      </c>
      <c r="AB90" s="141" t="e">
        <f t="shared" si="26"/>
        <v>#N/A</v>
      </c>
      <c r="AC90" s="141" t="e">
        <f t="shared" si="26"/>
        <v>#N/A</v>
      </c>
      <c r="AD90" s="141" t="e">
        <f t="shared" si="26"/>
        <v>#N/A</v>
      </c>
      <c r="AE90" s="141" t="e">
        <f t="shared" si="26"/>
        <v>#N/A</v>
      </c>
      <c r="AF90" s="141" t="e">
        <f t="shared" si="26"/>
        <v>#N/A</v>
      </c>
      <c r="AG90" s="141" t="e">
        <f t="shared" si="26"/>
        <v>#N/A</v>
      </c>
      <c r="AH90" s="141" t="e">
        <f t="shared" si="26"/>
        <v>#N/A</v>
      </c>
      <c r="AI90" s="141" t="e">
        <f t="shared" si="26"/>
        <v>#N/A</v>
      </c>
      <c r="AJ90" s="141" t="e">
        <f t="shared" si="26"/>
        <v>#N/A</v>
      </c>
      <c r="AK90" s="141" t="e">
        <f t="shared" si="26"/>
        <v>#N/A</v>
      </c>
      <c r="AL90" s="141" t="e">
        <f t="shared" si="26"/>
        <v>#N/A</v>
      </c>
      <c r="AM90" s="141" t="e">
        <f t="shared" si="26"/>
        <v>#N/A</v>
      </c>
    </row>
    <row r="91" spans="2:39" x14ac:dyDescent="0.25">
      <c r="C91" s="56" t="s">
        <v>35</v>
      </c>
      <c r="D91" s="3" t="s">
        <v>184</v>
      </c>
      <c r="E91" s="136" t="e">
        <f t="shared" si="26"/>
        <v>#N/A</v>
      </c>
      <c r="F91" s="136" t="e">
        <f t="shared" si="26"/>
        <v>#N/A</v>
      </c>
      <c r="G91" s="136" t="e">
        <f t="shared" si="26"/>
        <v>#N/A</v>
      </c>
      <c r="H91" s="136" t="e">
        <f t="shared" si="26"/>
        <v>#N/A</v>
      </c>
      <c r="I91" s="136" t="e">
        <f t="shared" si="26"/>
        <v>#N/A</v>
      </c>
      <c r="J91" s="135" t="e">
        <f t="shared" si="26"/>
        <v>#N/A</v>
      </c>
      <c r="K91" s="92" t="e">
        <f t="shared" si="26"/>
        <v>#N/A</v>
      </c>
      <c r="L91" s="92" t="e">
        <f t="shared" si="26"/>
        <v>#N/A</v>
      </c>
      <c r="M91" s="92" t="e">
        <f t="shared" si="26"/>
        <v>#N/A</v>
      </c>
      <c r="N91" s="136" t="e">
        <f t="shared" si="26"/>
        <v>#N/A</v>
      </c>
      <c r="O91" s="135" t="e">
        <f t="shared" si="26"/>
        <v>#N/A</v>
      </c>
      <c r="P91" s="92" t="e">
        <f t="shared" si="26"/>
        <v>#N/A</v>
      </c>
      <c r="Q91" s="92" t="e">
        <f t="shared" si="26"/>
        <v>#N/A</v>
      </c>
      <c r="R91" s="92" t="e">
        <f t="shared" si="26"/>
        <v>#N/A</v>
      </c>
      <c r="S91" s="136" t="e">
        <f t="shared" si="26"/>
        <v>#N/A</v>
      </c>
      <c r="T91" s="136" t="e">
        <f t="shared" si="26"/>
        <v>#N/A</v>
      </c>
      <c r="U91" s="136" t="e">
        <f t="shared" si="26"/>
        <v>#N/A</v>
      </c>
      <c r="V91" s="136" t="e">
        <f t="shared" si="26"/>
        <v>#N/A</v>
      </c>
      <c r="W91" s="136" t="e">
        <f t="shared" si="26"/>
        <v>#N/A</v>
      </c>
      <c r="X91" s="141" t="e">
        <f t="shared" si="26"/>
        <v>#N/A</v>
      </c>
      <c r="Y91" s="141" t="e">
        <f t="shared" si="26"/>
        <v>#N/A</v>
      </c>
      <c r="Z91" s="141" t="e">
        <f t="shared" si="26"/>
        <v>#N/A</v>
      </c>
      <c r="AA91" s="141" t="e">
        <f t="shared" si="26"/>
        <v>#N/A</v>
      </c>
      <c r="AB91" s="141" t="e">
        <f t="shared" si="26"/>
        <v>#N/A</v>
      </c>
      <c r="AC91" s="141" t="e">
        <f t="shared" si="26"/>
        <v>#N/A</v>
      </c>
      <c r="AD91" s="141" t="e">
        <f t="shared" si="26"/>
        <v>#N/A</v>
      </c>
      <c r="AE91" s="141" t="e">
        <f t="shared" si="26"/>
        <v>#N/A</v>
      </c>
      <c r="AF91" s="141" t="e">
        <f t="shared" si="26"/>
        <v>#N/A</v>
      </c>
      <c r="AG91" s="141" t="e">
        <f t="shared" si="26"/>
        <v>#N/A</v>
      </c>
      <c r="AH91" s="141" t="e">
        <f t="shared" si="26"/>
        <v>#N/A</v>
      </c>
      <c r="AI91" s="141" t="e">
        <f t="shared" si="26"/>
        <v>#N/A</v>
      </c>
      <c r="AJ91" s="141" t="e">
        <f t="shared" si="26"/>
        <v>#N/A</v>
      </c>
      <c r="AK91" s="141" t="e">
        <f t="shared" si="26"/>
        <v>#N/A</v>
      </c>
      <c r="AL91" s="141" t="e">
        <f t="shared" si="26"/>
        <v>#N/A</v>
      </c>
      <c r="AM91" s="141" t="e">
        <f t="shared" si="26"/>
        <v>#N/A</v>
      </c>
    </row>
    <row r="92" spans="2:39" x14ac:dyDescent="0.25">
      <c r="C92" s="82" t="s">
        <v>134</v>
      </c>
      <c r="D92" s="82" t="s">
        <v>45</v>
      </c>
      <c r="E92" s="83" t="e">
        <f>E44</f>
        <v>#N/A</v>
      </c>
      <c r="F92" s="83" t="e">
        <f t="shared" ref="F92:AM92" si="27">F44</f>
        <v>#N/A</v>
      </c>
      <c r="G92" s="83" t="e">
        <f t="shared" si="27"/>
        <v>#N/A</v>
      </c>
      <c r="H92" s="83" t="e">
        <f t="shared" si="27"/>
        <v>#N/A</v>
      </c>
      <c r="I92" s="83" t="e">
        <f t="shared" si="27"/>
        <v>#N/A</v>
      </c>
      <c r="J92" s="83" t="e">
        <f t="shared" si="27"/>
        <v>#N/A</v>
      </c>
      <c r="K92" s="83" t="e">
        <f t="shared" si="27"/>
        <v>#N/A</v>
      </c>
      <c r="L92" s="83" t="e">
        <f t="shared" si="27"/>
        <v>#N/A</v>
      </c>
      <c r="M92" s="83" t="e">
        <f t="shared" si="27"/>
        <v>#N/A</v>
      </c>
      <c r="N92" s="83" t="e">
        <f t="shared" si="27"/>
        <v>#N/A</v>
      </c>
      <c r="O92" s="83" t="e">
        <f t="shared" si="27"/>
        <v>#N/A</v>
      </c>
      <c r="P92" s="83" t="e">
        <f t="shared" si="27"/>
        <v>#N/A</v>
      </c>
      <c r="Q92" s="83" t="e">
        <f t="shared" si="27"/>
        <v>#N/A</v>
      </c>
      <c r="R92" s="83" t="e">
        <f t="shared" si="27"/>
        <v>#N/A</v>
      </c>
      <c r="S92" s="83" t="e">
        <f t="shared" si="27"/>
        <v>#N/A</v>
      </c>
      <c r="T92" s="83" t="e">
        <f t="shared" si="27"/>
        <v>#N/A</v>
      </c>
      <c r="U92" s="83" t="e">
        <f t="shared" si="27"/>
        <v>#N/A</v>
      </c>
      <c r="V92" s="83" t="e">
        <f t="shared" si="27"/>
        <v>#N/A</v>
      </c>
      <c r="W92" s="83" t="e">
        <f t="shared" si="27"/>
        <v>#N/A</v>
      </c>
      <c r="X92" s="83" t="e">
        <f t="shared" si="27"/>
        <v>#N/A</v>
      </c>
      <c r="Y92" s="83" t="e">
        <f t="shared" si="27"/>
        <v>#N/A</v>
      </c>
      <c r="Z92" s="83" t="e">
        <f t="shared" si="27"/>
        <v>#N/A</v>
      </c>
      <c r="AA92" s="83" t="e">
        <f t="shared" si="27"/>
        <v>#N/A</v>
      </c>
      <c r="AB92" s="83" t="e">
        <f t="shared" si="27"/>
        <v>#N/A</v>
      </c>
      <c r="AC92" s="83" t="e">
        <f t="shared" si="27"/>
        <v>#N/A</v>
      </c>
      <c r="AD92" s="83" t="e">
        <f t="shared" si="27"/>
        <v>#N/A</v>
      </c>
      <c r="AE92" s="83" t="e">
        <f t="shared" si="27"/>
        <v>#N/A</v>
      </c>
      <c r="AF92" s="83" t="e">
        <f t="shared" si="27"/>
        <v>#N/A</v>
      </c>
      <c r="AG92" s="83" t="e">
        <f t="shared" si="27"/>
        <v>#N/A</v>
      </c>
      <c r="AH92" s="83" t="e">
        <f t="shared" si="27"/>
        <v>#N/A</v>
      </c>
      <c r="AI92" s="83" t="e">
        <f t="shared" si="27"/>
        <v>#N/A</v>
      </c>
      <c r="AJ92" s="83" t="e">
        <f t="shared" si="27"/>
        <v>#N/A</v>
      </c>
      <c r="AK92" s="83" t="e">
        <f t="shared" si="27"/>
        <v>#N/A</v>
      </c>
      <c r="AL92" s="83" t="e">
        <f t="shared" si="27"/>
        <v>#N/A</v>
      </c>
      <c r="AM92" s="83" t="e">
        <f t="shared" si="27"/>
        <v>#N/A</v>
      </c>
    </row>
    <row r="93" spans="2:39" x14ac:dyDescent="0.25">
      <c r="C93" s="84" t="s">
        <v>94</v>
      </c>
      <c r="D93" s="3" t="s">
        <v>159</v>
      </c>
      <c r="E93" s="153" t="e">
        <f t="shared" ref="E93:AM100" si="28">E50/E$49</f>
        <v>#N/A</v>
      </c>
      <c r="F93" s="153" t="e">
        <f t="shared" si="28"/>
        <v>#N/A</v>
      </c>
      <c r="G93" s="153" t="e">
        <f t="shared" si="28"/>
        <v>#N/A</v>
      </c>
      <c r="H93" s="153" t="e">
        <f t="shared" si="28"/>
        <v>#N/A</v>
      </c>
      <c r="I93" s="153" t="e">
        <f t="shared" si="28"/>
        <v>#N/A</v>
      </c>
      <c r="J93" s="152" t="e">
        <f t="shared" si="28"/>
        <v>#N/A</v>
      </c>
      <c r="K93" s="95" t="e">
        <f t="shared" si="28"/>
        <v>#N/A</v>
      </c>
      <c r="L93" s="95" t="e">
        <f t="shared" si="28"/>
        <v>#N/A</v>
      </c>
      <c r="M93" s="95" t="e">
        <f t="shared" si="28"/>
        <v>#N/A</v>
      </c>
      <c r="N93" s="153" t="e">
        <f t="shared" si="28"/>
        <v>#N/A</v>
      </c>
      <c r="O93" s="152" t="e">
        <f t="shared" si="28"/>
        <v>#N/A</v>
      </c>
      <c r="P93" s="95" t="e">
        <f t="shared" si="28"/>
        <v>#N/A</v>
      </c>
      <c r="Q93" s="95" t="e">
        <f t="shared" si="28"/>
        <v>#N/A</v>
      </c>
      <c r="R93" s="95" t="e">
        <f t="shared" si="28"/>
        <v>#N/A</v>
      </c>
      <c r="S93" s="153" t="e">
        <f t="shared" si="28"/>
        <v>#N/A</v>
      </c>
      <c r="T93" s="153" t="e">
        <f t="shared" si="28"/>
        <v>#N/A</v>
      </c>
      <c r="U93" s="153" t="e">
        <f t="shared" si="28"/>
        <v>#N/A</v>
      </c>
      <c r="V93" s="153" t="e">
        <f t="shared" si="28"/>
        <v>#N/A</v>
      </c>
      <c r="W93" s="153" t="e">
        <f t="shared" si="28"/>
        <v>#N/A</v>
      </c>
      <c r="X93" s="145" t="e">
        <f t="shared" si="28"/>
        <v>#N/A</v>
      </c>
      <c r="Y93" s="145" t="e">
        <f t="shared" si="28"/>
        <v>#N/A</v>
      </c>
      <c r="Z93" s="145" t="e">
        <f t="shared" si="28"/>
        <v>#N/A</v>
      </c>
      <c r="AA93" s="145" t="e">
        <f t="shared" si="28"/>
        <v>#N/A</v>
      </c>
      <c r="AB93" s="145" t="e">
        <f t="shared" si="28"/>
        <v>#N/A</v>
      </c>
      <c r="AC93" s="145" t="e">
        <f t="shared" si="28"/>
        <v>#N/A</v>
      </c>
      <c r="AD93" s="145" t="e">
        <f t="shared" si="28"/>
        <v>#N/A</v>
      </c>
      <c r="AE93" s="145" t="e">
        <f t="shared" si="28"/>
        <v>#N/A</v>
      </c>
      <c r="AF93" s="145" t="e">
        <f t="shared" si="28"/>
        <v>#N/A</v>
      </c>
      <c r="AG93" s="145" t="e">
        <f t="shared" si="28"/>
        <v>#N/A</v>
      </c>
      <c r="AH93" s="145" t="e">
        <f t="shared" si="28"/>
        <v>#N/A</v>
      </c>
      <c r="AI93" s="145" t="e">
        <f t="shared" si="28"/>
        <v>#N/A</v>
      </c>
      <c r="AJ93" s="145" t="e">
        <f t="shared" si="28"/>
        <v>#N/A</v>
      </c>
      <c r="AK93" s="145" t="e">
        <f t="shared" si="28"/>
        <v>#N/A</v>
      </c>
      <c r="AL93" s="145" t="e">
        <f t="shared" si="28"/>
        <v>#N/A</v>
      </c>
      <c r="AM93" s="145" t="e">
        <f t="shared" si="28"/>
        <v>#N/A</v>
      </c>
    </row>
    <row r="94" spans="2:39" x14ac:dyDescent="0.25">
      <c r="C94" s="86" t="s">
        <v>27</v>
      </c>
      <c r="D94" s="87" t="s">
        <v>185</v>
      </c>
      <c r="E94" s="136" t="e">
        <f t="shared" si="28"/>
        <v>#N/A</v>
      </c>
      <c r="F94" s="136" t="e">
        <f t="shared" si="28"/>
        <v>#N/A</v>
      </c>
      <c r="G94" s="136" t="e">
        <f t="shared" si="28"/>
        <v>#N/A</v>
      </c>
      <c r="H94" s="136" t="e">
        <f t="shared" si="28"/>
        <v>#N/A</v>
      </c>
      <c r="I94" s="136" t="e">
        <f t="shared" si="28"/>
        <v>#N/A</v>
      </c>
      <c r="J94" s="135" t="e">
        <f t="shared" si="28"/>
        <v>#N/A</v>
      </c>
      <c r="K94" s="92" t="e">
        <f t="shared" si="28"/>
        <v>#N/A</v>
      </c>
      <c r="L94" s="92" t="e">
        <f t="shared" si="28"/>
        <v>#N/A</v>
      </c>
      <c r="M94" s="92" t="e">
        <f t="shared" si="28"/>
        <v>#N/A</v>
      </c>
      <c r="N94" s="136" t="e">
        <f t="shared" si="28"/>
        <v>#N/A</v>
      </c>
      <c r="O94" s="135" t="e">
        <f t="shared" si="28"/>
        <v>#N/A</v>
      </c>
      <c r="P94" s="92" t="e">
        <f t="shared" si="28"/>
        <v>#N/A</v>
      </c>
      <c r="Q94" s="92" t="e">
        <f t="shared" si="28"/>
        <v>#N/A</v>
      </c>
      <c r="R94" s="92" t="e">
        <f t="shared" si="28"/>
        <v>#N/A</v>
      </c>
      <c r="S94" s="136" t="e">
        <f t="shared" si="28"/>
        <v>#N/A</v>
      </c>
      <c r="T94" s="136" t="e">
        <f t="shared" si="28"/>
        <v>#N/A</v>
      </c>
      <c r="U94" s="136" t="e">
        <f t="shared" si="28"/>
        <v>#N/A</v>
      </c>
      <c r="V94" s="136" t="e">
        <f t="shared" si="28"/>
        <v>#N/A</v>
      </c>
      <c r="W94" s="136" t="e">
        <f t="shared" si="28"/>
        <v>#N/A</v>
      </c>
      <c r="X94" s="141" t="e">
        <f t="shared" si="28"/>
        <v>#N/A</v>
      </c>
      <c r="Y94" s="141" t="e">
        <f t="shared" si="28"/>
        <v>#N/A</v>
      </c>
      <c r="Z94" s="141" t="e">
        <f t="shared" si="28"/>
        <v>#N/A</v>
      </c>
      <c r="AA94" s="141" t="e">
        <f t="shared" si="28"/>
        <v>#N/A</v>
      </c>
      <c r="AB94" s="141" t="e">
        <f t="shared" si="28"/>
        <v>#N/A</v>
      </c>
      <c r="AC94" s="141" t="e">
        <f t="shared" si="28"/>
        <v>#N/A</v>
      </c>
      <c r="AD94" s="141" t="e">
        <f t="shared" si="28"/>
        <v>#N/A</v>
      </c>
      <c r="AE94" s="141" t="e">
        <f t="shared" si="28"/>
        <v>#N/A</v>
      </c>
      <c r="AF94" s="141" t="e">
        <f t="shared" si="28"/>
        <v>#N/A</v>
      </c>
      <c r="AG94" s="141" t="e">
        <f t="shared" si="28"/>
        <v>#N/A</v>
      </c>
      <c r="AH94" s="141" t="e">
        <f t="shared" si="28"/>
        <v>#N/A</v>
      </c>
      <c r="AI94" s="141" t="e">
        <f t="shared" si="28"/>
        <v>#N/A</v>
      </c>
      <c r="AJ94" s="141" t="e">
        <f t="shared" si="28"/>
        <v>#N/A</v>
      </c>
      <c r="AK94" s="141" t="e">
        <f t="shared" si="28"/>
        <v>#N/A</v>
      </c>
      <c r="AL94" s="141" t="e">
        <f t="shared" si="28"/>
        <v>#N/A</v>
      </c>
      <c r="AM94" s="141" t="e">
        <f t="shared" si="28"/>
        <v>#N/A</v>
      </c>
    </row>
    <row r="95" spans="2:39" x14ac:dyDescent="0.25">
      <c r="C95" s="56" t="s">
        <v>28</v>
      </c>
      <c r="D95" s="78" t="s">
        <v>186</v>
      </c>
      <c r="E95" s="136" t="e">
        <f t="shared" si="28"/>
        <v>#N/A</v>
      </c>
      <c r="F95" s="136" t="e">
        <f t="shared" si="28"/>
        <v>#N/A</v>
      </c>
      <c r="G95" s="136" t="e">
        <f t="shared" si="28"/>
        <v>#N/A</v>
      </c>
      <c r="H95" s="136" t="e">
        <f t="shared" si="28"/>
        <v>#N/A</v>
      </c>
      <c r="I95" s="136" t="e">
        <f t="shared" si="28"/>
        <v>#N/A</v>
      </c>
      <c r="J95" s="135" t="e">
        <f t="shared" si="28"/>
        <v>#N/A</v>
      </c>
      <c r="K95" s="92" t="e">
        <f t="shared" si="28"/>
        <v>#N/A</v>
      </c>
      <c r="L95" s="92" t="e">
        <f t="shared" si="28"/>
        <v>#N/A</v>
      </c>
      <c r="M95" s="92" t="e">
        <f t="shared" si="28"/>
        <v>#N/A</v>
      </c>
      <c r="N95" s="136" t="e">
        <f t="shared" si="28"/>
        <v>#N/A</v>
      </c>
      <c r="O95" s="135" t="e">
        <f t="shared" si="28"/>
        <v>#N/A</v>
      </c>
      <c r="P95" s="92" t="e">
        <f t="shared" si="28"/>
        <v>#N/A</v>
      </c>
      <c r="Q95" s="92" t="e">
        <f t="shared" si="28"/>
        <v>#N/A</v>
      </c>
      <c r="R95" s="92" t="e">
        <f t="shared" si="28"/>
        <v>#N/A</v>
      </c>
      <c r="S95" s="136" t="e">
        <f t="shared" si="28"/>
        <v>#N/A</v>
      </c>
      <c r="T95" s="136" t="e">
        <f t="shared" si="28"/>
        <v>#N/A</v>
      </c>
      <c r="U95" s="136" t="e">
        <f t="shared" si="28"/>
        <v>#N/A</v>
      </c>
      <c r="V95" s="136" t="e">
        <f t="shared" si="28"/>
        <v>#N/A</v>
      </c>
      <c r="W95" s="136" t="e">
        <f t="shared" si="28"/>
        <v>#N/A</v>
      </c>
      <c r="X95" s="141" t="e">
        <f t="shared" si="28"/>
        <v>#N/A</v>
      </c>
      <c r="Y95" s="141" t="e">
        <f t="shared" si="28"/>
        <v>#N/A</v>
      </c>
      <c r="Z95" s="141" t="e">
        <f t="shared" si="28"/>
        <v>#N/A</v>
      </c>
      <c r="AA95" s="141" t="e">
        <f t="shared" si="28"/>
        <v>#N/A</v>
      </c>
      <c r="AB95" s="141" t="e">
        <f t="shared" si="28"/>
        <v>#N/A</v>
      </c>
      <c r="AC95" s="141" t="e">
        <f t="shared" si="28"/>
        <v>#N/A</v>
      </c>
      <c r="AD95" s="141" t="e">
        <f t="shared" si="28"/>
        <v>#N/A</v>
      </c>
      <c r="AE95" s="141" t="e">
        <f t="shared" si="28"/>
        <v>#N/A</v>
      </c>
      <c r="AF95" s="141" t="e">
        <f t="shared" si="28"/>
        <v>#N/A</v>
      </c>
      <c r="AG95" s="141" t="e">
        <f t="shared" si="28"/>
        <v>#N/A</v>
      </c>
      <c r="AH95" s="141" t="e">
        <f t="shared" si="28"/>
        <v>#N/A</v>
      </c>
      <c r="AI95" s="141" t="e">
        <f t="shared" si="28"/>
        <v>#N/A</v>
      </c>
      <c r="AJ95" s="141" t="e">
        <f t="shared" si="28"/>
        <v>#N/A</v>
      </c>
      <c r="AK95" s="141" t="e">
        <f t="shared" si="28"/>
        <v>#N/A</v>
      </c>
      <c r="AL95" s="141" t="e">
        <f t="shared" si="28"/>
        <v>#N/A</v>
      </c>
      <c r="AM95" s="141" t="e">
        <f t="shared" si="28"/>
        <v>#N/A</v>
      </c>
    </row>
    <row r="96" spans="2:39" x14ac:dyDescent="0.25">
      <c r="C96" s="56" t="s">
        <v>29</v>
      </c>
      <c r="D96" s="78" t="s">
        <v>187</v>
      </c>
      <c r="E96" s="136" t="e">
        <f t="shared" si="28"/>
        <v>#N/A</v>
      </c>
      <c r="F96" s="136" t="e">
        <f t="shared" si="28"/>
        <v>#N/A</v>
      </c>
      <c r="G96" s="136" t="e">
        <f t="shared" si="28"/>
        <v>#N/A</v>
      </c>
      <c r="H96" s="136" t="e">
        <f t="shared" si="28"/>
        <v>#N/A</v>
      </c>
      <c r="I96" s="136" t="e">
        <f t="shared" si="28"/>
        <v>#N/A</v>
      </c>
      <c r="J96" s="135" t="e">
        <f t="shared" si="28"/>
        <v>#N/A</v>
      </c>
      <c r="K96" s="92" t="e">
        <f t="shared" si="28"/>
        <v>#N/A</v>
      </c>
      <c r="L96" s="92" t="e">
        <f t="shared" si="28"/>
        <v>#N/A</v>
      </c>
      <c r="M96" s="92" t="e">
        <f t="shared" si="28"/>
        <v>#N/A</v>
      </c>
      <c r="N96" s="136" t="e">
        <f t="shared" si="28"/>
        <v>#N/A</v>
      </c>
      <c r="O96" s="135" t="e">
        <f t="shared" si="28"/>
        <v>#N/A</v>
      </c>
      <c r="P96" s="92" t="e">
        <f t="shared" si="28"/>
        <v>#N/A</v>
      </c>
      <c r="Q96" s="92" t="e">
        <f t="shared" si="28"/>
        <v>#N/A</v>
      </c>
      <c r="R96" s="92" t="e">
        <f t="shared" si="28"/>
        <v>#N/A</v>
      </c>
      <c r="S96" s="136" t="e">
        <f t="shared" si="28"/>
        <v>#N/A</v>
      </c>
      <c r="T96" s="136" t="e">
        <f t="shared" si="28"/>
        <v>#N/A</v>
      </c>
      <c r="U96" s="136" t="e">
        <f t="shared" si="28"/>
        <v>#N/A</v>
      </c>
      <c r="V96" s="136" t="e">
        <f t="shared" si="28"/>
        <v>#N/A</v>
      </c>
      <c r="W96" s="136" t="e">
        <f t="shared" si="28"/>
        <v>#N/A</v>
      </c>
      <c r="X96" s="141" t="e">
        <f t="shared" si="28"/>
        <v>#N/A</v>
      </c>
      <c r="Y96" s="141" t="e">
        <f t="shared" si="28"/>
        <v>#N/A</v>
      </c>
      <c r="Z96" s="141" t="e">
        <f t="shared" si="28"/>
        <v>#N/A</v>
      </c>
      <c r="AA96" s="141" t="e">
        <f t="shared" si="28"/>
        <v>#N/A</v>
      </c>
      <c r="AB96" s="141" t="e">
        <f t="shared" si="28"/>
        <v>#N/A</v>
      </c>
      <c r="AC96" s="141" t="e">
        <f t="shared" si="28"/>
        <v>#N/A</v>
      </c>
      <c r="AD96" s="141" t="e">
        <f t="shared" si="28"/>
        <v>#N/A</v>
      </c>
      <c r="AE96" s="141" t="e">
        <f t="shared" si="28"/>
        <v>#N/A</v>
      </c>
      <c r="AF96" s="141" t="e">
        <f t="shared" si="28"/>
        <v>#N/A</v>
      </c>
      <c r="AG96" s="141" t="e">
        <f t="shared" si="28"/>
        <v>#N/A</v>
      </c>
      <c r="AH96" s="141" t="e">
        <f t="shared" si="28"/>
        <v>#N/A</v>
      </c>
      <c r="AI96" s="141" t="e">
        <f t="shared" si="28"/>
        <v>#N/A</v>
      </c>
      <c r="AJ96" s="141" t="e">
        <f t="shared" si="28"/>
        <v>#N/A</v>
      </c>
      <c r="AK96" s="141" t="e">
        <f t="shared" si="28"/>
        <v>#N/A</v>
      </c>
      <c r="AL96" s="141" t="e">
        <f t="shared" si="28"/>
        <v>#N/A</v>
      </c>
      <c r="AM96" s="141" t="e">
        <f t="shared" si="28"/>
        <v>#N/A</v>
      </c>
    </row>
    <row r="97" spans="3:40" x14ac:dyDescent="0.25">
      <c r="C97" s="56" t="s">
        <v>30</v>
      </c>
      <c r="D97" s="78" t="s">
        <v>188</v>
      </c>
      <c r="E97" s="136" t="e">
        <f t="shared" si="28"/>
        <v>#N/A</v>
      </c>
      <c r="F97" s="136" t="e">
        <f t="shared" si="28"/>
        <v>#N/A</v>
      </c>
      <c r="G97" s="136" t="e">
        <f t="shared" si="28"/>
        <v>#N/A</v>
      </c>
      <c r="H97" s="136" t="e">
        <f t="shared" si="28"/>
        <v>#N/A</v>
      </c>
      <c r="I97" s="136" t="e">
        <f t="shared" si="28"/>
        <v>#N/A</v>
      </c>
      <c r="J97" s="135" t="e">
        <f t="shared" si="28"/>
        <v>#N/A</v>
      </c>
      <c r="K97" s="92" t="e">
        <f t="shared" si="28"/>
        <v>#N/A</v>
      </c>
      <c r="L97" s="92" t="e">
        <f t="shared" si="28"/>
        <v>#N/A</v>
      </c>
      <c r="M97" s="92" t="e">
        <f t="shared" si="28"/>
        <v>#N/A</v>
      </c>
      <c r="N97" s="136" t="e">
        <f t="shared" si="28"/>
        <v>#N/A</v>
      </c>
      <c r="O97" s="135" t="e">
        <f t="shared" si="28"/>
        <v>#N/A</v>
      </c>
      <c r="P97" s="92" t="e">
        <f t="shared" si="28"/>
        <v>#N/A</v>
      </c>
      <c r="Q97" s="92" t="e">
        <f t="shared" si="28"/>
        <v>#N/A</v>
      </c>
      <c r="R97" s="92" t="e">
        <f t="shared" si="28"/>
        <v>#N/A</v>
      </c>
      <c r="S97" s="136" t="e">
        <f t="shared" si="28"/>
        <v>#N/A</v>
      </c>
      <c r="T97" s="136" t="e">
        <f t="shared" si="28"/>
        <v>#N/A</v>
      </c>
      <c r="U97" s="136" t="e">
        <f t="shared" si="28"/>
        <v>#N/A</v>
      </c>
      <c r="V97" s="136" t="e">
        <f t="shared" si="28"/>
        <v>#N/A</v>
      </c>
      <c r="W97" s="136" t="e">
        <f t="shared" si="28"/>
        <v>#N/A</v>
      </c>
      <c r="X97" s="141" t="e">
        <f t="shared" si="28"/>
        <v>#N/A</v>
      </c>
      <c r="Y97" s="141" t="e">
        <f t="shared" si="28"/>
        <v>#N/A</v>
      </c>
      <c r="Z97" s="141" t="e">
        <f t="shared" si="28"/>
        <v>#N/A</v>
      </c>
      <c r="AA97" s="141" t="e">
        <f t="shared" si="28"/>
        <v>#N/A</v>
      </c>
      <c r="AB97" s="141" t="e">
        <f t="shared" si="28"/>
        <v>#N/A</v>
      </c>
      <c r="AC97" s="141" t="e">
        <f t="shared" si="28"/>
        <v>#N/A</v>
      </c>
      <c r="AD97" s="141" t="e">
        <f t="shared" si="28"/>
        <v>#N/A</v>
      </c>
      <c r="AE97" s="141" t="e">
        <f t="shared" si="28"/>
        <v>#N/A</v>
      </c>
      <c r="AF97" s="141" t="e">
        <f t="shared" si="28"/>
        <v>#N/A</v>
      </c>
      <c r="AG97" s="141" t="e">
        <f t="shared" si="28"/>
        <v>#N/A</v>
      </c>
      <c r="AH97" s="141" t="e">
        <f t="shared" si="28"/>
        <v>#N/A</v>
      </c>
      <c r="AI97" s="141" t="e">
        <f t="shared" si="28"/>
        <v>#N/A</v>
      </c>
      <c r="AJ97" s="141" t="e">
        <f t="shared" si="28"/>
        <v>#N/A</v>
      </c>
      <c r="AK97" s="141" t="e">
        <f t="shared" si="28"/>
        <v>#N/A</v>
      </c>
      <c r="AL97" s="141" t="e">
        <f t="shared" si="28"/>
        <v>#N/A</v>
      </c>
      <c r="AM97" s="141" t="e">
        <f t="shared" si="28"/>
        <v>#N/A</v>
      </c>
    </row>
    <row r="98" spans="3:40" x14ac:dyDescent="0.25">
      <c r="C98" s="56" t="s">
        <v>31</v>
      </c>
      <c r="D98" s="78" t="s">
        <v>189</v>
      </c>
      <c r="E98" s="136" t="e">
        <f t="shared" si="28"/>
        <v>#N/A</v>
      </c>
      <c r="F98" s="136" t="e">
        <f t="shared" si="28"/>
        <v>#N/A</v>
      </c>
      <c r="G98" s="136" t="e">
        <f t="shared" si="28"/>
        <v>#N/A</v>
      </c>
      <c r="H98" s="136" t="e">
        <f t="shared" si="28"/>
        <v>#N/A</v>
      </c>
      <c r="I98" s="136" t="e">
        <f t="shared" si="28"/>
        <v>#N/A</v>
      </c>
      <c r="J98" s="135" t="e">
        <f t="shared" si="28"/>
        <v>#N/A</v>
      </c>
      <c r="K98" s="92" t="e">
        <f t="shared" si="28"/>
        <v>#N/A</v>
      </c>
      <c r="L98" s="92" t="e">
        <f t="shared" si="28"/>
        <v>#N/A</v>
      </c>
      <c r="M98" s="92" t="e">
        <f t="shared" si="28"/>
        <v>#N/A</v>
      </c>
      <c r="N98" s="136" t="e">
        <f t="shared" si="28"/>
        <v>#N/A</v>
      </c>
      <c r="O98" s="135" t="e">
        <f t="shared" si="28"/>
        <v>#N/A</v>
      </c>
      <c r="P98" s="92" t="e">
        <f t="shared" si="28"/>
        <v>#N/A</v>
      </c>
      <c r="Q98" s="92" t="e">
        <f t="shared" si="28"/>
        <v>#N/A</v>
      </c>
      <c r="R98" s="92" t="e">
        <f t="shared" si="28"/>
        <v>#N/A</v>
      </c>
      <c r="S98" s="136" t="e">
        <f t="shared" si="28"/>
        <v>#N/A</v>
      </c>
      <c r="T98" s="136" t="e">
        <f t="shared" si="28"/>
        <v>#N/A</v>
      </c>
      <c r="U98" s="136" t="e">
        <f t="shared" si="28"/>
        <v>#N/A</v>
      </c>
      <c r="V98" s="136" t="e">
        <f t="shared" si="28"/>
        <v>#N/A</v>
      </c>
      <c r="W98" s="136" t="e">
        <f t="shared" si="28"/>
        <v>#N/A</v>
      </c>
      <c r="X98" s="141" t="e">
        <f t="shared" si="28"/>
        <v>#N/A</v>
      </c>
      <c r="Y98" s="141" t="e">
        <f t="shared" si="28"/>
        <v>#N/A</v>
      </c>
      <c r="Z98" s="141" t="e">
        <f t="shared" si="28"/>
        <v>#N/A</v>
      </c>
      <c r="AA98" s="141" t="e">
        <f t="shared" si="28"/>
        <v>#N/A</v>
      </c>
      <c r="AB98" s="141" t="e">
        <f t="shared" si="28"/>
        <v>#N/A</v>
      </c>
      <c r="AC98" s="141" t="e">
        <f t="shared" si="28"/>
        <v>#N/A</v>
      </c>
      <c r="AD98" s="141" t="e">
        <f t="shared" si="28"/>
        <v>#N/A</v>
      </c>
      <c r="AE98" s="141" t="e">
        <f t="shared" si="28"/>
        <v>#N/A</v>
      </c>
      <c r="AF98" s="141" t="e">
        <f t="shared" si="28"/>
        <v>#N/A</v>
      </c>
      <c r="AG98" s="141" t="e">
        <f t="shared" si="28"/>
        <v>#N/A</v>
      </c>
      <c r="AH98" s="141" t="e">
        <f t="shared" si="28"/>
        <v>#N/A</v>
      </c>
      <c r="AI98" s="141" t="e">
        <f t="shared" si="28"/>
        <v>#N/A</v>
      </c>
      <c r="AJ98" s="141" t="e">
        <f t="shared" si="28"/>
        <v>#N/A</v>
      </c>
      <c r="AK98" s="141" t="e">
        <f t="shared" si="28"/>
        <v>#N/A</v>
      </c>
      <c r="AL98" s="141" t="e">
        <f t="shared" si="28"/>
        <v>#N/A</v>
      </c>
      <c r="AM98" s="141" t="e">
        <f t="shared" si="28"/>
        <v>#N/A</v>
      </c>
    </row>
    <row r="99" spans="3:40" x14ac:dyDescent="0.25">
      <c r="C99" s="56" t="s">
        <v>32</v>
      </c>
      <c r="D99" s="78" t="s">
        <v>190</v>
      </c>
      <c r="E99" s="136" t="e">
        <f t="shared" si="28"/>
        <v>#N/A</v>
      </c>
      <c r="F99" s="136" t="e">
        <f t="shared" si="28"/>
        <v>#N/A</v>
      </c>
      <c r="G99" s="136" t="e">
        <f t="shared" si="28"/>
        <v>#N/A</v>
      </c>
      <c r="H99" s="136" t="e">
        <f t="shared" si="28"/>
        <v>#N/A</v>
      </c>
      <c r="I99" s="136" t="e">
        <f t="shared" si="28"/>
        <v>#N/A</v>
      </c>
      <c r="J99" s="135" t="e">
        <f t="shared" si="28"/>
        <v>#N/A</v>
      </c>
      <c r="K99" s="92" t="e">
        <f t="shared" si="28"/>
        <v>#N/A</v>
      </c>
      <c r="L99" s="92" t="e">
        <f t="shared" si="28"/>
        <v>#N/A</v>
      </c>
      <c r="M99" s="92" t="e">
        <f t="shared" si="28"/>
        <v>#N/A</v>
      </c>
      <c r="N99" s="136" t="e">
        <f t="shared" si="28"/>
        <v>#N/A</v>
      </c>
      <c r="O99" s="135" t="e">
        <f t="shared" si="28"/>
        <v>#N/A</v>
      </c>
      <c r="P99" s="92" t="e">
        <f t="shared" si="28"/>
        <v>#N/A</v>
      </c>
      <c r="Q99" s="92" t="e">
        <f t="shared" si="28"/>
        <v>#N/A</v>
      </c>
      <c r="R99" s="92" t="e">
        <f t="shared" si="28"/>
        <v>#N/A</v>
      </c>
      <c r="S99" s="136" t="e">
        <f t="shared" si="28"/>
        <v>#N/A</v>
      </c>
      <c r="T99" s="136" t="e">
        <f t="shared" si="28"/>
        <v>#N/A</v>
      </c>
      <c r="U99" s="136" t="e">
        <f t="shared" si="28"/>
        <v>#N/A</v>
      </c>
      <c r="V99" s="136" t="e">
        <f t="shared" si="28"/>
        <v>#N/A</v>
      </c>
      <c r="W99" s="136" t="e">
        <f t="shared" si="28"/>
        <v>#N/A</v>
      </c>
      <c r="X99" s="141" t="e">
        <f t="shared" si="28"/>
        <v>#N/A</v>
      </c>
      <c r="Y99" s="141" t="e">
        <f t="shared" si="28"/>
        <v>#N/A</v>
      </c>
      <c r="Z99" s="141" t="e">
        <f t="shared" si="28"/>
        <v>#N/A</v>
      </c>
      <c r="AA99" s="141" t="e">
        <f t="shared" si="28"/>
        <v>#N/A</v>
      </c>
      <c r="AB99" s="141" t="e">
        <f t="shared" si="28"/>
        <v>#N/A</v>
      </c>
      <c r="AC99" s="141" t="e">
        <f t="shared" si="28"/>
        <v>#N/A</v>
      </c>
      <c r="AD99" s="141" t="e">
        <f t="shared" si="28"/>
        <v>#N/A</v>
      </c>
      <c r="AE99" s="141" t="e">
        <f t="shared" si="28"/>
        <v>#N/A</v>
      </c>
      <c r="AF99" s="141" t="e">
        <f t="shared" si="28"/>
        <v>#N/A</v>
      </c>
      <c r="AG99" s="141" t="e">
        <f t="shared" si="28"/>
        <v>#N/A</v>
      </c>
      <c r="AH99" s="141" t="e">
        <f t="shared" si="28"/>
        <v>#N/A</v>
      </c>
      <c r="AI99" s="141" t="e">
        <f t="shared" si="28"/>
        <v>#N/A</v>
      </c>
      <c r="AJ99" s="141" t="e">
        <f t="shared" si="28"/>
        <v>#N/A</v>
      </c>
      <c r="AK99" s="141" t="e">
        <f t="shared" si="28"/>
        <v>#N/A</v>
      </c>
      <c r="AL99" s="141" t="e">
        <f t="shared" si="28"/>
        <v>#N/A</v>
      </c>
      <c r="AM99" s="141" t="e">
        <f t="shared" si="28"/>
        <v>#N/A</v>
      </c>
    </row>
    <row r="100" spans="3:40" x14ac:dyDescent="0.25">
      <c r="C100" s="56" t="s">
        <v>33</v>
      </c>
      <c r="D100" s="78" t="s">
        <v>191</v>
      </c>
      <c r="E100" s="136" t="e">
        <f t="shared" si="28"/>
        <v>#N/A</v>
      </c>
      <c r="F100" s="136" t="e">
        <f t="shared" si="28"/>
        <v>#N/A</v>
      </c>
      <c r="G100" s="136" t="e">
        <f t="shared" si="28"/>
        <v>#N/A</v>
      </c>
      <c r="H100" s="136" t="e">
        <f t="shared" si="28"/>
        <v>#N/A</v>
      </c>
      <c r="I100" s="136" t="e">
        <f t="shared" si="28"/>
        <v>#N/A</v>
      </c>
      <c r="J100" s="135" t="e">
        <f t="shared" si="28"/>
        <v>#N/A</v>
      </c>
      <c r="K100" s="92" t="e">
        <f t="shared" si="28"/>
        <v>#N/A</v>
      </c>
      <c r="L100" s="92" t="e">
        <f t="shared" si="28"/>
        <v>#N/A</v>
      </c>
      <c r="M100" s="92" t="e">
        <f t="shared" si="28"/>
        <v>#N/A</v>
      </c>
      <c r="N100" s="136" t="e">
        <f t="shared" si="28"/>
        <v>#N/A</v>
      </c>
      <c r="O100" s="135" t="e">
        <f t="shared" ref="O100:AM108" si="29">O57/O$49</f>
        <v>#N/A</v>
      </c>
      <c r="P100" s="92" t="e">
        <f t="shared" si="29"/>
        <v>#N/A</v>
      </c>
      <c r="Q100" s="92" t="e">
        <f t="shared" si="29"/>
        <v>#N/A</v>
      </c>
      <c r="R100" s="92" t="e">
        <f t="shared" si="29"/>
        <v>#N/A</v>
      </c>
      <c r="S100" s="136" t="e">
        <f t="shared" si="29"/>
        <v>#N/A</v>
      </c>
      <c r="T100" s="136" t="e">
        <f t="shared" si="29"/>
        <v>#N/A</v>
      </c>
      <c r="U100" s="136" t="e">
        <f t="shared" si="29"/>
        <v>#N/A</v>
      </c>
      <c r="V100" s="136" t="e">
        <f t="shared" si="29"/>
        <v>#N/A</v>
      </c>
      <c r="W100" s="136" t="e">
        <f t="shared" si="29"/>
        <v>#N/A</v>
      </c>
      <c r="X100" s="141" t="e">
        <f t="shared" si="29"/>
        <v>#N/A</v>
      </c>
      <c r="Y100" s="141" t="e">
        <f t="shared" si="29"/>
        <v>#N/A</v>
      </c>
      <c r="Z100" s="141" t="e">
        <f t="shared" si="29"/>
        <v>#N/A</v>
      </c>
      <c r="AA100" s="141" t="e">
        <f t="shared" si="29"/>
        <v>#N/A</v>
      </c>
      <c r="AB100" s="141" t="e">
        <f t="shared" si="29"/>
        <v>#N/A</v>
      </c>
      <c r="AC100" s="141" t="e">
        <f t="shared" si="29"/>
        <v>#N/A</v>
      </c>
      <c r="AD100" s="141" t="e">
        <f t="shared" si="29"/>
        <v>#N/A</v>
      </c>
      <c r="AE100" s="141" t="e">
        <f t="shared" si="29"/>
        <v>#N/A</v>
      </c>
      <c r="AF100" s="141" t="e">
        <f t="shared" si="29"/>
        <v>#N/A</v>
      </c>
      <c r="AG100" s="141" t="e">
        <f t="shared" si="29"/>
        <v>#N/A</v>
      </c>
      <c r="AH100" s="141" t="e">
        <f t="shared" si="29"/>
        <v>#N/A</v>
      </c>
      <c r="AI100" s="141" t="e">
        <f t="shared" si="29"/>
        <v>#N/A</v>
      </c>
      <c r="AJ100" s="141" t="e">
        <f t="shared" si="29"/>
        <v>#N/A</v>
      </c>
      <c r="AK100" s="141" t="e">
        <f t="shared" si="29"/>
        <v>#N/A</v>
      </c>
      <c r="AL100" s="141" t="e">
        <f t="shared" si="29"/>
        <v>#N/A</v>
      </c>
      <c r="AM100" s="141" t="e">
        <f t="shared" si="29"/>
        <v>#N/A</v>
      </c>
    </row>
    <row r="101" spans="3:40" x14ac:dyDescent="0.25">
      <c r="C101" s="88" t="s">
        <v>95</v>
      </c>
      <c r="D101" s="76" t="s">
        <v>183</v>
      </c>
      <c r="E101" s="153" t="e">
        <f t="shared" ref="E101:AM108" si="30">E58/E$49</f>
        <v>#N/A</v>
      </c>
      <c r="F101" s="153" t="e">
        <f t="shared" si="30"/>
        <v>#N/A</v>
      </c>
      <c r="G101" s="153" t="e">
        <f t="shared" si="30"/>
        <v>#N/A</v>
      </c>
      <c r="H101" s="153" t="e">
        <f t="shared" si="30"/>
        <v>#N/A</v>
      </c>
      <c r="I101" s="153" t="e">
        <f t="shared" si="30"/>
        <v>#N/A</v>
      </c>
      <c r="J101" s="152" t="e">
        <f t="shared" si="30"/>
        <v>#N/A</v>
      </c>
      <c r="K101" s="95" t="e">
        <f t="shared" si="30"/>
        <v>#N/A</v>
      </c>
      <c r="L101" s="95" t="e">
        <f t="shared" si="30"/>
        <v>#N/A</v>
      </c>
      <c r="M101" s="95" t="e">
        <f t="shared" si="30"/>
        <v>#N/A</v>
      </c>
      <c r="N101" s="153" t="e">
        <f t="shared" si="30"/>
        <v>#N/A</v>
      </c>
      <c r="O101" s="152" t="e">
        <f t="shared" si="30"/>
        <v>#N/A</v>
      </c>
      <c r="P101" s="95" t="e">
        <f t="shared" si="30"/>
        <v>#N/A</v>
      </c>
      <c r="Q101" s="95" t="e">
        <f t="shared" si="30"/>
        <v>#N/A</v>
      </c>
      <c r="R101" s="95" t="e">
        <f t="shared" si="30"/>
        <v>#N/A</v>
      </c>
      <c r="S101" s="153" t="e">
        <f t="shared" si="30"/>
        <v>#N/A</v>
      </c>
      <c r="T101" s="153" t="e">
        <f t="shared" si="29"/>
        <v>#N/A</v>
      </c>
      <c r="U101" s="153" t="e">
        <f t="shared" si="29"/>
        <v>#N/A</v>
      </c>
      <c r="V101" s="153" t="e">
        <f t="shared" si="29"/>
        <v>#N/A</v>
      </c>
      <c r="W101" s="153" t="e">
        <f t="shared" si="29"/>
        <v>#N/A</v>
      </c>
      <c r="X101" s="145" t="e">
        <f t="shared" si="30"/>
        <v>#N/A</v>
      </c>
      <c r="Y101" s="145" t="e">
        <f t="shared" si="29"/>
        <v>#N/A</v>
      </c>
      <c r="Z101" s="145" t="e">
        <f t="shared" si="29"/>
        <v>#N/A</v>
      </c>
      <c r="AA101" s="145" t="e">
        <f t="shared" si="29"/>
        <v>#N/A</v>
      </c>
      <c r="AB101" s="145" t="e">
        <f t="shared" si="29"/>
        <v>#N/A</v>
      </c>
      <c r="AC101" s="145" t="e">
        <f t="shared" si="30"/>
        <v>#N/A</v>
      </c>
      <c r="AD101" s="145" t="e">
        <f t="shared" si="29"/>
        <v>#N/A</v>
      </c>
      <c r="AE101" s="145" t="e">
        <f t="shared" si="29"/>
        <v>#N/A</v>
      </c>
      <c r="AF101" s="145" t="e">
        <f t="shared" si="29"/>
        <v>#N/A</v>
      </c>
      <c r="AG101" s="145" t="e">
        <f t="shared" si="29"/>
        <v>#N/A</v>
      </c>
      <c r="AH101" s="145" t="e">
        <f t="shared" si="30"/>
        <v>#N/A</v>
      </c>
      <c r="AI101" s="145" t="e">
        <f t="shared" si="29"/>
        <v>#N/A</v>
      </c>
      <c r="AJ101" s="145" t="e">
        <f t="shared" si="29"/>
        <v>#N/A</v>
      </c>
      <c r="AK101" s="145" t="e">
        <f t="shared" si="29"/>
        <v>#N/A</v>
      </c>
      <c r="AL101" s="145" t="e">
        <f t="shared" si="29"/>
        <v>#N/A</v>
      </c>
      <c r="AM101" s="145" t="e">
        <f t="shared" si="30"/>
        <v>#N/A</v>
      </c>
      <c r="AN101" s="162"/>
    </row>
    <row r="102" spans="3:40" x14ac:dyDescent="0.25">
      <c r="C102" s="56" t="s">
        <v>27</v>
      </c>
      <c r="D102" s="78" t="s">
        <v>192</v>
      </c>
      <c r="E102" s="155" t="e">
        <f t="shared" si="30"/>
        <v>#N/A</v>
      </c>
      <c r="F102" s="155" t="e">
        <f t="shared" si="30"/>
        <v>#N/A</v>
      </c>
      <c r="G102" s="155" t="e">
        <f t="shared" si="30"/>
        <v>#N/A</v>
      </c>
      <c r="H102" s="155" t="e">
        <f t="shared" si="30"/>
        <v>#N/A</v>
      </c>
      <c r="I102" s="155" t="e">
        <f t="shared" si="30"/>
        <v>#N/A</v>
      </c>
      <c r="J102" s="154" t="e">
        <f t="shared" si="30"/>
        <v>#N/A</v>
      </c>
      <c r="K102" s="96" t="e">
        <f t="shared" si="30"/>
        <v>#N/A</v>
      </c>
      <c r="L102" s="96" t="e">
        <f t="shared" si="30"/>
        <v>#N/A</v>
      </c>
      <c r="M102" s="96" t="e">
        <f t="shared" si="30"/>
        <v>#N/A</v>
      </c>
      <c r="N102" s="155" t="e">
        <f t="shared" si="30"/>
        <v>#N/A</v>
      </c>
      <c r="O102" s="154" t="e">
        <f t="shared" si="30"/>
        <v>#N/A</v>
      </c>
      <c r="P102" s="96" t="e">
        <f t="shared" si="30"/>
        <v>#N/A</v>
      </c>
      <c r="Q102" s="96" t="e">
        <f t="shared" si="30"/>
        <v>#N/A</v>
      </c>
      <c r="R102" s="96" t="e">
        <f t="shared" si="30"/>
        <v>#N/A</v>
      </c>
      <c r="S102" s="155" t="e">
        <f t="shared" si="30"/>
        <v>#N/A</v>
      </c>
      <c r="T102" s="155" t="e">
        <f t="shared" si="29"/>
        <v>#N/A</v>
      </c>
      <c r="U102" s="155" t="e">
        <f t="shared" si="29"/>
        <v>#N/A</v>
      </c>
      <c r="V102" s="155" t="e">
        <f t="shared" si="29"/>
        <v>#N/A</v>
      </c>
      <c r="W102" s="155" t="e">
        <f t="shared" si="29"/>
        <v>#N/A</v>
      </c>
      <c r="X102" s="146" t="e">
        <f t="shared" si="30"/>
        <v>#N/A</v>
      </c>
      <c r="Y102" s="146" t="e">
        <f t="shared" si="29"/>
        <v>#N/A</v>
      </c>
      <c r="Z102" s="146" t="e">
        <f t="shared" si="29"/>
        <v>#N/A</v>
      </c>
      <c r="AA102" s="146" t="e">
        <f t="shared" si="29"/>
        <v>#N/A</v>
      </c>
      <c r="AB102" s="146" t="e">
        <f t="shared" si="29"/>
        <v>#N/A</v>
      </c>
      <c r="AC102" s="146" t="e">
        <f t="shared" si="30"/>
        <v>#N/A</v>
      </c>
      <c r="AD102" s="146" t="e">
        <f t="shared" si="29"/>
        <v>#N/A</v>
      </c>
      <c r="AE102" s="146" t="e">
        <f t="shared" si="29"/>
        <v>#N/A</v>
      </c>
      <c r="AF102" s="146" t="e">
        <f t="shared" si="29"/>
        <v>#N/A</v>
      </c>
      <c r="AG102" s="146" t="e">
        <f t="shared" si="29"/>
        <v>#N/A</v>
      </c>
      <c r="AH102" s="146" t="e">
        <f t="shared" si="30"/>
        <v>#N/A</v>
      </c>
      <c r="AI102" s="146" t="e">
        <f t="shared" si="29"/>
        <v>#N/A</v>
      </c>
      <c r="AJ102" s="146" t="e">
        <f t="shared" si="29"/>
        <v>#N/A</v>
      </c>
      <c r="AK102" s="146" t="e">
        <f t="shared" si="29"/>
        <v>#N/A</v>
      </c>
      <c r="AL102" s="146" t="e">
        <f t="shared" si="29"/>
        <v>#N/A</v>
      </c>
      <c r="AM102" s="146" t="e">
        <f t="shared" si="30"/>
        <v>#N/A</v>
      </c>
    </row>
    <row r="103" spans="3:40" x14ac:dyDescent="0.25">
      <c r="C103" s="56" t="s">
        <v>28</v>
      </c>
      <c r="D103" s="78" t="s">
        <v>193</v>
      </c>
      <c r="E103" s="155" t="e">
        <f t="shared" si="30"/>
        <v>#N/A</v>
      </c>
      <c r="F103" s="155" t="e">
        <f t="shared" si="30"/>
        <v>#N/A</v>
      </c>
      <c r="G103" s="155" t="e">
        <f t="shared" si="30"/>
        <v>#N/A</v>
      </c>
      <c r="H103" s="155" t="e">
        <f t="shared" si="30"/>
        <v>#N/A</v>
      </c>
      <c r="I103" s="155" t="e">
        <f t="shared" si="30"/>
        <v>#N/A</v>
      </c>
      <c r="J103" s="154" t="e">
        <f t="shared" si="30"/>
        <v>#N/A</v>
      </c>
      <c r="K103" s="96" t="e">
        <f t="shared" si="30"/>
        <v>#N/A</v>
      </c>
      <c r="L103" s="96" t="e">
        <f t="shared" si="30"/>
        <v>#N/A</v>
      </c>
      <c r="M103" s="96" t="e">
        <f t="shared" si="30"/>
        <v>#N/A</v>
      </c>
      <c r="N103" s="155" t="e">
        <f t="shared" si="30"/>
        <v>#N/A</v>
      </c>
      <c r="O103" s="154" t="e">
        <f t="shared" si="30"/>
        <v>#N/A</v>
      </c>
      <c r="P103" s="96" t="e">
        <f t="shared" si="30"/>
        <v>#N/A</v>
      </c>
      <c r="Q103" s="96" t="e">
        <f t="shared" si="30"/>
        <v>#N/A</v>
      </c>
      <c r="R103" s="96" t="e">
        <f t="shared" si="30"/>
        <v>#N/A</v>
      </c>
      <c r="S103" s="155" t="e">
        <f t="shared" si="30"/>
        <v>#N/A</v>
      </c>
      <c r="T103" s="155" t="e">
        <f t="shared" si="29"/>
        <v>#N/A</v>
      </c>
      <c r="U103" s="155" t="e">
        <f t="shared" si="29"/>
        <v>#N/A</v>
      </c>
      <c r="V103" s="155" t="e">
        <f t="shared" si="29"/>
        <v>#N/A</v>
      </c>
      <c r="W103" s="155" t="e">
        <f t="shared" si="29"/>
        <v>#N/A</v>
      </c>
      <c r="X103" s="146" t="e">
        <f t="shared" si="30"/>
        <v>#N/A</v>
      </c>
      <c r="Y103" s="146" t="e">
        <f t="shared" si="29"/>
        <v>#N/A</v>
      </c>
      <c r="Z103" s="146" t="e">
        <f t="shared" si="29"/>
        <v>#N/A</v>
      </c>
      <c r="AA103" s="146" t="e">
        <f t="shared" si="29"/>
        <v>#N/A</v>
      </c>
      <c r="AB103" s="146" t="e">
        <f t="shared" si="29"/>
        <v>#N/A</v>
      </c>
      <c r="AC103" s="146" t="e">
        <f t="shared" si="30"/>
        <v>#N/A</v>
      </c>
      <c r="AD103" s="146" t="e">
        <f t="shared" si="29"/>
        <v>#N/A</v>
      </c>
      <c r="AE103" s="146" t="e">
        <f t="shared" si="29"/>
        <v>#N/A</v>
      </c>
      <c r="AF103" s="146" t="e">
        <f t="shared" si="29"/>
        <v>#N/A</v>
      </c>
      <c r="AG103" s="146" t="e">
        <f t="shared" si="29"/>
        <v>#N/A</v>
      </c>
      <c r="AH103" s="146" t="e">
        <f t="shared" si="30"/>
        <v>#N/A</v>
      </c>
      <c r="AI103" s="146" t="e">
        <f t="shared" si="29"/>
        <v>#N/A</v>
      </c>
      <c r="AJ103" s="146" t="e">
        <f t="shared" si="29"/>
        <v>#N/A</v>
      </c>
      <c r="AK103" s="146" t="e">
        <f t="shared" si="29"/>
        <v>#N/A</v>
      </c>
      <c r="AL103" s="146" t="e">
        <f t="shared" si="29"/>
        <v>#N/A</v>
      </c>
      <c r="AM103" s="146" t="e">
        <f t="shared" si="30"/>
        <v>#N/A</v>
      </c>
    </row>
    <row r="104" spans="3:40" x14ac:dyDescent="0.25">
      <c r="C104" s="56" t="s">
        <v>29</v>
      </c>
      <c r="D104" s="78" t="s">
        <v>194</v>
      </c>
      <c r="E104" s="155" t="e">
        <f t="shared" si="30"/>
        <v>#N/A</v>
      </c>
      <c r="F104" s="155" t="e">
        <f t="shared" si="30"/>
        <v>#N/A</v>
      </c>
      <c r="G104" s="155" t="e">
        <f t="shared" si="30"/>
        <v>#N/A</v>
      </c>
      <c r="H104" s="155" t="e">
        <f t="shared" si="30"/>
        <v>#N/A</v>
      </c>
      <c r="I104" s="155" t="e">
        <f t="shared" si="30"/>
        <v>#N/A</v>
      </c>
      <c r="J104" s="154" t="e">
        <f t="shared" si="30"/>
        <v>#N/A</v>
      </c>
      <c r="K104" s="96" t="e">
        <f t="shared" si="30"/>
        <v>#N/A</v>
      </c>
      <c r="L104" s="96" t="e">
        <f t="shared" si="30"/>
        <v>#N/A</v>
      </c>
      <c r="M104" s="96" t="e">
        <f t="shared" si="30"/>
        <v>#N/A</v>
      </c>
      <c r="N104" s="155" t="e">
        <f t="shared" si="30"/>
        <v>#N/A</v>
      </c>
      <c r="O104" s="154" t="e">
        <f t="shared" si="30"/>
        <v>#N/A</v>
      </c>
      <c r="P104" s="96" t="e">
        <f t="shared" si="30"/>
        <v>#N/A</v>
      </c>
      <c r="Q104" s="96" t="e">
        <f t="shared" si="30"/>
        <v>#N/A</v>
      </c>
      <c r="R104" s="96" t="e">
        <f t="shared" si="30"/>
        <v>#N/A</v>
      </c>
      <c r="S104" s="155" t="e">
        <f t="shared" si="30"/>
        <v>#N/A</v>
      </c>
      <c r="T104" s="155" t="e">
        <f t="shared" si="29"/>
        <v>#N/A</v>
      </c>
      <c r="U104" s="155" t="e">
        <f t="shared" si="29"/>
        <v>#N/A</v>
      </c>
      <c r="V104" s="155" t="e">
        <f t="shared" si="29"/>
        <v>#N/A</v>
      </c>
      <c r="W104" s="155" t="e">
        <f t="shared" si="29"/>
        <v>#N/A</v>
      </c>
      <c r="X104" s="146" t="e">
        <f t="shared" si="30"/>
        <v>#N/A</v>
      </c>
      <c r="Y104" s="146" t="e">
        <f t="shared" si="29"/>
        <v>#N/A</v>
      </c>
      <c r="Z104" s="146" t="e">
        <f t="shared" si="29"/>
        <v>#N/A</v>
      </c>
      <c r="AA104" s="146" t="e">
        <f t="shared" si="29"/>
        <v>#N/A</v>
      </c>
      <c r="AB104" s="146" t="e">
        <f t="shared" si="29"/>
        <v>#N/A</v>
      </c>
      <c r="AC104" s="146" t="e">
        <f t="shared" si="30"/>
        <v>#N/A</v>
      </c>
      <c r="AD104" s="146" t="e">
        <f t="shared" si="29"/>
        <v>#N/A</v>
      </c>
      <c r="AE104" s="146" t="e">
        <f t="shared" si="29"/>
        <v>#N/A</v>
      </c>
      <c r="AF104" s="146" t="e">
        <f t="shared" si="29"/>
        <v>#N/A</v>
      </c>
      <c r="AG104" s="146" t="e">
        <f t="shared" si="29"/>
        <v>#N/A</v>
      </c>
      <c r="AH104" s="146" t="e">
        <f t="shared" si="30"/>
        <v>#N/A</v>
      </c>
      <c r="AI104" s="146" t="e">
        <f t="shared" si="29"/>
        <v>#N/A</v>
      </c>
      <c r="AJ104" s="146" t="e">
        <f t="shared" si="29"/>
        <v>#N/A</v>
      </c>
      <c r="AK104" s="146" t="e">
        <f t="shared" si="29"/>
        <v>#N/A</v>
      </c>
      <c r="AL104" s="146" t="e">
        <f t="shared" si="29"/>
        <v>#N/A</v>
      </c>
      <c r="AM104" s="146" t="e">
        <f t="shared" si="30"/>
        <v>#N/A</v>
      </c>
    </row>
    <row r="105" spans="3:40" x14ac:dyDescent="0.25">
      <c r="C105" s="56" t="s">
        <v>30</v>
      </c>
      <c r="D105" s="78" t="s">
        <v>195</v>
      </c>
      <c r="E105" s="155" t="e">
        <f t="shared" si="30"/>
        <v>#N/A</v>
      </c>
      <c r="F105" s="155" t="e">
        <f t="shared" si="30"/>
        <v>#N/A</v>
      </c>
      <c r="G105" s="155" t="e">
        <f t="shared" si="30"/>
        <v>#N/A</v>
      </c>
      <c r="H105" s="155" t="e">
        <f t="shared" si="30"/>
        <v>#N/A</v>
      </c>
      <c r="I105" s="155" t="e">
        <f t="shared" si="30"/>
        <v>#N/A</v>
      </c>
      <c r="J105" s="154" t="e">
        <f t="shared" si="30"/>
        <v>#N/A</v>
      </c>
      <c r="K105" s="96" t="e">
        <f t="shared" si="30"/>
        <v>#N/A</v>
      </c>
      <c r="L105" s="96" t="e">
        <f t="shared" si="30"/>
        <v>#N/A</v>
      </c>
      <c r="M105" s="96" t="e">
        <f t="shared" si="30"/>
        <v>#N/A</v>
      </c>
      <c r="N105" s="155" t="e">
        <f t="shared" si="30"/>
        <v>#N/A</v>
      </c>
      <c r="O105" s="154" t="e">
        <f t="shared" si="30"/>
        <v>#N/A</v>
      </c>
      <c r="P105" s="96" t="e">
        <f t="shared" si="30"/>
        <v>#N/A</v>
      </c>
      <c r="Q105" s="96" t="e">
        <f t="shared" si="30"/>
        <v>#N/A</v>
      </c>
      <c r="R105" s="96" t="e">
        <f t="shared" si="30"/>
        <v>#N/A</v>
      </c>
      <c r="S105" s="155" t="e">
        <f t="shared" si="30"/>
        <v>#N/A</v>
      </c>
      <c r="T105" s="155" t="e">
        <f t="shared" si="29"/>
        <v>#N/A</v>
      </c>
      <c r="U105" s="155" t="e">
        <f t="shared" si="29"/>
        <v>#N/A</v>
      </c>
      <c r="V105" s="155" t="e">
        <f t="shared" si="29"/>
        <v>#N/A</v>
      </c>
      <c r="W105" s="155" t="e">
        <f t="shared" si="29"/>
        <v>#N/A</v>
      </c>
      <c r="X105" s="146" t="e">
        <f t="shared" si="30"/>
        <v>#N/A</v>
      </c>
      <c r="Y105" s="146" t="e">
        <f t="shared" si="29"/>
        <v>#N/A</v>
      </c>
      <c r="Z105" s="146" t="e">
        <f t="shared" si="29"/>
        <v>#N/A</v>
      </c>
      <c r="AA105" s="146" t="e">
        <f t="shared" si="29"/>
        <v>#N/A</v>
      </c>
      <c r="AB105" s="146" t="e">
        <f t="shared" si="29"/>
        <v>#N/A</v>
      </c>
      <c r="AC105" s="146" t="e">
        <f t="shared" si="30"/>
        <v>#N/A</v>
      </c>
      <c r="AD105" s="146" t="e">
        <f t="shared" si="29"/>
        <v>#N/A</v>
      </c>
      <c r="AE105" s="146" t="e">
        <f t="shared" si="29"/>
        <v>#N/A</v>
      </c>
      <c r="AF105" s="146" t="e">
        <f t="shared" si="29"/>
        <v>#N/A</v>
      </c>
      <c r="AG105" s="146" t="e">
        <f t="shared" si="29"/>
        <v>#N/A</v>
      </c>
      <c r="AH105" s="146" t="e">
        <f t="shared" si="30"/>
        <v>#N/A</v>
      </c>
      <c r="AI105" s="146" t="e">
        <f t="shared" si="29"/>
        <v>#N/A</v>
      </c>
      <c r="AJ105" s="146" t="e">
        <f t="shared" si="29"/>
        <v>#N/A</v>
      </c>
      <c r="AK105" s="146" t="e">
        <f t="shared" si="29"/>
        <v>#N/A</v>
      </c>
      <c r="AL105" s="146" t="e">
        <f t="shared" si="29"/>
        <v>#N/A</v>
      </c>
      <c r="AM105" s="146" t="e">
        <f t="shared" si="30"/>
        <v>#N/A</v>
      </c>
    </row>
    <row r="106" spans="3:40" x14ac:dyDescent="0.25">
      <c r="C106" s="56" t="s">
        <v>31</v>
      </c>
      <c r="D106" s="78" t="s">
        <v>196</v>
      </c>
      <c r="E106" s="155" t="e">
        <f t="shared" si="30"/>
        <v>#N/A</v>
      </c>
      <c r="F106" s="155" t="e">
        <f t="shared" si="30"/>
        <v>#N/A</v>
      </c>
      <c r="G106" s="155" t="e">
        <f t="shared" si="30"/>
        <v>#N/A</v>
      </c>
      <c r="H106" s="155" t="e">
        <f t="shared" si="30"/>
        <v>#N/A</v>
      </c>
      <c r="I106" s="155" t="e">
        <f t="shared" si="30"/>
        <v>#N/A</v>
      </c>
      <c r="J106" s="154" t="e">
        <f t="shared" si="30"/>
        <v>#N/A</v>
      </c>
      <c r="K106" s="96" t="e">
        <f t="shared" si="30"/>
        <v>#N/A</v>
      </c>
      <c r="L106" s="96" t="e">
        <f t="shared" si="30"/>
        <v>#N/A</v>
      </c>
      <c r="M106" s="96" t="e">
        <f t="shared" si="30"/>
        <v>#N/A</v>
      </c>
      <c r="N106" s="155" t="e">
        <f t="shared" si="30"/>
        <v>#N/A</v>
      </c>
      <c r="O106" s="154" t="e">
        <f t="shared" si="30"/>
        <v>#N/A</v>
      </c>
      <c r="P106" s="96" t="e">
        <f t="shared" si="30"/>
        <v>#N/A</v>
      </c>
      <c r="Q106" s="96" t="e">
        <f t="shared" si="30"/>
        <v>#N/A</v>
      </c>
      <c r="R106" s="96" t="e">
        <f t="shared" si="30"/>
        <v>#N/A</v>
      </c>
      <c r="S106" s="155" t="e">
        <f t="shared" si="30"/>
        <v>#N/A</v>
      </c>
      <c r="T106" s="155" t="e">
        <f t="shared" si="29"/>
        <v>#N/A</v>
      </c>
      <c r="U106" s="155" t="e">
        <f t="shared" si="29"/>
        <v>#N/A</v>
      </c>
      <c r="V106" s="155" t="e">
        <f t="shared" si="29"/>
        <v>#N/A</v>
      </c>
      <c r="W106" s="155" t="e">
        <f t="shared" si="29"/>
        <v>#N/A</v>
      </c>
      <c r="X106" s="146" t="e">
        <f t="shared" si="30"/>
        <v>#N/A</v>
      </c>
      <c r="Y106" s="146" t="e">
        <f t="shared" si="29"/>
        <v>#N/A</v>
      </c>
      <c r="Z106" s="146" t="e">
        <f t="shared" si="29"/>
        <v>#N/A</v>
      </c>
      <c r="AA106" s="146" t="e">
        <f t="shared" si="29"/>
        <v>#N/A</v>
      </c>
      <c r="AB106" s="146" t="e">
        <f t="shared" si="29"/>
        <v>#N/A</v>
      </c>
      <c r="AC106" s="146" t="e">
        <f t="shared" si="30"/>
        <v>#N/A</v>
      </c>
      <c r="AD106" s="146" t="e">
        <f t="shared" si="29"/>
        <v>#N/A</v>
      </c>
      <c r="AE106" s="146" t="e">
        <f t="shared" si="29"/>
        <v>#N/A</v>
      </c>
      <c r="AF106" s="146" t="e">
        <f t="shared" si="29"/>
        <v>#N/A</v>
      </c>
      <c r="AG106" s="146" t="e">
        <f t="shared" si="29"/>
        <v>#N/A</v>
      </c>
      <c r="AH106" s="146" t="e">
        <f t="shared" si="30"/>
        <v>#N/A</v>
      </c>
      <c r="AI106" s="146" t="e">
        <f t="shared" si="29"/>
        <v>#N/A</v>
      </c>
      <c r="AJ106" s="146" t="e">
        <f t="shared" si="29"/>
        <v>#N/A</v>
      </c>
      <c r="AK106" s="146" t="e">
        <f t="shared" si="29"/>
        <v>#N/A</v>
      </c>
      <c r="AL106" s="146" t="e">
        <f t="shared" si="29"/>
        <v>#N/A</v>
      </c>
      <c r="AM106" s="146" t="e">
        <f t="shared" si="30"/>
        <v>#N/A</v>
      </c>
    </row>
    <row r="107" spans="3:40" x14ac:dyDescent="0.25">
      <c r="C107" s="56" t="s">
        <v>32</v>
      </c>
      <c r="D107" s="78" t="s">
        <v>197</v>
      </c>
      <c r="E107" s="155" t="e">
        <f t="shared" si="30"/>
        <v>#N/A</v>
      </c>
      <c r="F107" s="155" t="e">
        <f t="shared" si="30"/>
        <v>#N/A</v>
      </c>
      <c r="G107" s="155" t="e">
        <f t="shared" si="30"/>
        <v>#N/A</v>
      </c>
      <c r="H107" s="155" t="e">
        <f t="shared" si="30"/>
        <v>#N/A</v>
      </c>
      <c r="I107" s="155" t="e">
        <f t="shared" si="30"/>
        <v>#N/A</v>
      </c>
      <c r="J107" s="154" t="e">
        <f t="shared" si="30"/>
        <v>#N/A</v>
      </c>
      <c r="K107" s="96" t="e">
        <f t="shared" si="30"/>
        <v>#N/A</v>
      </c>
      <c r="L107" s="96" t="e">
        <f t="shared" si="30"/>
        <v>#N/A</v>
      </c>
      <c r="M107" s="96" t="e">
        <f t="shared" si="30"/>
        <v>#N/A</v>
      </c>
      <c r="N107" s="155" t="e">
        <f t="shared" si="30"/>
        <v>#N/A</v>
      </c>
      <c r="O107" s="154" t="e">
        <f t="shared" si="30"/>
        <v>#N/A</v>
      </c>
      <c r="P107" s="96" t="e">
        <f t="shared" si="30"/>
        <v>#N/A</v>
      </c>
      <c r="Q107" s="96" t="e">
        <f t="shared" si="30"/>
        <v>#N/A</v>
      </c>
      <c r="R107" s="96" t="e">
        <f t="shared" si="30"/>
        <v>#N/A</v>
      </c>
      <c r="S107" s="155" t="e">
        <f t="shared" si="30"/>
        <v>#N/A</v>
      </c>
      <c r="T107" s="155" t="e">
        <f t="shared" si="29"/>
        <v>#N/A</v>
      </c>
      <c r="U107" s="155" t="e">
        <f t="shared" si="29"/>
        <v>#N/A</v>
      </c>
      <c r="V107" s="155" t="e">
        <f t="shared" si="29"/>
        <v>#N/A</v>
      </c>
      <c r="W107" s="155" t="e">
        <f t="shared" si="29"/>
        <v>#N/A</v>
      </c>
      <c r="X107" s="146" t="e">
        <f t="shared" si="30"/>
        <v>#N/A</v>
      </c>
      <c r="Y107" s="146" t="e">
        <f t="shared" si="29"/>
        <v>#N/A</v>
      </c>
      <c r="Z107" s="146" t="e">
        <f t="shared" si="29"/>
        <v>#N/A</v>
      </c>
      <c r="AA107" s="146" t="e">
        <f t="shared" si="29"/>
        <v>#N/A</v>
      </c>
      <c r="AB107" s="146" t="e">
        <f t="shared" si="29"/>
        <v>#N/A</v>
      </c>
      <c r="AC107" s="146" t="e">
        <f t="shared" si="30"/>
        <v>#N/A</v>
      </c>
      <c r="AD107" s="146" t="e">
        <f t="shared" si="29"/>
        <v>#N/A</v>
      </c>
      <c r="AE107" s="146" t="e">
        <f t="shared" si="29"/>
        <v>#N/A</v>
      </c>
      <c r="AF107" s="146" t="e">
        <f t="shared" si="29"/>
        <v>#N/A</v>
      </c>
      <c r="AG107" s="146" t="e">
        <f t="shared" si="29"/>
        <v>#N/A</v>
      </c>
      <c r="AH107" s="146" t="e">
        <f t="shared" si="30"/>
        <v>#N/A</v>
      </c>
      <c r="AI107" s="146" t="e">
        <f t="shared" si="29"/>
        <v>#N/A</v>
      </c>
      <c r="AJ107" s="146" t="e">
        <f t="shared" si="29"/>
        <v>#N/A</v>
      </c>
      <c r="AK107" s="146" t="e">
        <f t="shared" si="29"/>
        <v>#N/A</v>
      </c>
      <c r="AL107" s="146" t="e">
        <f t="shared" si="29"/>
        <v>#N/A</v>
      </c>
      <c r="AM107" s="146" t="e">
        <f t="shared" si="30"/>
        <v>#N/A</v>
      </c>
    </row>
    <row r="108" spans="3:40" x14ac:dyDescent="0.25">
      <c r="C108" s="80" t="s">
        <v>33</v>
      </c>
      <c r="D108" s="90" t="s">
        <v>198</v>
      </c>
      <c r="E108" s="157" t="e">
        <f t="shared" si="30"/>
        <v>#N/A</v>
      </c>
      <c r="F108" s="157" t="e">
        <f t="shared" si="30"/>
        <v>#N/A</v>
      </c>
      <c r="G108" s="157" t="e">
        <f t="shared" si="30"/>
        <v>#N/A</v>
      </c>
      <c r="H108" s="157" t="e">
        <f t="shared" si="30"/>
        <v>#N/A</v>
      </c>
      <c r="I108" s="157" t="e">
        <f t="shared" si="30"/>
        <v>#N/A</v>
      </c>
      <c r="J108" s="156" t="e">
        <f t="shared" si="30"/>
        <v>#N/A</v>
      </c>
      <c r="K108" s="97" t="e">
        <f t="shared" si="30"/>
        <v>#N/A</v>
      </c>
      <c r="L108" s="97" t="e">
        <f t="shared" si="30"/>
        <v>#N/A</v>
      </c>
      <c r="M108" s="97" t="e">
        <f t="shared" si="30"/>
        <v>#N/A</v>
      </c>
      <c r="N108" s="157" t="e">
        <f t="shared" si="30"/>
        <v>#N/A</v>
      </c>
      <c r="O108" s="156" t="e">
        <f t="shared" si="30"/>
        <v>#N/A</v>
      </c>
      <c r="P108" s="97" t="e">
        <f t="shared" si="30"/>
        <v>#N/A</v>
      </c>
      <c r="Q108" s="97" t="e">
        <f t="shared" si="30"/>
        <v>#N/A</v>
      </c>
      <c r="R108" s="97" t="e">
        <f t="shared" si="30"/>
        <v>#N/A</v>
      </c>
      <c r="S108" s="157" t="e">
        <f t="shared" si="30"/>
        <v>#N/A</v>
      </c>
      <c r="T108" s="157" t="e">
        <f t="shared" si="29"/>
        <v>#N/A</v>
      </c>
      <c r="U108" s="157" t="e">
        <f t="shared" si="29"/>
        <v>#N/A</v>
      </c>
      <c r="V108" s="157" t="e">
        <f t="shared" si="29"/>
        <v>#N/A</v>
      </c>
      <c r="W108" s="157" t="e">
        <f t="shared" si="29"/>
        <v>#N/A</v>
      </c>
      <c r="X108" s="147" t="e">
        <f t="shared" si="30"/>
        <v>#N/A</v>
      </c>
      <c r="Y108" s="147" t="e">
        <f t="shared" si="29"/>
        <v>#N/A</v>
      </c>
      <c r="Z108" s="147" t="e">
        <f t="shared" si="29"/>
        <v>#N/A</v>
      </c>
      <c r="AA108" s="147" t="e">
        <f t="shared" si="29"/>
        <v>#N/A</v>
      </c>
      <c r="AB108" s="147" t="e">
        <f t="shared" si="29"/>
        <v>#N/A</v>
      </c>
      <c r="AC108" s="147" t="e">
        <f t="shared" si="30"/>
        <v>#N/A</v>
      </c>
      <c r="AD108" s="147" t="e">
        <f t="shared" si="29"/>
        <v>#N/A</v>
      </c>
      <c r="AE108" s="147" t="e">
        <f t="shared" si="29"/>
        <v>#N/A</v>
      </c>
      <c r="AF108" s="147" t="e">
        <f t="shared" si="29"/>
        <v>#N/A</v>
      </c>
      <c r="AG108" s="147" t="e">
        <f t="shared" si="29"/>
        <v>#N/A</v>
      </c>
      <c r="AH108" s="147" t="e">
        <f t="shared" si="30"/>
        <v>#N/A</v>
      </c>
      <c r="AI108" s="147" t="e">
        <f t="shared" si="29"/>
        <v>#N/A</v>
      </c>
      <c r="AJ108" s="147" t="e">
        <f t="shared" si="29"/>
        <v>#N/A</v>
      </c>
      <c r="AK108" s="147" t="e">
        <f t="shared" si="29"/>
        <v>#N/A</v>
      </c>
      <c r="AL108" s="147" t="e">
        <f t="shared" si="29"/>
        <v>#N/A</v>
      </c>
      <c r="AM108" s="147" t="e">
        <f t="shared" si="30"/>
        <v>#N/A</v>
      </c>
    </row>
  </sheetData>
  <pageMargins left="0.7" right="0.7" top="0.75" bottom="0.75" header="0.3" footer="0.3"/>
  <pageSetup paperSize="9" scale="65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070C0"/>
  </sheetPr>
  <dimension ref="A1:AL25"/>
  <sheetViews>
    <sheetView zoomScale="80" zoomScaleNormal="80" workbookViewId="0">
      <selection activeCell="W4" sqref="W4"/>
    </sheetView>
  </sheetViews>
  <sheetFormatPr baseColWidth="10" defaultRowHeight="15" x14ac:dyDescent="0.25"/>
  <cols>
    <col min="2" max="2" width="19.7109375" customWidth="1"/>
    <col min="3" max="3" width="26.140625" customWidth="1"/>
    <col min="4" max="4" width="23" customWidth="1"/>
    <col min="5" max="6" width="13.5703125" customWidth="1"/>
    <col min="7" max="22" width="7.140625" bestFit="1" customWidth="1"/>
    <col min="23" max="23" width="7.85546875" customWidth="1"/>
    <col min="29" max="29" width="11.42578125" customWidth="1"/>
    <col min="32" max="32" width="10.85546875" customWidth="1"/>
    <col min="33" max="33" width="16.28515625" customWidth="1"/>
    <col min="34" max="34" width="13.140625" customWidth="1"/>
    <col min="35" max="35" width="12.7109375" customWidth="1"/>
    <col min="36" max="36" width="14.85546875" customWidth="1"/>
    <col min="37" max="37" width="12.85546875" customWidth="1"/>
    <col min="38" max="38" width="13.5703125" customWidth="1"/>
  </cols>
  <sheetData>
    <row r="1" spans="1:38" ht="23.25" x14ac:dyDescent="0.35">
      <c r="A1" s="1" t="s">
        <v>217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</row>
    <row r="2" spans="1:38" s="3" customFormat="1" ht="23.25" x14ac:dyDescent="0.35">
      <c r="A2" s="70"/>
      <c r="D2" s="7"/>
      <c r="E2" s="237">
        <f>'T energie vecteurs'!E5</f>
        <v>4</v>
      </c>
      <c r="F2" s="237">
        <f>E2+9</f>
        <v>13</v>
      </c>
      <c r="G2" s="237">
        <f>F2+3</f>
        <v>16</v>
      </c>
      <c r="H2" s="237">
        <f t="shared" ref="H2:S2" si="0">G2+1</f>
        <v>17</v>
      </c>
      <c r="I2" s="237">
        <f t="shared" si="0"/>
        <v>18</v>
      </c>
      <c r="J2" s="237">
        <f t="shared" si="0"/>
        <v>19</v>
      </c>
      <c r="K2" s="237">
        <f t="shared" si="0"/>
        <v>20</v>
      </c>
      <c r="L2" s="237">
        <f t="shared" si="0"/>
        <v>21</v>
      </c>
      <c r="M2" s="237">
        <f t="shared" si="0"/>
        <v>22</v>
      </c>
      <c r="N2" s="237">
        <f t="shared" si="0"/>
        <v>23</v>
      </c>
      <c r="O2" s="237">
        <f t="shared" si="0"/>
        <v>24</v>
      </c>
      <c r="P2" s="237">
        <f t="shared" si="0"/>
        <v>25</v>
      </c>
      <c r="Q2" s="237">
        <f t="shared" si="0"/>
        <v>26</v>
      </c>
      <c r="R2" s="237">
        <f t="shared" si="0"/>
        <v>27</v>
      </c>
      <c r="S2" s="237">
        <f t="shared" si="0"/>
        <v>28</v>
      </c>
      <c r="T2" s="237">
        <f>S2+5</f>
        <v>33</v>
      </c>
      <c r="U2" s="237">
        <f>T2+5</f>
        <v>38</v>
      </c>
      <c r="V2" s="237">
        <f>U2+5</f>
        <v>43</v>
      </c>
      <c r="W2" s="237">
        <f>V2+5</f>
        <v>48</v>
      </c>
    </row>
    <row r="3" spans="1:38" ht="23.25" x14ac:dyDescent="0.35">
      <c r="A3" s="239"/>
      <c r="B3" s="3"/>
      <c r="C3" s="66"/>
      <c r="D3" s="12"/>
      <c r="E3" s="73">
        <v>2006</v>
      </c>
      <c r="F3" s="73">
        <v>2015</v>
      </c>
      <c r="G3" s="26">
        <v>2018</v>
      </c>
      <c r="H3" s="4">
        <v>2019</v>
      </c>
      <c r="I3" s="108">
        <v>2020</v>
      </c>
      <c r="J3" s="116">
        <v>2021</v>
      </c>
      <c r="K3" s="33">
        <v>2022</v>
      </c>
      <c r="L3" s="4">
        <v>2023</v>
      </c>
      <c r="M3" s="33">
        <v>2024</v>
      </c>
      <c r="N3" s="108">
        <v>2025</v>
      </c>
      <c r="O3" s="116">
        <v>2026</v>
      </c>
      <c r="P3" s="4">
        <v>2027</v>
      </c>
      <c r="Q3" s="33">
        <v>2028</v>
      </c>
      <c r="R3" s="33">
        <v>2029</v>
      </c>
      <c r="S3" s="108">
        <v>2030</v>
      </c>
      <c r="T3" s="118">
        <v>2035</v>
      </c>
      <c r="U3" s="118">
        <v>2040</v>
      </c>
      <c r="V3" s="4">
        <v>2045</v>
      </c>
      <c r="W3" s="118">
        <v>2050</v>
      </c>
      <c r="X3" s="3"/>
      <c r="AG3" s="14"/>
      <c r="AH3" s="102"/>
      <c r="AI3" s="102"/>
      <c r="AJ3" s="102"/>
      <c r="AK3" s="102"/>
      <c r="AL3" s="102"/>
    </row>
    <row r="4" spans="1:38" ht="23.25" x14ac:dyDescent="0.35">
      <c r="A4" s="193" t="str">
        <f>Résultats!B1</f>
        <v>TEND</v>
      </c>
      <c r="B4" s="238" t="s">
        <v>218</v>
      </c>
      <c r="C4" s="5" t="s">
        <v>210</v>
      </c>
      <c r="D4" s="13" t="s">
        <v>81</v>
      </c>
      <c r="E4" s="22" t="e">
        <f>VLOOKUP($D4,Résultats!$B$2:$AX$212,E$2,FALSE)</f>
        <v>#N/A</v>
      </c>
      <c r="F4" s="22" t="e">
        <f>VLOOKUP($D4,Résultats!$B$2:$AX$212,F$2,FALSE)</f>
        <v>#N/A</v>
      </c>
      <c r="G4" s="131" t="e">
        <f>VLOOKUP($D4,Résultats!$B$2:$AX$212,G$2,FALSE)/1000000</f>
        <v>#N/A</v>
      </c>
      <c r="H4" s="22" t="e">
        <f>VLOOKUP($D4,Résultats!$B$2:$AX$212,H$2,FALSE)/1000000</f>
        <v>#N/A</v>
      </c>
      <c r="I4" s="132" t="e">
        <f>VLOOKUP($D4,Résultats!$B$2:$AX$212,I$2,FALSE)/1000000</f>
        <v>#N/A</v>
      </c>
      <c r="J4" s="131" t="e">
        <f>VLOOKUP($D4,Résultats!$B$2:$AX$212,J$2,FALSE)/1000000</f>
        <v>#N/A</v>
      </c>
      <c r="K4" s="22" t="e">
        <f>VLOOKUP($D4,Résultats!$B$2:$AX$212,K$2,FALSE)/1000000</f>
        <v>#N/A</v>
      </c>
      <c r="L4" s="22" t="e">
        <f>VLOOKUP($D4,Résultats!$B$2:$AX$212,L$2,FALSE)/1000000</f>
        <v>#N/A</v>
      </c>
      <c r="M4" s="22" t="e">
        <f>VLOOKUP($D4,Résultats!$B$2:$AX$212,M$2,FALSE)/1000000</f>
        <v>#N/A</v>
      </c>
      <c r="N4" s="132" t="e">
        <f>VLOOKUP($D4,Résultats!$B$2:$AX$212,N$2,FALSE)/1000000</f>
        <v>#N/A</v>
      </c>
      <c r="O4" s="131" t="e">
        <f>VLOOKUP($D4,Résultats!$B$2:$AX$212,O$2,FALSE)/1000000</f>
        <v>#N/A</v>
      </c>
      <c r="P4" s="22" t="e">
        <f>VLOOKUP($D4,Résultats!$B$2:$AX$212,P$2,FALSE)/1000000</f>
        <v>#N/A</v>
      </c>
      <c r="Q4" s="22" t="e">
        <f>VLOOKUP($D4,Résultats!$B$2:$AX$212,Q$2,FALSE)/1000000</f>
        <v>#N/A</v>
      </c>
      <c r="R4" s="22" t="e">
        <f>VLOOKUP($D4,Résultats!$B$2:$AX$212,R$2,FALSE)/1000000</f>
        <v>#N/A</v>
      </c>
      <c r="S4" s="132" t="e">
        <f>VLOOKUP($D4,Résultats!$B$2:$AX$212,S$2,FALSE)/1000000</f>
        <v>#N/A</v>
      </c>
      <c r="T4" s="139" t="e">
        <f>VLOOKUP($D4,Résultats!$B$2:$AX$212,T$2,FALSE)/1000000</f>
        <v>#N/A</v>
      </c>
      <c r="U4" s="139" t="e">
        <f>VLOOKUP($D4,Résultats!$B$2:$AX$212,U$2,FALSE)/1000000</f>
        <v>#N/A</v>
      </c>
      <c r="V4" s="22" t="e">
        <f>VLOOKUP($D4,Résultats!$B$2:$AX$212,V$2,FALSE)/1000000</f>
        <v>#N/A</v>
      </c>
      <c r="W4" s="139" t="e">
        <f>VLOOKUP($D4,Résultats!$B$2:$AX$212,W$2,FALSE)/1000000</f>
        <v>#N/A</v>
      </c>
      <c r="X4" s="3"/>
      <c r="AG4" s="14"/>
      <c r="AH4" s="102"/>
      <c r="AI4" s="102"/>
      <c r="AJ4" s="102"/>
      <c r="AK4" s="102"/>
      <c r="AL4" s="102"/>
    </row>
    <row r="5" spans="1:38" x14ac:dyDescent="0.25">
      <c r="A5" s="3"/>
      <c r="B5" s="240"/>
      <c r="C5" s="56" t="s">
        <v>27</v>
      </c>
      <c r="D5" s="16" t="s">
        <v>82</v>
      </c>
      <c r="E5" s="31" t="e">
        <f>VLOOKUP($D5,Résultats!$B$2:$AX$212,E$2,FALSE)</f>
        <v>#N/A</v>
      </c>
      <c r="F5" s="31" t="e">
        <f>VLOOKUP($D5,Résultats!$B$2:$AX$212,F$2,FALSE)</f>
        <v>#N/A</v>
      </c>
      <c r="G5" s="126" t="e">
        <f>VLOOKUP($D5,Résultats!$B$2:$AX$212,G$2,FALSE)/1000000</f>
        <v>#N/A</v>
      </c>
      <c r="H5" s="31" t="e">
        <f>VLOOKUP($D5,Résultats!$B$2:$AX$212,H$2,FALSE)/1000000</f>
        <v>#N/A</v>
      </c>
      <c r="I5" s="127" t="e">
        <f>VLOOKUP($D5,Résultats!$B$2:$AX$212,I$2,FALSE)/1000000</f>
        <v>#N/A</v>
      </c>
      <c r="J5" s="126" t="e">
        <f>VLOOKUP($D5,Résultats!$B$2:$AX$212,J$2,FALSE)/1000000</f>
        <v>#N/A</v>
      </c>
      <c r="K5" s="31" t="e">
        <f>VLOOKUP($D5,Résultats!$B$2:$AX$212,K$2,FALSE)/1000000</f>
        <v>#N/A</v>
      </c>
      <c r="L5" s="31" t="e">
        <f>VLOOKUP($D5,Résultats!$B$2:$AX$212,L$2,FALSE)/1000000</f>
        <v>#N/A</v>
      </c>
      <c r="M5" s="31" t="e">
        <f>VLOOKUP($D5,Résultats!$B$2:$AX$212,M$2,FALSE)/1000000</f>
        <v>#N/A</v>
      </c>
      <c r="N5" s="127" t="e">
        <f>VLOOKUP($D5,Résultats!$B$2:$AX$212,N$2,FALSE)/1000000</f>
        <v>#N/A</v>
      </c>
      <c r="O5" s="126" t="e">
        <f>VLOOKUP($D5,Résultats!$B$2:$AX$212,O$2,FALSE)/1000000</f>
        <v>#N/A</v>
      </c>
      <c r="P5" s="31" t="e">
        <f>VLOOKUP($D5,Résultats!$B$2:$AX$212,P$2,FALSE)/1000000</f>
        <v>#N/A</v>
      </c>
      <c r="Q5" s="31" t="e">
        <f>VLOOKUP($D5,Résultats!$B$2:$AX$212,Q$2,FALSE)/1000000</f>
        <v>#N/A</v>
      </c>
      <c r="R5" s="31" t="e">
        <f>VLOOKUP($D5,Résultats!$B$2:$AX$212,R$2,FALSE)/1000000</f>
        <v>#N/A</v>
      </c>
      <c r="S5" s="127" t="e">
        <f>VLOOKUP($D5,Résultats!$B$2:$AX$212,S$2,FALSE)/1000000</f>
        <v>#N/A</v>
      </c>
      <c r="T5" s="130" t="e">
        <f>VLOOKUP($D5,Résultats!$B$2:$AX$212,T$2,FALSE)/1000000</f>
        <v>#N/A</v>
      </c>
      <c r="U5" s="130" t="e">
        <f>VLOOKUP($D5,Résultats!$B$2:$AX$212,U$2,FALSE)/1000000</f>
        <v>#N/A</v>
      </c>
      <c r="V5" s="31" t="e">
        <f>VLOOKUP($D5,Résultats!$B$2:$AX$212,V$2,FALSE)/1000000</f>
        <v>#N/A</v>
      </c>
      <c r="W5" s="130" t="e">
        <f>VLOOKUP($D5,Résultats!$B$2:$AX$212,W$2,FALSE)/1000000</f>
        <v>#N/A</v>
      </c>
      <c r="X5" s="3"/>
      <c r="AG5" s="14"/>
      <c r="AH5" s="42"/>
      <c r="AI5" s="42"/>
      <c r="AJ5" s="42"/>
      <c r="AK5" s="42"/>
      <c r="AL5" s="42"/>
    </row>
    <row r="6" spans="1:38" x14ac:dyDescent="0.25">
      <c r="A6" s="3"/>
      <c r="B6" s="240"/>
      <c r="C6" s="56" t="s">
        <v>28</v>
      </c>
      <c r="D6" s="16" t="s">
        <v>83</v>
      </c>
      <c r="E6" s="31" t="e">
        <f>VLOOKUP($D6,Résultats!$B$2:$AX$212,E$2,FALSE)</f>
        <v>#N/A</v>
      </c>
      <c r="F6" s="31" t="e">
        <f>VLOOKUP($D6,Résultats!$B$2:$AX$212,F$2,FALSE)</f>
        <v>#N/A</v>
      </c>
      <c r="G6" s="126" t="e">
        <f>VLOOKUP($D6,Résultats!$B$2:$AX$212,G$2,FALSE)/1000000</f>
        <v>#N/A</v>
      </c>
      <c r="H6" s="31" t="e">
        <f>VLOOKUP($D6,Résultats!$B$2:$AX$212,H$2,FALSE)/1000000</f>
        <v>#N/A</v>
      </c>
      <c r="I6" s="127" t="e">
        <f>VLOOKUP($D6,Résultats!$B$2:$AX$212,I$2,FALSE)/1000000</f>
        <v>#N/A</v>
      </c>
      <c r="J6" s="126" t="e">
        <f>VLOOKUP($D6,Résultats!$B$2:$AX$212,J$2,FALSE)/1000000</f>
        <v>#N/A</v>
      </c>
      <c r="K6" s="31" t="e">
        <f>VLOOKUP($D6,Résultats!$B$2:$AX$212,K$2,FALSE)/1000000</f>
        <v>#N/A</v>
      </c>
      <c r="L6" s="31" t="e">
        <f>VLOOKUP($D6,Résultats!$B$2:$AX$212,L$2,FALSE)/1000000</f>
        <v>#N/A</v>
      </c>
      <c r="M6" s="31" t="e">
        <f>VLOOKUP($D6,Résultats!$B$2:$AX$212,M$2,FALSE)/1000000</f>
        <v>#N/A</v>
      </c>
      <c r="N6" s="127" t="e">
        <f>VLOOKUP($D6,Résultats!$B$2:$AX$212,N$2,FALSE)/1000000</f>
        <v>#N/A</v>
      </c>
      <c r="O6" s="126" t="e">
        <f>VLOOKUP($D6,Résultats!$B$2:$AX$212,O$2,FALSE)/1000000</f>
        <v>#N/A</v>
      </c>
      <c r="P6" s="31" t="e">
        <f>VLOOKUP($D6,Résultats!$B$2:$AX$212,P$2,FALSE)/1000000</f>
        <v>#N/A</v>
      </c>
      <c r="Q6" s="31" t="e">
        <f>VLOOKUP($D6,Résultats!$B$2:$AX$212,Q$2,FALSE)/1000000</f>
        <v>#N/A</v>
      </c>
      <c r="R6" s="31" t="e">
        <f>VLOOKUP($D6,Résultats!$B$2:$AX$212,R$2,FALSE)/1000000</f>
        <v>#N/A</v>
      </c>
      <c r="S6" s="127" t="e">
        <f>VLOOKUP($D6,Résultats!$B$2:$AX$212,S$2,FALSE)/1000000</f>
        <v>#N/A</v>
      </c>
      <c r="T6" s="130" t="e">
        <f>VLOOKUP($D6,Résultats!$B$2:$AX$212,T$2,FALSE)/1000000</f>
        <v>#N/A</v>
      </c>
      <c r="U6" s="130" t="e">
        <f>VLOOKUP($D6,Résultats!$B$2:$AX$212,U$2,FALSE)/1000000</f>
        <v>#N/A</v>
      </c>
      <c r="V6" s="31" t="e">
        <f>VLOOKUP($D6,Résultats!$B$2:$AX$212,V$2,FALSE)/1000000</f>
        <v>#N/A</v>
      </c>
      <c r="W6" s="130" t="e">
        <f>VLOOKUP($D6,Résultats!$B$2:$AX$212,W$2,FALSE)/1000000</f>
        <v>#N/A</v>
      </c>
      <c r="X6" s="3"/>
    </row>
    <row r="7" spans="1:38" x14ac:dyDescent="0.25">
      <c r="A7" s="3"/>
      <c r="B7" s="240"/>
      <c r="C7" s="56" t="s">
        <v>29</v>
      </c>
      <c r="D7" s="16" t="s">
        <v>84</v>
      </c>
      <c r="E7" s="31" t="e">
        <f>VLOOKUP($D7,Résultats!$B$2:$AX$212,E$2,FALSE)</f>
        <v>#N/A</v>
      </c>
      <c r="F7" s="31" t="e">
        <f>VLOOKUP($D7,Résultats!$B$2:$AX$212,F$2,FALSE)</f>
        <v>#N/A</v>
      </c>
      <c r="G7" s="126" t="e">
        <f>VLOOKUP($D7,Résultats!$B$2:$AX$212,G$2,FALSE)/1000000</f>
        <v>#N/A</v>
      </c>
      <c r="H7" s="31" t="e">
        <f>VLOOKUP($D7,Résultats!$B$2:$AX$212,H$2,FALSE)/1000000</f>
        <v>#N/A</v>
      </c>
      <c r="I7" s="127" t="e">
        <f>VLOOKUP($D7,Résultats!$B$2:$AX$212,I$2,FALSE)/1000000</f>
        <v>#N/A</v>
      </c>
      <c r="J7" s="126" t="e">
        <f>VLOOKUP($D7,Résultats!$B$2:$AX$212,J$2,FALSE)/1000000</f>
        <v>#N/A</v>
      </c>
      <c r="K7" s="31" t="e">
        <f>VLOOKUP($D7,Résultats!$B$2:$AX$212,K$2,FALSE)/1000000</f>
        <v>#N/A</v>
      </c>
      <c r="L7" s="31" t="e">
        <f>VLOOKUP($D7,Résultats!$B$2:$AX$212,L$2,FALSE)/1000000</f>
        <v>#N/A</v>
      </c>
      <c r="M7" s="31" t="e">
        <f>VLOOKUP($D7,Résultats!$B$2:$AX$212,M$2,FALSE)/1000000</f>
        <v>#N/A</v>
      </c>
      <c r="N7" s="127" t="e">
        <f>VLOOKUP($D7,Résultats!$B$2:$AX$212,N$2,FALSE)/1000000</f>
        <v>#N/A</v>
      </c>
      <c r="O7" s="126" t="e">
        <f>VLOOKUP($D7,Résultats!$B$2:$AX$212,O$2,FALSE)/1000000</f>
        <v>#N/A</v>
      </c>
      <c r="P7" s="31" t="e">
        <f>VLOOKUP($D7,Résultats!$B$2:$AX$212,P$2,FALSE)/1000000</f>
        <v>#N/A</v>
      </c>
      <c r="Q7" s="31" t="e">
        <f>VLOOKUP($D7,Résultats!$B$2:$AX$212,Q$2,FALSE)/1000000</f>
        <v>#N/A</v>
      </c>
      <c r="R7" s="31" t="e">
        <f>VLOOKUP($D7,Résultats!$B$2:$AX$212,R$2,FALSE)/1000000</f>
        <v>#N/A</v>
      </c>
      <c r="S7" s="127" t="e">
        <f>VLOOKUP($D7,Résultats!$B$2:$AX$212,S$2,FALSE)/1000000</f>
        <v>#N/A</v>
      </c>
      <c r="T7" s="130" t="e">
        <f>VLOOKUP($D7,Résultats!$B$2:$AX$212,T$2,FALSE)/1000000</f>
        <v>#N/A</v>
      </c>
      <c r="U7" s="130" t="e">
        <f>VLOOKUP($D7,Résultats!$B$2:$AX$212,U$2,FALSE)/1000000</f>
        <v>#N/A</v>
      </c>
      <c r="V7" s="31" t="e">
        <f>VLOOKUP($D7,Résultats!$B$2:$AX$212,V$2,FALSE)/1000000</f>
        <v>#N/A</v>
      </c>
      <c r="W7" s="130" t="e">
        <f>VLOOKUP($D7,Résultats!$B$2:$AX$212,W$2,FALSE)/1000000</f>
        <v>#N/A</v>
      </c>
      <c r="X7" s="3"/>
    </row>
    <row r="8" spans="1:38" x14ac:dyDescent="0.25">
      <c r="A8" s="3"/>
      <c r="B8" s="240"/>
      <c r="C8" s="56" t="s">
        <v>30</v>
      </c>
      <c r="D8" s="16" t="s">
        <v>85</v>
      </c>
      <c r="E8" s="31" t="e">
        <f>VLOOKUP($D8,Résultats!$B$2:$AX$212,E$2,FALSE)</f>
        <v>#N/A</v>
      </c>
      <c r="F8" s="31" t="e">
        <f>VLOOKUP($D8,Résultats!$B$2:$AX$212,F$2,FALSE)</f>
        <v>#N/A</v>
      </c>
      <c r="G8" s="126" t="e">
        <f>VLOOKUP($D8,Résultats!$B$2:$AX$212,G$2,FALSE)/1000000</f>
        <v>#N/A</v>
      </c>
      <c r="H8" s="31" t="e">
        <f>VLOOKUP($D8,Résultats!$B$2:$AX$212,H$2,FALSE)/1000000</f>
        <v>#N/A</v>
      </c>
      <c r="I8" s="127" t="e">
        <f>VLOOKUP($D8,Résultats!$B$2:$AX$212,I$2,FALSE)/1000000</f>
        <v>#N/A</v>
      </c>
      <c r="J8" s="126" t="e">
        <f>VLOOKUP($D8,Résultats!$B$2:$AX$212,J$2,FALSE)/1000000</f>
        <v>#N/A</v>
      </c>
      <c r="K8" s="31" t="e">
        <f>VLOOKUP($D8,Résultats!$B$2:$AX$212,K$2,FALSE)/1000000</f>
        <v>#N/A</v>
      </c>
      <c r="L8" s="31" t="e">
        <f>VLOOKUP($D8,Résultats!$B$2:$AX$212,L$2,FALSE)/1000000</f>
        <v>#N/A</v>
      </c>
      <c r="M8" s="31" t="e">
        <f>VLOOKUP($D8,Résultats!$B$2:$AX$212,M$2,FALSE)/1000000</f>
        <v>#N/A</v>
      </c>
      <c r="N8" s="127" t="e">
        <f>VLOOKUP($D8,Résultats!$B$2:$AX$212,N$2,FALSE)/1000000</f>
        <v>#N/A</v>
      </c>
      <c r="O8" s="126" t="e">
        <f>VLOOKUP($D8,Résultats!$B$2:$AX$212,O$2,FALSE)/1000000</f>
        <v>#N/A</v>
      </c>
      <c r="P8" s="31" t="e">
        <f>VLOOKUP($D8,Résultats!$B$2:$AX$212,P$2,FALSE)/1000000</f>
        <v>#N/A</v>
      </c>
      <c r="Q8" s="31" t="e">
        <f>VLOOKUP($D8,Résultats!$B$2:$AX$212,Q$2,FALSE)/1000000</f>
        <v>#N/A</v>
      </c>
      <c r="R8" s="31" t="e">
        <f>VLOOKUP($D8,Résultats!$B$2:$AX$212,R$2,FALSE)/1000000</f>
        <v>#N/A</v>
      </c>
      <c r="S8" s="127" t="e">
        <f>VLOOKUP($D8,Résultats!$B$2:$AX$212,S$2,FALSE)/1000000</f>
        <v>#N/A</v>
      </c>
      <c r="T8" s="130" t="e">
        <f>VLOOKUP($D8,Résultats!$B$2:$AX$212,T$2,FALSE)/1000000</f>
        <v>#N/A</v>
      </c>
      <c r="U8" s="130" t="e">
        <f>VLOOKUP($D8,Résultats!$B$2:$AX$212,U$2,FALSE)/1000000</f>
        <v>#N/A</v>
      </c>
      <c r="V8" s="31" t="e">
        <f>VLOOKUP($D8,Résultats!$B$2:$AX$212,V$2,FALSE)/1000000</f>
        <v>#N/A</v>
      </c>
      <c r="W8" s="130" t="e">
        <f>VLOOKUP($D8,Résultats!$B$2:$AX$212,W$2,FALSE)/1000000</f>
        <v>#N/A</v>
      </c>
      <c r="X8" s="3"/>
    </row>
    <row r="9" spans="1:38" x14ac:dyDescent="0.25">
      <c r="A9" s="3"/>
      <c r="B9" s="240"/>
      <c r="C9" s="56" t="s">
        <v>31</v>
      </c>
      <c r="D9" s="16" t="s">
        <v>86</v>
      </c>
      <c r="E9" s="31" t="e">
        <f>VLOOKUP($D9,Résultats!$B$2:$AX$212,E$2,FALSE)</f>
        <v>#N/A</v>
      </c>
      <c r="F9" s="31" t="e">
        <f>VLOOKUP($D9,Résultats!$B$2:$AX$212,F$2,FALSE)</f>
        <v>#N/A</v>
      </c>
      <c r="G9" s="126" t="e">
        <f>VLOOKUP($D9,Résultats!$B$2:$AX$212,G$2,FALSE)/1000000</f>
        <v>#N/A</v>
      </c>
      <c r="H9" s="31" t="e">
        <f>VLOOKUP($D9,Résultats!$B$2:$AX$212,H$2,FALSE)/1000000</f>
        <v>#N/A</v>
      </c>
      <c r="I9" s="127" t="e">
        <f>VLOOKUP($D9,Résultats!$B$2:$AX$212,I$2,FALSE)/1000000</f>
        <v>#N/A</v>
      </c>
      <c r="J9" s="126" t="e">
        <f>VLOOKUP($D9,Résultats!$B$2:$AX$212,J$2,FALSE)/1000000</f>
        <v>#N/A</v>
      </c>
      <c r="K9" s="31" t="e">
        <f>VLOOKUP($D9,Résultats!$B$2:$AX$212,K$2,FALSE)/1000000</f>
        <v>#N/A</v>
      </c>
      <c r="L9" s="31" t="e">
        <f>VLOOKUP($D9,Résultats!$B$2:$AX$212,L$2,FALSE)/1000000</f>
        <v>#N/A</v>
      </c>
      <c r="M9" s="31" t="e">
        <f>VLOOKUP($D9,Résultats!$B$2:$AX$212,M$2,FALSE)/1000000</f>
        <v>#N/A</v>
      </c>
      <c r="N9" s="127" t="e">
        <f>VLOOKUP($D9,Résultats!$B$2:$AX$212,N$2,FALSE)/1000000</f>
        <v>#N/A</v>
      </c>
      <c r="O9" s="126" t="e">
        <f>VLOOKUP($D9,Résultats!$B$2:$AX$212,O$2,FALSE)/1000000</f>
        <v>#N/A</v>
      </c>
      <c r="P9" s="31" t="e">
        <f>VLOOKUP($D9,Résultats!$B$2:$AX$212,P$2,FALSE)/1000000</f>
        <v>#N/A</v>
      </c>
      <c r="Q9" s="31" t="e">
        <f>VLOOKUP($D9,Résultats!$B$2:$AX$212,Q$2,FALSE)/1000000</f>
        <v>#N/A</v>
      </c>
      <c r="R9" s="31" t="e">
        <f>VLOOKUP($D9,Résultats!$B$2:$AX$212,R$2,FALSE)/1000000</f>
        <v>#N/A</v>
      </c>
      <c r="S9" s="127" t="e">
        <f>VLOOKUP($D9,Résultats!$B$2:$AX$212,S$2,FALSE)/1000000</f>
        <v>#N/A</v>
      </c>
      <c r="T9" s="130" t="e">
        <f>VLOOKUP($D9,Résultats!$B$2:$AX$212,T$2,FALSE)/1000000</f>
        <v>#N/A</v>
      </c>
      <c r="U9" s="130" t="e">
        <f>VLOOKUP($D9,Résultats!$B$2:$AX$212,U$2,FALSE)/1000000</f>
        <v>#N/A</v>
      </c>
      <c r="V9" s="31" t="e">
        <f>VLOOKUP($D9,Résultats!$B$2:$AX$212,V$2,FALSE)/1000000</f>
        <v>#N/A</v>
      </c>
      <c r="W9" s="130" t="e">
        <f>VLOOKUP($D9,Résultats!$B$2:$AX$212,W$2,FALSE)/1000000</f>
        <v>#N/A</v>
      </c>
      <c r="X9" s="3"/>
    </row>
    <row r="10" spans="1:38" x14ac:dyDescent="0.25">
      <c r="A10" s="3"/>
      <c r="B10" s="240"/>
      <c r="C10" s="56" t="s">
        <v>32</v>
      </c>
      <c r="D10" s="16" t="s">
        <v>87</v>
      </c>
      <c r="E10" s="31" t="e">
        <f>VLOOKUP($D10,Résultats!$B$2:$AX$212,E$2,FALSE)</f>
        <v>#N/A</v>
      </c>
      <c r="F10" s="31" t="e">
        <f>VLOOKUP($D10,Résultats!$B$2:$AX$212,F$2,FALSE)</f>
        <v>#N/A</v>
      </c>
      <c r="G10" s="126" t="e">
        <f>VLOOKUP($D10,Résultats!$B$2:$AX$212,G$2,FALSE)/1000000</f>
        <v>#N/A</v>
      </c>
      <c r="H10" s="31" t="e">
        <f>VLOOKUP($D10,Résultats!$B$2:$AX$212,H$2,FALSE)/1000000</f>
        <v>#N/A</v>
      </c>
      <c r="I10" s="127" t="e">
        <f>VLOOKUP($D10,Résultats!$B$2:$AX$212,I$2,FALSE)/1000000</f>
        <v>#N/A</v>
      </c>
      <c r="J10" s="126" t="e">
        <f>VLOOKUP($D10,Résultats!$B$2:$AX$212,J$2,FALSE)/1000000</f>
        <v>#N/A</v>
      </c>
      <c r="K10" s="31" t="e">
        <f>VLOOKUP($D10,Résultats!$B$2:$AX$212,K$2,FALSE)/1000000</f>
        <v>#N/A</v>
      </c>
      <c r="L10" s="31" t="e">
        <f>VLOOKUP($D10,Résultats!$B$2:$AX$212,L$2,FALSE)/1000000</f>
        <v>#N/A</v>
      </c>
      <c r="M10" s="31" t="e">
        <f>VLOOKUP($D10,Résultats!$B$2:$AX$212,M$2,FALSE)/1000000</f>
        <v>#N/A</v>
      </c>
      <c r="N10" s="127" t="e">
        <f>VLOOKUP($D10,Résultats!$B$2:$AX$212,N$2,FALSE)/1000000</f>
        <v>#N/A</v>
      </c>
      <c r="O10" s="126" t="e">
        <f>VLOOKUP($D10,Résultats!$B$2:$AX$212,O$2,FALSE)/1000000</f>
        <v>#N/A</v>
      </c>
      <c r="P10" s="31" t="e">
        <f>VLOOKUP($D10,Résultats!$B$2:$AX$212,P$2,FALSE)/1000000</f>
        <v>#N/A</v>
      </c>
      <c r="Q10" s="31" t="e">
        <f>VLOOKUP($D10,Résultats!$B$2:$AX$212,Q$2,FALSE)/1000000</f>
        <v>#N/A</v>
      </c>
      <c r="R10" s="31" t="e">
        <f>VLOOKUP($D10,Résultats!$B$2:$AX$212,R$2,FALSE)/1000000</f>
        <v>#N/A</v>
      </c>
      <c r="S10" s="127" t="e">
        <f>VLOOKUP($D10,Résultats!$B$2:$AX$212,S$2,FALSE)/1000000</f>
        <v>#N/A</v>
      </c>
      <c r="T10" s="130" t="e">
        <f>VLOOKUP($D10,Résultats!$B$2:$AX$212,T$2,FALSE)/1000000</f>
        <v>#N/A</v>
      </c>
      <c r="U10" s="130" t="e">
        <f>VLOOKUP($D10,Résultats!$B$2:$AX$212,U$2,FALSE)/1000000</f>
        <v>#N/A</v>
      </c>
      <c r="V10" s="31" t="e">
        <f>VLOOKUP($D10,Résultats!$B$2:$AX$212,V$2,FALSE)/1000000</f>
        <v>#N/A</v>
      </c>
      <c r="W10" s="130" t="e">
        <f>VLOOKUP($D10,Résultats!$B$2:$AX$212,W$2,FALSE)/1000000</f>
        <v>#N/A</v>
      </c>
      <c r="X10" s="3"/>
    </row>
    <row r="11" spans="1:38" x14ac:dyDescent="0.25">
      <c r="A11" s="3"/>
      <c r="B11" s="240"/>
      <c r="C11" s="80" t="s">
        <v>33</v>
      </c>
      <c r="D11" s="32" t="s">
        <v>88</v>
      </c>
      <c r="E11" s="20" t="e">
        <f>VLOOKUP($D11,Résultats!$B$2:$AX$212,E$2,FALSE)</f>
        <v>#N/A</v>
      </c>
      <c r="F11" s="20" t="e">
        <f>VLOOKUP($D11,Résultats!$B$2:$AX$212,F$2,FALSE)</f>
        <v>#N/A</v>
      </c>
      <c r="G11" s="113" t="e">
        <f>VLOOKUP($D11,Résultats!$B$2:$AX$212,G$2,FALSE)/1000000</f>
        <v>#N/A</v>
      </c>
      <c r="H11" s="20" t="e">
        <f>VLOOKUP($D11,Résultats!$B$2:$AX$212,H$2,FALSE)/1000000</f>
        <v>#N/A</v>
      </c>
      <c r="I11" s="114" t="e">
        <f>VLOOKUP($D11,Résultats!$B$2:$AX$212,I$2,FALSE)/1000000</f>
        <v>#N/A</v>
      </c>
      <c r="J11" s="113" t="e">
        <f>VLOOKUP($D11,Résultats!$B$2:$AX$212,J$2,FALSE)/1000000</f>
        <v>#N/A</v>
      </c>
      <c r="K11" s="20" t="e">
        <f>VLOOKUP($D11,Résultats!$B$2:$AX$212,K$2,FALSE)/1000000</f>
        <v>#N/A</v>
      </c>
      <c r="L11" s="20" t="e">
        <f>VLOOKUP($D11,Résultats!$B$2:$AX$212,L$2,FALSE)/1000000</f>
        <v>#N/A</v>
      </c>
      <c r="M11" s="20" t="e">
        <f>VLOOKUP($D11,Résultats!$B$2:$AX$212,M$2,FALSE)/1000000</f>
        <v>#N/A</v>
      </c>
      <c r="N11" s="114" t="e">
        <f>VLOOKUP($D11,Résultats!$B$2:$AX$212,N$2,FALSE)/1000000</f>
        <v>#N/A</v>
      </c>
      <c r="O11" s="113" t="e">
        <f>VLOOKUP($D11,Résultats!$B$2:$AX$212,O$2,FALSE)/1000000</f>
        <v>#N/A</v>
      </c>
      <c r="P11" s="20" t="e">
        <f>VLOOKUP($D11,Résultats!$B$2:$AX$212,P$2,FALSE)/1000000</f>
        <v>#N/A</v>
      </c>
      <c r="Q11" s="20" t="e">
        <f>VLOOKUP($D11,Résultats!$B$2:$AX$212,Q$2,FALSE)/1000000</f>
        <v>#N/A</v>
      </c>
      <c r="R11" s="20" t="e">
        <f>VLOOKUP($D11,Résultats!$B$2:$AX$212,R$2,FALSE)/1000000</f>
        <v>#N/A</v>
      </c>
      <c r="S11" s="114" t="e">
        <f>VLOOKUP($D11,Résultats!$B$2:$AX$212,S$2,FALSE)/1000000</f>
        <v>#N/A</v>
      </c>
      <c r="T11" s="122" t="e">
        <f>VLOOKUP($D11,Résultats!$B$2:$AX$212,T$2,FALSE)/1000000</f>
        <v>#N/A</v>
      </c>
      <c r="U11" s="122" t="e">
        <f>VLOOKUP($D11,Résultats!$B$2:$AX$212,U$2,FALSE)/1000000</f>
        <v>#N/A</v>
      </c>
      <c r="V11" s="20" t="e">
        <f>VLOOKUP($D11,Résultats!$B$2:$AX$212,V$2,FALSE)/1000000</f>
        <v>#N/A</v>
      </c>
      <c r="W11" s="122" t="e">
        <f>VLOOKUP($D11,Résultats!$B$2:$AX$212,W$2,FALSE)/1000000</f>
        <v>#N/A</v>
      </c>
      <c r="X11" s="3"/>
    </row>
    <row r="12" spans="1:38" x14ac:dyDescent="0.25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38" x14ac:dyDescent="0.25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38" x14ac:dyDescent="0.25">
      <c r="A14" s="3"/>
      <c r="B14" s="3"/>
      <c r="C14" s="66"/>
      <c r="D14" s="12"/>
      <c r="E14" s="30">
        <v>2006</v>
      </c>
      <c r="F14" s="30">
        <v>2015</v>
      </c>
      <c r="G14" s="26">
        <v>2018</v>
      </c>
      <c r="H14" s="4">
        <v>2019</v>
      </c>
      <c r="I14" s="108">
        <v>2020</v>
      </c>
      <c r="J14" s="116">
        <v>2021</v>
      </c>
      <c r="K14" s="33">
        <v>2022</v>
      </c>
      <c r="L14" s="4">
        <v>2023</v>
      </c>
      <c r="M14" s="33">
        <v>2024</v>
      </c>
      <c r="N14" s="108">
        <v>2025</v>
      </c>
      <c r="O14" s="116">
        <v>2026</v>
      </c>
      <c r="P14" s="4">
        <v>2027</v>
      </c>
      <c r="Q14" s="33">
        <v>2028</v>
      </c>
      <c r="R14" s="33">
        <v>2029</v>
      </c>
      <c r="S14" s="108">
        <v>2030</v>
      </c>
      <c r="T14" s="4">
        <v>2035</v>
      </c>
      <c r="U14" s="118">
        <v>2040</v>
      </c>
      <c r="V14" s="4">
        <v>2045</v>
      </c>
      <c r="W14" s="118">
        <v>2050</v>
      </c>
      <c r="X14" s="3"/>
    </row>
    <row r="15" spans="1:38" ht="15.75" thickBot="1" x14ac:dyDescent="0.3">
      <c r="A15" s="3"/>
      <c r="B15" s="241" t="s">
        <v>219</v>
      </c>
      <c r="C15" s="5" t="s">
        <v>44</v>
      </c>
      <c r="D15" s="13" t="s">
        <v>81</v>
      </c>
      <c r="E15" s="22" t="e">
        <f>E4/100</f>
        <v>#N/A</v>
      </c>
      <c r="F15" s="22" t="e">
        <f>F4/100</f>
        <v>#N/A</v>
      </c>
      <c r="G15" s="131" t="e">
        <f>G4*1000/100</f>
        <v>#N/A</v>
      </c>
      <c r="H15" s="22" t="e">
        <f t="shared" ref="H15:W15" si="1">H4*1000/100</f>
        <v>#N/A</v>
      </c>
      <c r="I15" s="132" t="e">
        <f t="shared" si="1"/>
        <v>#N/A</v>
      </c>
      <c r="J15" s="131" t="e">
        <f t="shared" si="1"/>
        <v>#N/A</v>
      </c>
      <c r="K15" s="22" t="e">
        <f t="shared" si="1"/>
        <v>#N/A</v>
      </c>
      <c r="L15" s="22" t="e">
        <f t="shared" si="1"/>
        <v>#N/A</v>
      </c>
      <c r="M15" s="22" t="e">
        <f t="shared" si="1"/>
        <v>#N/A</v>
      </c>
      <c r="N15" s="132" t="e">
        <f t="shared" si="1"/>
        <v>#N/A</v>
      </c>
      <c r="O15" s="131" t="e">
        <f t="shared" si="1"/>
        <v>#N/A</v>
      </c>
      <c r="P15" s="22" t="e">
        <f t="shared" si="1"/>
        <v>#N/A</v>
      </c>
      <c r="Q15" s="22" t="e">
        <f t="shared" si="1"/>
        <v>#N/A</v>
      </c>
      <c r="R15" s="22" t="e">
        <f t="shared" si="1"/>
        <v>#N/A</v>
      </c>
      <c r="S15" s="132" t="e">
        <f t="shared" si="1"/>
        <v>#N/A</v>
      </c>
      <c r="T15" s="22" t="e">
        <f t="shared" si="1"/>
        <v>#N/A</v>
      </c>
      <c r="U15" s="139" t="e">
        <f t="shared" si="1"/>
        <v>#N/A</v>
      </c>
      <c r="V15" s="22" t="e">
        <f t="shared" si="1"/>
        <v>#N/A</v>
      </c>
      <c r="W15" s="139" t="e">
        <f t="shared" si="1"/>
        <v>#N/A</v>
      </c>
      <c r="X15" s="3"/>
      <c r="Y15" s="51" t="s">
        <v>220</v>
      </c>
    </row>
    <row r="16" spans="1:38" x14ac:dyDescent="0.25">
      <c r="A16" s="3"/>
      <c r="B16" s="240"/>
      <c r="C16" s="56" t="s">
        <v>27</v>
      </c>
      <c r="D16" s="16" t="s">
        <v>82</v>
      </c>
      <c r="E16" s="98" t="e">
        <f>E5/E$4</f>
        <v>#N/A</v>
      </c>
      <c r="F16" s="98" t="e">
        <f>F5/F$4</f>
        <v>#N/A</v>
      </c>
      <c r="G16" s="133" t="e">
        <f>G5/G$4</f>
        <v>#N/A</v>
      </c>
      <c r="H16" s="98" t="e">
        <f t="shared" ref="H16:W16" si="2">H5/H$4</f>
        <v>#N/A</v>
      </c>
      <c r="I16" s="134" t="e">
        <f t="shared" si="2"/>
        <v>#N/A</v>
      </c>
      <c r="J16" s="133" t="e">
        <f t="shared" si="2"/>
        <v>#N/A</v>
      </c>
      <c r="K16" s="98" t="e">
        <f t="shared" si="2"/>
        <v>#N/A</v>
      </c>
      <c r="L16" s="98" t="e">
        <f t="shared" si="2"/>
        <v>#N/A</v>
      </c>
      <c r="M16" s="98" t="e">
        <f t="shared" si="2"/>
        <v>#N/A</v>
      </c>
      <c r="N16" s="134" t="e">
        <f t="shared" si="2"/>
        <v>#N/A</v>
      </c>
      <c r="O16" s="133" t="e">
        <f t="shared" si="2"/>
        <v>#N/A</v>
      </c>
      <c r="P16" s="98" t="e">
        <f t="shared" si="2"/>
        <v>#N/A</v>
      </c>
      <c r="Q16" s="98" t="e">
        <f t="shared" si="2"/>
        <v>#N/A</v>
      </c>
      <c r="R16" s="98" t="e">
        <f t="shared" si="2"/>
        <v>#N/A</v>
      </c>
      <c r="S16" s="134" t="e">
        <f t="shared" si="2"/>
        <v>#N/A</v>
      </c>
      <c r="T16" s="98" t="e">
        <f t="shared" si="2"/>
        <v>#N/A</v>
      </c>
      <c r="U16" s="140" t="e">
        <f t="shared" si="2"/>
        <v>#N/A</v>
      </c>
      <c r="V16" s="98" t="e">
        <f t="shared" si="2"/>
        <v>#N/A</v>
      </c>
      <c r="W16" s="140" t="e">
        <f t="shared" si="2"/>
        <v>#N/A</v>
      </c>
      <c r="X16" s="3"/>
      <c r="Y16" s="158"/>
      <c r="Z16" s="159">
        <v>2020</v>
      </c>
      <c r="AA16" s="159">
        <v>2030</v>
      </c>
      <c r="AB16" s="160">
        <v>2050</v>
      </c>
    </row>
    <row r="17" spans="1:28" x14ac:dyDescent="0.25">
      <c r="A17" s="3"/>
      <c r="B17" s="240"/>
      <c r="C17" s="56" t="s">
        <v>28</v>
      </c>
      <c r="D17" s="16" t="s">
        <v>83</v>
      </c>
      <c r="E17" s="92" t="e">
        <f t="shared" ref="E17:G22" si="3">E6/E$4</f>
        <v>#N/A</v>
      </c>
      <c r="F17" s="92" t="e">
        <f t="shared" si="3"/>
        <v>#N/A</v>
      </c>
      <c r="G17" s="135" t="e">
        <f t="shared" si="3"/>
        <v>#N/A</v>
      </c>
      <c r="H17" s="92" t="e">
        <f t="shared" ref="H17:W17" si="4">H6/H$4</f>
        <v>#N/A</v>
      </c>
      <c r="I17" s="136" t="e">
        <f t="shared" si="4"/>
        <v>#N/A</v>
      </c>
      <c r="J17" s="135" t="e">
        <f t="shared" si="4"/>
        <v>#N/A</v>
      </c>
      <c r="K17" s="92" t="e">
        <f t="shared" si="4"/>
        <v>#N/A</v>
      </c>
      <c r="L17" s="92" t="e">
        <f t="shared" si="4"/>
        <v>#N/A</v>
      </c>
      <c r="M17" s="92" t="e">
        <f t="shared" si="4"/>
        <v>#N/A</v>
      </c>
      <c r="N17" s="136" t="e">
        <f t="shared" si="4"/>
        <v>#N/A</v>
      </c>
      <c r="O17" s="135" t="e">
        <f t="shared" si="4"/>
        <v>#N/A</v>
      </c>
      <c r="P17" s="92" t="e">
        <f t="shared" si="4"/>
        <v>#N/A</v>
      </c>
      <c r="Q17" s="92" t="e">
        <f t="shared" si="4"/>
        <v>#N/A</v>
      </c>
      <c r="R17" s="92" t="e">
        <f t="shared" si="4"/>
        <v>#N/A</v>
      </c>
      <c r="S17" s="136" t="e">
        <f t="shared" si="4"/>
        <v>#N/A</v>
      </c>
      <c r="T17" s="92" t="e">
        <f t="shared" si="4"/>
        <v>#N/A</v>
      </c>
      <c r="U17" s="141" t="e">
        <f t="shared" si="4"/>
        <v>#N/A</v>
      </c>
      <c r="V17" s="92" t="e">
        <f t="shared" si="4"/>
        <v>#N/A</v>
      </c>
      <c r="W17" s="141" t="e">
        <f t="shared" si="4"/>
        <v>#N/A</v>
      </c>
      <c r="X17" s="3"/>
      <c r="Y17" s="161" t="s">
        <v>136</v>
      </c>
      <c r="Z17" s="162" t="e">
        <f>I16+I17</f>
        <v>#N/A</v>
      </c>
      <c r="AA17" s="162" t="e">
        <f>S16+S17</f>
        <v>#N/A</v>
      </c>
      <c r="AB17" s="163" t="e">
        <f>W16+W17</f>
        <v>#N/A</v>
      </c>
    </row>
    <row r="18" spans="1:28" x14ac:dyDescent="0.25">
      <c r="A18" s="3"/>
      <c r="B18" s="240"/>
      <c r="C18" s="56" t="s">
        <v>29</v>
      </c>
      <c r="D18" s="16" t="s">
        <v>84</v>
      </c>
      <c r="E18" s="92" t="e">
        <f t="shared" si="3"/>
        <v>#N/A</v>
      </c>
      <c r="F18" s="92" t="e">
        <f t="shared" si="3"/>
        <v>#N/A</v>
      </c>
      <c r="G18" s="135" t="e">
        <f t="shared" si="3"/>
        <v>#N/A</v>
      </c>
      <c r="H18" s="92" t="e">
        <f t="shared" ref="H18:W18" si="5">H7/H$4</f>
        <v>#N/A</v>
      </c>
      <c r="I18" s="136" t="e">
        <f t="shared" si="5"/>
        <v>#N/A</v>
      </c>
      <c r="J18" s="135" t="e">
        <f t="shared" si="5"/>
        <v>#N/A</v>
      </c>
      <c r="K18" s="92" t="e">
        <f t="shared" si="5"/>
        <v>#N/A</v>
      </c>
      <c r="L18" s="92" t="e">
        <f t="shared" si="5"/>
        <v>#N/A</v>
      </c>
      <c r="M18" s="92" t="e">
        <f t="shared" si="5"/>
        <v>#N/A</v>
      </c>
      <c r="N18" s="136" t="e">
        <f t="shared" si="5"/>
        <v>#N/A</v>
      </c>
      <c r="O18" s="135" t="e">
        <f t="shared" si="5"/>
        <v>#N/A</v>
      </c>
      <c r="P18" s="92" t="e">
        <f t="shared" si="5"/>
        <v>#N/A</v>
      </c>
      <c r="Q18" s="92" t="e">
        <f t="shared" si="5"/>
        <v>#N/A</v>
      </c>
      <c r="R18" s="92" t="e">
        <f t="shared" si="5"/>
        <v>#N/A</v>
      </c>
      <c r="S18" s="136" t="e">
        <f t="shared" si="5"/>
        <v>#N/A</v>
      </c>
      <c r="T18" s="92" t="e">
        <f t="shared" si="5"/>
        <v>#N/A</v>
      </c>
      <c r="U18" s="141" t="e">
        <f t="shared" si="5"/>
        <v>#N/A</v>
      </c>
      <c r="V18" s="92" t="e">
        <f t="shared" si="5"/>
        <v>#N/A</v>
      </c>
      <c r="W18" s="141" t="e">
        <f t="shared" si="5"/>
        <v>#N/A</v>
      </c>
      <c r="X18" s="3"/>
      <c r="Y18" s="161" t="s">
        <v>137</v>
      </c>
      <c r="Z18" s="162" t="e">
        <f>I18+I19+I20</f>
        <v>#N/A</v>
      </c>
      <c r="AA18" s="162" t="e">
        <f>S18+S19+S20</f>
        <v>#N/A</v>
      </c>
      <c r="AB18" s="163" t="e">
        <f>W18+W19+W20</f>
        <v>#N/A</v>
      </c>
    </row>
    <row r="19" spans="1:28" ht="15.75" thickBot="1" x14ac:dyDescent="0.3">
      <c r="A19" s="3"/>
      <c r="B19" s="240"/>
      <c r="C19" s="56" t="s">
        <v>30</v>
      </c>
      <c r="D19" s="16" t="s">
        <v>85</v>
      </c>
      <c r="E19" s="92" t="e">
        <f t="shared" si="3"/>
        <v>#N/A</v>
      </c>
      <c r="F19" s="92" t="e">
        <f t="shared" si="3"/>
        <v>#N/A</v>
      </c>
      <c r="G19" s="135" t="e">
        <f t="shared" si="3"/>
        <v>#N/A</v>
      </c>
      <c r="H19" s="92" t="e">
        <f t="shared" ref="H19:W19" si="6">H8/H$4</f>
        <v>#N/A</v>
      </c>
      <c r="I19" s="136" t="e">
        <f t="shared" si="6"/>
        <v>#N/A</v>
      </c>
      <c r="J19" s="135" t="e">
        <f t="shared" si="6"/>
        <v>#N/A</v>
      </c>
      <c r="K19" s="92" t="e">
        <f t="shared" si="6"/>
        <v>#N/A</v>
      </c>
      <c r="L19" s="92" t="e">
        <f t="shared" si="6"/>
        <v>#N/A</v>
      </c>
      <c r="M19" s="92" t="e">
        <f t="shared" si="6"/>
        <v>#N/A</v>
      </c>
      <c r="N19" s="136" t="e">
        <f t="shared" si="6"/>
        <v>#N/A</v>
      </c>
      <c r="O19" s="135" t="e">
        <f t="shared" si="6"/>
        <v>#N/A</v>
      </c>
      <c r="P19" s="92" t="e">
        <f t="shared" si="6"/>
        <v>#N/A</v>
      </c>
      <c r="Q19" s="92" t="e">
        <f t="shared" si="6"/>
        <v>#N/A</v>
      </c>
      <c r="R19" s="92" t="e">
        <f t="shared" si="6"/>
        <v>#N/A</v>
      </c>
      <c r="S19" s="136" t="e">
        <f t="shared" si="6"/>
        <v>#N/A</v>
      </c>
      <c r="T19" s="92" t="e">
        <f t="shared" si="6"/>
        <v>#N/A</v>
      </c>
      <c r="U19" s="141" t="e">
        <f t="shared" si="6"/>
        <v>#N/A</v>
      </c>
      <c r="V19" s="92" t="e">
        <f t="shared" si="6"/>
        <v>#N/A</v>
      </c>
      <c r="W19" s="141" t="e">
        <f t="shared" si="6"/>
        <v>#N/A</v>
      </c>
      <c r="X19" s="3"/>
      <c r="Y19" s="164" t="s">
        <v>142</v>
      </c>
      <c r="Z19" s="165" t="e">
        <f>I21+I22</f>
        <v>#N/A</v>
      </c>
      <c r="AA19" s="165" t="e">
        <f>S21+S22</f>
        <v>#N/A</v>
      </c>
      <c r="AB19" s="166" t="e">
        <f>W21+W22</f>
        <v>#N/A</v>
      </c>
    </row>
    <row r="20" spans="1:28" x14ac:dyDescent="0.25">
      <c r="A20" s="3"/>
      <c r="B20" s="240"/>
      <c r="C20" s="56" t="s">
        <v>31</v>
      </c>
      <c r="D20" s="16" t="s">
        <v>86</v>
      </c>
      <c r="E20" s="92" t="e">
        <f t="shared" si="3"/>
        <v>#N/A</v>
      </c>
      <c r="F20" s="92" t="e">
        <f t="shared" si="3"/>
        <v>#N/A</v>
      </c>
      <c r="G20" s="135" t="e">
        <f t="shared" si="3"/>
        <v>#N/A</v>
      </c>
      <c r="H20" s="92" t="e">
        <f t="shared" ref="H20:W20" si="7">H9/H$4</f>
        <v>#N/A</v>
      </c>
      <c r="I20" s="136" t="e">
        <f t="shared" si="7"/>
        <v>#N/A</v>
      </c>
      <c r="J20" s="135" t="e">
        <f t="shared" si="7"/>
        <v>#N/A</v>
      </c>
      <c r="K20" s="92" t="e">
        <f t="shared" si="7"/>
        <v>#N/A</v>
      </c>
      <c r="L20" s="92" t="e">
        <f t="shared" si="7"/>
        <v>#N/A</v>
      </c>
      <c r="M20" s="92" t="e">
        <f t="shared" si="7"/>
        <v>#N/A</v>
      </c>
      <c r="N20" s="136" t="e">
        <f t="shared" si="7"/>
        <v>#N/A</v>
      </c>
      <c r="O20" s="135" t="e">
        <f t="shared" si="7"/>
        <v>#N/A</v>
      </c>
      <c r="P20" s="92" t="e">
        <f t="shared" si="7"/>
        <v>#N/A</v>
      </c>
      <c r="Q20" s="92" t="e">
        <f t="shared" si="7"/>
        <v>#N/A</v>
      </c>
      <c r="R20" s="92" t="e">
        <f t="shared" si="7"/>
        <v>#N/A</v>
      </c>
      <c r="S20" s="136" t="e">
        <f t="shared" si="7"/>
        <v>#N/A</v>
      </c>
      <c r="T20" s="92" t="e">
        <f t="shared" si="7"/>
        <v>#N/A</v>
      </c>
      <c r="U20" s="141" t="e">
        <f t="shared" si="7"/>
        <v>#N/A</v>
      </c>
      <c r="V20" s="92" t="e">
        <f t="shared" si="7"/>
        <v>#N/A</v>
      </c>
      <c r="W20" s="141" t="e">
        <f t="shared" si="7"/>
        <v>#N/A</v>
      </c>
      <c r="X20" s="3"/>
      <c r="Y20" s="226" t="s">
        <v>210</v>
      </c>
      <c r="Z20" s="227" t="e">
        <f>SUM(Z17:Z19)</f>
        <v>#N/A</v>
      </c>
      <c r="AA20" s="227" t="e">
        <f t="shared" ref="AA20:AB20" si="8">SUM(AA17:AA19)</f>
        <v>#N/A</v>
      </c>
      <c r="AB20" s="227" t="e">
        <f t="shared" si="8"/>
        <v>#N/A</v>
      </c>
    </row>
    <row r="21" spans="1:28" x14ac:dyDescent="0.25">
      <c r="A21" s="3"/>
      <c r="B21" s="240"/>
      <c r="C21" s="56" t="s">
        <v>32</v>
      </c>
      <c r="D21" s="16" t="s">
        <v>87</v>
      </c>
      <c r="E21" s="92" t="e">
        <f t="shared" si="3"/>
        <v>#N/A</v>
      </c>
      <c r="F21" s="92" t="e">
        <f t="shared" si="3"/>
        <v>#N/A</v>
      </c>
      <c r="G21" s="135" t="e">
        <f t="shared" si="3"/>
        <v>#N/A</v>
      </c>
      <c r="H21" s="92" t="e">
        <f t="shared" ref="H21:W21" si="9">H10/H$4</f>
        <v>#N/A</v>
      </c>
      <c r="I21" s="136" t="e">
        <f t="shared" si="9"/>
        <v>#N/A</v>
      </c>
      <c r="J21" s="135" t="e">
        <f t="shared" si="9"/>
        <v>#N/A</v>
      </c>
      <c r="K21" s="92" t="e">
        <f t="shared" si="9"/>
        <v>#N/A</v>
      </c>
      <c r="L21" s="92" t="e">
        <f t="shared" si="9"/>
        <v>#N/A</v>
      </c>
      <c r="M21" s="92" t="e">
        <f t="shared" si="9"/>
        <v>#N/A</v>
      </c>
      <c r="N21" s="136" t="e">
        <f t="shared" si="9"/>
        <v>#N/A</v>
      </c>
      <c r="O21" s="135" t="e">
        <f t="shared" si="9"/>
        <v>#N/A</v>
      </c>
      <c r="P21" s="92" t="e">
        <f t="shared" si="9"/>
        <v>#N/A</v>
      </c>
      <c r="Q21" s="92" t="e">
        <f t="shared" si="9"/>
        <v>#N/A</v>
      </c>
      <c r="R21" s="92" t="e">
        <f t="shared" si="9"/>
        <v>#N/A</v>
      </c>
      <c r="S21" s="136" t="e">
        <f t="shared" si="9"/>
        <v>#N/A</v>
      </c>
      <c r="T21" s="92" t="e">
        <f t="shared" si="9"/>
        <v>#N/A</v>
      </c>
      <c r="U21" s="141" t="e">
        <f t="shared" si="9"/>
        <v>#N/A</v>
      </c>
      <c r="V21" s="92" t="e">
        <f t="shared" si="9"/>
        <v>#N/A</v>
      </c>
      <c r="W21" s="141" t="e">
        <f t="shared" si="9"/>
        <v>#N/A</v>
      </c>
      <c r="X21" s="3"/>
    </row>
    <row r="22" spans="1:28" x14ac:dyDescent="0.25">
      <c r="A22" s="3"/>
      <c r="B22" s="240"/>
      <c r="C22" s="80" t="s">
        <v>33</v>
      </c>
      <c r="D22" s="32" t="s">
        <v>88</v>
      </c>
      <c r="E22" s="94" t="e">
        <f t="shared" si="3"/>
        <v>#N/A</v>
      </c>
      <c r="F22" s="94" t="e">
        <f t="shared" si="3"/>
        <v>#N/A</v>
      </c>
      <c r="G22" s="137" t="e">
        <f t="shared" si="3"/>
        <v>#N/A</v>
      </c>
      <c r="H22" s="94" t="e">
        <f t="shared" ref="H22:W22" si="10">H11/H$4</f>
        <v>#N/A</v>
      </c>
      <c r="I22" s="138" t="e">
        <f t="shared" si="10"/>
        <v>#N/A</v>
      </c>
      <c r="J22" s="137" t="e">
        <f t="shared" si="10"/>
        <v>#N/A</v>
      </c>
      <c r="K22" s="94" t="e">
        <f t="shared" si="10"/>
        <v>#N/A</v>
      </c>
      <c r="L22" s="94" t="e">
        <f t="shared" si="10"/>
        <v>#N/A</v>
      </c>
      <c r="M22" s="94" t="e">
        <f t="shared" si="10"/>
        <v>#N/A</v>
      </c>
      <c r="N22" s="138" t="e">
        <f t="shared" si="10"/>
        <v>#N/A</v>
      </c>
      <c r="O22" s="137" t="e">
        <f t="shared" si="10"/>
        <v>#N/A</v>
      </c>
      <c r="P22" s="94" t="e">
        <f t="shared" si="10"/>
        <v>#N/A</v>
      </c>
      <c r="Q22" s="94" t="e">
        <f t="shared" si="10"/>
        <v>#N/A</v>
      </c>
      <c r="R22" s="94" t="e">
        <f t="shared" si="10"/>
        <v>#N/A</v>
      </c>
      <c r="S22" s="138" t="e">
        <f t="shared" si="10"/>
        <v>#N/A</v>
      </c>
      <c r="T22" s="94" t="e">
        <f t="shared" si="10"/>
        <v>#N/A</v>
      </c>
      <c r="U22" s="142" t="e">
        <f t="shared" si="10"/>
        <v>#N/A</v>
      </c>
      <c r="V22" s="94" t="e">
        <f t="shared" si="10"/>
        <v>#N/A</v>
      </c>
      <c r="W22" s="142" t="e">
        <f t="shared" si="10"/>
        <v>#N/A</v>
      </c>
      <c r="X22" s="3"/>
    </row>
    <row r="23" spans="1:28" x14ac:dyDescent="0.25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8" x14ac:dyDescent="0.25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8" x14ac:dyDescent="0.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4:B10"/>
  <sheetViews>
    <sheetView workbookViewId="0">
      <selection activeCell="P29" sqref="P29"/>
    </sheetView>
  </sheetViews>
  <sheetFormatPr baseColWidth="10" defaultRowHeight="15" x14ac:dyDescent="0.25"/>
  <sheetData>
    <row r="4" spans="2:2" x14ac:dyDescent="0.25">
      <c r="B4" t="str">
        <f>Résultats!B1&amp;" : Energie finale par usage et énergie primaire (Mtep)"</f>
        <v>TEND : Energie finale par usage et énergie primaire (Mtep)</v>
      </c>
    </row>
    <row r="5" spans="2:2" x14ac:dyDescent="0.25">
      <c r="B5" t="str">
        <f>Résultats!B1&amp;" : Ventilation du mix electrique (%)"</f>
        <v>TEND : Ventilation du mix electrique (%)</v>
      </c>
    </row>
    <row r="6" spans="2:2" x14ac:dyDescent="0.25">
      <c r="B6" t="str">
        <f>Résultats!B1&amp;" : Ventilation du mix carburant (%)"</f>
        <v>TEND : Ventilation du mix carburant (%)</v>
      </c>
    </row>
    <row r="7" spans="2:2" x14ac:dyDescent="0.25">
      <c r="B7" t="str">
        <f>Résultats!B1&amp;" : Ventilation du mix gaz (%)"</f>
        <v>TEND : Ventilation du mix gaz (%)</v>
      </c>
    </row>
    <row r="8" spans="2:2" x14ac:dyDescent="0.25">
      <c r="B8" t="str">
        <f>Résultats!B1&amp;" : Emissions CO2 (Mt.eqCO2)"</f>
        <v>TEND : Emissions CO2 (Mt.eqCO2)</v>
      </c>
    </row>
    <row r="9" spans="2:2" x14ac:dyDescent="0.25">
      <c r="B9" t="str">
        <f>Résultats!B1&amp;" : Ventilation du parc auto (%)"</f>
        <v>TEND : Ventilation du parc auto (%)</v>
      </c>
    </row>
    <row r="10" spans="2:2" x14ac:dyDescent="0.25">
      <c r="B10" t="str">
        <f>Résultats!B1&amp;" : Ventilation du parc de logements (%)"</f>
        <v>TEND : Ventilation du parc de logements (%)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6" baseType="variant">
      <vt:variant>
        <vt:lpstr>Feuilles de calcul</vt:lpstr>
      </vt:variant>
      <vt:variant>
        <vt:i4>7</vt:i4>
      </vt:variant>
      <vt:variant>
        <vt:lpstr>Graphiques</vt:lpstr>
      </vt:variant>
      <vt:variant>
        <vt:i4>7</vt:i4>
      </vt:variant>
      <vt:variant>
        <vt:lpstr>Plages nommées</vt:lpstr>
      </vt:variant>
      <vt:variant>
        <vt:i4>1</vt:i4>
      </vt:variant>
    </vt:vector>
  </HeadingPairs>
  <TitlesOfParts>
    <vt:vector size="15" baseType="lpstr">
      <vt:lpstr>Résultats</vt:lpstr>
      <vt:lpstr>T energie vecteurs</vt:lpstr>
      <vt:lpstr>T energie usages</vt:lpstr>
      <vt:lpstr>T CO2</vt:lpstr>
      <vt:lpstr>T parc auto</vt:lpstr>
      <vt:lpstr>T logement</vt:lpstr>
      <vt:lpstr>Table Graphs</vt:lpstr>
      <vt:lpstr>Graphique8</vt:lpstr>
      <vt:lpstr>Graphique9</vt:lpstr>
      <vt:lpstr>Graphique10</vt:lpstr>
      <vt:lpstr>Graphique11</vt:lpstr>
      <vt:lpstr>Graphique12</vt:lpstr>
      <vt:lpstr>Graphique13</vt:lpstr>
      <vt:lpstr>Graphique14</vt:lpstr>
      <vt:lpstr>'T parc auto'!Zone_d_impression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GISSELA LANDA RIVERA</dc:creator>
  <cp:lastModifiedBy>CALLONNEC Gaël</cp:lastModifiedBy>
  <cp:lastPrinted>2018-11-29T16:44:02Z</cp:lastPrinted>
  <dcterms:created xsi:type="dcterms:W3CDTF">2016-06-15T08:53:28Z</dcterms:created>
  <dcterms:modified xsi:type="dcterms:W3CDTF">2025-09-17T17:50:00Z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8ce3bfb-fff1-481a-835b-0a342757958d_Enabled">
    <vt:lpwstr>true</vt:lpwstr>
  </property>
  <property fmtid="{D5CDD505-2E9C-101B-9397-08002B2CF9AE}" pid="3" name="MSIP_Label_98ce3bfb-fff1-481a-835b-0a342757958d_SetDate">
    <vt:lpwstr>2025-03-13T10:37:52Z</vt:lpwstr>
  </property>
  <property fmtid="{D5CDD505-2E9C-101B-9397-08002B2CF9AE}" pid="4" name="MSIP_Label_98ce3bfb-fff1-481a-835b-0a342757958d_Method">
    <vt:lpwstr>Standard</vt:lpwstr>
  </property>
  <property fmtid="{D5CDD505-2E9C-101B-9397-08002B2CF9AE}" pid="5" name="MSIP_Label_98ce3bfb-fff1-481a-835b-0a342757958d_Name">
    <vt:lpwstr>C0 - Public</vt:lpwstr>
  </property>
  <property fmtid="{D5CDD505-2E9C-101B-9397-08002B2CF9AE}" pid="6" name="MSIP_Label_98ce3bfb-fff1-481a-835b-0a342757958d_SiteId">
    <vt:lpwstr>cb6c2492-4a85-4b15-85a1-ed94d47e5849</vt:lpwstr>
  </property>
  <property fmtid="{D5CDD505-2E9C-101B-9397-08002B2CF9AE}" pid="7" name="MSIP_Label_98ce3bfb-fff1-481a-835b-0a342757958d_ActionId">
    <vt:lpwstr>1f0fdedd-8d82-4f74-8cf9-d75270dcc93d</vt:lpwstr>
  </property>
  <property fmtid="{D5CDD505-2E9C-101B-9397-08002B2CF9AE}" pid="8" name="MSIP_Label_98ce3bfb-fff1-481a-835b-0a342757958d_ContentBits">
    <vt:lpwstr>0</vt:lpwstr>
  </property>
  <property fmtid="{D5CDD505-2E9C-101B-9397-08002B2CF9AE}" pid="9" name="MSIP_Label_98ce3bfb-fff1-481a-835b-0a342757958d_Tag">
    <vt:lpwstr>10, 3, 0, 1</vt:lpwstr>
  </property>
</Properties>
</file>