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llonnecg\Desktop\GitHub\ThreeME\results\"/>
    </mc:Choice>
  </mc:AlternateContent>
  <bookViews>
    <workbookView xWindow="120" yWindow="60" windowWidth="19080" windowHeight="7185" firstSheet="3" activeTab="3"/>
  </bookViews>
  <sheets>
    <sheet name="resultsSheets" sheetId="2" state="hidden" r:id="rId1"/>
    <sheet name="Instructions" sheetId="1" state="hidden" r:id="rId2"/>
    <sheet name="Full example" sheetId="3" state="hidden" r:id="rId3"/>
    <sheet name="Primary energy" sheetId="6" r:id="rId4"/>
    <sheet name="Final energy" sheetId="7" r:id="rId5"/>
    <sheet name="Final energy by uses" sheetId="8" r:id="rId6"/>
    <sheet name="BAU primary energy" sheetId="55" r:id="rId7"/>
    <sheet name="BAU Final energy" sheetId="56" r:id="rId8"/>
    <sheet name="ADEMEhaut primary energy" sheetId="58" r:id="rId9"/>
    <sheet name="ADEMEhaut Final energy" sheetId="59" r:id="rId10"/>
    <sheet name="Households energy bill" sheetId="62" r:id="rId11"/>
    <sheet name="Disposable income" sheetId="63" r:id="rId12"/>
    <sheet name="Mean of investment" sheetId="67" r:id="rId13"/>
    <sheet name="Employment by sector" sheetId="73" r:id="rId14"/>
    <sheet name="Unemployment rate" sheetId="78" r:id="rId15"/>
    <sheet name="Trade balance" sheetId="75" r:id="rId16"/>
    <sheet name="GDP gap" sheetId="77" r:id="rId17"/>
    <sheet name="Carbon tax" sheetId="79" r:id="rId18"/>
    <sheet name="Energy price signal" sheetId="80" r:id="rId19"/>
    <sheet name="Public debt " sheetId="82" r:id="rId20"/>
    <sheet name="Public Balance" sheetId="83" r:id="rId21"/>
    <sheet name="Macro impacts" sheetId="5" r:id="rId22"/>
    <sheet name="Value Added" sheetId="51" r:id="rId23"/>
    <sheet name="Investment" sheetId="52" r:id="rId24"/>
    <sheet name="Consumption" sheetId="53" r:id="rId25"/>
    <sheet name="GDP" sheetId="16" r:id="rId26"/>
    <sheet name="Employment" sheetId="71" r:id="rId27"/>
    <sheet name="Emissions" sheetId="38" r:id="rId28"/>
    <sheet name="Households" sheetId="60" r:id="rId29"/>
    <sheet name="Energy MIX" sheetId="57" r:id="rId30"/>
    <sheet name="output Final energy by uses" sheetId="9" r:id="rId31"/>
    <sheet name="Investments and other variables" sheetId="65" r:id="rId32"/>
    <sheet name="scen_ademehaut" sheetId="86" state="hidden" r:id="rId33"/>
  </sheets>
  <functionGroups builtInGroupCount="18"/>
  <calcPr calcId="162913" calcMode="manual"/>
</workbook>
</file>

<file path=xl/calcChain.xml><?xml version="1.0" encoding="utf-8"?>
<calcChain xmlns="http://schemas.openxmlformats.org/spreadsheetml/2006/main">
  <c r="Q18" i="7" l="1"/>
  <c r="P18" i="7"/>
  <c r="O18" i="7"/>
  <c r="N18" i="7"/>
  <c r="M18" i="7"/>
  <c r="Q9" i="7"/>
  <c r="P9" i="7"/>
  <c r="O9" i="7"/>
  <c r="N9" i="7"/>
  <c r="M9" i="7"/>
  <c r="Q6" i="7"/>
  <c r="P6" i="7"/>
  <c r="P26" i="7" s="1"/>
  <c r="O6" i="7"/>
  <c r="N6" i="7"/>
  <c r="N26" i="7" s="1"/>
  <c r="M6" i="7"/>
  <c r="N43" i="7"/>
  <c r="O43" i="7"/>
  <c r="P43" i="7"/>
  <c r="Q43" i="7"/>
  <c r="M43" i="7"/>
  <c r="N34" i="7"/>
  <c r="O34" i="7"/>
  <c r="P34" i="7"/>
  <c r="Q34" i="7"/>
  <c r="M34" i="7"/>
  <c r="N31" i="7"/>
  <c r="O31" i="7"/>
  <c r="P31" i="7"/>
  <c r="Q31" i="7"/>
  <c r="M31" i="7"/>
  <c r="J24" i="8"/>
  <c r="K24" i="8"/>
  <c r="L24" i="8"/>
  <c r="C13" i="65"/>
  <c r="AG13" i="65"/>
  <c r="R13" i="65"/>
  <c r="AS13" i="65"/>
  <c r="AQ13" i="65"/>
  <c r="S13" i="65"/>
  <c r="AJ13" i="65"/>
  <c r="AM13" i="65"/>
  <c r="F13" i="65"/>
  <c r="AL13" i="65"/>
  <c r="E13" i="65"/>
  <c r="X13" i="65"/>
  <c r="D13" i="65"/>
  <c r="AT13" i="65"/>
  <c r="AE13" i="65"/>
  <c r="AC13" i="65"/>
  <c r="Q13" i="65"/>
  <c r="AB13" i="65"/>
  <c r="AR13" i="65"/>
  <c r="AF13" i="65"/>
  <c r="Z13" i="65"/>
  <c r="L13" i="65"/>
  <c r="T13" i="65"/>
  <c r="AU13" i="65"/>
  <c r="H13" i="65"/>
  <c r="M13" i="65"/>
  <c r="W13" i="65"/>
  <c r="AP13" i="65"/>
  <c r="AH13" i="65"/>
  <c r="O13" i="65"/>
  <c r="AK13" i="65"/>
  <c r="Y13" i="65"/>
  <c r="J13" i="65"/>
  <c r="P13" i="65"/>
  <c r="U13" i="65"/>
  <c r="N13" i="65"/>
  <c r="AA13" i="65"/>
  <c r="I13" i="65"/>
  <c r="AI13" i="65"/>
  <c r="V13" i="65"/>
  <c r="AN13" i="65"/>
  <c r="G13" i="65"/>
  <c r="AO13" i="65"/>
  <c r="I26" i="5"/>
  <c r="K13" i="65"/>
  <c r="AD13" i="65"/>
  <c r="AW13" i="65" l="1"/>
  <c r="Q51" i="7"/>
  <c r="O26" i="7"/>
  <c r="M26" i="7"/>
  <c r="Q26" i="7"/>
  <c r="O51" i="7"/>
  <c r="M51" i="7"/>
  <c r="N51" i="7"/>
  <c r="P51" i="7"/>
  <c r="K19" i="8"/>
  <c r="K27" i="8" s="1"/>
  <c r="L19" i="8"/>
  <c r="L27" i="8" s="1"/>
  <c r="J19" i="8"/>
  <c r="J27" i="8" s="1"/>
  <c r="L14" i="8"/>
  <c r="O43" i="6"/>
  <c r="N43" i="6"/>
  <c r="O31" i="6"/>
  <c r="N31" i="6"/>
  <c r="N43" i="9" l="1"/>
  <c r="N42" i="9"/>
  <c r="N22" i="9"/>
  <c r="N23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21" i="9"/>
  <c r="K14" i="8"/>
  <c r="J14" i="8"/>
  <c r="AT10" i="65"/>
  <c r="AS9" i="65"/>
  <c r="AI8" i="65"/>
  <c r="F24" i="71"/>
  <c r="F10" i="65"/>
  <c r="E26" i="71"/>
  <c r="D55" i="71"/>
  <c r="AP3" i="65"/>
  <c r="C17" i="71"/>
  <c r="H6" i="65"/>
  <c r="D49" i="71"/>
  <c r="AK11" i="65"/>
  <c r="E53" i="71"/>
  <c r="AR26" i="60"/>
  <c r="AR12" i="65"/>
  <c r="M8" i="65"/>
  <c r="E77" i="71"/>
  <c r="AB9" i="65"/>
  <c r="AN6" i="65"/>
  <c r="AO6" i="65"/>
  <c r="C4" i="65"/>
  <c r="E67" i="71"/>
  <c r="AD5" i="65"/>
  <c r="AB5" i="65"/>
  <c r="AO12" i="65"/>
  <c r="D4" i="65"/>
  <c r="G67" i="71"/>
  <c r="F65" i="71"/>
  <c r="Q10" i="65"/>
  <c r="AO11" i="65"/>
  <c r="AL4" i="65"/>
  <c r="AD12" i="65"/>
  <c r="V9" i="65"/>
  <c r="AM11" i="60"/>
  <c r="E22" i="71"/>
  <c r="AA9" i="65"/>
  <c r="C4" i="71"/>
  <c r="F28" i="71"/>
  <c r="C71" i="71"/>
  <c r="D37" i="71"/>
  <c r="AD10" i="65"/>
  <c r="G11" i="71"/>
  <c r="G75" i="71"/>
  <c r="AE8" i="65"/>
  <c r="G38" i="71"/>
  <c r="C48" i="71"/>
  <c r="AO5" i="60"/>
  <c r="F18" i="71"/>
  <c r="AV2" i="60"/>
  <c r="AE13" i="60"/>
  <c r="I8" i="65"/>
  <c r="Q11" i="65"/>
  <c r="G27" i="71"/>
  <c r="C30" i="71"/>
  <c r="P9" i="65"/>
  <c r="Q6" i="65"/>
  <c r="C5" i="65"/>
  <c r="D39" i="71"/>
  <c r="E50" i="71"/>
  <c r="Y10" i="65"/>
  <c r="E68" i="71"/>
  <c r="D9" i="65"/>
  <c r="Z5" i="65"/>
  <c r="F57" i="71"/>
  <c r="AQ8" i="65"/>
  <c r="C75" i="71"/>
  <c r="C65" i="71"/>
  <c r="D2" i="71"/>
  <c r="G10" i="65"/>
  <c r="AF3" i="65"/>
  <c r="AJ12" i="65"/>
  <c r="Z16" i="60"/>
  <c r="D6" i="65"/>
  <c r="D57" i="71"/>
  <c r="C34" i="71"/>
  <c r="E52" i="71"/>
  <c r="F48" i="71"/>
  <c r="G24" i="71"/>
  <c r="AF8" i="65"/>
  <c r="E7" i="71"/>
  <c r="G25" i="71"/>
  <c r="F45" i="71"/>
  <c r="V12" i="65"/>
  <c r="F9" i="65"/>
  <c r="N6" i="65"/>
  <c r="AA3" i="65"/>
  <c r="K5" i="65"/>
  <c r="C46" i="71"/>
  <c r="AI5" i="65"/>
  <c r="K9" i="65"/>
  <c r="AJ4" i="65"/>
  <c r="AP12" i="65"/>
  <c r="C47" i="71"/>
  <c r="AE7" i="65"/>
  <c r="AM2" i="60"/>
  <c r="F64" i="71"/>
  <c r="AS9" i="60"/>
  <c r="D22" i="71"/>
  <c r="C5" i="71"/>
  <c r="H26" i="5"/>
  <c r="K35" i="65"/>
  <c r="Q5" i="65"/>
  <c r="AI5" i="60"/>
  <c r="E15" i="71"/>
  <c r="D77" i="71"/>
  <c r="E2" i="71"/>
  <c r="G33" i="71"/>
  <c r="E2" i="60"/>
  <c r="U6" i="65"/>
  <c r="D91" i="65"/>
  <c r="C41" i="71"/>
  <c r="Z25" i="60"/>
  <c r="AH8" i="65"/>
  <c r="T4" i="65"/>
  <c r="G16" i="71"/>
  <c r="C38" i="71"/>
  <c r="C21" i="71"/>
  <c r="J12" i="65"/>
  <c r="AB12" i="65"/>
  <c r="AC8" i="65"/>
  <c r="T7" i="65"/>
  <c r="Z6" i="65"/>
  <c r="I10" i="65"/>
  <c r="N16" i="60"/>
  <c r="C12" i="71"/>
  <c r="G26" i="71"/>
  <c r="AL6" i="65"/>
  <c r="K26" i="5"/>
  <c r="Y11" i="65"/>
  <c r="W9" i="65"/>
  <c r="E60" i="71"/>
  <c r="C58" i="71"/>
  <c r="K11" i="65"/>
  <c r="E76" i="71"/>
  <c r="S12" i="65"/>
  <c r="AH10" i="65"/>
  <c r="T5" i="65"/>
  <c r="M11" i="65"/>
  <c r="AM5" i="65"/>
  <c r="F47" i="71"/>
  <c r="AS12" i="65"/>
  <c r="G65" i="71"/>
  <c r="C42" i="71"/>
  <c r="AM12" i="65"/>
  <c r="P5" i="65"/>
  <c r="U18" i="60"/>
  <c r="G20" i="71"/>
  <c r="AP6" i="65"/>
  <c r="C13" i="71"/>
  <c r="AC13" i="60"/>
  <c r="D10" i="65"/>
  <c r="AJ3" i="65"/>
  <c r="Z9" i="65"/>
  <c r="G4" i="65"/>
  <c r="D38" i="71"/>
  <c r="I4" i="65"/>
  <c r="Y9" i="65"/>
  <c r="G31" i="71"/>
  <c r="G9" i="65"/>
  <c r="D9" i="71"/>
  <c r="Y2" i="60"/>
  <c r="AP9" i="65"/>
  <c r="G12" i="71"/>
  <c r="F74" i="71"/>
  <c r="C45" i="71"/>
  <c r="G6" i="65"/>
  <c r="G45" i="71"/>
  <c r="M16" i="60"/>
  <c r="S10" i="65"/>
  <c r="F11" i="71"/>
  <c r="D46" i="71"/>
  <c r="G43" i="71"/>
  <c r="C63" i="71"/>
  <c r="AQ27" i="60"/>
  <c r="C41" i="65"/>
  <c r="G11" i="65"/>
  <c r="C50" i="71"/>
  <c r="F41" i="71"/>
  <c r="C18" i="71"/>
  <c r="AI12" i="65"/>
  <c r="O10" i="65"/>
  <c r="Q8" i="65"/>
  <c r="E11" i="65"/>
  <c r="X10" i="65"/>
  <c r="C55" i="71"/>
  <c r="AQ5" i="65"/>
  <c r="F9" i="71"/>
  <c r="G55" i="71"/>
  <c r="F49" i="71"/>
  <c r="AU9" i="65"/>
  <c r="G72" i="71"/>
  <c r="C92" i="65"/>
  <c r="I11" i="65"/>
  <c r="G63" i="71"/>
  <c r="E58" i="71"/>
  <c r="R12" i="65"/>
  <c r="AH11" i="65"/>
  <c r="AA6" i="65"/>
  <c r="G64" i="71"/>
  <c r="E73" i="71"/>
  <c r="J8" i="65"/>
  <c r="G74" i="71"/>
  <c r="C67" i="71"/>
  <c r="AU6" i="65"/>
  <c r="P11" i="65"/>
  <c r="E97" i="65"/>
  <c r="D18" i="60"/>
  <c r="L12" i="65"/>
  <c r="AO9" i="65"/>
  <c r="E30" i="71"/>
  <c r="AG6" i="65"/>
  <c r="K8" i="65"/>
  <c r="C33" i="71"/>
  <c r="AI3" i="65"/>
  <c r="O9" i="65"/>
  <c r="AP10" i="65"/>
  <c r="T11" i="65"/>
  <c r="AO10" i="65"/>
  <c r="C91" i="65"/>
  <c r="N19" i="60"/>
  <c r="W11" i="65"/>
  <c r="AR9" i="65"/>
  <c r="J20" i="60"/>
  <c r="E51" i="71"/>
  <c r="Z2" i="60"/>
  <c r="E29" i="71"/>
  <c r="Z19" i="60"/>
  <c r="R9" i="65"/>
  <c r="F34" i="65"/>
  <c r="X12" i="65"/>
  <c r="AJ4" i="60"/>
  <c r="AA10" i="65"/>
  <c r="AH6" i="65"/>
  <c r="G68" i="71"/>
  <c r="AK4" i="60"/>
  <c r="D23" i="71"/>
  <c r="Z11" i="65"/>
  <c r="I9" i="65"/>
  <c r="AI20" i="60"/>
  <c r="E59" i="71"/>
  <c r="D73" i="71"/>
  <c r="W4" i="65"/>
  <c r="F68" i="71"/>
  <c r="K4" i="65"/>
  <c r="AT8" i="65"/>
  <c r="C3" i="65"/>
  <c r="R6" i="65"/>
  <c r="E14" i="71"/>
  <c r="M12" i="65"/>
  <c r="AI11" i="65"/>
  <c r="X3" i="65"/>
  <c r="AS24" i="60"/>
  <c r="AB7" i="65"/>
  <c r="G47" i="71"/>
  <c r="X9" i="65"/>
  <c r="D53" i="71"/>
  <c r="F6" i="71"/>
  <c r="AJ9" i="65"/>
  <c r="AJ7" i="65"/>
  <c r="AJ8" i="65"/>
  <c r="E41" i="71"/>
  <c r="F7" i="65"/>
  <c r="Q7" i="65"/>
  <c r="AT6" i="65"/>
  <c r="AO3" i="65"/>
  <c r="AR6" i="65"/>
  <c r="U10" i="65"/>
  <c r="AS6" i="65"/>
  <c r="AC11" i="65"/>
  <c r="H18" i="60"/>
  <c r="F17" i="71"/>
  <c r="G51" i="71"/>
  <c r="F4" i="65"/>
  <c r="U12" i="65"/>
  <c r="AU12" i="65"/>
  <c r="Z8" i="65"/>
  <c r="G9" i="71"/>
  <c r="AR10" i="65"/>
  <c r="C8" i="65"/>
  <c r="AP5" i="60"/>
  <c r="F29" i="71"/>
  <c r="AL7" i="65"/>
  <c r="N5" i="65"/>
  <c r="D52" i="71"/>
  <c r="T6" i="60"/>
  <c r="E46" i="71"/>
  <c r="F59" i="71"/>
  <c r="V23" i="60"/>
  <c r="D26" i="71"/>
  <c r="AT12" i="65"/>
  <c r="AT11" i="65"/>
  <c r="O11" i="65"/>
  <c r="AJ10" i="65"/>
  <c r="E61" i="71"/>
  <c r="H8" i="65"/>
  <c r="D33" i="71"/>
  <c r="AE10" i="65"/>
  <c r="E19" i="71"/>
  <c r="AB11" i="65"/>
  <c r="AC6" i="65"/>
  <c r="AB10" i="65"/>
  <c r="G36" i="71"/>
  <c r="U4" i="65"/>
  <c r="D20" i="71"/>
  <c r="E71" i="71"/>
  <c r="C6" i="65"/>
  <c r="AM6" i="65"/>
  <c r="E5" i="71"/>
  <c r="I23" i="60"/>
  <c r="F36" i="71"/>
  <c r="AA8" i="65"/>
  <c r="F44" i="60"/>
  <c r="AS11" i="65"/>
  <c r="E48" i="71"/>
  <c r="AQ6" i="65"/>
  <c r="I5" i="65"/>
  <c r="D45" i="71"/>
  <c r="G8" i="71"/>
  <c r="F30" i="71"/>
  <c r="R5" i="65"/>
  <c r="C31" i="71"/>
  <c r="E34" i="71"/>
  <c r="G8" i="65"/>
  <c r="Z4" i="65"/>
  <c r="E74" i="71"/>
  <c r="R11" i="65"/>
  <c r="P89" i="65"/>
  <c r="AF4" i="65"/>
  <c r="Q3" i="65"/>
  <c r="E24" i="60"/>
  <c r="AN6" i="60"/>
  <c r="E78" i="71"/>
  <c r="AU20" i="60"/>
  <c r="AF10" i="60"/>
  <c r="F22" i="65"/>
  <c r="D11" i="65"/>
  <c r="D69" i="71"/>
  <c r="J10" i="65"/>
  <c r="C68" i="71"/>
  <c r="AF11" i="65"/>
  <c r="K57" i="65"/>
  <c r="E23" i="71"/>
  <c r="F19" i="60"/>
  <c r="F75" i="71"/>
  <c r="AD17" i="60"/>
  <c r="Q69" i="65"/>
  <c r="AF5" i="65"/>
  <c r="AM9" i="65"/>
  <c r="C23" i="71"/>
  <c r="AO23" i="60"/>
  <c r="D84" i="65"/>
  <c r="E3" i="65"/>
  <c r="X20" i="60"/>
  <c r="F13" i="71"/>
  <c r="G5" i="71"/>
  <c r="AH4" i="65"/>
  <c r="F25" i="71"/>
  <c r="G13" i="71"/>
  <c r="S11" i="65"/>
  <c r="Q4" i="65"/>
  <c r="D35" i="71"/>
  <c r="M7" i="65"/>
  <c r="AB91" i="65"/>
  <c r="C10" i="71"/>
  <c r="E6" i="65"/>
  <c r="C2" i="71"/>
  <c r="AD8" i="65"/>
  <c r="O8" i="65"/>
  <c r="E33" i="71"/>
  <c r="AI6" i="65"/>
  <c r="C61" i="71"/>
  <c r="F6" i="65"/>
  <c r="G7" i="65"/>
  <c r="G54" i="71"/>
  <c r="M4" i="65"/>
  <c r="D5" i="65"/>
  <c r="G19" i="71"/>
  <c r="AB8" i="65"/>
  <c r="AK9" i="65"/>
  <c r="R7" i="65"/>
  <c r="AG7" i="65"/>
  <c r="E4" i="65"/>
  <c r="G7" i="71"/>
  <c r="U7" i="65"/>
  <c r="E42" i="71"/>
  <c r="AH4" i="60"/>
  <c r="F23" i="71"/>
  <c r="O6" i="65"/>
  <c r="C10" i="65"/>
  <c r="C51" i="71"/>
  <c r="E75" i="71"/>
  <c r="C28" i="71"/>
  <c r="AD13" i="60"/>
  <c r="AN11" i="65"/>
  <c r="P7" i="65"/>
  <c r="F8" i="65"/>
  <c r="H10" i="65"/>
  <c r="U3" i="65"/>
  <c r="N2" i="60"/>
  <c r="O7" i="65"/>
  <c r="P9" i="60"/>
  <c r="M6" i="65"/>
  <c r="Y3" i="60"/>
  <c r="F109" i="65"/>
  <c r="L20" i="60"/>
  <c r="AC11" i="60"/>
  <c r="F38" i="71"/>
  <c r="F50" i="71"/>
  <c r="E56" i="71"/>
  <c r="E57" i="71"/>
  <c r="AR16" i="60"/>
  <c r="AN5" i="65"/>
  <c r="E6" i="71"/>
  <c r="K9" i="60"/>
  <c r="J16" i="60"/>
  <c r="AM106" i="65"/>
  <c r="T16" i="60"/>
  <c r="F12" i="71"/>
  <c r="AP7" i="65"/>
  <c r="D29" i="71"/>
  <c r="D81" i="65"/>
  <c r="AJ11" i="65"/>
  <c r="AO4" i="65"/>
  <c r="AN9" i="60"/>
  <c r="AK4" i="65"/>
  <c r="C12" i="65"/>
  <c r="AK12" i="65"/>
  <c r="E16" i="71"/>
  <c r="I97" i="65"/>
  <c r="AL9" i="65"/>
  <c r="E47" i="60"/>
  <c r="AD4" i="60"/>
  <c r="K13" i="60"/>
  <c r="AR5" i="60"/>
  <c r="E9" i="65"/>
  <c r="AJ13" i="60"/>
  <c r="S4" i="65"/>
  <c r="O4" i="65"/>
  <c r="E70" i="71"/>
  <c r="G24" i="60"/>
  <c r="AC5" i="65"/>
  <c r="W4" i="60"/>
  <c r="M5" i="65"/>
  <c r="V26" i="65"/>
  <c r="AG12" i="60"/>
  <c r="D59" i="71"/>
  <c r="AL12" i="65"/>
  <c r="D76" i="71"/>
  <c r="AN3" i="60"/>
  <c r="E35" i="71"/>
  <c r="C69" i="71"/>
  <c r="N12" i="65"/>
  <c r="C24" i="71"/>
  <c r="U9" i="65"/>
  <c r="AC10" i="65"/>
  <c r="AG11" i="65"/>
  <c r="P6" i="65"/>
  <c r="W8" i="65"/>
  <c r="D50" i="71"/>
  <c r="AT4" i="65"/>
  <c r="Y16" i="60"/>
  <c r="X4" i="65"/>
  <c r="L3" i="65"/>
  <c r="F83" i="65"/>
  <c r="R3" i="65"/>
  <c r="O3" i="60"/>
  <c r="E8" i="71"/>
  <c r="F4" i="60"/>
  <c r="H12" i="65"/>
  <c r="AH5" i="60"/>
  <c r="F72" i="71"/>
  <c r="O9" i="60"/>
  <c r="F16" i="71"/>
  <c r="E12" i="65"/>
  <c r="V8" i="65"/>
  <c r="AQ3" i="60"/>
  <c r="I75" i="65"/>
  <c r="D59" i="65"/>
  <c r="S9" i="65"/>
  <c r="S3" i="65"/>
  <c r="T6" i="65"/>
  <c r="F16" i="60"/>
  <c r="O3" i="65"/>
  <c r="AF9" i="65"/>
  <c r="L6" i="65"/>
  <c r="L7" i="65"/>
  <c r="K12" i="65"/>
  <c r="C7" i="71"/>
  <c r="E39" i="71"/>
  <c r="Y10" i="60"/>
  <c r="P10" i="65"/>
  <c r="AU5" i="65"/>
  <c r="AU8" i="65"/>
  <c r="AA12" i="65"/>
  <c r="AH12" i="65"/>
  <c r="N7" i="65"/>
  <c r="AD4" i="65"/>
  <c r="N8" i="65"/>
  <c r="D12" i="65"/>
  <c r="D7" i="71"/>
  <c r="Z17" i="60"/>
  <c r="AE9" i="65"/>
  <c r="AF100" i="65"/>
  <c r="AK6" i="65"/>
  <c r="AH5" i="65"/>
  <c r="AU3" i="65"/>
  <c r="AN3" i="65"/>
  <c r="AR5" i="65"/>
  <c r="G46" i="71"/>
  <c r="AL10" i="65"/>
  <c r="AR3" i="65"/>
  <c r="Z23" i="60"/>
  <c r="G57" i="71"/>
  <c r="C53" i="71"/>
  <c r="F3" i="65"/>
  <c r="AC3" i="60"/>
  <c r="E16" i="60"/>
  <c r="F14" i="71"/>
  <c r="T3" i="65"/>
  <c r="O5" i="65"/>
  <c r="AF9" i="60"/>
  <c r="F62" i="71"/>
  <c r="AE3" i="65"/>
  <c r="J37" i="65"/>
  <c r="AR10" i="60"/>
  <c r="AN24" i="60"/>
  <c r="F27" i="71"/>
  <c r="S11" i="60"/>
  <c r="J9" i="65"/>
  <c r="D3" i="65"/>
  <c r="D48" i="71"/>
  <c r="AJ6" i="65"/>
  <c r="C78" i="71"/>
  <c r="AU4" i="65"/>
  <c r="S6" i="65"/>
  <c r="F34" i="71"/>
  <c r="Y6" i="65"/>
  <c r="AR8" i="65"/>
  <c r="L5" i="65"/>
  <c r="C64" i="71"/>
  <c r="G56" i="71"/>
  <c r="F52" i="71"/>
  <c r="D13" i="71"/>
  <c r="H4" i="65"/>
  <c r="F69" i="71"/>
  <c r="G49" i="71"/>
  <c r="R16" i="60"/>
  <c r="AH12" i="60"/>
  <c r="AO8" i="65"/>
  <c r="AS25" i="60"/>
  <c r="D62" i="71"/>
  <c r="Q5" i="60"/>
  <c r="E20" i="71"/>
  <c r="AA16" i="60"/>
  <c r="L9" i="65"/>
  <c r="C14" i="71"/>
  <c r="D11" i="71"/>
  <c r="E39" i="65"/>
  <c r="Y4" i="60"/>
  <c r="G76" i="71"/>
  <c r="E3" i="71"/>
  <c r="AR18" i="60"/>
  <c r="F46" i="71"/>
  <c r="C54" i="71"/>
  <c r="AE12" i="65"/>
  <c r="E13" i="71"/>
  <c r="AK5" i="65"/>
  <c r="AQ12" i="65"/>
  <c r="AL8" i="65"/>
  <c r="F3" i="71"/>
  <c r="AG3" i="65"/>
  <c r="AI9" i="65"/>
  <c r="AB6" i="65"/>
  <c r="AO7" i="65"/>
  <c r="D68" i="71"/>
  <c r="F81" i="65"/>
  <c r="R81" i="65"/>
  <c r="F12" i="65"/>
  <c r="K93" i="65"/>
  <c r="O18" i="60"/>
  <c r="F42" i="71"/>
  <c r="C15" i="71"/>
  <c r="C26" i="71"/>
  <c r="E65" i="71"/>
  <c r="AT18" i="60"/>
  <c r="AG4" i="65"/>
  <c r="F13" i="60"/>
  <c r="K5" i="60"/>
  <c r="S18" i="60"/>
  <c r="AR78" i="65"/>
  <c r="AV4" i="60"/>
  <c r="F10" i="71"/>
  <c r="V5" i="65"/>
  <c r="G26" i="5"/>
  <c r="AC4" i="65"/>
  <c r="P8" i="65"/>
  <c r="J26" i="5"/>
  <c r="L10" i="65"/>
  <c r="AU11" i="65"/>
  <c r="D66" i="71"/>
  <c r="G32" i="71"/>
  <c r="C35" i="71"/>
  <c r="AF7" i="65"/>
  <c r="AJ43" i="65"/>
  <c r="AP4" i="65"/>
  <c r="AD7" i="65"/>
  <c r="C36" i="71"/>
  <c r="E24" i="71"/>
  <c r="D36" i="71"/>
  <c r="D17" i="71"/>
  <c r="AS5" i="65"/>
  <c r="AQ7" i="65"/>
  <c r="V11" i="65"/>
  <c r="J4" i="65"/>
  <c r="F73" i="71"/>
  <c r="T10" i="65"/>
  <c r="F33" i="71"/>
  <c r="Q9" i="65"/>
  <c r="F31" i="71"/>
  <c r="AJ5" i="65"/>
  <c r="R27" i="60"/>
  <c r="AI9" i="60"/>
  <c r="W7" i="65"/>
  <c r="K10" i="65"/>
  <c r="D21" i="71"/>
  <c r="V10" i="65"/>
  <c r="C11" i="65"/>
  <c r="F60" i="71"/>
  <c r="AG25" i="60"/>
  <c r="Y18" i="60"/>
  <c r="AQ3" i="65"/>
  <c r="AE23" i="60"/>
  <c r="D100" i="65"/>
  <c r="AA23" i="60"/>
  <c r="G48" i="71"/>
  <c r="D3" i="71"/>
  <c r="D44" i="71"/>
  <c r="C106" i="65"/>
  <c r="R4" i="65"/>
  <c r="Z12" i="65"/>
  <c r="E37" i="71"/>
  <c r="AB17" i="60"/>
  <c r="AU23" i="60"/>
  <c r="F70" i="71"/>
  <c r="F55" i="71"/>
  <c r="I87" i="65"/>
  <c r="D16" i="60"/>
  <c r="W3" i="65"/>
  <c r="J6" i="65"/>
  <c r="E25" i="71"/>
  <c r="D28" i="71"/>
  <c r="F35" i="71"/>
  <c r="F67" i="71"/>
  <c r="P12" i="65"/>
  <c r="F78" i="71"/>
  <c r="G23" i="71"/>
  <c r="H100" i="65"/>
  <c r="D61" i="71"/>
  <c r="E69" i="71"/>
  <c r="N25" i="60"/>
  <c r="C20" i="71"/>
  <c r="R10" i="65"/>
  <c r="C44" i="71"/>
  <c r="N20" i="60"/>
  <c r="G37" i="71"/>
  <c r="AN9" i="65"/>
  <c r="O17" i="60"/>
  <c r="AQ79" i="65"/>
  <c r="Z18" i="60"/>
  <c r="E8" i="65"/>
  <c r="G28" i="71"/>
  <c r="G3" i="71"/>
  <c r="AQ10" i="65"/>
  <c r="H3" i="60"/>
  <c r="D4" i="71"/>
  <c r="I64" i="65"/>
  <c r="F26" i="71"/>
  <c r="Y12" i="65"/>
  <c r="C9" i="71"/>
  <c r="AC7" i="65"/>
  <c r="X6" i="65"/>
  <c r="G5" i="65"/>
  <c r="AT5" i="65"/>
  <c r="G15" i="71"/>
  <c r="D30" i="71"/>
  <c r="D10" i="71"/>
  <c r="AT10" i="60"/>
  <c r="E19" i="60"/>
  <c r="H27" i="60"/>
  <c r="AL25" i="60"/>
  <c r="M5" i="60"/>
  <c r="D15" i="71"/>
  <c r="AD11" i="65"/>
  <c r="G39" i="71"/>
  <c r="AE20" i="60"/>
  <c r="C70" i="71"/>
  <c r="AE18" i="60"/>
  <c r="E5" i="65"/>
  <c r="G62" i="71"/>
  <c r="W101" i="65"/>
  <c r="G44" i="71"/>
  <c r="C8" i="71"/>
  <c r="AE23" i="65"/>
  <c r="K19" i="60"/>
  <c r="R76" i="65"/>
  <c r="AC18" i="60"/>
  <c r="H96" i="65"/>
  <c r="AT3" i="65"/>
  <c r="T12" i="65"/>
  <c r="AR7" i="65"/>
  <c r="F20" i="60"/>
  <c r="AI6" i="60"/>
  <c r="L19" i="60"/>
  <c r="X26" i="60"/>
  <c r="G6" i="60"/>
  <c r="I79" i="65"/>
  <c r="AA19" i="60"/>
  <c r="D52" i="65"/>
  <c r="AU17" i="60"/>
  <c r="AS76" i="65"/>
  <c r="AA7" i="65"/>
  <c r="G42" i="71"/>
  <c r="I3" i="65"/>
  <c r="L11" i="65"/>
  <c r="L8" i="65"/>
  <c r="F7" i="71"/>
  <c r="AE5" i="65"/>
  <c r="AG16" i="60"/>
  <c r="AQ4" i="65"/>
  <c r="AB18" i="60"/>
  <c r="AI23" i="60"/>
  <c r="D31" i="71"/>
  <c r="G60" i="71"/>
  <c r="D7" i="65"/>
  <c r="AU7" i="65"/>
  <c r="C7" i="65"/>
  <c r="C43" i="71"/>
  <c r="H9" i="65"/>
  <c r="AP18" i="60"/>
  <c r="C39" i="71"/>
  <c r="Q10" i="60"/>
  <c r="AR3" i="60"/>
  <c r="Y7" i="65"/>
  <c r="D75" i="71"/>
  <c r="V7" i="65"/>
  <c r="G52" i="71"/>
  <c r="G3" i="65"/>
  <c r="C61" i="65"/>
  <c r="AL20" i="60"/>
  <c r="C27" i="71"/>
  <c r="V19" i="60"/>
  <c r="AM3" i="65"/>
  <c r="G20" i="65"/>
  <c r="K101" i="65"/>
  <c r="AT45" i="65"/>
  <c r="W5" i="65"/>
  <c r="K88" i="65"/>
  <c r="AH3" i="60"/>
  <c r="AL72" i="65"/>
  <c r="K4" i="60"/>
  <c r="M9" i="65"/>
  <c r="AQ11" i="65"/>
  <c r="K24" i="60"/>
  <c r="AR11" i="60"/>
  <c r="AK8" i="65"/>
  <c r="S6" i="60"/>
  <c r="AE27" i="60"/>
  <c r="G112" i="65"/>
  <c r="J29" i="65"/>
  <c r="K26" i="65"/>
  <c r="AB19" i="60"/>
  <c r="F18" i="60"/>
  <c r="X5" i="65"/>
  <c r="M10" i="65"/>
  <c r="X101" i="65"/>
  <c r="V20" i="60"/>
  <c r="AB80" i="65"/>
  <c r="AN18" i="60"/>
  <c r="D12" i="71"/>
  <c r="S13" i="60"/>
  <c r="AP9" i="60"/>
  <c r="D47" i="71"/>
  <c r="D17" i="60"/>
  <c r="AL4" i="60"/>
  <c r="AK85" i="65"/>
  <c r="W80" i="65"/>
  <c r="U19" i="60"/>
  <c r="S12" i="60"/>
  <c r="AC74" i="65"/>
  <c r="H48" i="65"/>
  <c r="Q4" i="60"/>
  <c r="AT9" i="60"/>
  <c r="AC105" i="65"/>
  <c r="N17" i="60"/>
  <c r="K74" i="65"/>
  <c r="F99" i="65"/>
  <c r="C25" i="71"/>
  <c r="D6" i="60"/>
  <c r="AS12" i="60"/>
  <c r="AD30" i="65"/>
  <c r="Z75" i="65"/>
  <c r="AP6" i="60"/>
  <c r="E43" i="71"/>
  <c r="AU6" i="60"/>
  <c r="W12" i="65"/>
  <c r="G69" i="71"/>
  <c r="AO5" i="65"/>
  <c r="G2" i="71"/>
  <c r="AD23" i="60"/>
  <c r="C60" i="71"/>
  <c r="D5" i="71"/>
  <c r="J5" i="65"/>
  <c r="F10" i="60"/>
  <c r="AN10" i="65"/>
  <c r="E62" i="71"/>
  <c r="AP25" i="60"/>
  <c r="D19" i="60"/>
  <c r="U37" i="65"/>
  <c r="C29" i="65"/>
  <c r="W11" i="60"/>
  <c r="T13" i="60"/>
  <c r="AE11" i="65"/>
  <c r="AC42" i="65"/>
  <c r="AD74" i="65"/>
  <c r="G27" i="60"/>
  <c r="C37" i="65"/>
  <c r="E17" i="60"/>
  <c r="F92" i="65"/>
  <c r="G73" i="71"/>
  <c r="D43" i="71"/>
  <c r="V18" i="60"/>
  <c r="G42" i="65"/>
  <c r="J29" i="53"/>
  <c r="G17" i="71"/>
  <c r="D102" i="65"/>
  <c r="V10" i="60"/>
  <c r="G34" i="71"/>
  <c r="AC3" i="65"/>
  <c r="C22" i="71"/>
  <c r="AC27" i="65"/>
  <c r="AR4" i="65"/>
  <c r="F56" i="71"/>
  <c r="E36" i="71"/>
  <c r="C49" i="71"/>
  <c r="AN4" i="60"/>
  <c r="K113" i="65"/>
  <c r="AF6" i="65"/>
  <c r="AG23" i="60"/>
  <c r="O26" i="60"/>
  <c r="AN26" i="60"/>
  <c r="AI19" i="60"/>
  <c r="AB3" i="60"/>
  <c r="V16" i="60"/>
  <c r="AE4" i="60"/>
  <c r="AF5" i="60"/>
  <c r="M27" i="60"/>
  <c r="H101" i="65"/>
  <c r="K79" i="65"/>
  <c r="S9" i="60"/>
  <c r="J11" i="65"/>
  <c r="C73" i="71"/>
  <c r="D19" i="71"/>
  <c r="D54" i="71"/>
  <c r="F5" i="65"/>
  <c r="D72" i="71"/>
  <c r="H7" i="65"/>
  <c r="V6" i="65"/>
  <c r="E26" i="5"/>
  <c r="U25" i="60"/>
  <c r="T9" i="65"/>
  <c r="L4" i="65"/>
  <c r="G30" i="71"/>
  <c r="G58" i="71"/>
  <c r="AK3" i="65"/>
  <c r="Q12" i="65"/>
  <c r="AA3" i="60"/>
  <c r="AL3" i="65"/>
  <c r="D78" i="71"/>
  <c r="Q18" i="60"/>
  <c r="C37" i="71"/>
  <c r="AS4" i="65"/>
  <c r="AC12" i="65"/>
  <c r="C74" i="71"/>
  <c r="K11" i="60"/>
  <c r="E12" i="71"/>
  <c r="AL24" i="60"/>
  <c r="D32" i="71"/>
  <c r="H3" i="65"/>
  <c r="AS8" i="65"/>
  <c r="X27" i="60"/>
  <c r="Q19" i="60"/>
  <c r="N81" i="65"/>
  <c r="J60" i="65"/>
  <c r="AC6" i="60"/>
  <c r="I17" i="60"/>
  <c r="H19" i="60"/>
  <c r="AO4" i="60"/>
  <c r="AE24" i="60"/>
  <c r="AO24" i="60"/>
  <c r="Z3" i="60"/>
  <c r="C9" i="65"/>
  <c r="H107" i="65"/>
  <c r="AC24" i="60"/>
  <c r="X2" i="60"/>
  <c r="O12" i="65"/>
  <c r="AE9" i="60"/>
  <c r="V9" i="60"/>
  <c r="AK3" i="60"/>
  <c r="F3" i="60"/>
  <c r="Z10" i="65"/>
  <c r="C52" i="65"/>
  <c r="G33" i="65"/>
  <c r="G41" i="71"/>
  <c r="F61" i="71"/>
  <c r="J5" i="60"/>
  <c r="D76" i="65"/>
  <c r="AL18" i="60"/>
  <c r="AE94" i="65"/>
  <c r="X77" i="65"/>
  <c r="C62" i="71"/>
  <c r="D74" i="71"/>
  <c r="AA9" i="60"/>
  <c r="D16" i="71"/>
  <c r="AQ26" i="60"/>
  <c r="H4" i="60"/>
  <c r="D26" i="60"/>
  <c r="F58" i="71"/>
  <c r="D56" i="71"/>
  <c r="E66" i="71"/>
  <c r="AE12" i="60"/>
  <c r="O20" i="60"/>
  <c r="AC16" i="60"/>
  <c r="AF46" i="65"/>
  <c r="AJ71" i="65"/>
  <c r="T42" i="65"/>
  <c r="D69" i="65"/>
  <c r="E32" i="71"/>
  <c r="Z3" i="65"/>
  <c r="N111" i="65"/>
  <c r="D73" i="65"/>
  <c r="E17" i="71"/>
  <c r="T23" i="60"/>
  <c r="J24" i="60"/>
  <c r="AF12" i="60"/>
  <c r="F51" i="71"/>
  <c r="G35" i="71"/>
  <c r="E26" i="60"/>
  <c r="S5" i="60"/>
  <c r="V97" i="65"/>
  <c r="AQ9" i="65"/>
  <c r="F26" i="5"/>
  <c r="H38" i="65"/>
  <c r="E114" i="65"/>
  <c r="E63" i="71"/>
  <c r="K6" i="65"/>
  <c r="C57" i="71"/>
  <c r="G93" i="65"/>
  <c r="E43" i="60"/>
  <c r="Z80" i="65"/>
  <c r="L32" i="65"/>
  <c r="AM10" i="65"/>
  <c r="AG12" i="65"/>
  <c r="AH26" i="60"/>
  <c r="AH13" i="60"/>
  <c r="M27" i="65"/>
  <c r="K73" i="65"/>
  <c r="AN71" i="65"/>
  <c r="W6" i="65"/>
  <c r="AB16" i="60"/>
  <c r="C59" i="71"/>
  <c r="AQ100" i="65"/>
  <c r="U95" i="65"/>
  <c r="O74" i="65"/>
  <c r="AN4" i="65"/>
  <c r="I41" i="65"/>
  <c r="D64" i="71"/>
  <c r="I55" i="65"/>
  <c r="G90" i="65"/>
  <c r="AV18" i="60"/>
  <c r="G101" i="65"/>
  <c r="U108" i="65"/>
  <c r="AS10" i="65"/>
  <c r="F2" i="71"/>
  <c r="X17" i="60"/>
  <c r="AN7" i="65"/>
  <c r="F15" i="71"/>
  <c r="V3" i="65"/>
  <c r="D51" i="71"/>
  <c r="AM8" i="65"/>
  <c r="U11" i="65"/>
  <c r="Z7" i="65"/>
  <c r="D42" i="71"/>
  <c r="H69" i="65"/>
  <c r="G14" i="71"/>
  <c r="E28" i="71"/>
  <c r="D8" i="71"/>
  <c r="S7" i="65"/>
  <c r="D41" i="71"/>
  <c r="AH7" i="65"/>
  <c r="AP5" i="65"/>
  <c r="AA4" i="65"/>
  <c r="E9" i="71"/>
  <c r="AH11" i="60"/>
  <c r="E48" i="60"/>
  <c r="AU10" i="65"/>
  <c r="C72" i="71"/>
  <c r="F44" i="71"/>
  <c r="C19" i="71"/>
  <c r="F21" i="71"/>
  <c r="AP8" i="65"/>
  <c r="AS7" i="65"/>
  <c r="D4" i="60"/>
  <c r="AI4" i="65"/>
  <c r="AC9" i="65"/>
  <c r="I25" i="60"/>
  <c r="AH16" i="60"/>
  <c r="AO27" i="60"/>
  <c r="AG20" i="60"/>
  <c r="AP3" i="60"/>
  <c r="D27" i="71"/>
  <c r="AD9" i="65"/>
  <c r="AH25" i="60"/>
  <c r="E44" i="71"/>
  <c r="AI22" i="65"/>
  <c r="Z10" i="60"/>
  <c r="AP19" i="60"/>
  <c r="T8" i="65"/>
  <c r="AM11" i="65"/>
  <c r="AK26" i="60"/>
  <c r="K53" i="65"/>
  <c r="AM4" i="60"/>
  <c r="F76" i="71"/>
  <c r="Z28" i="65"/>
  <c r="AD32" i="65"/>
  <c r="G31" i="65"/>
  <c r="AV26" i="60"/>
  <c r="F26" i="60"/>
  <c r="F42" i="65"/>
  <c r="H5" i="60"/>
  <c r="Y8" i="65"/>
  <c r="O12" i="60"/>
  <c r="AG8" i="65"/>
  <c r="J82" i="65"/>
  <c r="H108" i="65"/>
  <c r="G71" i="71"/>
  <c r="F23" i="60"/>
  <c r="G107" i="65"/>
  <c r="W25" i="60"/>
  <c r="D71" i="71"/>
  <c r="Y4" i="65"/>
  <c r="P25" i="60"/>
  <c r="K92" i="65"/>
  <c r="M12" i="60"/>
  <c r="I24" i="60"/>
  <c r="C76" i="71"/>
  <c r="AD24" i="60"/>
  <c r="AJ26" i="60"/>
  <c r="I46" i="65"/>
  <c r="AE70" i="65"/>
  <c r="V13" i="60"/>
  <c r="I92" i="65"/>
  <c r="E53" i="65"/>
  <c r="Y102" i="65"/>
  <c r="N4" i="65"/>
  <c r="Q13" i="60"/>
  <c r="AM101" i="65"/>
  <c r="C82" i="65"/>
  <c r="G2" i="60"/>
  <c r="AT26" i="60"/>
  <c r="C31" i="65"/>
  <c r="T11" i="60"/>
  <c r="AG19" i="60"/>
  <c r="J111" i="65"/>
  <c r="M77" i="65"/>
  <c r="J22" i="65"/>
  <c r="AI10" i="65"/>
  <c r="E38" i="71"/>
  <c r="N9" i="65"/>
  <c r="AC107" i="65"/>
  <c r="Z86" i="65"/>
  <c r="I44" i="65"/>
  <c r="S8" i="65"/>
  <c r="Y13" i="60"/>
  <c r="AL2" i="60"/>
  <c r="G3" i="60"/>
  <c r="J4" i="60"/>
  <c r="G109" i="65"/>
  <c r="C77" i="71"/>
  <c r="AO20" i="60"/>
  <c r="Q3" i="60"/>
  <c r="AG18" i="60"/>
  <c r="AK115" i="65"/>
  <c r="E88" i="65"/>
  <c r="S26" i="60"/>
  <c r="E4" i="71"/>
  <c r="G29" i="71"/>
  <c r="F5" i="71"/>
  <c r="H51" i="65"/>
  <c r="F85" i="65"/>
  <c r="AB20" i="60"/>
  <c r="F77" i="71"/>
  <c r="AB87" i="65"/>
  <c r="AS16" i="60"/>
  <c r="AF10" i="65"/>
  <c r="U13" i="60"/>
  <c r="X10" i="60"/>
  <c r="E50" i="65"/>
  <c r="D65" i="71"/>
  <c r="G50" i="71"/>
  <c r="F11" i="65"/>
  <c r="AF11" i="60"/>
  <c r="AG10" i="65"/>
  <c r="C6" i="71"/>
  <c r="X7" i="65"/>
  <c r="G92" i="65"/>
  <c r="AK12" i="60"/>
  <c r="H17" i="60"/>
  <c r="L3" i="60"/>
  <c r="AD26" i="60"/>
  <c r="AC17" i="60"/>
  <c r="C56" i="71"/>
  <c r="W20" i="60"/>
  <c r="S3" i="60"/>
  <c r="AT24" i="60"/>
  <c r="AI26" i="65"/>
  <c r="I12" i="65"/>
  <c r="E54" i="71"/>
  <c r="AL23" i="60"/>
  <c r="H11" i="65"/>
  <c r="AG101" i="65"/>
  <c r="P6" i="60"/>
  <c r="J46" i="65"/>
  <c r="AJ9" i="60"/>
  <c r="P2" i="60"/>
  <c r="R2" i="60"/>
  <c r="U5" i="65"/>
  <c r="G72" i="65"/>
  <c r="I13" i="60"/>
  <c r="AT19" i="60"/>
  <c r="S26" i="65"/>
  <c r="AG11" i="60"/>
  <c r="AM16" i="60"/>
  <c r="O84" i="65"/>
  <c r="D64" i="65"/>
  <c r="AO3" i="38"/>
  <c r="E20" i="60"/>
  <c r="I96" i="65"/>
  <c r="D8" i="65"/>
  <c r="V17" i="60"/>
  <c r="AQ6" i="60"/>
  <c r="AM9" i="60"/>
  <c r="AN112" i="65"/>
  <c r="C32" i="65"/>
  <c r="AA2" i="60"/>
  <c r="T5" i="60"/>
  <c r="AB24" i="60"/>
  <c r="D67" i="71"/>
  <c r="R10" i="60"/>
  <c r="AR27" i="60"/>
  <c r="AM4" i="65"/>
  <c r="AD20" i="65"/>
  <c r="C80" i="65"/>
  <c r="L94" i="65"/>
  <c r="AA5" i="65"/>
  <c r="C52" i="71"/>
  <c r="AR9" i="60"/>
  <c r="AU11" i="60"/>
  <c r="AM5" i="60"/>
  <c r="P24" i="60"/>
  <c r="E7" i="65"/>
  <c r="AJ90" i="65"/>
  <c r="AU9" i="60"/>
  <c r="AV6" i="60"/>
  <c r="E57" i="65"/>
  <c r="AU16" i="60"/>
  <c r="I26" i="60"/>
  <c r="F40" i="65"/>
  <c r="K7" i="65"/>
  <c r="M13" i="60"/>
  <c r="AB4" i="60"/>
  <c r="C3" i="71"/>
  <c r="AL6" i="60"/>
  <c r="AK34" i="65"/>
  <c r="Z20" i="60"/>
  <c r="AQ23" i="60"/>
  <c r="AT17" i="60"/>
  <c r="E79" i="65"/>
  <c r="K2" i="60"/>
  <c r="Y6" i="60"/>
  <c r="C111" i="65"/>
  <c r="F35" i="65"/>
  <c r="T30" i="65"/>
  <c r="Q73" i="65"/>
  <c r="N26" i="60"/>
  <c r="AF35" i="65"/>
  <c r="AO10" i="60"/>
  <c r="K29" i="65"/>
  <c r="Y83" i="65"/>
  <c r="F107" i="65"/>
  <c r="AG96" i="65"/>
  <c r="Y97" i="65"/>
  <c r="Q44" i="65"/>
  <c r="K25" i="60"/>
  <c r="C53" i="65"/>
  <c r="F115" i="65"/>
  <c r="Y5" i="60"/>
  <c r="AK25" i="60"/>
  <c r="J74" i="65"/>
  <c r="O19" i="60"/>
  <c r="W79" i="65"/>
  <c r="AJ2" i="60"/>
  <c r="AU94" i="65"/>
  <c r="AA24" i="60"/>
  <c r="AR24" i="60"/>
  <c r="R24" i="60"/>
  <c r="AN25" i="60"/>
  <c r="G12" i="65"/>
  <c r="R45" i="65"/>
  <c r="M6" i="60"/>
  <c r="J33" i="65"/>
  <c r="E112" i="65"/>
  <c r="N110" i="65"/>
  <c r="I29" i="65"/>
  <c r="AG10" i="60"/>
  <c r="X11" i="60"/>
  <c r="M41" i="65"/>
  <c r="S74" i="65"/>
  <c r="AT25" i="60"/>
  <c r="AQ21" i="65"/>
  <c r="AB12" i="60"/>
  <c r="D75" i="65"/>
  <c r="AO81" i="65"/>
  <c r="AM6" i="60"/>
  <c r="AL3" i="60"/>
  <c r="P77" i="65"/>
  <c r="AK110" i="65"/>
  <c r="AD96" i="65"/>
  <c r="H11" i="60"/>
  <c r="AI110" i="65"/>
  <c r="AK19" i="60"/>
  <c r="V74" i="65"/>
  <c r="AD27" i="60"/>
  <c r="V4" i="65"/>
  <c r="F32" i="71"/>
  <c r="D25" i="71"/>
  <c r="D58" i="71"/>
  <c r="AA26" i="60"/>
  <c r="AB3" i="65"/>
  <c r="AG5" i="65"/>
  <c r="G77" i="71"/>
  <c r="H16" i="60"/>
  <c r="C44" i="65"/>
  <c r="E45" i="71"/>
  <c r="S5" i="65"/>
  <c r="AT75" i="65"/>
  <c r="Q11" i="60"/>
  <c r="AD3" i="65"/>
  <c r="S24" i="60"/>
  <c r="F97" i="65"/>
  <c r="AA11" i="65"/>
  <c r="AD5" i="60"/>
  <c r="N13" i="60"/>
  <c r="AR6" i="60"/>
  <c r="AG9" i="65"/>
  <c r="D60" i="71"/>
  <c r="E25" i="60"/>
  <c r="AL5" i="60"/>
  <c r="G53" i="65"/>
  <c r="AB59" i="65"/>
  <c r="E47" i="71"/>
  <c r="X11" i="65"/>
  <c r="G4" i="71"/>
  <c r="E31" i="71"/>
  <c r="AT27" i="60"/>
  <c r="F63" i="71"/>
  <c r="AP4" i="60"/>
  <c r="D103" i="65"/>
  <c r="I36" i="65"/>
  <c r="J34" i="5"/>
  <c r="M21" i="65"/>
  <c r="AF93" i="65"/>
  <c r="AT9" i="65"/>
  <c r="R29" i="65"/>
  <c r="F5" i="60"/>
  <c r="AF4" i="60"/>
  <c r="AK24" i="60"/>
  <c r="E56" i="65"/>
  <c r="AO83" i="65"/>
  <c r="G70" i="71"/>
  <c r="AK10" i="65"/>
  <c r="F4" i="71"/>
  <c r="K17" i="60"/>
  <c r="AU19" i="60"/>
  <c r="R18" i="60"/>
  <c r="AE25" i="60"/>
  <c r="D18" i="71"/>
  <c r="AF26" i="60"/>
  <c r="Z12" i="60"/>
  <c r="G78" i="71"/>
  <c r="D34" i="71"/>
  <c r="AH20" i="60"/>
  <c r="T17" i="60"/>
  <c r="W24" i="60"/>
  <c r="C69" i="65"/>
  <c r="D14" i="71"/>
  <c r="F53" i="71"/>
  <c r="AO9" i="60"/>
  <c r="AI38" i="65"/>
  <c r="Y89" i="65"/>
  <c r="T111" i="65"/>
  <c r="AK38" i="65"/>
  <c r="J23" i="60"/>
  <c r="C57" i="65"/>
  <c r="O16" i="60"/>
  <c r="AE6" i="60"/>
  <c r="AR95" i="65"/>
  <c r="AC69" i="65"/>
  <c r="H42" i="65"/>
  <c r="J94" i="65"/>
  <c r="H45" i="65"/>
  <c r="H32" i="65"/>
  <c r="AL46" i="65"/>
  <c r="X74" i="65"/>
  <c r="AD12" i="60"/>
  <c r="AD9" i="60"/>
  <c r="J76" i="65"/>
  <c r="AD19" i="60"/>
  <c r="AT5" i="60"/>
  <c r="D113" i="65"/>
  <c r="G29" i="5"/>
  <c r="I29" i="5"/>
  <c r="Y3" i="65"/>
  <c r="F8" i="71"/>
  <c r="U24" i="60"/>
  <c r="AT23" i="60"/>
  <c r="E29" i="5"/>
  <c r="T33" i="65"/>
  <c r="AE84" i="65"/>
  <c r="I109" i="65"/>
  <c r="K80" i="65"/>
  <c r="K20" i="60"/>
  <c r="K24" i="65"/>
  <c r="Q78" i="65"/>
  <c r="U4" i="60"/>
  <c r="J114" i="65"/>
  <c r="AP10" i="60"/>
  <c r="R20" i="60"/>
  <c r="AJ88" i="65"/>
  <c r="W99" i="65"/>
  <c r="W5" i="60"/>
  <c r="AG27" i="60"/>
  <c r="K30" i="65"/>
  <c r="K87" i="65"/>
  <c r="H90" i="65"/>
  <c r="Z11" i="60"/>
  <c r="AA25" i="65"/>
  <c r="AL29" i="65"/>
  <c r="H29" i="65"/>
  <c r="AP2" i="60"/>
  <c r="AU32" i="65"/>
  <c r="AE80" i="65"/>
  <c r="AQ5" i="60"/>
  <c r="V78" i="65"/>
  <c r="AL63" i="65"/>
  <c r="AR83" i="65"/>
  <c r="Q16" i="60"/>
  <c r="I12" i="60"/>
  <c r="AJ12" i="60"/>
  <c r="O109" i="65"/>
  <c r="AR11" i="65"/>
  <c r="AU13" i="60"/>
  <c r="AM7" i="65"/>
  <c r="U8" i="65"/>
  <c r="J39" i="65"/>
  <c r="N11" i="65"/>
  <c r="U23" i="60"/>
  <c r="G61" i="71"/>
  <c r="D63" i="71"/>
  <c r="I7" i="65"/>
  <c r="AA12" i="60"/>
  <c r="AA101" i="65"/>
  <c r="AO12" i="60"/>
  <c r="V2" i="60"/>
  <c r="AO11" i="60"/>
  <c r="AK7" i="65"/>
  <c r="AC25" i="60"/>
  <c r="AG6" i="60"/>
  <c r="E21" i="65"/>
  <c r="G111" i="65"/>
  <c r="C11" i="71"/>
  <c r="AJ85" i="65"/>
  <c r="AE4" i="65"/>
  <c r="C16" i="71"/>
  <c r="AO103" i="65"/>
  <c r="F22" i="71"/>
  <c r="F37" i="71"/>
  <c r="P13" i="60"/>
  <c r="AD3" i="60"/>
  <c r="AC70" i="65"/>
  <c r="N10" i="60"/>
  <c r="K66" i="65"/>
  <c r="AE16" i="60"/>
  <c r="C29" i="71"/>
  <c r="G53" i="71"/>
  <c r="L10" i="60"/>
  <c r="I40" i="65"/>
  <c r="AR102" i="65"/>
  <c r="E10" i="65"/>
  <c r="G10" i="71"/>
  <c r="J99" i="65"/>
  <c r="S86" i="65"/>
  <c r="AS37" i="65"/>
  <c r="AM23" i="60"/>
  <c r="AD6" i="60"/>
  <c r="D13" i="60"/>
  <c r="AM27" i="65"/>
  <c r="J7" i="65"/>
  <c r="C104" i="65"/>
  <c r="U23" i="65"/>
  <c r="I6" i="65"/>
  <c r="C32" i="71"/>
  <c r="G66" i="71"/>
  <c r="F66" i="71"/>
  <c r="Z24" i="60"/>
  <c r="P3" i="65"/>
  <c r="D6" i="71"/>
  <c r="Z26" i="60"/>
  <c r="AI3" i="60"/>
  <c r="E27" i="60"/>
  <c r="G18" i="60"/>
  <c r="E111" i="65"/>
  <c r="AT11" i="60"/>
  <c r="S27" i="60"/>
  <c r="H25" i="60"/>
  <c r="AB71" i="65"/>
  <c r="U26" i="60"/>
  <c r="D25" i="65"/>
  <c r="AC26" i="60"/>
  <c r="AK6" i="60"/>
  <c r="D24" i="71"/>
  <c r="E21" i="71"/>
  <c r="AS5" i="60"/>
  <c r="V22" i="65"/>
  <c r="N36" i="65"/>
  <c r="D23" i="60"/>
  <c r="AA4" i="60"/>
  <c r="P83" i="65"/>
  <c r="I20" i="65"/>
  <c r="V5" i="60"/>
  <c r="AP30" i="65"/>
  <c r="Z4" i="60"/>
  <c r="J43" i="65"/>
  <c r="U10" i="60"/>
  <c r="D53" i="65"/>
  <c r="AE115" i="65"/>
  <c r="AH65" i="65"/>
  <c r="G19" i="60"/>
  <c r="G75" i="65"/>
  <c r="G20" i="60"/>
  <c r="AF12" i="65"/>
  <c r="J42" i="65"/>
  <c r="O6" i="60"/>
  <c r="K10" i="60"/>
  <c r="U93" i="65"/>
  <c r="I52" i="65"/>
  <c r="W10" i="60"/>
  <c r="E26" i="65"/>
  <c r="AH23" i="60"/>
  <c r="AN80" i="65"/>
  <c r="C109" i="65"/>
  <c r="R103" i="65"/>
  <c r="K77" i="65"/>
  <c r="R8" i="65"/>
  <c r="AB103" i="65"/>
  <c r="AP58" i="65"/>
  <c r="H5" i="65"/>
  <c r="H94" i="65"/>
  <c r="AL11" i="65"/>
  <c r="W23" i="60"/>
  <c r="AU103" i="65"/>
  <c r="AF3" i="60"/>
  <c r="G22" i="71"/>
  <c r="S81" i="65"/>
  <c r="G44" i="60"/>
  <c r="AJ80" i="65"/>
  <c r="L109" i="65"/>
  <c r="L24" i="60"/>
  <c r="AM26" i="60"/>
  <c r="AB23" i="60"/>
  <c r="K22" i="53"/>
  <c r="AG104" i="65"/>
  <c r="U54" i="65"/>
  <c r="AU2" i="60"/>
  <c r="AS91" i="65"/>
  <c r="AE41" i="65"/>
  <c r="AP96" i="65"/>
  <c r="M3" i="65"/>
  <c r="F19" i="71"/>
  <c r="F71" i="71"/>
  <c r="N3" i="65"/>
  <c r="G17" i="60"/>
  <c r="L5" i="60"/>
  <c r="AN8" i="65"/>
  <c r="O25" i="60"/>
  <c r="C66" i="71"/>
  <c r="AL97" i="65"/>
  <c r="F48" i="60"/>
  <c r="Q20" i="60"/>
  <c r="K3" i="65"/>
  <c r="P4" i="60"/>
  <c r="P4" i="65"/>
  <c r="AH9" i="60"/>
  <c r="AS81" i="65"/>
  <c r="C85" i="65"/>
  <c r="AQ2" i="60"/>
  <c r="AI16" i="60"/>
  <c r="C102" i="65"/>
  <c r="AH24" i="60"/>
  <c r="J17" i="60"/>
  <c r="AM103" i="65"/>
  <c r="AJ82" i="65"/>
  <c r="W17" i="60"/>
  <c r="AT70" i="65"/>
  <c r="AM19" i="60"/>
  <c r="V4" i="60"/>
  <c r="AI102" i="65"/>
  <c r="K3" i="60"/>
  <c r="AM17" i="60"/>
  <c r="AL81" i="65"/>
  <c r="O24" i="60"/>
  <c r="AQ101" i="65"/>
  <c r="AB73" i="65"/>
  <c r="K27" i="65"/>
  <c r="W2" i="60"/>
  <c r="H19" i="53"/>
  <c r="AS38" i="65"/>
  <c r="AB6" i="60"/>
  <c r="AD25" i="60"/>
  <c r="AC2" i="60"/>
  <c r="R82" i="65"/>
  <c r="G21" i="71"/>
  <c r="H12" i="60"/>
  <c r="Y70" i="65"/>
  <c r="F63" i="65"/>
  <c r="H2" i="60"/>
  <c r="Q24" i="60"/>
  <c r="AR38" i="65"/>
  <c r="AD75" i="65"/>
  <c r="M17" i="60"/>
  <c r="C70" i="65"/>
  <c r="D54" i="65"/>
  <c r="G41" i="65"/>
  <c r="AT74" i="65"/>
  <c r="R9" i="60"/>
  <c r="AL39" i="65"/>
  <c r="M4" i="60"/>
  <c r="AQ46" i="65"/>
  <c r="AR93" i="65"/>
  <c r="K23" i="5"/>
  <c r="W89" i="65"/>
  <c r="K110" i="65"/>
  <c r="M112" i="65"/>
  <c r="AO82" i="65"/>
  <c r="C60" i="65"/>
  <c r="U82" i="65"/>
  <c r="AG81" i="65"/>
  <c r="AA31" i="65"/>
  <c r="AO18" i="60"/>
  <c r="O91" i="65"/>
  <c r="C25" i="65"/>
  <c r="AS25" i="65"/>
  <c r="S17" i="60"/>
  <c r="C30" i="65"/>
  <c r="J54" i="65"/>
  <c r="M35" i="65"/>
  <c r="F53" i="65"/>
  <c r="E10" i="71"/>
  <c r="U16" i="60"/>
  <c r="F80" i="65"/>
  <c r="AQ9" i="60"/>
  <c r="U92" i="65"/>
  <c r="I27" i="60"/>
  <c r="AM38" i="65"/>
  <c r="AL96" i="65"/>
  <c r="I5" i="60"/>
  <c r="D114" i="65"/>
  <c r="U102" i="65"/>
  <c r="AL17" i="60"/>
  <c r="AN37" i="65"/>
  <c r="L17" i="60"/>
  <c r="AU3" i="60"/>
  <c r="E77" i="65"/>
  <c r="I47" i="65"/>
  <c r="K84" i="65"/>
  <c r="AB13" i="60"/>
  <c r="Y100" i="65"/>
  <c r="AE17" i="60"/>
  <c r="V50" i="65"/>
  <c r="R75" i="65"/>
  <c r="D105" i="65"/>
  <c r="P110" i="65"/>
  <c r="AN106" i="65"/>
  <c r="G12" i="60"/>
  <c r="R109" i="65"/>
  <c r="J98" i="65"/>
  <c r="V44" i="65"/>
  <c r="U3" i="60"/>
  <c r="AQ80" i="65"/>
  <c r="Z9" i="60"/>
  <c r="AE6" i="65"/>
  <c r="C45" i="65"/>
  <c r="U87" i="65"/>
  <c r="AK28" i="65"/>
  <c r="C24" i="65"/>
  <c r="AS17" i="60"/>
  <c r="P10" i="60"/>
  <c r="M19" i="60"/>
  <c r="AM24" i="60"/>
  <c r="AK36" i="65"/>
  <c r="C28" i="65"/>
  <c r="H44" i="65"/>
  <c r="E86" i="65"/>
  <c r="F43" i="60"/>
  <c r="O70" i="65"/>
  <c r="H58" i="65"/>
  <c r="AO56" i="65"/>
  <c r="Y69" i="65"/>
  <c r="T26" i="60"/>
  <c r="AP26" i="60"/>
  <c r="C84" i="65"/>
  <c r="I91" i="65"/>
  <c r="G28" i="65"/>
  <c r="D3" i="60"/>
  <c r="Z103" i="65"/>
  <c r="K51" i="65"/>
  <c r="J93" i="65"/>
  <c r="AQ11" i="60"/>
  <c r="AP56" i="65"/>
  <c r="F55" i="65"/>
  <c r="AL108" i="65"/>
  <c r="O28" i="65"/>
  <c r="E81" i="65"/>
  <c r="AU12" i="60"/>
  <c r="J18" i="60"/>
  <c r="AB30" i="65"/>
  <c r="E55" i="65"/>
  <c r="AM71" i="65"/>
  <c r="E9" i="5"/>
  <c r="F22" i="51"/>
  <c r="AQ115" i="65"/>
  <c r="K62" i="65"/>
  <c r="F24" i="60"/>
  <c r="AE5" i="60"/>
  <c r="N91" i="65"/>
  <c r="C77" i="65"/>
  <c r="Y111" i="65"/>
  <c r="AR65" i="65"/>
  <c r="AR39" i="65"/>
  <c r="AO72" i="65"/>
  <c r="AJ11" i="60"/>
  <c r="C86" i="65"/>
  <c r="AE90" i="65"/>
  <c r="G80" i="65"/>
  <c r="AP37" i="65"/>
  <c r="AJ101" i="65"/>
  <c r="AQ17" i="60"/>
  <c r="F112" i="65"/>
  <c r="AP69" i="65"/>
  <c r="N74" i="65"/>
  <c r="X6" i="60"/>
  <c r="AH48" i="65"/>
  <c r="AB94" i="65"/>
  <c r="H77" i="65"/>
  <c r="L26" i="60"/>
  <c r="F56" i="65"/>
  <c r="F44" i="65"/>
  <c r="K23" i="60"/>
  <c r="D2" i="60"/>
  <c r="I36" i="51"/>
  <c r="J3" i="60"/>
  <c r="W26" i="60"/>
  <c r="Z13" i="60"/>
  <c r="AO86" i="65"/>
  <c r="Y27" i="60"/>
  <c r="I61" i="65"/>
  <c r="I85" i="65"/>
  <c r="J66" i="65"/>
  <c r="AT81" i="65"/>
  <c r="AG20" i="65"/>
  <c r="O69" i="65"/>
  <c r="G52" i="65"/>
  <c r="AA102" i="65"/>
  <c r="AG94" i="65"/>
  <c r="S104" i="65"/>
  <c r="AR62" i="65"/>
  <c r="U2" i="60"/>
  <c r="I31" i="65"/>
  <c r="D111" i="65"/>
  <c r="D97" i="65"/>
  <c r="AV16" i="60"/>
  <c r="E110" i="65"/>
  <c r="T94" i="65"/>
  <c r="H64" i="65"/>
  <c r="AC41" i="65"/>
  <c r="O11" i="60"/>
  <c r="J34" i="65"/>
  <c r="AJ18" i="60"/>
  <c r="K94" i="65"/>
  <c r="AR23" i="60"/>
  <c r="AS87" i="65"/>
  <c r="AL36" i="65"/>
  <c r="M99" i="65"/>
  <c r="AA86" i="65"/>
  <c r="AI77" i="65"/>
  <c r="AQ69" i="65"/>
  <c r="J84" i="65"/>
  <c r="F41" i="65"/>
  <c r="AD76" i="65"/>
  <c r="G5" i="60"/>
  <c r="AC12" i="60"/>
  <c r="AN104" i="65"/>
  <c r="I105" i="65"/>
  <c r="X102" i="65"/>
  <c r="G88" i="65"/>
  <c r="AL45" i="65"/>
  <c r="AF111" i="65"/>
  <c r="X95" i="65"/>
  <c r="J23" i="65"/>
  <c r="G78" i="65"/>
  <c r="I56" i="65"/>
  <c r="AG72" i="65"/>
  <c r="AM84" i="65"/>
  <c r="AL25" i="65"/>
  <c r="AF51" i="65"/>
  <c r="C42" i="65"/>
  <c r="D5" i="60"/>
  <c r="AB9" i="60"/>
  <c r="P19" i="60"/>
  <c r="AG95" i="65"/>
  <c r="G57" i="65"/>
  <c r="AD72" i="65"/>
  <c r="AB64" i="65"/>
  <c r="G37" i="7"/>
  <c r="AT43" i="65"/>
  <c r="F41" i="52"/>
  <c r="Q25" i="60"/>
  <c r="H47" i="65"/>
  <c r="AP94" i="65"/>
  <c r="G77" i="65"/>
  <c r="AI7" i="65"/>
  <c r="F95" i="65"/>
  <c r="AD6" i="65"/>
  <c r="E18" i="71"/>
  <c r="P12" i="60"/>
  <c r="AU18" i="60"/>
  <c r="M69" i="65"/>
  <c r="AL70" i="65"/>
  <c r="AJ25" i="60"/>
  <c r="F20" i="71"/>
  <c r="F54" i="71"/>
  <c r="G59" i="71"/>
  <c r="Q23" i="60"/>
  <c r="AH9" i="65"/>
  <c r="Y20" i="60"/>
  <c r="I95" i="65"/>
  <c r="I30" i="65"/>
  <c r="G6" i="71"/>
  <c r="AU22" i="65"/>
  <c r="C113" i="65"/>
  <c r="P3" i="60"/>
  <c r="F45" i="9"/>
  <c r="J12" i="60"/>
  <c r="C58" i="65"/>
  <c r="F100" i="65"/>
  <c r="G86" i="65"/>
  <c r="AC19" i="60"/>
  <c r="AK5" i="60"/>
  <c r="R61" i="65"/>
  <c r="AK103" i="65"/>
  <c r="AT84" i="65"/>
  <c r="AC75" i="65"/>
  <c r="J75" i="65"/>
  <c r="X79" i="65"/>
  <c r="AQ19" i="60"/>
  <c r="E38" i="52"/>
  <c r="AF85" i="65"/>
  <c r="H56" i="65"/>
  <c r="AQ87" i="65"/>
  <c r="O5" i="60"/>
  <c r="AM70" i="65"/>
  <c r="F24" i="65"/>
  <c r="AP111" i="65"/>
  <c r="S2" i="60"/>
  <c r="K82" i="65"/>
  <c r="AA27" i="60"/>
  <c r="AN88" i="65"/>
  <c r="T2" i="60"/>
  <c r="AH6" i="60"/>
  <c r="E99" i="65"/>
  <c r="I26" i="65"/>
  <c r="AP11" i="65"/>
  <c r="AP12" i="60"/>
  <c r="B9" i="9"/>
  <c r="H88" i="65"/>
  <c r="E37" i="65"/>
  <c r="I2" i="60"/>
  <c r="J102" i="65"/>
  <c r="AI24" i="60"/>
  <c r="AI55" i="65"/>
  <c r="E4" i="60"/>
  <c r="G11" i="60"/>
  <c r="W16" i="60"/>
  <c r="J103" i="65"/>
  <c r="L23" i="60"/>
  <c r="L11" i="60"/>
  <c r="P40" i="65"/>
  <c r="AG4" i="60"/>
  <c r="E103" i="65"/>
  <c r="AP70" i="65"/>
  <c r="N113" i="65"/>
  <c r="O23" i="60"/>
  <c r="K39" i="65"/>
  <c r="AM25" i="60"/>
  <c r="K65" i="65"/>
  <c r="K55" i="65"/>
  <c r="S19" i="60"/>
  <c r="AD110" i="65"/>
  <c r="N5" i="60"/>
  <c r="V71" i="65"/>
  <c r="G79" i="65"/>
  <c r="AB96" i="65"/>
  <c r="F2" i="60"/>
  <c r="F32" i="65"/>
  <c r="AR12" i="60"/>
  <c r="G13" i="60"/>
  <c r="H114" i="65"/>
  <c r="AM78" i="65"/>
  <c r="V23" i="65"/>
  <c r="R83" i="65"/>
  <c r="AL9" i="60"/>
  <c r="AE26" i="65"/>
  <c r="E23" i="60"/>
  <c r="K89" i="65"/>
  <c r="AD83" i="65"/>
  <c r="I106" i="65"/>
  <c r="Z106" i="65"/>
  <c r="E35" i="65"/>
  <c r="AN105" i="65"/>
  <c r="AC99" i="65"/>
  <c r="U76" i="65"/>
  <c r="C89" i="65"/>
  <c r="T73" i="65"/>
  <c r="C56" i="65"/>
  <c r="AF18" i="60"/>
  <c r="AD111" i="65"/>
  <c r="AH42" i="65"/>
  <c r="N25" i="65"/>
  <c r="AI18" i="60"/>
  <c r="K75" i="65"/>
  <c r="V91" i="65"/>
  <c r="AP23" i="65"/>
  <c r="AI113" i="65"/>
  <c r="AI4" i="60"/>
  <c r="AG70" i="65"/>
  <c r="H6" i="60"/>
  <c r="AC27" i="60"/>
  <c r="G10" i="60"/>
  <c r="I60" i="65"/>
  <c r="AH17" i="60"/>
  <c r="I66" i="65"/>
  <c r="AG45" i="65"/>
  <c r="Z30" i="65"/>
  <c r="AR105" i="65"/>
  <c r="U114" i="65"/>
  <c r="T10" i="60"/>
  <c r="AE21" i="65"/>
  <c r="AE89" i="65"/>
  <c r="AM29" i="65"/>
  <c r="P38" i="65"/>
  <c r="AN94" i="65"/>
  <c r="AF77" i="65"/>
  <c r="AJ23" i="60"/>
  <c r="Q25" i="65"/>
  <c r="L18" i="60"/>
  <c r="AH2" i="60"/>
  <c r="V77" i="65"/>
  <c r="C72" i="65"/>
  <c r="M11" i="60"/>
  <c r="J2" i="60"/>
  <c r="H26" i="60"/>
  <c r="U6" i="60"/>
  <c r="D35" i="65"/>
  <c r="AG22" i="65"/>
  <c r="I70" i="65"/>
  <c r="K32" i="65"/>
  <c r="F17" i="60"/>
  <c r="G26" i="60"/>
  <c r="K37" i="65"/>
  <c r="AF37" i="65"/>
  <c r="AQ83" i="65"/>
  <c r="AK109" i="65"/>
  <c r="AC85" i="65"/>
  <c r="X29" i="65"/>
  <c r="M79" i="65"/>
  <c r="G36" i="65"/>
  <c r="AC66" i="65"/>
  <c r="AA20" i="60"/>
  <c r="G66" i="65"/>
  <c r="E106" i="65"/>
  <c r="AG60" i="65"/>
  <c r="X23" i="65"/>
  <c r="AU92" i="65"/>
  <c r="Y94" i="65"/>
  <c r="AP24" i="60"/>
  <c r="AQ39" i="65"/>
  <c r="H23" i="65"/>
  <c r="T83" i="65"/>
  <c r="U20" i="60"/>
  <c r="E96" i="65"/>
  <c r="O76" i="65"/>
  <c r="H23" i="60"/>
  <c r="Y28" i="65"/>
  <c r="T88" i="65"/>
  <c r="J11" i="60"/>
  <c r="AF24" i="60"/>
  <c r="AU82" i="65"/>
  <c r="N11" i="60"/>
  <c r="H43" i="65"/>
  <c r="S98" i="65"/>
  <c r="W87" i="65"/>
  <c r="AS11" i="60"/>
  <c r="O95" i="65"/>
  <c r="D93" i="65"/>
  <c r="I86" i="65"/>
  <c r="AA90" i="65"/>
  <c r="AM62" i="65"/>
  <c r="AH27" i="60"/>
  <c r="AK23" i="60"/>
  <c r="V79" i="65"/>
  <c r="AJ42" i="65"/>
  <c r="E63" i="65"/>
  <c r="U72" i="65"/>
  <c r="D71" i="65"/>
  <c r="P20" i="60"/>
  <c r="AG85" i="65"/>
  <c r="D49" i="65"/>
  <c r="O92" i="65"/>
  <c r="AB114" i="65"/>
  <c r="I11" i="60"/>
  <c r="AA66" i="65"/>
  <c r="AM25" i="65"/>
  <c r="F65" i="65"/>
  <c r="M3" i="60"/>
  <c r="F111" i="65"/>
  <c r="E87" i="65"/>
  <c r="S83" i="65"/>
  <c r="X107" i="65"/>
  <c r="J18" i="53"/>
  <c r="S107" i="65"/>
  <c r="S27" i="65"/>
  <c r="AD16" i="60"/>
  <c r="AK9" i="60"/>
  <c r="AN96" i="65"/>
  <c r="AN19" i="60"/>
  <c r="AP54" i="65"/>
  <c r="AH43" i="65"/>
  <c r="L100" i="65"/>
  <c r="X82" i="65"/>
  <c r="M86" i="65"/>
  <c r="AL82" i="65"/>
  <c r="I13" i="53"/>
  <c r="N31" i="65"/>
  <c r="Q17" i="60"/>
  <c r="M73" i="65"/>
  <c r="AA111" i="65"/>
  <c r="AO69" i="65"/>
  <c r="AP77" i="65"/>
  <c r="G74" i="65"/>
  <c r="AE110" i="65"/>
  <c r="AS88" i="65"/>
  <c r="J70" i="65"/>
  <c r="Z21" i="65"/>
  <c r="AS23" i="60"/>
  <c r="Q72" i="65"/>
  <c r="AI79" i="65"/>
  <c r="V35" i="65"/>
  <c r="AA26" i="65"/>
  <c r="O30" i="65"/>
  <c r="T89" i="65"/>
  <c r="AH74" i="65"/>
  <c r="F12" i="60"/>
  <c r="F25" i="65"/>
  <c r="AN72" i="65"/>
  <c r="AI112" i="65"/>
  <c r="AM76" i="65"/>
  <c r="AI114" i="65"/>
  <c r="R92" i="65"/>
  <c r="T64" i="65"/>
  <c r="J3" i="65"/>
  <c r="H89" i="65"/>
  <c r="G28" i="51"/>
  <c r="AH38" i="65"/>
  <c r="AA5" i="60"/>
  <c r="AC20" i="60"/>
  <c r="AR114" i="65"/>
  <c r="G39" i="65"/>
  <c r="AL5" i="65"/>
  <c r="G18" i="71"/>
  <c r="AA25" i="60"/>
  <c r="N10" i="65"/>
  <c r="AE78" i="65"/>
  <c r="AF110" i="65"/>
  <c r="H79" i="65"/>
  <c r="AS3" i="65"/>
  <c r="P5" i="60"/>
  <c r="D70" i="71"/>
  <c r="I9" i="60"/>
  <c r="AL55" i="65"/>
  <c r="AB92" i="65"/>
  <c r="AS10" i="60"/>
  <c r="AJ6" i="60"/>
  <c r="F39" i="71"/>
  <c r="Z98" i="65"/>
  <c r="E49" i="71"/>
  <c r="AA77" i="65"/>
  <c r="G23" i="60"/>
  <c r="Q95" i="65"/>
  <c r="AI25" i="65"/>
  <c r="X12" i="60"/>
  <c r="AQ10" i="60"/>
  <c r="AO19" i="60"/>
  <c r="K31" i="65"/>
  <c r="AN20" i="60"/>
  <c r="AN5" i="60"/>
  <c r="AO13" i="60"/>
  <c r="F69" i="65"/>
  <c r="AO16" i="60"/>
  <c r="G91" i="65"/>
  <c r="K22" i="65"/>
  <c r="AA28" i="65"/>
  <c r="AT60" i="65"/>
  <c r="V114" i="65"/>
  <c r="AG82" i="65"/>
  <c r="AD34" i="65"/>
  <c r="AG77" i="65"/>
  <c r="M10" i="60"/>
  <c r="AB95" i="65"/>
  <c r="Z109" i="65"/>
  <c r="O80" i="65"/>
  <c r="D25" i="60"/>
  <c r="L73" i="65"/>
  <c r="G16" i="60"/>
  <c r="AH101" i="65"/>
  <c r="T12" i="60"/>
  <c r="L27" i="60"/>
  <c r="H105" i="65"/>
  <c r="AI85" i="65"/>
  <c r="AN92" i="65"/>
  <c r="X8" i="65"/>
  <c r="AC46" i="65"/>
  <c r="AI12" i="60"/>
  <c r="AI27" i="60"/>
  <c r="D10" i="60"/>
  <c r="AI100" i="65"/>
  <c r="T39" i="65"/>
  <c r="F22" i="6"/>
  <c r="AA82" i="65"/>
  <c r="H103" i="65"/>
  <c r="K45" i="65"/>
  <c r="N84" i="65"/>
  <c r="I32" i="5"/>
  <c r="U97" i="65"/>
  <c r="Q106" i="65"/>
  <c r="AN23" i="65"/>
  <c r="H38" i="9"/>
  <c r="R113" i="65"/>
  <c r="I22" i="65"/>
  <c r="AQ110" i="65"/>
  <c r="U78" i="65"/>
  <c r="AV23" i="60"/>
  <c r="R26" i="60"/>
  <c r="R17" i="60"/>
  <c r="U27" i="60"/>
  <c r="AF17" i="60"/>
  <c r="AD2" i="60"/>
  <c r="AF23" i="60"/>
  <c r="K42" i="65"/>
  <c r="AO3" i="60"/>
  <c r="K44" i="65"/>
  <c r="M72" i="65"/>
  <c r="T85" i="65"/>
  <c r="S25" i="60"/>
  <c r="X66" i="65"/>
  <c r="T87" i="65"/>
  <c r="C97" i="65"/>
  <c r="M26" i="60"/>
  <c r="H24" i="60"/>
  <c r="J77" i="65"/>
  <c r="O26" i="65"/>
  <c r="AV3" i="60"/>
  <c r="F79" i="65"/>
  <c r="H91" i="65"/>
  <c r="AJ45" i="65"/>
  <c r="AD20" i="60"/>
  <c r="P78" i="65"/>
  <c r="AB82" i="65"/>
  <c r="AQ25" i="60"/>
  <c r="AF106" i="65"/>
  <c r="AQ94" i="65"/>
  <c r="AB70" i="65"/>
  <c r="AP80" i="65"/>
  <c r="E39" i="52"/>
  <c r="K18" i="60"/>
  <c r="G44" i="65"/>
  <c r="Z27" i="60"/>
  <c r="G63" i="65"/>
  <c r="AD79" i="65"/>
  <c r="J101" i="65"/>
  <c r="P18" i="60"/>
  <c r="V24" i="60"/>
  <c r="AT4" i="60"/>
  <c r="AA110" i="65"/>
  <c r="F93" i="65"/>
  <c r="G25" i="65"/>
  <c r="E9" i="60"/>
  <c r="D51" i="65"/>
  <c r="AK82" i="65"/>
  <c r="AR19" i="60"/>
  <c r="AR99" i="65"/>
  <c r="D31" i="60"/>
  <c r="AT13" i="60"/>
  <c r="V27" i="60"/>
  <c r="U110" i="65"/>
  <c r="AB78" i="65"/>
  <c r="K115" i="65"/>
  <c r="Z97" i="65"/>
  <c r="AH83" i="65"/>
  <c r="AG3" i="60"/>
  <c r="J30" i="65"/>
  <c r="P92" i="65"/>
  <c r="AL28" i="65"/>
  <c r="J41" i="52"/>
  <c r="N12" i="60"/>
  <c r="AJ91" i="65"/>
  <c r="AB113" i="65"/>
  <c r="AQ18" i="60"/>
  <c r="AA87" i="65"/>
  <c r="F41" i="9"/>
  <c r="N23" i="60"/>
  <c r="AC23" i="60"/>
  <c r="O100" i="65"/>
  <c r="J24" i="5"/>
  <c r="AN22" i="65"/>
  <c r="AC34" i="65"/>
  <c r="AR27" i="65"/>
  <c r="D112" i="65"/>
  <c r="I6" i="60"/>
  <c r="U83" i="65"/>
  <c r="V6" i="60"/>
  <c r="AP81" i="65"/>
  <c r="R23" i="60"/>
  <c r="F9" i="60"/>
  <c r="P21" i="65"/>
  <c r="X4" i="60"/>
  <c r="D107" i="65"/>
  <c r="G44" i="6"/>
  <c r="R35" i="65"/>
  <c r="AS18" i="60"/>
  <c r="AS63" i="65"/>
  <c r="G27" i="5"/>
  <c r="Y43" i="65"/>
  <c r="AC92" i="65"/>
  <c r="AH73" i="65"/>
  <c r="AO26" i="60"/>
  <c r="M88" i="65"/>
  <c r="AG87" i="65"/>
  <c r="H84" i="65"/>
  <c r="J57" i="65"/>
  <c r="E32" i="65"/>
  <c r="G106" i="65"/>
  <c r="N107" i="65"/>
  <c r="AE91" i="65"/>
  <c r="AL22" i="65"/>
  <c r="E62" i="65"/>
  <c r="L72" i="65"/>
  <c r="AJ27" i="60"/>
  <c r="AQ102" i="65"/>
  <c r="G56" i="65"/>
  <c r="N30" i="65"/>
  <c r="AC64" i="65"/>
  <c r="W103" i="65"/>
  <c r="AD10" i="60"/>
  <c r="AA60" i="65"/>
  <c r="U112" i="65"/>
  <c r="R98" i="65"/>
  <c r="I29" i="53"/>
  <c r="K49" i="7"/>
  <c r="AJ47" i="65"/>
  <c r="AU72" i="65"/>
  <c r="E54" i="65"/>
  <c r="I4" i="60"/>
  <c r="I17" i="5"/>
  <c r="I69" i="65"/>
  <c r="W30" i="65"/>
  <c r="P90" i="65"/>
  <c r="P100" i="65"/>
  <c r="AO45" i="65"/>
  <c r="AF80" i="65"/>
  <c r="I31" i="52"/>
  <c r="O25" i="65"/>
  <c r="J6" i="51"/>
  <c r="AT85" i="65"/>
  <c r="G61" i="65"/>
  <c r="AM72" i="65"/>
  <c r="X18" i="60"/>
  <c r="AA11" i="60"/>
  <c r="AP13" i="60"/>
  <c r="AN83" i="65"/>
  <c r="E60" i="65"/>
  <c r="V63" i="65"/>
  <c r="E31" i="60"/>
  <c r="AU78" i="65"/>
  <c r="N92" i="65"/>
  <c r="I57" i="65"/>
  <c r="X72" i="65"/>
  <c r="X94" i="65"/>
  <c r="N89" i="65"/>
  <c r="AL98" i="65"/>
  <c r="J97" i="65"/>
  <c r="H74" i="65"/>
  <c r="G81" i="65"/>
  <c r="D104" i="65"/>
  <c r="AN28" i="65"/>
  <c r="T27" i="60"/>
  <c r="AA99" i="65"/>
  <c r="Q105" i="65"/>
  <c r="R25" i="60"/>
  <c r="Q12" i="60"/>
  <c r="AG99" i="65"/>
  <c r="E66" i="65"/>
  <c r="G20" i="52"/>
  <c r="AN89" i="65"/>
  <c r="AT7" i="65"/>
  <c r="AU25" i="60"/>
  <c r="AO70" i="65"/>
  <c r="AC4" i="60"/>
  <c r="AI74" i="65"/>
  <c r="E12" i="60"/>
  <c r="J32" i="65"/>
  <c r="D94" i="65"/>
  <c r="P96" i="65"/>
  <c r="S106" i="65"/>
  <c r="R74" i="65"/>
  <c r="G9" i="60"/>
  <c r="AP27" i="60"/>
  <c r="C43" i="65"/>
  <c r="AA95" i="65"/>
  <c r="C75" i="65"/>
  <c r="K99" i="65"/>
  <c r="R49" i="65"/>
  <c r="AU74" i="65"/>
  <c r="C95" i="65"/>
  <c r="C50" i="65"/>
  <c r="AK20" i="60"/>
  <c r="G43" i="60"/>
  <c r="W75" i="65"/>
  <c r="M22" i="65"/>
  <c r="F96" i="65"/>
  <c r="N70" i="65"/>
  <c r="AT20" i="60"/>
  <c r="W100" i="65"/>
  <c r="AR4" i="60"/>
  <c r="J92" i="65"/>
  <c r="H65" i="65"/>
  <c r="M85" i="65"/>
  <c r="Y58" i="65"/>
  <c r="L9" i="60"/>
  <c r="AG110" i="65"/>
  <c r="P43" i="65"/>
  <c r="AM79" i="65"/>
  <c r="AE112" i="65"/>
  <c r="E90" i="65"/>
  <c r="AF57" i="65"/>
  <c r="AA108" i="65"/>
  <c r="R12" i="60"/>
  <c r="R11" i="60"/>
  <c r="AO78" i="65"/>
  <c r="AT58" i="65"/>
  <c r="D31" i="65"/>
  <c r="F70" i="65"/>
  <c r="AG79" i="65"/>
  <c r="K25" i="7"/>
  <c r="H35" i="65"/>
  <c r="AA96" i="65"/>
  <c r="K100" i="65"/>
  <c r="D36" i="65"/>
  <c r="O31" i="65"/>
  <c r="AI10" i="60"/>
  <c r="Z52" i="65"/>
  <c r="Q93" i="65"/>
  <c r="F11" i="60"/>
  <c r="K33" i="65"/>
  <c r="L111" i="65"/>
  <c r="J65" i="65"/>
  <c r="AK94" i="65"/>
  <c r="AD109" i="65"/>
  <c r="AS89" i="65"/>
  <c r="C83" i="65"/>
  <c r="AP72" i="65"/>
  <c r="AK10" i="60"/>
  <c r="AM43" i="65"/>
  <c r="S4" i="60"/>
  <c r="H33" i="65"/>
  <c r="AT86" i="65"/>
  <c r="C59" i="65"/>
  <c r="H102" i="65"/>
  <c r="M91" i="65"/>
  <c r="AP32" i="65"/>
  <c r="AQ51" i="65"/>
  <c r="AU98" i="65"/>
  <c r="AT91" i="65"/>
  <c r="AH70" i="65"/>
  <c r="E44" i="60"/>
  <c r="AT98" i="65"/>
  <c r="N26" i="65"/>
  <c r="AE46" i="65"/>
  <c r="C38" i="65"/>
  <c r="AB5" i="60"/>
  <c r="AF75" i="65"/>
  <c r="AN47" i="65"/>
  <c r="K85" i="65"/>
  <c r="M105" i="65"/>
  <c r="AA70" i="65"/>
  <c r="F9" i="5"/>
  <c r="F60" i="65"/>
  <c r="K52" i="65"/>
  <c r="Q114" i="65"/>
  <c r="K71" i="65"/>
  <c r="H22" i="53"/>
  <c r="Z108" i="65"/>
  <c r="AH79" i="65"/>
  <c r="Q100" i="65"/>
  <c r="E101" i="65"/>
  <c r="AA103" i="65"/>
  <c r="L80" i="65"/>
  <c r="AD103" i="65"/>
  <c r="AU115" i="65"/>
  <c r="AB33" i="65"/>
  <c r="F43" i="71"/>
  <c r="AL92" i="65"/>
  <c r="F31" i="60"/>
  <c r="C35" i="65"/>
  <c r="AJ110" i="65"/>
  <c r="V81" i="65"/>
  <c r="H9" i="60"/>
  <c r="H10" i="60"/>
  <c r="N96" i="65"/>
  <c r="J108" i="65"/>
  <c r="AU111" i="65"/>
  <c r="O72" i="65"/>
  <c r="AP23" i="60"/>
  <c r="AQ97" i="65"/>
  <c r="T4" i="60"/>
  <c r="H106" i="65"/>
  <c r="L49" i="65"/>
  <c r="AH77" i="65"/>
  <c r="AL102" i="65"/>
  <c r="T103" i="65"/>
  <c r="O27" i="60"/>
  <c r="V73" i="65"/>
  <c r="AL76" i="65"/>
  <c r="AB10" i="60"/>
  <c r="AE69" i="65"/>
  <c r="K76" i="65"/>
  <c r="AR43" i="65"/>
  <c r="G100" i="65"/>
  <c r="G27" i="65"/>
  <c r="AC102" i="65"/>
  <c r="AO30" i="65"/>
  <c r="G83" i="65"/>
  <c r="D60" i="65"/>
  <c r="I3" i="60"/>
  <c r="I37" i="52"/>
  <c r="E32" i="60"/>
  <c r="AD82" i="65"/>
  <c r="Q27" i="60"/>
  <c r="K39" i="5"/>
  <c r="G24" i="65"/>
  <c r="AJ70" i="65"/>
  <c r="D62" i="65"/>
  <c r="AK32" i="65"/>
  <c r="AB35" i="65"/>
  <c r="AG48" i="65"/>
  <c r="AM24" i="65"/>
  <c r="U113" i="65"/>
  <c r="D55" i="65"/>
  <c r="AP108" i="65"/>
  <c r="AB74" i="65"/>
  <c r="S109" i="65"/>
  <c r="AA98" i="65"/>
  <c r="D72" i="65"/>
  <c r="Y29" i="65"/>
  <c r="AV11" i="60"/>
  <c r="AE52" i="65"/>
  <c r="AM87" i="65"/>
  <c r="K56" i="65"/>
  <c r="AE43" i="65"/>
  <c r="AG71" i="65"/>
  <c r="F74" i="65"/>
  <c r="AG33" i="65"/>
  <c r="G8" i="51"/>
  <c r="V33" i="65"/>
  <c r="F62" i="65"/>
  <c r="E33" i="60"/>
  <c r="AD101" i="65"/>
  <c r="AL38" i="65"/>
  <c r="AF25" i="60"/>
  <c r="T80" i="65"/>
  <c r="AM77" i="65"/>
  <c r="X97" i="65"/>
  <c r="AM30" i="65"/>
  <c r="AM96" i="65"/>
  <c r="Y84" i="65"/>
  <c r="AJ105" i="65"/>
  <c r="AQ30" i="65"/>
  <c r="AK84" i="65"/>
  <c r="F6" i="60"/>
  <c r="AC26" i="65"/>
  <c r="AM18" i="60"/>
  <c r="J31" i="65"/>
  <c r="V80" i="65"/>
  <c r="D31" i="9"/>
  <c r="AK37" i="65"/>
  <c r="J85" i="65"/>
  <c r="AE60" i="65"/>
  <c r="AR77" i="65"/>
  <c r="AM27" i="60"/>
  <c r="AS26" i="60"/>
  <c r="N45" i="65"/>
  <c r="H83" i="65"/>
  <c r="E38" i="65"/>
  <c r="K41" i="52"/>
  <c r="AU83" i="65"/>
  <c r="AO50" i="65"/>
  <c r="AR73" i="65"/>
  <c r="H45" i="6"/>
  <c r="E25" i="6"/>
  <c r="AL34" i="65"/>
  <c r="M23" i="60"/>
  <c r="H26" i="65"/>
  <c r="AE98" i="65"/>
  <c r="G105" i="65"/>
  <c r="C39" i="9"/>
  <c r="AP105" i="65"/>
  <c r="AQ3" i="38"/>
  <c r="AK99" i="65"/>
  <c r="Z72" i="65"/>
  <c r="AK30" i="65"/>
  <c r="P97" i="65"/>
  <c r="E31" i="9"/>
  <c r="AT111" i="65"/>
  <c r="AR111" i="65"/>
  <c r="G42" i="6"/>
  <c r="G39" i="51"/>
  <c r="P44" i="65"/>
  <c r="AC81" i="65"/>
  <c r="AV9" i="60"/>
  <c r="AC80" i="65"/>
  <c r="AG78" i="65"/>
  <c r="S88" i="65"/>
  <c r="AE111" i="65"/>
  <c r="AE35" i="65"/>
  <c r="Y60" i="65"/>
  <c r="F57" i="65"/>
  <c r="E40" i="65"/>
  <c r="AT96" i="65"/>
  <c r="V94" i="65"/>
  <c r="D38" i="60"/>
  <c r="S94" i="65"/>
  <c r="P24" i="65"/>
  <c r="L108" i="65"/>
  <c r="S59" i="65"/>
  <c r="G34" i="51"/>
  <c r="Z42" i="65"/>
  <c r="AT103" i="65"/>
  <c r="D79" i="65"/>
  <c r="AT16" i="60"/>
  <c r="G14" i="52"/>
  <c r="P107" i="65"/>
  <c r="AN17" i="60"/>
  <c r="AU31" i="65"/>
  <c r="P76" i="65"/>
  <c r="D95" i="65"/>
  <c r="AS26" i="65"/>
  <c r="AN79" i="65"/>
  <c r="E25" i="7"/>
  <c r="AA114" i="65"/>
  <c r="AH33" i="65"/>
  <c r="AH3" i="65"/>
  <c r="K20" i="65"/>
  <c r="T100" i="65"/>
  <c r="AV17" i="60"/>
  <c r="AQ91" i="65"/>
  <c r="AQ23" i="65"/>
  <c r="T24" i="65"/>
  <c r="E27" i="71"/>
  <c r="AL3" i="16"/>
  <c r="P103" i="65"/>
  <c r="AC72" i="65"/>
  <c r="E73" i="65"/>
  <c r="Y5" i="65"/>
  <c r="AP34" i="65"/>
  <c r="T75" i="65"/>
  <c r="W88" i="65"/>
  <c r="P82" i="65"/>
  <c r="G29" i="65"/>
  <c r="T18" i="60"/>
  <c r="AQ16" i="60"/>
  <c r="M100" i="65"/>
  <c r="AL26" i="60"/>
  <c r="N24" i="60"/>
  <c r="AC110" i="65"/>
  <c r="AF91" i="65"/>
  <c r="C66" i="65"/>
  <c r="F38" i="65"/>
  <c r="AU4" i="60"/>
  <c r="Y19" i="60"/>
  <c r="F106" i="65"/>
  <c r="F73" i="65"/>
  <c r="AM80" i="65"/>
  <c r="C21" i="65"/>
  <c r="AF82" i="65"/>
  <c r="P30" i="65"/>
  <c r="AT22" i="65"/>
  <c r="AD73" i="65"/>
  <c r="C79" i="65"/>
  <c r="P26" i="60"/>
  <c r="G110" i="65"/>
  <c r="I80" i="65"/>
  <c r="P105" i="65"/>
  <c r="G25" i="60"/>
  <c r="X106" i="65"/>
  <c r="AH92" i="65"/>
  <c r="J109" i="65"/>
  <c r="I59" i="65"/>
  <c r="AR20" i="60"/>
  <c r="K24" i="53"/>
  <c r="H57" i="65"/>
  <c r="C93" i="65"/>
  <c r="J96" i="65"/>
  <c r="AU70" i="65"/>
  <c r="AD81" i="65"/>
  <c r="AF16" i="60"/>
  <c r="J25" i="65"/>
  <c r="AV27" i="60"/>
  <c r="K33" i="7"/>
  <c r="AH10" i="60"/>
  <c r="T19" i="60"/>
  <c r="E80" i="65"/>
  <c r="I102" i="65"/>
  <c r="AF21" i="65"/>
  <c r="W19" i="60"/>
  <c r="F31" i="65"/>
  <c r="I51" i="65"/>
  <c r="P11" i="60"/>
  <c r="L106" i="65"/>
  <c r="AD49" i="65"/>
  <c r="W32" i="65"/>
  <c r="C98" i="65"/>
  <c r="W12" i="60"/>
  <c r="AR87" i="65"/>
  <c r="I104" i="65"/>
  <c r="G103" i="65"/>
  <c r="AD91" i="65"/>
  <c r="AJ83" i="65"/>
  <c r="AB88" i="65"/>
  <c r="AF73" i="65"/>
  <c r="AD70" i="65"/>
  <c r="O34" i="65"/>
  <c r="Y11" i="60"/>
  <c r="H59" i="65"/>
  <c r="X75" i="65"/>
  <c r="AO6" i="60"/>
  <c r="AH50" i="65"/>
  <c r="AB77" i="65"/>
  <c r="R86" i="65"/>
  <c r="AQ59" i="65"/>
  <c r="U70" i="65"/>
  <c r="Z94" i="65"/>
  <c r="AJ22" i="65"/>
  <c r="S70" i="65"/>
  <c r="D33" i="65"/>
  <c r="I114" i="65"/>
  <c r="H78" i="65"/>
  <c r="AS95" i="65"/>
  <c r="E28" i="65"/>
  <c r="Y9" i="60"/>
  <c r="AP24" i="65"/>
  <c r="AV19" i="60"/>
  <c r="AE86" i="65"/>
  <c r="G33" i="51"/>
  <c r="AT92" i="65"/>
  <c r="X55" i="65"/>
  <c r="AM10" i="60"/>
  <c r="I50" i="65"/>
  <c r="AL11" i="60"/>
  <c r="AO17" i="60"/>
  <c r="Q46" i="65"/>
  <c r="C55" i="65"/>
  <c r="AK33" i="65"/>
  <c r="AA27" i="65"/>
  <c r="I24" i="65"/>
  <c r="C71" i="65"/>
  <c r="D90" i="65"/>
  <c r="O87" i="65"/>
  <c r="G82" i="65"/>
  <c r="G102" i="65"/>
  <c r="X108" i="65"/>
  <c r="D23" i="65"/>
  <c r="AC9" i="60"/>
  <c r="AN11" i="60"/>
  <c r="AF33" i="65"/>
  <c r="T50" i="65"/>
  <c r="AC10" i="60"/>
  <c r="F37" i="65"/>
  <c r="AO113" i="65"/>
  <c r="Z46" i="65"/>
  <c r="C40" i="65"/>
  <c r="AB2" i="60"/>
  <c r="H46" i="65"/>
  <c r="G97" i="65"/>
  <c r="V95" i="65"/>
  <c r="E20" i="52"/>
  <c r="Z71" i="65"/>
  <c r="K14" i="7"/>
  <c r="H63" i="65"/>
  <c r="AK114" i="65"/>
  <c r="E10" i="9"/>
  <c r="AT59" i="65"/>
  <c r="AI24" i="65"/>
  <c r="G65" i="65"/>
  <c r="AU107" i="65"/>
  <c r="J87" i="65"/>
  <c r="AS46" i="65"/>
  <c r="X65" i="65"/>
  <c r="J50" i="65"/>
  <c r="AN23" i="60"/>
  <c r="AR52" i="65"/>
  <c r="K64" i="65"/>
  <c r="D27" i="65"/>
  <c r="H25" i="65"/>
  <c r="AP103" i="65"/>
  <c r="AL66" i="65"/>
  <c r="W73" i="65"/>
  <c r="J13" i="60"/>
  <c r="AM69" i="65"/>
  <c r="R70" i="65"/>
  <c r="F104" i="65"/>
  <c r="U27" i="65"/>
  <c r="I115" i="65"/>
  <c r="O21" i="65"/>
  <c r="F47" i="60"/>
  <c r="E16" i="9"/>
  <c r="X78" i="65"/>
  <c r="X83" i="65"/>
  <c r="G47" i="65"/>
  <c r="Q26" i="65"/>
  <c r="AL110" i="65"/>
  <c r="I45" i="65"/>
  <c r="Y91" i="65"/>
  <c r="AH76" i="65"/>
  <c r="K36" i="65"/>
  <c r="T65" i="65"/>
  <c r="AJ58" i="65"/>
  <c r="C20" i="65"/>
  <c r="AK53" i="65"/>
  <c r="AC62" i="65"/>
  <c r="H34" i="5"/>
  <c r="AC98" i="65"/>
  <c r="AL91" i="65"/>
  <c r="AN66" i="65"/>
  <c r="I111" i="65"/>
  <c r="AB102" i="65"/>
  <c r="J6" i="60"/>
  <c r="T72" i="65"/>
  <c r="O13" i="60"/>
  <c r="U75" i="65"/>
  <c r="K40" i="65"/>
  <c r="W81" i="65"/>
  <c r="AF13" i="60"/>
  <c r="AR17" i="60"/>
  <c r="AM81" i="65"/>
  <c r="AJ50" i="65"/>
  <c r="E85" i="65"/>
  <c r="Z113" i="65"/>
  <c r="AS82" i="65"/>
  <c r="AK16" i="60"/>
  <c r="AI88" i="65"/>
  <c r="M25" i="60"/>
  <c r="F102" i="65"/>
  <c r="AJ99" i="65"/>
  <c r="D47" i="60"/>
  <c r="I6" i="52"/>
  <c r="K106" i="65"/>
  <c r="X115" i="65"/>
  <c r="N90" i="65"/>
  <c r="M113" i="65"/>
  <c r="AF78" i="65"/>
  <c r="M37" i="65"/>
  <c r="S33" i="65"/>
  <c r="S100" i="65"/>
  <c r="AE66" i="65"/>
  <c r="AC47" i="65"/>
  <c r="AF47" i="65"/>
  <c r="AO73" i="65"/>
  <c r="AD23" i="65"/>
  <c r="J45" i="65"/>
  <c r="AH37" i="65"/>
  <c r="I14" i="53"/>
  <c r="X113" i="65"/>
  <c r="J48" i="65"/>
  <c r="AN115" i="65"/>
  <c r="AE71" i="65"/>
  <c r="I10" i="60"/>
  <c r="O97" i="65"/>
  <c r="AC86" i="65"/>
  <c r="K70" i="65"/>
  <c r="K11" i="52"/>
  <c r="I98" i="65"/>
  <c r="K27" i="5"/>
  <c r="E38" i="51"/>
  <c r="J36" i="65"/>
  <c r="E38" i="5"/>
  <c r="G46" i="7"/>
  <c r="X26" i="65"/>
  <c r="J8" i="7"/>
  <c r="I62" i="65"/>
  <c r="K112" i="65"/>
  <c r="AI101" i="65"/>
  <c r="AP31" i="65"/>
  <c r="D108" i="65"/>
  <c r="AT12" i="60"/>
  <c r="AI44" i="65"/>
  <c r="AT105" i="65"/>
  <c r="D48" i="65"/>
  <c r="Y26" i="60"/>
  <c r="AN52" i="65"/>
  <c r="AI108" i="65"/>
  <c r="AF98" i="65"/>
  <c r="AH24" i="65"/>
  <c r="AT37" i="65"/>
  <c r="AR45" i="65"/>
  <c r="N18" i="60"/>
  <c r="U5" i="60"/>
  <c r="S76" i="65"/>
  <c r="S16" i="60"/>
  <c r="AN12" i="65"/>
  <c r="AG17" i="60"/>
  <c r="I48" i="65"/>
  <c r="AK13" i="60"/>
  <c r="C78" i="65"/>
  <c r="U17" i="60"/>
  <c r="AG5" i="60"/>
  <c r="D26" i="65"/>
  <c r="AS73" i="65"/>
  <c r="AI17" i="60"/>
  <c r="F36" i="65"/>
  <c r="K12" i="53"/>
  <c r="E22" i="65"/>
  <c r="O88" i="65"/>
  <c r="D24" i="60"/>
  <c r="D12" i="60"/>
  <c r="I54" i="65"/>
  <c r="AK2" i="60"/>
  <c r="AE100" i="65"/>
  <c r="AQ27" i="65"/>
  <c r="P94" i="65"/>
  <c r="AE37" i="65"/>
  <c r="AQ81" i="65"/>
  <c r="D48" i="60"/>
  <c r="AU34" i="65"/>
  <c r="W3" i="60"/>
  <c r="J40" i="65"/>
  <c r="AE87" i="65"/>
  <c r="AM55" i="65"/>
  <c r="AB63" i="65"/>
  <c r="K61" i="65"/>
  <c r="F76" i="65"/>
  <c r="G4" i="60"/>
  <c r="E27" i="65"/>
  <c r="AQ89" i="65"/>
  <c r="E48" i="65"/>
  <c r="H24" i="65"/>
  <c r="AO114" i="65"/>
  <c r="S77" i="65"/>
  <c r="I18" i="60"/>
  <c r="R27" i="65"/>
  <c r="T49" i="65"/>
  <c r="AG42" i="65"/>
  <c r="AG24" i="60"/>
  <c r="Z101" i="65"/>
  <c r="D70" i="65"/>
  <c r="AT66" i="65"/>
  <c r="H72" i="65"/>
  <c r="AQ25" i="65"/>
  <c r="U12" i="60"/>
  <c r="W111" i="65"/>
  <c r="AM73" i="65"/>
  <c r="W71" i="65"/>
  <c r="AJ112" i="65"/>
  <c r="AN10" i="60"/>
  <c r="I40" i="52"/>
  <c r="AD95" i="65"/>
  <c r="AL94" i="65"/>
  <c r="AP98" i="65"/>
  <c r="P17" i="60"/>
  <c r="AA10" i="60"/>
  <c r="K103" i="65"/>
  <c r="AF88" i="65"/>
  <c r="S20" i="60"/>
  <c r="J83" i="65"/>
  <c r="P27" i="60"/>
  <c r="K28" i="53"/>
  <c r="C96" i="65"/>
  <c r="J78" i="65"/>
  <c r="X24" i="60"/>
  <c r="AG37" i="65"/>
  <c r="T97" i="65"/>
  <c r="AH58" i="65"/>
  <c r="AI26" i="60"/>
  <c r="AD88" i="65"/>
  <c r="AN87" i="65"/>
  <c r="G38" i="65"/>
  <c r="O27" i="65"/>
  <c r="K18" i="52"/>
  <c r="I93" i="65"/>
  <c r="M2" i="60"/>
  <c r="AS30" i="65"/>
  <c r="AC111" i="65"/>
  <c r="C64" i="65"/>
  <c r="G17" i="6"/>
  <c r="AR96" i="65"/>
  <c r="Z93" i="65"/>
  <c r="AU79" i="65"/>
  <c r="Z36" i="65"/>
  <c r="X73" i="65"/>
  <c r="AO34" i="65"/>
  <c r="AB25" i="60"/>
  <c r="E3" i="60"/>
  <c r="AG113" i="65"/>
  <c r="AI82" i="65"/>
  <c r="C23" i="65"/>
  <c r="W38" i="65"/>
  <c r="AF31" i="65"/>
  <c r="F28" i="65"/>
  <c r="E64" i="71"/>
  <c r="AE10" i="60"/>
  <c r="E24" i="65"/>
  <c r="AF6" i="60"/>
  <c r="C90" i="65"/>
  <c r="AF107" i="65"/>
  <c r="E74" i="65"/>
  <c r="V56" i="65"/>
  <c r="F114" i="65"/>
  <c r="L25" i="65"/>
  <c r="V83" i="65"/>
  <c r="AP74" i="65"/>
  <c r="E18" i="52"/>
  <c r="AL12" i="60"/>
  <c r="E5" i="60"/>
  <c r="AU110" i="65"/>
  <c r="V12" i="60"/>
  <c r="F27" i="60"/>
  <c r="Z99" i="65"/>
  <c r="E42" i="65"/>
  <c r="AS6" i="60"/>
  <c r="E11" i="71"/>
  <c r="P79" i="65"/>
  <c r="I19" i="60"/>
  <c r="M101" i="65"/>
  <c r="P16" i="60"/>
  <c r="AM75" i="65"/>
  <c r="AC79" i="65"/>
  <c r="J10" i="52"/>
  <c r="R13" i="60"/>
  <c r="AR2" i="60"/>
  <c r="F25" i="60"/>
  <c r="AD35" i="65"/>
  <c r="M93" i="65"/>
  <c r="F40" i="6"/>
  <c r="F110" i="65"/>
  <c r="J40" i="6"/>
  <c r="G7" i="7"/>
  <c r="N55" i="65"/>
  <c r="S30" i="65"/>
  <c r="L89" i="65"/>
  <c r="F26" i="9"/>
  <c r="Q107" i="65"/>
  <c r="T76" i="65"/>
  <c r="AM40" i="65"/>
  <c r="AK60" i="65"/>
  <c r="AF19" i="60"/>
  <c r="S84" i="65"/>
  <c r="M24" i="65"/>
  <c r="K50" i="6"/>
  <c r="C74" i="65"/>
  <c r="F90" i="65"/>
  <c r="AF36" i="65"/>
  <c r="M34" i="65"/>
  <c r="V88" i="65"/>
  <c r="AG75" i="65"/>
  <c r="D82" i="65"/>
  <c r="K22" i="7"/>
  <c r="AO75" i="65"/>
  <c r="E72" i="71"/>
  <c r="H104" i="65"/>
  <c r="X85" i="65"/>
  <c r="AE31" i="65"/>
  <c r="AH51" i="65"/>
  <c r="AB83" i="65"/>
  <c r="R19" i="60"/>
  <c r="F3" i="16"/>
  <c r="AA74" i="65"/>
  <c r="AT90" i="65"/>
  <c r="AT73" i="65"/>
  <c r="P95" i="65"/>
  <c r="L4" i="60"/>
  <c r="S20" i="65"/>
  <c r="AT100" i="65"/>
  <c r="AR36" i="65"/>
  <c r="F47" i="65"/>
  <c r="AS20" i="60"/>
  <c r="E23" i="52"/>
  <c r="J12" i="5"/>
  <c r="AF50" i="65"/>
  <c r="AA20" i="65"/>
  <c r="M18" i="60"/>
  <c r="AR88" i="65"/>
  <c r="I89" i="65"/>
  <c r="O98" i="65"/>
  <c r="V111" i="65"/>
  <c r="K42" i="52"/>
  <c r="J21" i="65"/>
  <c r="AJ111" i="65"/>
  <c r="AN73" i="65"/>
  <c r="AI75" i="65"/>
  <c r="W22" i="65"/>
  <c r="O81" i="65"/>
  <c r="F50" i="65"/>
  <c r="AS27" i="65"/>
  <c r="V61" i="65"/>
  <c r="R25" i="65"/>
  <c r="F35" i="7"/>
  <c r="AT80" i="65"/>
  <c r="O111" i="65"/>
  <c r="AR98" i="65"/>
  <c r="AR23" i="65"/>
  <c r="AJ100" i="65"/>
  <c r="J61" i="65"/>
  <c r="AF60" i="65"/>
  <c r="W78" i="65"/>
  <c r="Z37" i="65"/>
  <c r="S28" i="65"/>
  <c r="J39" i="51"/>
  <c r="G44" i="9"/>
  <c r="J6" i="53"/>
  <c r="G34" i="5"/>
  <c r="Q79" i="65"/>
  <c r="H92" i="65"/>
  <c r="AN12" i="60"/>
  <c r="AI92" i="65"/>
  <c r="I19" i="51"/>
  <c r="D44" i="65"/>
  <c r="G36" i="6"/>
  <c r="J19" i="60"/>
  <c r="M87" i="65"/>
  <c r="H115" i="65"/>
  <c r="C100" i="65"/>
  <c r="X19" i="60"/>
  <c r="K81" i="65"/>
  <c r="AO90" i="65"/>
  <c r="D88" i="65"/>
  <c r="I23" i="65"/>
  <c r="V28" i="65"/>
  <c r="AN91" i="65"/>
  <c r="G35" i="5"/>
  <c r="AC82" i="65"/>
  <c r="K21" i="65"/>
  <c r="V104" i="65"/>
  <c r="V11" i="60"/>
  <c r="AP20" i="60"/>
  <c r="H7" i="7"/>
  <c r="K58" i="65"/>
  <c r="N106" i="65"/>
  <c r="AF41" i="65"/>
  <c r="D106" i="65"/>
  <c r="Q26" i="60"/>
  <c r="H52" i="65"/>
  <c r="AU76" i="65"/>
  <c r="AG13" i="60"/>
  <c r="AP16" i="60"/>
  <c r="AR80" i="65"/>
  <c r="N57" i="65"/>
  <c r="AK76" i="65"/>
  <c r="G84" i="65"/>
  <c r="AI83" i="65"/>
  <c r="U11" i="60"/>
  <c r="M71" i="65"/>
  <c r="AO92" i="65"/>
  <c r="L51" i="65"/>
  <c r="F48" i="65"/>
  <c r="AN27" i="60"/>
  <c r="AJ41" i="65"/>
  <c r="AI50" i="65"/>
  <c r="H37" i="5"/>
  <c r="G48" i="65"/>
  <c r="AE63" i="65"/>
  <c r="X44" i="65"/>
  <c r="AT2" i="60"/>
  <c r="Z102" i="65"/>
  <c r="K109" i="65"/>
  <c r="AA97" i="65"/>
  <c r="J21" i="5"/>
  <c r="P39" i="65"/>
  <c r="AR113" i="65"/>
  <c r="J18" i="52"/>
  <c r="I24" i="6"/>
  <c r="AD99" i="65"/>
  <c r="H95" i="65"/>
  <c r="AS3" i="60"/>
  <c r="AJ103" i="65"/>
  <c r="G34" i="60"/>
  <c r="P86" i="65"/>
  <c r="M108" i="65"/>
  <c r="U33" i="65"/>
  <c r="AO101" i="65"/>
  <c r="AK78" i="65"/>
  <c r="AV10" i="60"/>
  <c r="W94" i="65"/>
  <c r="AG25" i="65"/>
  <c r="AF26" i="65"/>
  <c r="AN51" i="65"/>
  <c r="H20" i="60"/>
  <c r="X105" i="65"/>
  <c r="AJ81" i="65"/>
  <c r="E102" i="65"/>
  <c r="AB75" i="65"/>
  <c r="AB72" i="65"/>
  <c r="L25" i="60"/>
  <c r="F72" i="65"/>
  <c r="AC78" i="65"/>
  <c r="D63" i="65"/>
  <c r="G39" i="5"/>
  <c r="AE2" i="60"/>
  <c r="M104" i="65"/>
  <c r="T69" i="65"/>
  <c r="D41" i="65"/>
  <c r="AA64" i="65"/>
  <c r="AU56" i="65"/>
  <c r="C5" i="9"/>
  <c r="J26" i="65"/>
  <c r="AH90" i="65"/>
  <c r="AD44" i="65"/>
  <c r="AP79" i="65"/>
  <c r="AP106" i="65"/>
  <c r="AS49" i="65"/>
  <c r="AR55" i="65"/>
  <c r="C38" i="9"/>
  <c r="K28" i="65"/>
  <c r="E109" i="65"/>
  <c r="J35" i="65"/>
  <c r="K6" i="60"/>
  <c r="AC58" i="65"/>
  <c r="H26" i="51"/>
  <c r="S73" i="65"/>
  <c r="I53" i="65"/>
  <c r="G52" i="60"/>
  <c r="S99" i="65"/>
  <c r="N75" i="65"/>
  <c r="O93" i="65"/>
  <c r="X61" i="65"/>
  <c r="J44" i="65"/>
  <c r="AN108" i="65"/>
  <c r="AH60" i="65"/>
  <c r="K63" i="65"/>
  <c r="X103" i="65"/>
  <c r="D40" i="65"/>
  <c r="AM32" i="65"/>
  <c r="AE51" i="65"/>
  <c r="J18" i="51"/>
  <c r="H82" i="65"/>
  <c r="AD42" i="65"/>
  <c r="AM49" i="65"/>
  <c r="I16" i="60"/>
  <c r="AL49" i="65"/>
  <c r="F19" i="52"/>
  <c r="G14" i="9"/>
  <c r="E30" i="65"/>
  <c r="AE64" i="65"/>
  <c r="J10" i="60"/>
  <c r="E43" i="65"/>
  <c r="AL115" i="65"/>
  <c r="U111" i="65"/>
  <c r="G22" i="65"/>
  <c r="S51" i="65"/>
  <c r="M55" i="65"/>
  <c r="AO106" i="65"/>
  <c r="AP86" i="65"/>
  <c r="E71" i="65"/>
  <c r="AF114" i="65"/>
  <c r="AQ54" i="65"/>
  <c r="AQ105" i="65"/>
  <c r="K16" i="60"/>
  <c r="R39" i="65"/>
  <c r="P75" i="65"/>
  <c r="AM108" i="65"/>
  <c r="AL113" i="65"/>
  <c r="AI43" i="65"/>
  <c r="E78" i="65"/>
  <c r="AJ20" i="60"/>
  <c r="AN76" i="65"/>
  <c r="AD43" i="65"/>
  <c r="AA93" i="65"/>
  <c r="J25" i="5"/>
  <c r="AQ72" i="65"/>
  <c r="AA85" i="65"/>
  <c r="I30" i="52"/>
  <c r="F9" i="51"/>
  <c r="AG23" i="65"/>
  <c r="E13" i="60"/>
  <c r="AN74" i="65"/>
  <c r="G87" i="65"/>
  <c r="AO24" i="65"/>
  <c r="I42" i="65"/>
  <c r="AJ33" i="65"/>
  <c r="X109" i="65"/>
  <c r="O23" i="65"/>
  <c r="R85" i="65"/>
  <c r="AJ95" i="65"/>
  <c r="H66" i="65"/>
  <c r="F78" i="65"/>
  <c r="AJ92" i="65"/>
  <c r="H33" i="5"/>
  <c r="N63" i="65"/>
  <c r="AC95" i="65"/>
  <c r="G41" i="9"/>
  <c r="T24" i="60"/>
  <c r="J90" i="65"/>
  <c r="V99" i="65"/>
  <c r="AB101" i="65"/>
  <c r="E41" i="65"/>
  <c r="AQ103" i="65"/>
  <c r="S108" i="65"/>
  <c r="C26" i="65"/>
  <c r="AF2" i="60"/>
  <c r="E115" i="65"/>
  <c r="AM85" i="65"/>
  <c r="AU69" i="65"/>
  <c r="AG84" i="65"/>
  <c r="AE74" i="65"/>
  <c r="C73" i="65"/>
  <c r="H113" i="65"/>
  <c r="G12" i="52"/>
  <c r="N27" i="65"/>
  <c r="AA50" i="65"/>
  <c r="AS65" i="65"/>
  <c r="AM91" i="65"/>
  <c r="AM44" i="65"/>
  <c r="AD78" i="65"/>
  <c r="I43" i="65"/>
  <c r="P49" i="65"/>
  <c r="Q81" i="65"/>
  <c r="M40" i="65"/>
  <c r="M24" i="60"/>
  <c r="AU95" i="65"/>
  <c r="L84" i="65"/>
  <c r="G31" i="60"/>
  <c r="O89" i="65"/>
  <c r="U96" i="65"/>
  <c r="J38" i="65"/>
  <c r="AB26" i="60"/>
  <c r="H22" i="65"/>
  <c r="H11" i="6"/>
  <c r="M62" i="65"/>
  <c r="AT95" i="65"/>
  <c r="L90" i="65"/>
  <c r="Z84" i="65"/>
  <c r="AB11" i="60"/>
  <c r="J25" i="52"/>
  <c r="AD105" i="65"/>
  <c r="AR35" i="65"/>
  <c r="Y23" i="65"/>
  <c r="E31" i="65"/>
  <c r="J39" i="5"/>
  <c r="AA104" i="65"/>
  <c r="G19" i="51"/>
  <c r="H25" i="6"/>
  <c r="E89" i="65"/>
  <c r="J21" i="7"/>
  <c r="AJ73" i="65"/>
  <c r="AF20" i="60"/>
  <c r="P99" i="65"/>
  <c r="F20" i="65"/>
  <c r="H13" i="7"/>
  <c r="AC77" i="65"/>
  <c r="K8" i="5"/>
  <c r="O32" i="65"/>
  <c r="C103" i="65"/>
  <c r="AS33" i="65"/>
  <c r="D42" i="65"/>
  <c r="K10" i="52"/>
  <c r="C6" i="9"/>
  <c r="C81" i="65"/>
  <c r="AN102" i="65"/>
  <c r="O103" i="65"/>
  <c r="AS50" i="65"/>
  <c r="U86" i="65"/>
  <c r="AJ57" i="65"/>
  <c r="G9" i="52"/>
  <c r="AN41" i="65"/>
  <c r="AK69" i="65"/>
  <c r="E107" i="65"/>
  <c r="AT114" i="65"/>
  <c r="H10" i="6"/>
  <c r="AS83" i="65"/>
  <c r="AM97" i="65"/>
  <c r="G18" i="5"/>
  <c r="AB52" i="65"/>
  <c r="K37" i="51"/>
  <c r="V25" i="65"/>
  <c r="AK23" i="65"/>
  <c r="G15" i="5"/>
  <c r="Z62" i="65"/>
  <c r="J19" i="53"/>
  <c r="AF105" i="65"/>
  <c r="E7" i="52"/>
  <c r="K18" i="51"/>
  <c r="S105" i="65"/>
  <c r="AB32" i="65"/>
  <c r="AG74" i="65"/>
  <c r="AK45" i="65"/>
  <c r="S35" i="65"/>
  <c r="F33" i="5"/>
  <c r="L103" i="65"/>
  <c r="G51" i="65"/>
  <c r="AS39" i="65"/>
  <c r="R110" i="65"/>
  <c r="O51" i="65"/>
  <c r="AL83" i="65"/>
  <c r="Y113" i="65"/>
  <c r="W10" i="65"/>
  <c r="AK11" i="60"/>
  <c r="S42" i="65"/>
  <c r="AO2" i="60"/>
  <c r="Q91" i="65"/>
  <c r="C115" i="65"/>
  <c r="Z6" i="60"/>
  <c r="AD11" i="60"/>
  <c r="D27" i="60"/>
  <c r="I107" i="65"/>
  <c r="G115" i="65"/>
  <c r="J64" i="65"/>
  <c r="D20" i="65"/>
  <c r="G113" i="65"/>
  <c r="V26" i="60"/>
  <c r="AM88" i="65"/>
  <c r="AL19" i="60"/>
  <c r="AN43" i="65"/>
  <c r="D16" i="9"/>
  <c r="AT83" i="65"/>
  <c r="T9" i="60"/>
  <c r="Y95" i="65"/>
  <c r="AJ79" i="65"/>
  <c r="K108" i="65"/>
  <c r="E55" i="71"/>
  <c r="J56" i="65"/>
  <c r="N20" i="65"/>
  <c r="E36" i="65"/>
  <c r="AF69" i="65"/>
  <c r="Y17" i="60"/>
  <c r="AK112" i="65"/>
  <c r="K105" i="65"/>
  <c r="W82" i="65"/>
  <c r="AS27" i="60"/>
  <c r="I34" i="65"/>
  <c r="AG98" i="65"/>
  <c r="AV12" i="60"/>
  <c r="AM12" i="60"/>
  <c r="K43" i="65"/>
  <c r="G45" i="65"/>
  <c r="K19" i="6"/>
  <c r="F20" i="6"/>
  <c r="T37" i="65"/>
  <c r="AF28" i="65"/>
  <c r="AF101" i="65"/>
  <c r="E14" i="52"/>
  <c r="AA69" i="65"/>
  <c r="AL71" i="65"/>
  <c r="AP112" i="65"/>
  <c r="Z5" i="60"/>
  <c r="AD97" i="65"/>
  <c r="P71" i="65"/>
  <c r="AJ55" i="65"/>
  <c r="C49" i="65"/>
  <c r="AB38" i="65"/>
  <c r="AJ96" i="65"/>
  <c r="D44" i="60"/>
  <c r="F101" i="65"/>
  <c r="Q9" i="60"/>
  <c r="Q85" i="65"/>
  <c r="E34" i="65"/>
  <c r="R102" i="65"/>
  <c r="AF61" i="65"/>
  <c r="E49" i="65"/>
  <c r="AR104" i="65"/>
  <c r="AK42" i="65"/>
  <c r="AF79" i="65"/>
  <c r="E52" i="65"/>
  <c r="Y61" i="65"/>
  <c r="AK72" i="65"/>
  <c r="AI2" i="60"/>
  <c r="Z33" i="65"/>
  <c r="T20" i="60"/>
  <c r="E37" i="5"/>
  <c r="V82" i="65"/>
  <c r="H109" i="65"/>
  <c r="K25" i="65"/>
  <c r="O56" i="65"/>
  <c r="AF29" i="65"/>
  <c r="AB99" i="65"/>
  <c r="AA84" i="65"/>
  <c r="T78" i="65"/>
  <c r="AR25" i="60"/>
  <c r="AI13" i="60"/>
  <c r="AC52" i="65"/>
  <c r="AS104" i="65"/>
  <c r="S47" i="65"/>
  <c r="J7" i="53"/>
  <c r="K30" i="5"/>
  <c r="P27" i="65"/>
  <c r="Y90" i="65"/>
  <c r="H11" i="7"/>
  <c r="N71" i="65"/>
  <c r="R108" i="65"/>
  <c r="F17" i="5"/>
  <c r="W35" i="65"/>
  <c r="H8" i="7"/>
  <c r="K107" i="65"/>
  <c r="N82" i="65"/>
  <c r="AS111" i="65"/>
  <c r="N87" i="65"/>
  <c r="I23" i="5"/>
  <c r="AQ82" i="65"/>
  <c r="AG86" i="65"/>
  <c r="AK97" i="65"/>
  <c r="Q6" i="60"/>
  <c r="U81" i="65"/>
  <c r="W57" i="65"/>
  <c r="K14" i="52"/>
  <c r="I28" i="65"/>
  <c r="AM56" i="65"/>
  <c r="AD85" i="65"/>
  <c r="AI25" i="60"/>
  <c r="H20" i="53"/>
  <c r="AU36" i="65"/>
  <c r="AA32" i="65"/>
  <c r="AM98" i="65"/>
  <c r="AH18" i="60"/>
  <c r="P60" i="65"/>
  <c r="E47" i="9"/>
  <c r="S10" i="60"/>
  <c r="U9" i="60"/>
  <c r="T113" i="65"/>
  <c r="AU84" i="65"/>
  <c r="AR90" i="65"/>
  <c r="K22" i="5"/>
  <c r="AE77" i="65"/>
  <c r="D45" i="65"/>
  <c r="N76" i="65"/>
  <c r="AB4" i="65"/>
  <c r="T47" i="65"/>
  <c r="AK95" i="65"/>
  <c r="AK39" i="65"/>
  <c r="AP27" i="65"/>
  <c r="J58" i="65"/>
  <c r="AK27" i="60"/>
  <c r="AR40" i="65"/>
  <c r="U77" i="65"/>
  <c r="K27" i="60"/>
  <c r="R79" i="65"/>
  <c r="AN29" i="65"/>
  <c r="M83" i="65"/>
  <c r="N112" i="65"/>
  <c r="AU87" i="65"/>
  <c r="S24" i="65"/>
  <c r="AB110" i="65"/>
  <c r="AM83" i="65"/>
  <c r="AA51" i="65"/>
  <c r="AU77" i="65"/>
  <c r="V100" i="65"/>
  <c r="AM58" i="65"/>
  <c r="H32" i="9"/>
  <c r="AA41" i="65"/>
  <c r="M103" i="65"/>
  <c r="L95" i="65"/>
  <c r="N66" i="65"/>
  <c r="AE97" i="65"/>
  <c r="AL69" i="65"/>
  <c r="AL65" i="65"/>
  <c r="AS107" i="65"/>
  <c r="AI97" i="65"/>
  <c r="J32" i="52"/>
  <c r="I99" i="65"/>
  <c r="S80" i="65"/>
  <c r="I20" i="60"/>
  <c r="AJ36" i="65"/>
  <c r="AU28" i="65"/>
  <c r="AN110" i="65"/>
  <c r="I77" i="65"/>
  <c r="R89" i="65"/>
  <c r="J63" i="65"/>
  <c r="AT51" i="65"/>
  <c r="G43" i="65"/>
  <c r="AD114" i="65"/>
  <c r="D56" i="65"/>
  <c r="J41" i="6"/>
  <c r="J53" i="65"/>
  <c r="AG9" i="60"/>
  <c r="E58" i="65"/>
  <c r="AE47" i="65"/>
  <c r="G46" i="65"/>
  <c r="L64" i="65"/>
  <c r="Q50" i="65"/>
  <c r="J95" i="65"/>
  <c r="D65" i="65"/>
  <c r="W49" i="65"/>
  <c r="D98" i="65"/>
  <c r="Y23" i="60"/>
  <c r="AT54" i="65"/>
  <c r="AR81" i="65"/>
  <c r="AG34" i="65"/>
  <c r="I76" i="65"/>
  <c r="AA89" i="65"/>
  <c r="U53" i="65"/>
  <c r="AE19" i="60"/>
  <c r="AN78" i="65"/>
  <c r="O106" i="65"/>
  <c r="K90" i="65"/>
  <c r="AR59" i="65"/>
  <c r="H71" i="65"/>
  <c r="AI20" i="65"/>
  <c r="AR69" i="65"/>
  <c r="G23" i="65"/>
  <c r="D80" i="65"/>
  <c r="E46" i="65"/>
  <c r="E44" i="7"/>
  <c r="AF22" i="65"/>
  <c r="O77" i="65"/>
  <c r="AN39" i="65"/>
  <c r="B32" i="9"/>
  <c r="O33" i="65"/>
  <c r="AU75" i="65"/>
  <c r="M28" i="65"/>
  <c r="AK79" i="65"/>
  <c r="M81" i="65"/>
  <c r="R30" i="65"/>
  <c r="W27" i="60"/>
  <c r="W36" i="65"/>
  <c r="V106" i="65"/>
  <c r="AP113" i="65"/>
  <c r="AT108" i="65"/>
  <c r="AL73" i="65"/>
  <c r="AC30" i="65"/>
  <c r="X48" i="65"/>
  <c r="G13" i="5"/>
  <c r="AD84" i="65"/>
  <c r="G96" i="65"/>
  <c r="L12" i="60"/>
  <c r="AP75" i="65"/>
  <c r="F54" i="65"/>
  <c r="H86" i="65"/>
  <c r="M106" i="65"/>
  <c r="AB104" i="65"/>
  <c r="D99" i="65"/>
  <c r="S102" i="65"/>
  <c r="L82" i="65"/>
  <c r="AU73" i="65"/>
  <c r="N100" i="65"/>
  <c r="F89" i="65"/>
  <c r="AA92" i="65"/>
  <c r="J47" i="7"/>
  <c r="D50" i="65"/>
  <c r="R4" i="60"/>
  <c r="H9" i="5"/>
  <c r="Z95" i="65"/>
  <c r="V25" i="60"/>
  <c r="AG41" i="65"/>
  <c r="AS59" i="65"/>
  <c r="AE73" i="65"/>
  <c r="M64" i="65"/>
  <c r="L107" i="65"/>
  <c r="K3" i="38"/>
  <c r="Z69" i="65"/>
  <c r="E46" i="9"/>
  <c r="AQ73" i="65"/>
  <c r="R112" i="65"/>
  <c r="H19" i="52"/>
  <c r="AG69" i="65"/>
  <c r="X114" i="65"/>
  <c r="AP29" i="65"/>
  <c r="H36" i="6"/>
  <c r="V98" i="65"/>
  <c r="AO84" i="65"/>
  <c r="H76" i="65"/>
  <c r="N62" i="65"/>
  <c r="AL85" i="65"/>
  <c r="W31" i="65"/>
  <c r="J16" i="52"/>
  <c r="AM74" i="65"/>
  <c r="E44" i="9"/>
  <c r="AK89" i="65"/>
  <c r="I81" i="65"/>
  <c r="AI104" i="65"/>
  <c r="I16" i="51"/>
  <c r="AH96" i="65"/>
  <c r="G8" i="5"/>
  <c r="E4" i="9"/>
  <c r="AQ71" i="65"/>
  <c r="F75" i="65"/>
  <c r="L104" i="65"/>
  <c r="U73" i="65"/>
  <c r="F103" i="65"/>
  <c r="AS70" i="65"/>
  <c r="AE107" i="65"/>
  <c r="AL74" i="65"/>
  <c r="X25" i="60"/>
  <c r="U104" i="65"/>
  <c r="H80" i="65"/>
  <c r="T25" i="60"/>
  <c r="D24" i="65"/>
  <c r="J41" i="65"/>
  <c r="J27" i="60"/>
  <c r="Z81" i="65"/>
  <c r="O90" i="65"/>
  <c r="AS100" i="65"/>
  <c r="AL80" i="65"/>
  <c r="I101" i="65"/>
  <c r="E108" i="65"/>
  <c r="C88" i="65"/>
  <c r="AT99" i="65"/>
  <c r="S54" i="65"/>
  <c r="AK17" i="60"/>
  <c r="AU40" i="65"/>
  <c r="AU5" i="60"/>
  <c r="AI71" i="65"/>
  <c r="AK75" i="65"/>
  <c r="M76" i="65"/>
  <c r="AT44" i="65"/>
  <c r="AC76" i="65"/>
  <c r="AO61" i="65"/>
  <c r="AM20" i="60"/>
  <c r="AS53" i="65"/>
  <c r="AJ3" i="60"/>
  <c r="AL16" i="60"/>
  <c r="N6" i="60"/>
  <c r="M75" i="65"/>
  <c r="N27" i="60"/>
  <c r="S46" i="65"/>
  <c r="AB105" i="65"/>
  <c r="G59" i="65"/>
  <c r="Y25" i="60"/>
  <c r="AE3" i="60"/>
  <c r="H73" i="65"/>
  <c r="AQ96" i="65"/>
  <c r="L2" i="60"/>
  <c r="AR79" i="65"/>
  <c r="J105" i="65"/>
  <c r="K114" i="65"/>
  <c r="AQ95" i="65"/>
  <c r="E47" i="6"/>
  <c r="J9" i="60"/>
  <c r="M82" i="65"/>
  <c r="AN3" i="16"/>
  <c r="H85" i="65"/>
  <c r="AO79" i="65"/>
  <c r="AE103" i="65"/>
  <c r="I41" i="52"/>
  <c r="AE42" i="65"/>
  <c r="AB106" i="65"/>
  <c r="AO93" i="65"/>
  <c r="G38" i="5"/>
  <c r="N115" i="65"/>
  <c r="AQ93" i="65"/>
  <c r="J115" i="65"/>
  <c r="I28" i="52"/>
  <c r="R33" i="65"/>
  <c r="D30" i="65"/>
  <c r="W102" i="65"/>
  <c r="W59" i="65"/>
  <c r="U31" i="65"/>
  <c r="J30" i="51"/>
  <c r="T91" i="65"/>
  <c r="AG102" i="65"/>
  <c r="AQ109" i="65"/>
  <c r="E51" i="65"/>
  <c r="C76" i="65"/>
  <c r="AC5" i="60"/>
  <c r="O41" i="65"/>
  <c r="C114" i="65"/>
  <c r="K83" i="65"/>
  <c r="AR37" i="65"/>
  <c r="AF103" i="65"/>
  <c r="AA48" i="65"/>
  <c r="P62" i="65"/>
  <c r="I31" i="5"/>
  <c r="J86" i="65"/>
  <c r="AO58" i="65"/>
  <c r="H29" i="51"/>
  <c r="K40" i="6"/>
  <c r="Q53" i="65"/>
  <c r="J20" i="7"/>
  <c r="C3" i="38"/>
  <c r="AL10" i="60"/>
  <c r="AA6" i="60"/>
  <c r="AD26" i="65"/>
  <c r="AL101" i="65"/>
  <c r="AJ21" i="65"/>
  <c r="D101" i="65"/>
  <c r="W6" i="60"/>
  <c r="G29" i="53"/>
  <c r="F49" i="65"/>
  <c r="K48" i="65"/>
  <c r="AA24" i="65"/>
  <c r="H111" i="65"/>
  <c r="AU10" i="60"/>
  <c r="AD18" i="60"/>
  <c r="M80" i="65"/>
  <c r="AS92" i="65"/>
  <c r="AB60" i="65"/>
  <c r="AG108" i="65"/>
  <c r="AU96" i="65"/>
  <c r="H24" i="51"/>
  <c r="I11" i="5"/>
  <c r="C51" i="60"/>
  <c r="AC106" i="65"/>
  <c r="G32" i="65"/>
  <c r="H20" i="65"/>
  <c r="O102" i="65"/>
  <c r="AJ97" i="65"/>
  <c r="R93" i="65"/>
  <c r="AP46" i="65"/>
  <c r="AP107" i="65"/>
  <c r="F32" i="60"/>
  <c r="AQ61" i="65"/>
  <c r="O4" i="60"/>
  <c r="AJ26" i="65"/>
  <c r="AV5" i="60"/>
  <c r="H55" i="65"/>
  <c r="AP52" i="65"/>
  <c r="AN16" i="60"/>
  <c r="AS28" i="65"/>
  <c r="AR61" i="65"/>
  <c r="D115" i="65"/>
  <c r="D9" i="60"/>
  <c r="N9" i="60"/>
  <c r="Q23" i="65"/>
  <c r="AP101" i="65"/>
  <c r="AG27" i="65"/>
  <c r="D89" i="65"/>
  <c r="P48" i="65"/>
  <c r="AC21" i="65"/>
  <c r="E13" i="52"/>
  <c r="Y108" i="65"/>
  <c r="AN26" i="65"/>
  <c r="F71" i="65"/>
  <c r="AB53" i="65"/>
  <c r="AI94" i="65"/>
  <c r="Q66" i="65"/>
  <c r="H34" i="65"/>
  <c r="S48" i="65"/>
  <c r="AD98" i="65"/>
  <c r="F34" i="9"/>
  <c r="J59" i="65"/>
  <c r="G26" i="65"/>
  <c r="AG39" i="65"/>
  <c r="V3" i="60"/>
  <c r="N49" i="65"/>
  <c r="F45" i="65"/>
  <c r="AJ84" i="65"/>
  <c r="AD37" i="65"/>
  <c r="AH44" i="65"/>
  <c r="AH100" i="65"/>
  <c r="H37" i="65"/>
  <c r="AE82" i="65"/>
  <c r="M90" i="65"/>
  <c r="AO66" i="65"/>
  <c r="K20" i="6"/>
  <c r="D38" i="65"/>
  <c r="K26" i="60"/>
  <c r="K98" i="65"/>
  <c r="G104" i="65"/>
  <c r="AR44" i="65"/>
  <c r="H9" i="53"/>
  <c r="AQ113" i="65"/>
  <c r="C36" i="65"/>
  <c r="K28" i="5"/>
  <c r="R91" i="65"/>
  <c r="W72" i="65"/>
  <c r="P80" i="65"/>
  <c r="AQ4" i="60"/>
  <c r="D83" i="65"/>
  <c r="D96" i="65"/>
  <c r="U29" i="65"/>
  <c r="J26" i="51"/>
  <c r="T108" i="65"/>
  <c r="AA71" i="65"/>
  <c r="N38" i="65"/>
  <c r="Z64" i="65"/>
  <c r="F51" i="65"/>
  <c r="N97" i="65"/>
  <c r="U94" i="65"/>
  <c r="AF108" i="65"/>
  <c r="AF83" i="65"/>
  <c r="K49" i="6"/>
  <c r="Y3" i="38"/>
  <c r="W84" i="65"/>
  <c r="X100" i="65"/>
  <c r="AC51" i="65"/>
  <c r="Y92" i="65"/>
  <c r="AN46" i="65"/>
  <c r="AH53" i="65"/>
  <c r="AR34" i="65"/>
  <c r="M32" i="65"/>
  <c r="V43" i="65"/>
  <c r="G33" i="5"/>
  <c r="AK81" i="65"/>
  <c r="Q84" i="65"/>
  <c r="G8" i="9"/>
  <c r="AO97" i="65"/>
  <c r="Z110" i="65"/>
  <c r="W33" i="65"/>
  <c r="J10" i="5"/>
  <c r="V110" i="65"/>
  <c r="E16" i="7"/>
  <c r="H34" i="52"/>
  <c r="AI45" i="65"/>
  <c r="L52" i="65"/>
  <c r="H16" i="6"/>
  <c r="AA73" i="65"/>
  <c r="R24" i="65"/>
  <c r="E26" i="51"/>
  <c r="J29" i="52"/>
  <c r="AH82" i="65"/>
  <c r="N88" i="65"/>
  <c r="AF99" i="65"/>
  <c r="E93" i="65"/>
  <c r="AK80" i="65"/>
  <c r="I21" i="51"/>
  <c r="S65" i="65"/>
  <c r="AK63" i="65"/>
  <c r="G45" i="6"/>
  <c r="AP60" i="65"/>
  <c r="V85" i="65"/>
  <c r="S25" i="65"/>
  <c r="C16" i="9"/>
  <c r="AS108" i="65"/>
  <c r="L6" i="60"/>
  <c r="AV25" i="60"/>
  <c r="AK70" i="65"/>
  <c r="AD62" i="65"/>
  <c r="AO51" i="65"/>
  <c r="AP99" i="65"/>
  <c r="F15" i="53"/>
  <c r="AE102" i="65"/>
  <c r="AR33" i="65"/>
  <c r="AA57" i="65"/>
  <c r="AP28" i="65"/>
  <c r="U60" i="65"/>
  <c r="Y27" i="65"/>
  <c r="AI80" i="65"/>
  <c r="AJ28" i="65"/>
  <c r="F24" i="53"/>
  <c r="R3" i="60"/>
  <c r="D92" i="65"/>
  <c r="D20" i="60"/>
  <c r="F66" i="65"/>
  <c r="AL112" i="65"/>
  <c r="S58" i="65"/>
  <c r="AM48" i="65"/>
  <c r="AP11" i="60"/>
  <c r="AB108" i="65"/>
  <c r="V108" i="65"/>
  <c r="N52" i="65"/>
  <c r="Z40" i="65"/>
  <c r="W21" i="65"/>
  <c r="AS74" i="65"/>
  <c r="AT30" i="65"/>
  <c r="F91" i="65"/>
  <c r="S22" i="65"/>
  <c r="X16" i="60"/>
  <c r="AH75" i="65"/>
  <c r="P101" i="65"/>
  <c r="Z38" i="65"/>
  <c r="AM105" i="65"/>
  <c r="I72" i="65"/>
  <c r="J89" i="65"/>
  <c r="L71" i="65"/>
  <c r="K12" i="60"/>
  <c r="AH107" i="65"/>
  <c r="E84" i="65"/>
  <c r="Y53" i="65"/>
  <c r="AO95" i="65"/>
  <c r="AD29" i="65"/>
  <c r="AK40" i="65"/>
  <c r="T101" i="65"/>
  <c r="AB62" i="65"/>
  <c r="I16" i="6"/>
  <c r="G48" i="60"/>
  <c r="S75" i="65"/>
  <c r="P88" i="65"/>
  <c r="E21" i="53"/>
  <c r="AO89" i="65"/>
  <c r="G58" i="65"/>
  <c r="F21" i="65"/>
  <c r="AA75" i="65"/>
  <c r="AN59" i="65"/>
  <c r="AK96" i="65"/>
  <c r="H60" i="65"/>
  <c r="W13" i="60"/>
  <c r="C99" i="65"/>
  <c r="W90" i="65"/>
  <c r="AN13" i="60"/>
  <c r="AF42" i="65"/>
  <c r="AL95" i="65"/>
  <c r="AG89" i="65"/>
  <c r="F26" i="65"/>
  <c r="AK101" i="65"/>
  <c r="AG28" i="65"/>
  <c r="G40" i="51"/>
  <c r="AH19" i="60"/>
  <c r="E6" i="52"/>
  <c r="AO77" i="65"/>
  <c r="G40" i="52"/>
  <c r="AG29" i="65"/>
  <c r="C105" i="65"/>
  <c r="AI107" i="65"/>
  <c r="V93" i="65"/>
  <c r="AD69" i="65"/>
  <c r="L30" i="65"/>
  <c r="W23" i="65"/>
  <c r="I7" i="7"/>
  <c r="J49" i="65"/>
  <c r="AA29" i="65"/>
  <c r="AQ66" i="65"/>
  <c r="S66" i="65"/>
  <c r="V30" i="65"/>
  <c r="L29" i="65"/>
  <c r="AJ86" i="65"/>
  <c r="AD113" i="65"/>
  <c r="J35" i="5"/>
  <c r="I27" i="51"/>
  <c r="AB36" i="65"/>
  <c r="K27" i="51"/>
  <c r="X39" i="65"/>
  <c r="AO100" i="65"/>
  <c r="AO27" i="65"/>
  <c r="X71" i="65"/>
  <c r="M97" i="65"/>
  <c r="Q29" i="65"/>
  <c r="H21" i="52"/>
  <c r="AR71" i="65"/>
  <c r="AO39" i="65"/>
  <c r="Q36" i="65"/>
  <c r="I50" i="6"/>
  <c r="AS80" i="65"/>
  <c r="AI48" i="65"/>
  <c r="AC54" i="65"/>
  <c r="S55" i="65"/>
  <c r="O64" i="65"/>
  <c r="AK106" i="65"/>
  <c r="U74" i="65"/>
  <c r="G16" i="53"/>
  <c r="T41" i="65"/>
  <c r="AC83" i="65"/>
  <c r="I88" i="65"/>
  <c r="Z32" i="65"/>
  <c r="I24" i="51"/>
  <c r="Y101" i="65"/>
  <c r="AN99" i="65"/>
  <c r="S82" i="65"/>
  <c r="J26" i="53"/>
  <c r="AI90" i="65"/>
  <c r="J112" i="65"/>
  <c r="E34" i="52"/>
  <c r="AB76" i="65"/>
  <c r="I39" i="65"/>
  <c r="N47" i="65"/>
  <c r="AG2" i="60"/>
  <c r="Q57" i="65"/>
  <c r="AS13" i="60"/>
  <c r="U91" i="65"/>
  <c r="K32" i="7"/>
  <c r="AU85" i="65"/>
  <c r="S69" i="65"/>
  <c r="AO25" i="60"/>
  <c r="V86" i="65"/>
  <c r="AH81" i="65"/>
  <c r="I34" i="5"/>
  <c r="AO59" i="65"/>
  <c r="AI78" i="65"/>
  <c r="I32" i="52"/>
  <c r="AH93" i="65"/>
  <c r="C54" i="65"/>
  <c r="R38" i="65"/>
  <c r="O78" i="65"/>
  <c r="K9" i="53"/>
  <c r="AD57" i="65"/>
  <c r="H8" i="9"/>
  <c r="AD52" i="65"/>
  <c r="AB41" i="65"/>
  <c r="G19" i="5"/>
  <c r="AG52" i="65"/>
  <c r="N50" i="65"/>
  <c r="Y104" i="65"/>
  <c r="Y48" i="65"/>
  <c r="AS35" i="65"/>
  <c r="AS101" i="65"/>
  <c r="AU24" i="60"/>
  <c r="J19" i="7"/>
  <c r="F45" i="6"/>
  <c r="R44" i="65"/>
  <c r="F35" i="51"/>
  <c r="G28" i="5"/>
  <c r="B44" i="9"/>
  <c r="AK113" i="65"/>
  <c r="L45" i="65"/>
  <c r="D38" i="9"/>
  <c r="F32" i="51"/>
  <c r="AA37" i="65"/>
  <c r="AU97" i="65"/>
  <c r="P3" i="16"/>
  <c r="AK21" i="65"/>
  <c r="AU64" i="65"/>
  <c r="R73" i="65"/>
  <c r="H7" i="5"/>
  <c r="X111" i="65"/>
  <c r="AI115" i="65"/>
  <c r="AM109" i="65"/>
  <c r="F105" i="65"/>
  <c r="H49" i="6"/>
  <c r="N34" i="65"/>
  <c r="AK25" i="65"/>
  <c r="AL89" i="65"/>
  <c r="AO76" i="65"/>
  <c r="AI51" i="65"/>
  <c r="K19" i="7"/>
  <c r="Y88" i="65"/>
  <c r="AF27" i="65"/>
  <c r="R77" i="65"/>
  <c r="AB89" i="65"/>
  <c r="AL35" i="65"/>
  <c r="G76" i="65"/>
  <c r="T54" i="65"/>
  <c r="Z73" i="65"/>
  <c r="Z43" i="65"/>
  <c r="AF87" i="65"/>
  <c r="AK92" i="65"/>
  <c r="W34" i="65"/>
  <c r="AQ41" i="65"/>
  <c r="F113" i="65"/>
  <c r="V112" i="65"/>
  <c r="J28" i="5"/>
  <c r="E24" i="53"/>
  <c r="O2" i="60"/>
  <c r="AU58" i="65"/>
  <c r="AB3" i="16"/>
  <c r="G32" i="60"/>
  <c r="F34" i="60"/>
  <c r="L65" i="65"/>
  <c r="W115" i="65"/>
  <c r="T27" i="65"/>
  <c r="Y57" i="65"/>
  <c r="AJ87" i="65"/>
  <c r="E33" i="51"/>
  <c r="AQ74" i="65"/>
  <c r="J45" i="6"/>
  <c r="G40" i="65"/>
  <c r="I17" i="6"/>
  <c r="S93" i="65"/>
  <c r="AT6" i="60"/>
  <c r="F21" i="52"/>
  <c r="C33" i="9"/>
  <c r="U66" i="65"/>
  <c r="H11" i="51"/>
  <c r="W9" i="60"/>
  <c r="AQ29" i="65"/>
  <c r="AP65" i="65"/>
  <c r="G26" i="9"/>
  <c r="Y39" i="65"/>
  <c r="AN2" i="60"/>
  <c r="AF70" i="65"/>
  <c r="G23" i="6"/>
  <c r="G40" i="9"/>
  <c r="AU46" i="65"/>
  <c r="AT27" i="65"/>
  <c r="J12" i="6"/>
  <c r="H30" i="65"/>
  <c r="J69" i="65"/>
  <c r="AH114" i="65"/>
  <c r="H9" i="9"/>
  <c r="AB26" i="65"/>
  <c r="T45" i="65"/>
  <c r="C39" i="60"/>
  <c r="O36" i="65"/>
  <c r="Z66" i="65"/>
  <c r="AU44" i="65"/>
  <c r="AK27" i="65"/>
  <c r="W110" i="65"/>
  <c r="AH80" i="65"/>
  <c r="J25" i="53"/>
  <c r="R71" i="65"/>
  <c r="V32" i="65"/>
  <c r="AD47" i="65"/>
  <c r="AI32" i="65"/>
  <c r="AK77" i="65"/>
  <c r="AM3" i="16"/>
  <c r="H20" i="5"/>
  <c r="Y46" i="65"/>
  <c r="AB27" i="65"/>
  <c r="U55" i="65"/>
  <c r="S96" i="65"/>
  <c r="AS62" i="65"/>
  <c r="AR70" i="65"/>
  <c r="P46" i="65"/>
  <c r="AV20" i="60"/>
  <c r="AD90" i="65"/>
  <c r="D74" i="65"/>
  <c r="C101" i="65"/>
  <c r="AE109" i="65"/>
  <c r="Q82" i="65"/>
  <c r="T51" i="65"/>
  <c r="H3" i="9"/>
  <c r="AO112" i="65"/>
  <c r="G6" i="53"/>
  <c r="AQ43" i="65"/>
  <c r="K60" i="65"/>
  <c r="F27" i="9"/>
  <c r="AM22" i="65"/>
  <c r="Y35" i="65"/>
  <c r="AL52" i="65"/>
  <c r="AB25" i="65"/>
  <c r="AK98" i="65"/>
  <c r="H12" i="51"/>
  <c r="AS54" i="65"/>
  <c r="AJ40" i="65"/>
  <c r="AJ30" i="65"/>
  <c r="L66" i="65"/>
  <c r="D33" i="9"/>
  <c r="AE44" i="65"/>
  <c r="AP100" i="65"/>
  <c r="AE99" i="65"/>
  <c r="X64" i="65"/>
  <c r="M89" i="65"/>
  <c r="L59" i="65"/>
  <c r="G34" i="9"/>
  <c r="J41" i="51"/>
  <c r="AK31" i="65"/>
  <c r="F24" i="5"/>
  <c r="E22" i="5"/>
  <c r="AP33" i="65"/>
  <c r="C27" i="9"/>
  <c r="I32" i="65"/>
  <c r="H19" i="51"/>
  <c r="E104" i="65"/>
  <c r="E11" i="5"/>
  <c r="K13" i="52"/>
  <c r="AM50" i="65"/>
  <c r="AL56" i="65"/>
  <c r="AS84" i="65"/>
  <c r="J110" i="65"/>
  <c r="M110" i="65"/>
  <c r="V87" i="65"/>
  <c r="H38" i="6"/>
  <c r="L62" i="65"/>
  <c r="U57" i="65"/>
  <c r="K104" i="65"/>
  <c r="AN34" i="65"/>
  <c r="K20" i="53"/>
  <c r="AB97" i="65"/>
  <c r="AQ24" i="60"/>
  <c r="I13" i="7"/>
  <c r="AQ20" i="65"/>
  <c r="AP62" i="65"/>
  <c r="AP44" i="65"/>
  <c r="B16" i="9"/>
  <c r="F7" i="5"/>
  <c r="B14" i="9"/>
  <c r="AK49" i="65"/>
  <c r="H99" i="65"/>
  <c r="AS20" i="65"/>
  <c r="AB3" i="38"/>
  <c r="E95" i="65"/>
  <c r="W63" i="65"/>
  <c r="F52" i="60"/>
  <c r="AK29" i="65"/>
  <c r="W40" i="65"/>
  <c r="R50" i="65"/>
  <c r="H39" i="6"/>
  <c r="F108" i="65"/>
  <c r="AD106" i="65"/>
  <c r="AH102" i="65"/>
  <c r="H20" i="6"/>
  <c r="T59" i="65"/>
  <c r="R58" i="65"/>
  <c r="AQ37" i="65"/>
  <c r="I50" i="7"/>
  <c r="Q74" i="65"/>
  <c r="AM26" i="65"/>
  <c r="AJ54" i="65"/>
  <c r="K11" i="5"/>
  <c r="Q37" i="65"/>
  <c r="L83" i="65"/>
  <c r="Y103" i="65"/>
  <c r="O37" i="65"/>
  <c r="E8" i="6"/>
  <c r="AU26" i="65"/>
  <c r="I20" i="7"/>
  <c r="M3" i="16"/>
  <c r="U49" i="65"/>
  <c r="V57" i="65"/>
  <c r="I36" i="52"/>
  <c r="AP42" i="65"/>
  <c r="AG24" i="65"/>
  <c r="AK93" i="65"/>
  <c r="U39" i="65"/>
  <c r="AD53" i="65"/>
  <c r="AN55" i="65"/>
  <c r="AG36" i="65"/>
  <c r="Q80" i="65"/>
  <c r="AB66" i="65"/>
  <c r="AH69" i="65"/>
  <c r="Z96" i="65"/>
  <c r="J46" i="6"/>
  <c r="H14" i="53"/>
  <c r="G25" i="6"/>
  <c r="Y40" i="65"/>
  <c r="I26" i="53"/>
  <c r="O43" i="65"/>
  <c r="AK57" i="65"/>
  <c r="AT113" i="65"/>
  <c r="AS94" i="65"/>
  <c r="E37" i="52"/>
  <c r="K25" i="51"/>
  <c r="AO26" i="65"/>
  <c r="AH49" i="65"/>
  <c r="K31" i="5"/>
  <c r="I48" i="6"/>
  <c r="H32" i="52"/>
  <c r="F13" i="52"/>
  <c r="C40" i="60"/>
  <c r="K24" i="6"/>
  <c r="J14" i="5"/>
  <c r="Z31" i="65"/>
  <c r="AP95" i="65"/>
  <c r="AE75" i="65"/>
  <c r="AU27" i="65"/>
  <c r="AJ53" i="65"/>
  <c r="J35" i="52"/>
  <c r="AH57" i="65"/>
  <c r="L60" i="65"/>
  <c r="H30" i="52"/>
  <c r="AP63" i="65"/>
  <c r="AF95" i="65"/>
  <c r="B13" i="9"/>
  <c r="L23" i="65"/>
  <c r="AU54" i="65"/>
  <c r="H41" i="51"/>
  <c r="Z114" i="65"/>
  <c r="W42" i="65"/>
  <c r="E33" i="52"/>
  <c r="AH23" i="65"/>
  <c r="AN40" i="65"/>
  <c r="P109" i="65"/>
  <c r="AN35" i="65"/>
  <c r="B40" i="9"/>
  <c r="G24" i="53"/>
  <c r="AB29" i="65"/>
  <c r="AI23" i="65"/>
  <c r="N33" i="65"/>
  <c r="AS102" i="65"/>
  <c r="J88" i="65"/>
  <c r="F20" i="7"/>
  <c r="H18" i="53"/>
  <c r="F33" i="9"/>
  <c r="AH3" i="38"/>
  <c r="D39" i="9"/>
  <c r="V45" i="65"/>
  <c r="AS42" i="65"/>
  <c r="G19" i="9"/>
  <c r="AG50" i="65"/>
  <c r="C34" i="65"/>
  <c r="I42" i="51"/>
  <c r="Z41" i="65"/>
  <c r="AL26" i="65"/>
  <c r="G21" i="53"/>
  <c r="AA47" i="65"/>
  <c r="E41" i="7"/>
  <c r="AE50" i="65"/>
  <c r="AH29" i="65"/>
  <c r="H7" i="6"/>
  <c r="T105" i="65"/>
  <c r="F18" i="51"/>
  <c r="W18" i="60"/>
  <c r="AQ45" i="65"/>
  <c r="J39" i="52"/>
  <c r="AM90" i="65"/>
  <c r="F43" i="65"/>
  <c r="G38" i="52"/>
  <c r="AC65" i="65"/>
  <c r="K6" i="51"/>
  <c r="F28" i="5"/>
  <c r="M50" i="65"/>
  <c r="I35" i="51"/>
  <c r="E23" i="6"/>
  <c r="L41" i="65"/>
  <c r="AM66" i="65"/>
  <c r="D7" i="9"/>
  <c r="AI106" i="65"/>
  <c r="J19" i="5"/>
  <c r="AN44" i="65"/>
  <c r="J31" i="51"/>
  <c r="AS77" i="65"/>
  <c r="G24" i="6"/>
  <c r="T38" i="65"/>
  <c r="C63" i="65"/>
  <c r="F22" i="9"/>
  <c r="F17" i="6"/>
  <c r="F28" i="52"/>
  <c r="H27" i="53"/>
  <c r="AP26" i="65"/>
  <c r="W48" i="65"/>
  <c r="V55" i="65"/>
  <c r="I14" i="52"/>
  <c r="X88" i="65"/>
  <c r="H17" i="7"/>
  <c r="E19" i="7"/>
  <c r="F39" i="60"/>
  <c r="AU55" i="65"/>
  <c r="F36" i="9"/>
  <c r="AO60" i="65"/>
  <c r="AD115" i="65"/>
  <c r="AF54" i="65"/>
  <c r="H27" i="52"/>
  <c r="J32" i="7"/>
  <c r="X112" i="65"/>
  <c r="D44" i="9"/>
  <c r="J22" i="51"/>
  <c r="W74" i="65"/>
  <c r="AM114" i="65"/>
  <c r="AO63" i="65"/>
  <c r="D18" i="9"/>
  <c r="H24" i="53"/>
  <c r="M58" i="65"/>
  <c r="E12" i="9"/>
  <c r="AP66" i="65"/>
  <c r="W66" i="65"/>
  <c r="J25" i="7"/>
  <c r="AO115" i="65"/>
  <c r="L44" i="65"/>
  <c r="Y75" i="65"/>
  <c r="O73" i="65"/>
  <c r="AO91" i="65"/>
  <c r="K37" i="5"/>
  <c r="H23" i="53"/>
  <c r="AP90" i="65"/>
  <c r="C27" i="65"/>
  <c r="G25" i="53"/>
  <c r="O54" i="65"/>
  <c r="AV13" i="60"/>
  <c r="AF109" i="65"/>
  <c r="S38" i="65"/>
  <c r="X60" i="65"/>
  <c r="F10" i="6"/>
  <c r="F16" i="52"/>
  <c r="I25" i="52"/>
  <c r="K45" i="7"/>
  <c r="J42" i="6"/>
  <c r="AS58" i="65"/>
  <c r="AN56" i="65"/>
  <c r="O115" i="65"/>
  <c r="U62" i="65"/>
  <c r="G16" i="5"/>
  <c r="L55" i="65"/>
  <c r="I23" i="51"/>
  <c r="Y12" i="60"/>
  <c r="X70" i="65"/>
  <c r="D39" i="65"/>
  <c r="AJ98" i="65"/>
  <c r="AR107" i="65"/>
  <c r="Y96" i="65"/>
  <c r="I49" i="65"/>
  <c r="AQ104" i="65"/>
  <c r="J26" i="60"/>
  <c r="AK55" i="65"/>
  <c r="O71" i="65"/>
  <c r="Z76" i="65"/>
  <c r="AT39" i="65"/>
  <c r="AK54" i="65"/>
  <c r="M9" i="60"/>
  <c r="F46" i="65"/>
  <c r="AN70" i="65"/>
  <c r="O52" i="65"/>
  <c r="W92" i="65"/>
  <c r="AM112" i="65"/>
  <c r="D77" i="65"/>
  <c r="AG83" i="65"/>
  <c r="G6" i="52"/>
  <c r="Z61" i="65"/>
  <c r="AN98" i="65"/>
  <c r="R63" i="65"/>
  <c r="AG26" i="60"/>
  <c r="S23" i="60"/>
  <c r="AN107" i="65"/>
  <c r="I73" i="65"/>
  <c r="AI57" i="65"/>
  <c r="S23" i="65"/>
  <c r="H21" i="65"/>
  <c r="G20" i="5"/>
  <c r="W93" i="65"/>
  <c r="T81" i="65"/>
  <c r="E12" i="52"/>
  <c r="AE32" i="65"/>
  <c r="AU26" i="60"/>
  <c r="G47" i="60"/>
  <c r="AK88" i="65"/>
  <c r="AL99" i="65"/>
  <c r="T90" i="65"/>
  <c r="N72" i="65"/>
  <c r="AM13" i="60"/>
  <c r="C46" i="65"/>
  <c r="AK107" i="65"/>
  <c r="O48" i="65"/>
  <c r="J45" i="7"/>
  <c r="AS55" i="65"/>
  <c r="T107" i="65"/>
  <c r="AD31" i="65"/>
  <c r="AL27" i="60"/>
  <c r="E59" i="65"/>
  <c r="U106" i="65"/>
  <c r="AC59" i="65"/>
  <c r="AQ20" i="60"/>
  <c r="I12" i="5"/>
  <c r="F22" i="5"/>
  <c r="AR97" i="65"/>
  <c r="V29" i="65"/>
  <c r="AI72" i="65"/>
  <c r="AS64" i="65"/>
  <c r="J13" i="53"/>
  <c r="N83" i="65"/>
  <c r="AS109" i="65"/>
  <c r="T74" i="65"/>
  <c r="U80" i="65"/>
  <c r="AJ51" i="65"/>
  <c r="G40" i="7"/>
  <c r="S37" i="65"/>
  <c r="AL27" i="65"/>
  <c r="E31" i="5"/>
  <c r="AD102" i="65"/>
  <c r="AP82" i="65"/>
  <c r="AK91" i="65"/>
  <c r="J24" i="51"/>
  <c r="K102" i="65"/>
  <c r="X21" i="65"/>
  <c r="AI69" i="65"/>
  <c r="Q108" i="65"/>
  <c r="AA38" i="65"/>
  <c r="AO111" i="65"/>
  <c r="H22" i="52"/>
  <c r="AK22" i="65"/>
  <c r="O79" i="65"/>
  <c r="L43" i="65"/>
  <c r="U71" i="65"/>
  <c r="M111" i="65"/>
  <c r="AN30" i="65"/>
  <c r="AT63" i="65"/>
  <c r="H16" i="5"/>
  <c r="E23" i="7"/>
  <c r="G27" i="52"/>
  <c r="AQ114" i="65"/>
  <c r="F23" i="6"/>
  <c r="K38" i="6"/>
  <c r="AS69" i="65"/>
  <c r="Z26" i="65"/>
  <c r="AK26" i="65"/>
  <c r="E9" i="53"/>
  <c r="V27" i="65"/>
  <c r="H24" i="6"/>
  <c r="N93" i="65"/>
  <c r="AB42" i="65"/>
  <c r="M74" i="65"/>
  <c r="K49" i="65"/>
  <c r="K44" i="7"/>
  <c r="AT115" i="65"/>
  <c r="Q52" i="65"/>
  <c r="AH94" i="65"/>
  <c r="Y31" i="65"/>
  <c r="AK86" i="65"/>
  <c r="AJ17" i="60"/>
  <c r="P66" i="65"/>
  <c r="AR85" i="65"/>
  <c r="I112" i="65"/>
  <c r="P26" i="65"/>
  <c r="AT102" i="65"/>
  <c r="B17" i="9"/>
  <c r="P50" i="65"/>
  <c r="AD51" i="65"/>
  <c r="F32" i="5"/>
  <c r="I39" i="52"/>
  <c r="I94" i="65"/>
  <c r="O50" i="65"/>
  <c r="I38" i="65"/>
  <c r="Q76" i="65"/>
  <c r="H13" i="60"/>
  <c r="AH72" i="65"/>
  <c r="E22" i="7"/>
  <c r="F38" i="5"/>
  <c r="K78" i="65"/>
  <c r="AD87" i="65"/>
  <c r="E39" i="6"/>
  <c r="F13" i="53"/>
  <c r="H28" i="65"/>
  <c r="Q97" i="65"/>
  <c r="L98" i="65"/>
  <c r="F16" i="9"/>
  <c r="AK100" i="65"/>
  <c r="H6" i="9"/>
  <c r="F18" i="52"/>
  <c r="F26" i="53"/>
  <c r="K30" i="51"/>
  <c r="B47" i="9"/>
  <c r="G31" i="9"/>
  <c r="F38" i="60"/>
  <c r="E10" i="6"/>
  <c r="AJ24" i="60"/>
  <c r="AE38" i="65"/>
  <c r="AG93" i="65"/>
  <c r="G36" i="5"/>
  <c r="AJ78" i="65"/>
  <c r="G19" i="6"/>
  <c r="N98" i="65"/>
  <c r="Q111" i="65"/>
  <c r="P85" i="65"/>
  <c r="H19" i="6"/>
  <c r="AS47" i="65"/>
  <c r="M38" i="65"/>
  <c r="AL44" i="65"/>
  <c r="G22" i="6"/>
  <c r="H49" i="65"/>
  <c r="O94" i="65"/>
  <c r="AQ88" i="65"/>
  <c r="AG21" i="65"/>
  <c r="AH105" i="65"/>
  <c r="V65" i="65"/>
  <c r="AQ60" i="65"/>
  <c r="AE106" i="65"/>
  <c r="AE11" i="60"/>
  <c r="E40" i="6"/>
  <c r="W47" i="65"/>
  <c r="H14" i="9"/>
  <c r="AB100" i="65"/>
  <c r="AJ89" i="65"/>
  <c r="Z100" i="65"/>
  <c r="AK108" i="65"/>
  <c r="E36" i="6"/>
  <c r="Y99" i="65"/>
  <c r="AM3" i="60"/>
  <c r="P28" i="65"/>
  <c r="E17" i="53"/>
  <c r="B37" i="9"/>
  <c r="E69" i="65"/>
  <c r="AR115" i="65"/>
  <c r="P114" i="65"/>
  <c r="G42" i="52"/>
  <c r="O107" i="65"/>
  <c r="O63" i="65"/>
  <c r="G33" i="52"/>
  <c r="E40" i="52"/>
  <c r="AE3" i="38"/>
  <c r="AU114" i="65"/>
  <c r="AT101" i="65"/>
  <c r="P81" i="65"/>
  <c r="AE53" i="65"/>
  <c r="AR48" i="65"/>
  <c r="AL20" i="65"/>
  <c r="AC115" i="65"/>
  <c r="R36" i="65"/>
  <c r="P35" i="65"/>
  <c r="E10" i="5"/>
  <c r="AE34" i="65"/>
  <c r="AF44" i="65"/>
  <c r="K12" i="5"/>
  <c r="E7" i="6"/>
  <c r="Z54" i="65"/>
  <c r="O39" i="65"/>
  <c r="I48" i="7"/>
  <c r="H15" i="9"/>
  <c r="AS57" i="65"/>
  <c r="S31" i="65"/>
  <c r="Y106" i="65"/>
  <c r="J22" i="53"/>
  <c r="AT31" i="65"/>
  <c r="G15" i="7"/>
  <c r="G14" i="5"/>
  <c r="AF72" i="65"/>
  <c r="C11" i="9"/>
  <c r="AD38" i="65"/>
  <c r="AN62" i="65"/>
  <c r="T44" i="65"/>
  <c r="K6" i="53"/>
  <c r="AS24" i="65"/>
  <c r="D52" i="60"/>
  <c r="K50" i="7"/>
  <c r="AI93" i="65"/>
  <c r="AU25" i="65"/>
  <c r="AM94" i="65"/>
  <c r="Q75" i="65"/>
  <c r="P115" i="65"/>
  <c r="S39" i="65"/>
  <c r="E3" i="9"/>
  <c r="G22" i="51"/>
  <c r="AR49" i="65"/>
  <c r="AR24" i="65"/>
  <c r="AC104" i="65"/>
  <c r="F58" i="65"/>
  <c r="G62" i="65"/>
  <c r="D30" i="9"/>
  <c r="AE104" i="65"/>
  <c r="O20" i="65"/>
  <c r="S63" i="65"/>
  <c r="S91" i="65"/>
  <c r="AQ76" i="65"/>
  <c r="AI96" i="65"/>
  <c r="I24" i="5"/>
  <c r="N4" i="60"/>
  <c r="Z87" i="65"/>
  <c r="I100" i="65"/>
  <c r="Q98" i="65"/>
  <c r="M31" i="65"/>
  <c r="Y85" i="65"/>
  <c r="AE93" i="65"/>
  <c r="N60" i="65"/>
  <c r="AH27" i="65"/>
  <c r="X62" i="65"/>
  <c r="AB40" i="65"/>
  <c r="P53" i="65"/>
  <c r="AO3" i="16"/>
  <c r="L70" i="65"/>
  <c r="AI76" i="65"/>
  <c r="AA105" i="65"/>
  <c r="I36" i="6"/>
  <c r="G47" i="9"/>
  <c r="S90" i="65"/>
  <c r="AJ56" i="65"/>
  <c r="E18" i="53"/>
  <c r="U89" i="65"/>
  <c r="AP39" i="65"/>
  <c r="AN49" i="65"/>
  <c r="G41" i="7"/>
  <c r="AS19" i="60"/>
  <c r="F7" i="7"/>
  <c r="E27" i="5"/>
  <c r="X69" i="65"/>
  <c r="AO36" i="65"/>
  <c r="K17" i="53"/>
  <c r="AM3" i="38"/>
  <c r="Z22" i="65"/>
  <c r="C112" i="65"/>
  <c r="AE28" i="65"/>
  <c r="E11" i="52"/>
  <c r="I10" i="52"/>
  <c r="AT110" i="65"/>
  <c r="AK105" i="65"/>
  <c r="V51" i="65"/>
  <c r="I28" i="5"/>
  <c r="AG103" i="65"/>
  <c r="AF89" i="65"/>
  <c r="G29" i="52"/>
  <c r="J100" i="65"/>
  <c r="AN36" i="65"/>
  <c r="H44" i="9"/>
  <c r="E20" i="53"/>
  <c r="F94" i="65"/>
  <c r="M96" i="65"/>
  <c r="AI21" i="65"/>
  <c r="R46" i="65"/>
  <c r="AM92" i="65"/>
  <c r="K16" i="6"/>
  <c r="H31" i="51"/>
  <c r="F21" i="6"/>
  <c r="M65" i="65"/>
  <c r="P72" i="65"/>
  <c r="L102" i="65"/>
  <c r="G20" i="7"/>
  <c r="AQ47" i="65"/>
  <c r="G3" i="16"/>
  <c r="AA40" i="65"/>
  <c r="AM110" i="65"/>
  <c r="K38" i="52"/>
  <c r="G10" i="7"/>
  <c r="K13" i="53"/>
  <c r="AH99" i="65"/>
  <c r="W106" i="65"/>
  <c r="AH20" i="65"/>
  <c r="AI105" i="65"/>
  <c r="D43" i="9"/>
  <c r="J80" i="65"/>
  <c r="D11" i="60"/>
  <c r="AH32" i="65"/>
  <c r="AN20" i="65"/>
  <c r="AE95" i="65"/>
  <c r="K7" i="52"/>
  <c r="H15" i="51"/>
  <c r="AU23" i="65"/>
  <c r="J12" i="7"/>
  <c r="AS56" i="65"/>
  <c r="AF38" i="65"/>
  <c r="H50" i="65"/>
  <c r="N102" i="65"/>
  <c r="AG80" i="65"/>
  <c r="AE39" i="65"/>
  <c r="G8" i="53"/>
  <c r="R95" i="65"/>
  <c r="AO65" i="65"/>
  <c r="Q113" i="65"/>
  <c r="E28" i="52"/>
  <c r="AR47" i="65"/>
  <c r="AL107" i="65"/>
  <c r="AS61" i="65"/>
  <c r="AI109" i="65"/>
  <c r="K35" i="6"/>
  <c r="K15" i="51"/>
  <c r="AU101" i="65"/>
  <c r="AI46" i="65"/>
  <c r="T106" i="65"/>
  <c r="D28" i="9"/>
  <c r="AU63" i="65"/>
  <c r="AG63" i="65"/>
  <c r="AH64" i="65"/>
  <c r="J29" i="5"/>
  <c r="R78" i="65"/>
  <c r="N24" i="65"/>
  <c r="AT3" i="38"/>
  <c r="G71" i="65"/>
  <c r="L92" i="65"/>
  <c r="K69" i="65"/>
  <c r="I28" i="53"/>
  <c r="Y52" i="65"/>
  <c r="H25" i="7"/>
  <c r="AB23" i="65"/>
  <c r="AG114" i="65"/>
  <c r="AE58" i="65"/>
  <c r="C33" i="65"/>
  <c r="K26" i="52"/>
  <c r="E13" i="51"/>
  <c r="G11" i="5"/>
  <c r="F14" i="53"/>
  <c r="X104" i="65"/>
  <c r="AE48" i="65"/>
  <c r="H27" i="51"/>
  <c r="I6" i="5"/>
  <c r="H22" i="7"/>
  <c r="F33" i="6"/>
  <c r="AS51" i="65"/>
  <c r="AT20" i="65"/>
  <c r="R84" i="65"/>
  <c r="K35" i="52"/>
  <c r="E32" i="51"/>
  <c r="AN64" i="65"/>
  <c r="AH115" i="65"/>
  <c r="AL88" i="65"/>
  <c r="J51" i="65"/>
  <c r="AE25" i="65"/>
  <c r="U45" i="65"/>
  <c r="I23" i="52"/>
  <c r="E10" i="7"/>
  <c r="AA44" i="65"/>
  <c r="AR106" i="65"/>
  <c r="AF74" i="65"/>
  <c r="AE108" i="65"/>
  <c r="Z56" i="65"/>
  <c r="AD56" i="65"/>
  <c r="E3" i="16"/>
  <c r="F15" i="7"/>
  <c r="E19" i="9"/>
  <c r="J27" i="52"/>
  <c r="F12" i="51"/>
  <c r="F29" i="53"/>
  <c r="D46" i="9"/>
  <c r="R62" i="65"/>
  <c r="J72" i="65"/>
  <c r="E33" i="7"/>
  <c r="AQ40" i="65"/>
  <c r="K20" i="52"/>
  <c r="T3" i="16"/>
  <c r="F29" i="51"/>
  <c r="AI70" i="65"/>
  <c r="X31" i="65"/>
  <c r="S36" i="65"/>
  <c r="T26" i="65"/>
  <c r="G11" i="53"/>
  <c r="Y20" i="65"/>
  <c r="E49" i="7"/>
  <c r="F7" i="51"/>
  <c r="F31" i="9"/>
  <c r="K12" i="52"/>
  <c r="AG47" i="65"/>
  <c r="AN111" i="65"/>
  <c r="H14" i="5"/>
  <c r="J113" i="65"/>
  <c r="F35" i="52"/>
  <c r="AQ49" i="65"/>
  <c r="AA72" i="65"/>
  <c r="G47" i="6"/>
  <c r="K21" i="52"/>
  <c r="Q92" i="65"/>
  <c r="AT76" i="65"/>
  <c r="R97" i="65"/>
  <c r="T3" i="38"/>
  <c r="I32" i="7"/>
  <c r="Z83" i="65"/>
  <c r="K29" i="52"/>
  <c r="AL57" i="65"/>
  <c r="F22" i="7"/>
  <c r="D78" i="65"/>
  <c r="F3" i="9"/>
  <c r="H26" i="53"/>
  <c r="K10" i="7"/>
  <c r="W109" i="65"/>
  <c r="AB24" i="65"/>
  <c r="H39" i="65"/>
  <c r="L78" i="65"/>
  <c r="AJ32" i="65"/>
  <c r="G48" i="6"/>
  <c r="N79" i="65"/>
  <c r="AQ62" i="65"/>
  <c r="P56" i="65"/>
  <c r="F17" i="53"/>
  <c r="D43" i="60"/>
  <c r="AA17" i="60"/>
  <c r="K59" i="65"/>
  <c r="I78" i="65"/>
  <c r="AQ22" i="65"/>
  <c r="N101" i="65"/>
  <c r="D34" i="65"/>
  <c r="W107" i="65"/>
  <c r="V39" i="65"/>
  <c r="G37" i="9"/>
  <c r="H20" i="7"/>
  <c r="G33" i="7"/>
  <c r="AG76" i="65"/>
  <c r="N54" i="65"/>
  <c r="H8" i="53"/>
  <c r="AR31" i="65"/>
  <c r="AB81" i="65"/>
  <c r="R6" i="60"/>
  <c r="K31" i="51"/>
  <c r="L22" i="65"/>
  <c r="AJ77" i="65"/>
  <c r="W45" i="65"/>
  <c r="AH84" i="65"/>
  <c r="F28" i="9"/>
  <c r="F39" i="5"/>
  <c r="G85" i="65"/>
  <c r="B43" i="9"/>
  <c r="AQ32" i="65"/>
  <c r="AJ60" i="65"/>
  <c r="G43" i="9"/>
  <c r="H13" i="9"/>
  <c r="F40" i="9"/>
  <c r="M70" i="65"/>
  <c r="AF104" i="65"/>
  <c r="AO99" i="65"/>
  <c r="P113" i="65"/>
  <c r="AN25" i="65"/>
  <c r="H37" i="52"/>
  <c r="S115" i="65"/>
  <c r="F13" i="9"/>
  <c r="B18" i="9"/>
  <c r="AJ34" i="65"/>
  <c r="Q20" i="65"/>
  <c r="I33" i="51"/>
  <c r="U90" i="65"/>
  <c r="D46" i="65"/>
  <c r="AH52" i="65"/>
  <c r="AK90" i="65"/>
  <c r="N22" i="65"/>
  <c r="K28" i="52"/>
  <c r="K54" i="65"/>
  <c r="W114" i="65"/>
  <c r="AO57" i="65"/>
  <c r="K47" i="65"/>
  <c r="AP53" i="65"/>
  <c r="D51" i="60"/>
  <c r="F10" i="52"/>
  <c r="AG73" i="65"/>
  <c r="U88" i="65"/>
  <c r="L13" i="60"/>
  <c r="M20" i="60"/>
  <c r="AJ16" i="60"/>
  <c r="F82" i="65"/>
  <c r="AM93" i="65"/>
  <c r="W77" i="65"/>
  <c r="J50" i="7"/>
  <c r="R55" i="65"/>
  <c r="G51" i="60"/>
  <c r="W91" i="65"/>
  <c r="AA13" i="60"/>
  <c r="E9" i="52"/>
  <c r="J73" i="65"/>
  <c r="W76" i="65"/>
  <c r="F23" i="65"/>
  <c r="C32" i="9"/>
  <c r="R3" i="38"/>
  <c r="J104" i="65"/>
  <c r="T109" i="65"/>
  <c r="E11" i="9"/>
  <c r="J7" i="5"/>
  <c r="AS45" i="65"/>
  <c r="X24" i="65"/>
  <c r="AK65" i="65"/>
  <c r="AL79" i="65"/>
  <c r="X27" i="65"/>
  <c r="U85" i="65"/>
  <c r="T70" i="65"/>
  <c r="E18" i="60"/>
  <c r="E19" i="5"/>
  <c r="AF20" i="65"/>
  <c r="AS71" i="65"/>
  <c r="P69" i="65"/>
  <c r="T77" i="65"/>
  <c r="AP87" i="65"/>
  <c r="AQ84" i="65"/>
  <c r="H8" i="6"/>
  <c r="AG61" i="65"/>
  <c r="N77" i="65"/>
  <c r="Q2" i="60"/>
  <c r="Q88" i="65"/>
  <c r="AJ10" i="60"/>
  <c r="Z91" i="65"/>
  <c r="X5" i="60"/>
  <c r="H97" i="65"/>
  <c r="AB51" i="65"/>
  <c r="I63" i="65"/>
  <c r="G70" i="65"/>
  <c r="I71" i="65"/>
  <c r="G89" i="65"/>
  <c r="R37" i="65"/>
  <c r="Q89" i="65"/>
  <c r="G17" i="5"/>
  <c r="AP78" i="65"/>
  <c r="V90" i="65"/>
  <c r="G17" i="53"/>
  <c r="AF58" i="65"/>
  <c r="C52" i="60"/>
  <c r="H93" i="65"/>
  <c r="H32" i="5"/>
  <c r="H40" i="65"/>
  <c r="H28" i="9"/>
  <c r="G94" i="65"/>
  <c r="G37" i="52"/>
  <c r="AT23" i="65"/>
  <c r="AS21" i="65"/>
  <c r="Y81" i="65"/>
  <c r="E34" i="60"/>
  <c r="AM33" i="65"/>
  <c r="AD48" i="65"/>
  <c r="AR82" i="65"/>
  <c r="G50" i="65"/>
  <c r="E34" i="9"/>
  <c r="AS60" i="65"/>
  <c r="I9" i="5"/>
  <c r="O86" i="65"/>
  <c r="X13" i="60"/>
  <c r="G17" i="7"/>
  <c r="I44" i="7"/>
  <c r="I37" i="7"/>
  <c r="G37" i="5"/>
  <c r="M51" i="65"/>
  <c r="E21" i="6"/>
  <c r="E7" i="9"/>
  <c r="AL64" i="65"/>
  <c r="K23" i="6"/>
  <c r="AC113" i="65"/>
  <c r="AT69" i="65"/>
  <c r="E29" i="53"/>
  <c r="H18" i="51"/>
  <c r="AH106" i="65"/>
  <c r="P70" i="65"/>
  <c r="J22" i="6"/>
  <c r="K8" i="53"/>
  <c r="AU52" i="65"/>
  <c r="AH56" i="65"/>
  <c r="F19" i="7"/>
  <c r="I21" i="5"/>
  <c r="AC87" i="65"/>
  <c r="C107" i="65"/>
  <c r="D22" i="9"/>
  <c r="AG90" i="65"/>
  <c r="X91" i="65"/>
  <c r="D47" i="65"/>
  <c r="Y77" i="65"/>
  <c r="AC63" i="65"/>
  <c r="B39" i="9"/>
  <c r="K86" i="65"/>
  <c r="D32" i="65"/>
  <c r="AR32" i="65"/>
  <c r="H20" i="51"/>
  <c r="AC73" i="65"/>
  <c r="AQ106" i="65"/>
  <c r="P20" i="65"/>
  <c r="AD63" i="65"/>
  <c r="K19" i="51"/>
  <c r="E100" i="65"/>
  <c r="AR84" i="65"/>
  <c r="X76" i="65"/>
  <c r="L96" i="65"/>
  <c r="AU47" i="65"/>
  <c r="AF90" i="65"/>
  <c r="E83" i="65"/>
  <c r="Z53" i="65"/>
  <c r="AJ75" i="65"/>
  <c r="AT24" i="65"/>
  <c r="AS4" i="60"/>
  <c r="P98" i="65"/>
  <c r="AO31" i="65"/>
  <c r="N3" i="16"/>
  <c r="Y72" i="65"/>
  <c r="S101" i="65"/>
  <c r="Y54" i="65"/>
  <c r="P102" i="65"/>
  <c r="J27" i="65"/>
  <c r="D13" i="9"/>
  <c r="AF113" i="65"/>
  <c r="I37" i="5"/>
  <c r="K41" i="6"/>
  <c r="I16" i="5"/>
  <c r="E10" i="52"/>
  <c r="AQ42" i="65"/>
  <c r="L58" i="65"/>
  <c r="E25" i="51"/>
  <c r="S85" i="65"/>
  <c r="W56" i="65"/>
  <c r="F20" i="53"/>
  <c r="AB98" i="65"/>
  <c r="AN86" i="65"/>
  <c r="K27" i="53"/>
  <c r="AR91" i="65"/>
  <c r="AC101" i="65"/>
  <c r="Y55" i="65"/>
  <c r="AC94" i="65"/>
  <c r="AG91" i="65"/>
  <c r="AM37" i="65"/>
  <c r="H12" i="7"/>
  <c r="T46" i="65"/>
  <c r="F51" i="60"/>
  <c r="AD28" i="65"/>
  <c r="I40" i="7"/>
  <c r="M57" i="65"/>
  <c r="AP49" i="65"/>
  <c r="E17" i="52"/>
  <c r="Z111" i="65"/>
  <c r="AB47" i="65"/>
  <c r="AU57" i="65"/>
  <c r="AK111" i="65"/>
  <c r="AE85" i="65"/>
  <c r="H26" i="52"/>
  <c r="I18" i="51"/>
  <c r="N44" i="65"/>
  <c r="I103" i="65"/>
  <c r="N85" i="65"/>
  <c r="N109" i="65"/>
  <c r="S79" i="65"/>
  <c r="AP89" i="65"/>
  <c r="K19" i="52"/>
  <c r="G95" i="65"/>
  <c r="AK73" i="65"/>
  <c r="AC20" i="65"/>
  <c r="G45" i="7"/>
  <c r="G2" i="9"/>
  <c r="AS3" i="16"/>
  <c r="N80" i="65"/>
  <c r="D37" i="65"/>
  <c r="V96" i="65"/>
  <c r="F88" i="65"/>
  <c r="F23" i="7"/>
  <c r="G60" i="65"/>
  <c r="AQ50" i="65"/>
  <c r="AA106" i="65"/>
  <c r="I108" i="65"/>
  <c r="AT32" i="65"/>
  <c r="J25" i="60"/>
  <c r="Y71" i="65"/>
  <c r="C38" i="60"/>
  <c r="AH40" i="65"/>
  <c r="Y24" i="60"/>
  <c r="AP59" i="65"/>
  <c r="P73" i="65"/>
  <c r="S29" i="65"/>
  <c r="AN113" i="65"/>
  <c r="G28" i="53"/>
  <c r="R34" i="65"/>
  <c r="X58" i="65"/>
  <c r="V34" i="65"/>
  <c r="I23" i="6"/>
  <c r="E6" i="5"/>
  <c r="E14" i="53"/>
  <c r="G18" i="51"/>
  <c r="Y76" i="65"/>
  <c r="AO96" i="65"/>
  <c r="U43" i="65"/>
  <c r="N46" i="65"/>
  <c r="E36" i="52"/>
  <c r="E8" i="53"/>
  <c r="K33" i="6"/>
  <c r="X59" i="65"/>
  <c r="G34" i="65"/>
  <c r="K15" i="52"/>
  <c r="X96" i="65"/>
  <c r="AE83" i="65"/>
  <c r="AC3" i="16"/>
  <c r="Z29" i="65"/>
  <c r="G9" i="53"/>
  <c r="B21" i="9"/>
  <c r="AV24" i="60"/>
  <c r="AN75" i="65"/>
  <c r="X36" i="65"/>
  <c r="P32" i="65"/>
  <c r="AE101" i="65"/>
  <c r="AP97" i="65"/>
  <c r="Q56" i="65"/>
  <c r="V31" i="65"/>
  <c r="J16" i="5"/>
  <c r="AL87" i="65"/>
  <c r="N43" i="65"/>
  <c r="G49" i="7"/>
  <c r="F31" i="5"/>
  <c r="AC96" i="65"/>
  <c r="E44" i="65"/>
  <c r="AE76" i="65"/>
  <c r="P41" i="65"/>
  <c r="AJ19" i="60"/>
  <c r="Z105" i="65"/>
  <c r="L115" i="65"/>
  <c r="Q3" i="38"/>
  <c r="E9" i="9"/>
  <c r="H15" i="7"/>
  <c r="I110" i="65"/>
  <c r="F52" i="65"/>
  <c r="AS2" i="60"/>
  <c r="AU21" i="65"/>
  <c r="AU86" i="65"/>
  <c r="G44" i="7"/>
  <c r="J16" i="6"/>
  <c r="I3" i="16"/>
  <c r="H46" i="7"/>
  <c r="E98" i="65"/>
  <c r="Q103" i="65"/>
  <c r="L16" i="60"/>
  <c r="R23" i="65"/>
  <c r="F86" i="65"/>
  <c r="M48" i="65"/>
  <c r="X23" i="60"/>
  <c r="Z85" i="65"/>
  <c r="F11" i="5"/>
  <c r="L50" i="65"/>
  <c r="J3" i="38"/>
  <c r="AA58" i="65"/>
  <c r="D21" i="65"/>
  <c r="E36" i="5"/>
  <c r="K17" i="51"/>
  <c r="AL24" i="65"/>
  <c r="H6" i="52"/>
  <c r="E41" i="6"/>
  <c r="K24" i="5"/>
  <c r="I29" i="52"/>
  <c r="X3" i="60"/>
  <c r="Q87" i="65"/>
  <c r="K18" i="53"/>
  <c r="AO110" i="65"/>
  <c r="E15" i="52"/>
  <c r="H36" i="65"/>
  <c r="AC28" i="65"/>
  <c r="F32" i="6"/>
  <c r="I10" i="7"/>
  <c r="X25" i="65"/>
  <c r="O47" i="65"/>
  <c r="L87" i="65"/>
  <c r="F8" i="7"/>
  <c r="F14" i="9"/>
  <c r="AK48" i="65"/>
  <c r="S49" i="65"/>
  <c r="AB86" i="65"/>
  <c r="J14" i="53"/>
  <c r="AC57" i="65"/>
  <c r="E45" i="6"/>
  <c r="AA109" i="65"/>
  <c r="G35" i="9"/>
  <c r="Y73" i="65"/>
  <c r="AD80" i="65"/>
  <c r="S89" i="65"/>
  <c r="AE61" i="65"/>
  <c r="P29" i="65"/>
  <c r="AI47" i="65"/>
  <c r="P23" i="65"/>
  <c r="I33" i="7"/>
  <c r="AU88" i="65"/>
  <c r="AD108" i="65"/>
  <c r="V48" i="65"/>
  <c r="F35" i="9"/>
  <c r="H13" i="5"/>
  <c r="I8" i="7"/>
  <c r="J50" i="6"/>
  <c r="I18" i="53"/>
  <c r="K41" i="65"/>
  <c r="Y109" i="65"/>
  <c r="AU102" i="65"/>
  <c r="AE54" i="65"/>
  <c r="AD94" i="65"/>
  <c r="P45" i="65"/>
  <c r="U24" i="65"/>
  <c r="J42" i="52"/>
  <c r="H98" i="65"/>
  <c r="L57" i="65"/>
  <c r="H21" i="9"/>
  <c r="Y32" i="65"/>
  <c r="T110" i="65"/>
  <c r="AH35" i="65"/>
  <c r="AT26" i="65"/>
  <c r="F13" i="6"/>
  <c r="C4" i="9"/>
  <c r="AG56" i="65"/>
  <c r="V64" i="65"/>
  <c r="AE59" i="65"/>
  <c r="D45" i="9"/>
  <c r="R31" i="65"/>
  <c r="AN109" i="65"/>
  <c r="Y26" i="65"/>
  <c r="L36" i="65"/>
  <c r="Z44" i="65"/>
  <c r="J24" i="7"/>
  <c r="AP45" i="65"/>
  <c r="H35" i="52"/>
  <c r="X37" i="65"/>
  <c r="AP83" i="65"/>
  <c r="X56" i="65"/>
  <c r="H34" i="9"/>
  <c r="H6" i="53"/>
  <c r="H39" i="5"/>
  <c r="K3" i="16"/>
  <c r="K8" i="52"/>
  <c r="C12" i="9"/>
  <c r="AU66" i="65"/>
  <c r="Z48" i="65"/>
  <c r="C47" i="9"/>
  <c r="AP25" i="65"/>
  <c r="U98" i="65"/>
  <c r="W51" i="65"/>
  <c r="E14" i="5"/>
  <c r="R80" i="65"/>
  <c r="AF43" i="65"/>
  <c r="E64" i="65"/>
  <c r="G31" i="51"/>
  <c r="AR51" i="65"/>
  <c r="AP114" i="65"/>
  <c r="AO94" i="65"/>
  <c r="V102" i="65"/>
  <c r="G99" i="65"/>
  <c r="H41" i="52"/>
  <c r="AA46" i="65"/>
  <c r="AO108" i="65"/>
  <c r="AA36" i="65"/>
  <c r="L39" i="65"/>
  <c r="AD93" i="65"/>
  <c r="Q47" i="65"/>
  <c r="P55" i="65"/>
  <c r="H24" i="52"/>
  <c r="F16" i="6"/>
  <c r="D2" i="9"/>
  <c r="J106" i="65"/>
  <c r="H110" i="65"/>
  <c r="AI86" i="65"/>
  <c r="I25" i="6"/>
  <c r="AT21" i="65"/>
  <c r="AQ58" i="65"/>
  <c r="K9" i="51"/>
  <c r="AQ31" i="65"/>
  <c r="G35" i="52"/>
  <c r="L110" i="65"/>
  <c r="E37" i="51"/>
  <c r="W85" i="65"/>
  <c r="AL37" i="65"/>
  <c r="G8" i="7"/>
  <c r="AR101" i="65"/>
  <c r="AL109" i="65"/>
  <c r="I35" i="5"/>
  <c r="D14" i="9"/>
  <c r="AF115" i="65"/>
  <c r="T98" i="65"/>
  <c r="M3" i="38"/>
  <c r="AQ107" i="65"/>
  <c r="AO102" i="65"/>
  <c r="Q55" i="65"/>
  <c r="H29" i="5"/>
  <c r="AE65" i="65"/>
  <c r="AL104" i="65"/>
  <c r="AR112" i="65"/>
  <c r="H21" i="6"/>
  <c r="H7" i="9"/>
  <c r="AP110" i="65"/>
  <c r="E61" i="65"/>
  <c r="AL93" i="65"/>
  <c r="AS36" i="65"/>
  <c r="AT65" i="65"/>
  <c r="B7" i="9"/>
  <c r="H16" i="52"/>
  <c r="AC61" i="65"/>
  <c r="E19" i="52"/>
  <c r="B19" i="9"/>
  <c r="AM86" i="65"/>
  <c r="B3" i="9"/>
  <c r="K21" i="51"/>
  <c r="J36" i="51"/>
  <c r="AL90" i="65"/>
  <c r="AI87" i="65"/>
  <c r="AO20" i="65"/>
  <c r="AR72" i="65"/>
  <c r="E24" i="52"/>
  <c r="T115" i="65"/>
  <c r="J36" i="52"/>
  <c r="AM39" i="65"/>
  <c r="D57" i="65"/>
  <c r="E34" i="5"/>
  <c r="AO53" i="65"/>
  <c r="K12" i="7"/>
  <c r="G69" i="65"/>
  <c r="H10" i="9"/>
  <c r="AE49" i="65"/>
  <c r="AE88" i="65"/>
  <c r="AT72" i="65"/>
  <c r="J13" i="52"/>
  <c r="P3" i="38"/>
  <c r="AC97" i="65"/>
  <c r="O29" i="65"/>
  <c r="H18" i="52"/>
  <c r="J42" i="51"/>
  <c r="F61" i="65"/>
  <c r="T60" i="65"/>
  <c r="G98" i="65"/>
  <c r="R69" i="65"/>
  <c r="AJ27" i="65"/>
  <c r="AK18" i="60"/>
  <c r="L3" i="16"/>
  <c r="AE22" i="65"/>
  <c r="I22" i="6"/>
  <c r="AD77" i="65"/>
  <c r="K38" i="65"/>
  <c r="G21" i="65"/>
  <c r="AQ92" i="65"/>
  <c r="I37" i="51"/>
  <c r="K13" i="51"/>
  <c r="AH45" i="65"/>
  <c r="S3" i="38"/>
  <c r="D85" i="65"/>
  <c r="AR50" i="65"/>
  <c r="O96" i="65"/>
  <c r="AC31" i="65"/>
  <c r="K8" i="7"/>
  <c r="H12" i="5"/>
  <c r="F14" i="6"/>
  <c r="D66" i="65"/>
  <c r="AE72" i="65"/>
  <c r="T40" i="65"/>
  <c r="AS75" i="65"/>
  <c r="AE92" i="65"/>
  <c r="AM99" i="65"/>
  <c r="F7" i="52"/>
  <c r="AB111" i="65"/>
  <c r="I7" i="5"/>
  <c r="AT106" i="65"/>
  <c r="J28" i="65"/>
  <c r="T95" i="65"/>
  <c r="S43" i="65"/>
  <c r="P74" i="65"/>
  <c r="I90" i="65"/>
  <c r="AQ63" i="65"/>
  <c r="AH41" i="65"/>
  <c r="D61" i="65"/>
  <c r="AO55" i="65"/>
  <c r="AA79" i="65"/>
  <c r="K111" i="65"/>
  <c r="F30" i="65"/>
  <c r="J21" i="52"/>
  <c r="AC93" i="65"/>
  <c r="Z63" i="65"/>
  <c r="K36" i="52"/>
  <c r="AG3" i="38"/>
  <c r="M60" i="65"/>
  <c r="V70" i="65"/>
  <c r="H20" i="52"/>
  <c r="P33" i="65"/>
  <c r="E35" i="51"/>
  <c r="AG51" i="65"/>
  <c r="AG55" i="65"/>
  <c r="AO85" i="65"/>
  <c r="Q90" i="65"/>
  <c r="N78" i="65"/>
  <c r="H81" i="65"/>
  <c r="AU37" i="65"/>
  <c r="AQ26" i="65"/>
  <c r="AP88" i="65"/>
  <c r="AR46" i="65"/>
  <c r="AT94" i="65"/>
  <c r="E5" i="9"/>
  <c r="Y66" i="65"/>
  <c r="M94" i="65"/>
  <c r="K72" i="65"/>
  <c r="E6" i="60"/>
  <c r="AQ28" i="65"/>
  <c r="U84" i="65"/>
  <c r="AF24" i="65"/>
  <c r="G38" i="51"/>
  <c r="AF55" i="65"/>
  <c r="X3" i="38"/>
  <c r="J7" i="7"/>
  <c r="H12" i="9"/>
  <c r="Q65" i="65"/>
  <c r="Z70" i="65"/>
  <c r="J15" i="5"/>
  <c r="AH34" i="65"/>
  <c r="S103" i="65"/>
  <c r="AF30" i="65"/>
  <c r="I7" i="51"/>
  <c r="G34" i="52"/>
  <c r="E16" i="51"/>
  <c r="H9" i="52"/>
  <c r="E22" i="6"/>
  <c r="AQ34" i="65"/>
  <c r="U41" i="65"/>
  <c r="I11" i="53"/>
  <c r="F38" i="51"/>
  <c r="N35" i="65"/>
  <c r="AI42" i="65"/>
  <c r="S111" i="65"/>
  <c r="S45" i="65"/>
  <c r="AQ77" i="65"/>
  <c r="AG46" i="65"/>
  <c r="AB55" i="65"/>
  <c r="AL48" i="65"/>
  <c r="J79" i="65"/>
  <c r="K21" i="5"/>
  <c r="H2" i="9"/>
  <c r="F36" i="5"/>
  <c r="S97" i="65"/>
  <c r="V24" i="65"/>
  <c r="I31" i="51"/>
  <c r="F12" i="52"/>
  <c r="G7" i="51"/>
  <c r="K41" i="7"/>
  <c r="H36" i="51"/>
  <c r="AB85" i="65"/>
  <c r="AN31" i="65"/>
  <c r="AT97" i="65"/>
  <c r="AR13" i="60"/>
  <c r="AG107" i="65"/>
  <c r="E51" i="60"/>
  <c r="B33" i="9"/>
  <c r="AJ59" i="65"/>
  <c r="AK87" i="65"/>
  <c r="X87" i="65"/>
  <c r="AC114" i="65"/>
  <c r="O108" i="65"/>
  <c r="AO44" i="65"/>
  <c r="AO21" i="65"/>
  <c r="F18" i="9"/>
  <c r="AF3" i="16"/>
  <c r="L42" i="65"/>
  <c r="V42" i="65"/>
  <c r="F12" i="53"/>
  <c r="J26" i="52"/>
  <c r="J7" i="52"/>
  <c r="F50" i="6"/>
  <c r="M20" i="65"/>
  <c r="J24" i="6"/>
  <c r="G36" i="52"/>
  <c r="AG53" i="65"/>
  <c r="F23" i="9"/>
  <c r="AJ108" i="65"/>
  <c r="G16" i="51"/>
  <c r="AN61" i="65"/>
  <c r="E17" i="7"/>
  <c r="AO54" i="65"/>
  <c r="G11" i="7"/>
  <c r="AF64" i="65"/>
  <c r="AF59" i="65"/>
  <c r="Z89" i="65"/>
  <c r="AS41" i="65"/>
  <c r="AJ72" i="65"/>
  <c r="AD89" i="65"/>
  <c r="S56" i="65"/>
  <c r="E25" i="53"/>
  <c r="E33" i="9"/>
  <c r="B41" i="9"/>
  <c r="AQ75" i="65"/>
  <c r="I9" i="53"/>
  <c r="AE79" i="65"/>
  <c r="B46" i="9"/>
  <c r="AB115" i="65"/>
  <c r="AQ111" i="65"/>
  <c r="AH108" i="65"/>
  <c r="G36" i="7"/>
  <c r="AC90" i="65"/>
  <c r="AQ57" i="65"/>
  <c r="AE26" i="60"/>
  <c r="E50" i="7"/>
  <c r="AR41" i="65"/>
  <c r="I21" i="65"/>
  <c r="U42" i="65"/>
  <c r="P106" i="65"/>
  <c r="G17" i="51"/>
  <c r="AR110" i="65"/>
  <c r="E44" i="6"/>
  <c r="H37" i="7"/>
  <c r="AJ102" i="65"/>
  <c r="U58" i="65"/>
  <c r="AD3" i="38"/>
  <c r="F3" i="38"/>
  <c r="Q102" i="65"/>
  <c r="AE40" i="65"/>
  <c r="AI49" i="65"/>
  <c r="AQ52" i="65"/>
  <c r="X90" i="65"/>
  <c r="AH59" i="65"/>
  <c r="H45" i="7"/>
  <c r="J81" i="65"/>
  <c r="AH36" i="65"/>
  <c r="J23" i="6"/>
  <c r="AS52" i="65"/>
  <c r="J7" i="6"/>
  <c r="E19" i="6"/>
  <c r="AS34" i="65"/>
  <c r="K29" i="51"/>
  <c r="Y50" i="65"/>
  <c r="Y78" i="65"/>
  <c r="V75" i="65"/>
  <c r="F48" i="7"/>
  <c r="J20" i="51"/>
  <c r="G13" i="53"/>
  <c r="G29" i="51"/>
  <c r="AB112" i="65"/>
  <c r="M45" i="65"/>
  <c r="AT87" i="65"/>
  <c r="F21" i="53"/>
  <c r="AN53" i="65"/>
  <c r="N99" i="65"/>
  <c r="E11" i="53"/>
  <c r="O3" i="16"/>
  <c r="E10" i="60"/>
  <c r="X63" i="65"/>
  <c r="I41" i="7"/>
  <c r="AK20" i="65"/>
  <c r="AB58" i="65"/>
  <c r="M54" i="65"/>
  <c r="AN24" i="65"/>
  <c r="AU80" i="65"/>
  <c r="AA83" i="65"/>
  <c r="AO42" i="65"/>
  <c r="X49" i="65"/>
  <c r="U25" i="65"/>
  <c r="E15" i="7"/>
  <c r="J19" i="52"/>
  <c r="F8" i="5"/>
  <c r="H29" i="53"/>
  <c r="J6" i="5"/>
  <c r="AJ106" i="65"/>
  <c r="H8" i="52"/>
  <c r="E70" i="65"/>
  <c r="AM64" i="65"/>
  <c r="E75" i="65"/>
  <c r="H48" i="6"/>
  <c r="AK102" i="65"/>
  <c r="H35" i="51"/>
  <c r="E27" i="51"/>
  <c r="G17" i="9"/>
  <c r="K23" i="7"/>
  <c r="K31" i="52"/>
  <c r="E12" i="51"/>
  <c r="Q94" i="65"/>
  <c r="F35" i="5"/>
  <c r="AF56" i="65"/>
  <c r="AC108" i="65"/>
  <c r="C26" i="9"/>
  <c r="AG32" i="65"/>
  <c r="G37" i="6"/>
  <c r="AS3" i="38"/>
  <c r="G40" i="60"/>
  <c r="G114" i="65"/>
  <c r="K24" i="51"/>
  <c r="G46" i="6"/>
  <c r="Y86" i="65"/>
  <c r="X32" i="65"/>
  <c r="G21" i="7"/>
  <c r="B30" i="9"/>
  <c r="AI39" i="65"/>
  <c r="L79" i="65"/>
  <c r="G32" i="7"/>
  <c r="AO38" i="65"/>
  <c r="J23" i="7"/>
  <c r="AI84" i="65"/>
  <c r="M46" i="65"/>
  <c r="AF62" i="65"/>
  <c r="R22" i="65"/>
  <c r="AC89" i="65"/>
  <c r="F77" i="65"/>
  <c r="P23" i="60"/>
  <c r="AQ112" i="65"/>
  <c r="I19" i="6"/>
  <c r="J30" i="5"/>
  <c r="AR21" i="65"/>
  <c r="AA107" i="65"/>
  <c r="W69" i="65"/>
  <c r="Y110" i="65"/>
  <c r="G108" i="65"/>
  <c r="AJ39" i="65"/>
  <c r="AA61" i="65"/>
  <c r="E33" i="5"/>
  <c r="AO25" i="65"/>
  <c r="AR42" i="65"/>
  <c r="O104" i="65"/>
  <c r="D35" i="9"/>
  <c r="W96" i="65"/>
  <c r="G39" i="60"/>
  <c r="E20" i="65"/>
  <c r="AO88" i="65"/>
  <c r="D39" i="60"/>
  <c r="H42" i="52"/>
  <c r="AN27" i="65"/>
  <c r="AT52" i="65"/>
  <c r="AI99" i="65"/>
  <c r="G50" i="7"/>
  <c r="E10" i="53"/>
  <c r="O61" i="65"/>
  <c r="T99" i="65"/>
  <c r="H10" i="7"/>
  <c r="E35" i="52"/>
  <c r="E52" i="60"/>
  <c r="AT53" i="65"/>
  <c r="H21" i="5"/>
  <c r="H42" i="6"/>
  <c r="AS79" i="65"/>
  <c r="U34" i="65"/>
  <c r="AC84" i="65"/>
  <c r="D40" i="60"/>
  <c r="R48" i="65"/>
  <c r="AH113" i="65"/>
  <c r="D110" i="65"/>
  <c r="K96" i="65"/>
  <c r="AJ46" i="65"/>
  <c r="G14" i="53"/>
  <c r="AN84" i="65"/>
  <c r="AR103" i="65"/>
  <c r="AS48" i="65"/>
  <c r="AQ98" i="65"/>
  <c r="AF71" i="65"/>
  <c r="H42" i="51"/>
  <c r="F39" i="52"/>
  <c r="V105" i="65"/>
  <c r="U22" i="65"/>
  <c r="U105" i="65"/>
  <c r="D43" i="65"/>
  <c r="E47" i="65"/>
  <c r="AN81" i="65"/>
  <c r="AT107" i="65"/>
  <c r="O82" i="65"/>
  <c r="C22" i="65"/>
  <c r="S95" i="65"/>
  <c r="AE96" i="65"/>
  <c r="G41" i="51"/>
  <c r="H41" i="9"/>
  <c r="AC103" i="65"/>
  <c r="V84" i="65"/>
  <c r="W28" i="65"/>
  <c r="AH63" i="65"/>
  <c r="J52" i="65"/>
  <c r="AJ44" i="65"/>
  <c r="I30" i="5"/>
  <c r="B12" i="9"/>
  <c r="G35" i="65"/>
  <c r="K16" i="5"/>
  <c r="V21" i="65"/>
  <c r="H25" i="51"/>
  <c r="G7" i="6"/>
  <c r="I83" i="65"/>
  <c r="K23" i="65"/>
  <c r="Z23" i="65"/>
  <c r="AP64" i="65"/>
  <c r="T43" i="65"/>
  <c r="E19" i="51"/>
  <c r="T58" i="65"/>
  <c r="AL23" i="65"/>
  <c r="E20" i="5"/>
  <c r="AR54" i="65"/>
  <c r="J23" i="5"/>
  <c r="AC91" i="65"/>
  <c r="AI81" i="65"/>
  <c r="E21" i="51"/>
  <c r="AM46" i="65"/>
  <c r="I12" i="51"/>
  <c r="AN48" i="65"/>
  <c r="I18" i="5"/>
  <c r="J17" i="52"/>
  <c r="AN85" i="65"/>
  <c r="K34" i="5"/>
  <c r="AL31" i="65"/>
  <c r="AJ37" i="65"/>
  <c r="AD36" i="65"/>
  <c r="F19" i="53"/>
  <c r="AO105" i="65"/>
  <c r="AC38" i="65"/>
  <c r="H31" i="9"/>
  <c r="AK71" i="65"/>
  <c r="S113" i="65"/>
  <c r="L114" i="65"/>
  <c r="AJ5" i="60"/>
  <c r="F6" i="5"/>
  <c r="U21" i="65"/>
  <c r="AU106" i="65"/>
  <c r="AO109" i="65"/>
  <c r="AS43" i="65"/>
  <c r="B36" i="9"/>
  <c r="F10" i="51"/>
  <c r="F15" i="52"/>
  <c r="I16" i="7"/>
  <c r="S92" i="65"/>
  <c r="Q41" i="65"/>
  <c r="G13" i="9"/>
  <c r="J38" i="6"/>
  <c r="X51" i="65"/>
  <c r="H24" i="5"/>
  <c r="X99" i="65"/>
  <c r="Q38" i="65"/>
  <c r="AT3" i="16"/>
  <c r="J36" i="7"/>
  <c r="E18" i="51"/>
  <c r="H27" i="5"/>
  <c r="D11" i="9"/>
  <c r="AL114" i="65"/>
  <c r="AP38" i="65"/>
  <c r="AT62" i="65"/>
  <c r="J107" i="65"/>
  <c r="AF48" i="65"/>
  <c r="K11" i="6"/>
  <c r="H25" i="52"/>
  <c r="E11" i="7"/>
  <c r="AB109" i="65"/>
  <c r="AE36" i="65"/>
  <c r="AD45" i="65"/>
  <c r="AG31" i="65"/>
  <c r="AL100" i="65"/>
  <c r="F27" i="65"/>
  <c r="V109" i="65"/>
  <c r="L33" i="65"/>
  <c r="L77" i="65"/>
  <c r="T92" i="65"/>
  <c r="X38" i="65"/>
  <c r="Z50" i="65"/>
  <c r="C14" i="9"/>
  <c r="H4" i="9"/>
  <c r="E36" i="51"/>
  <c r="F11" i="6"/>
  <c r="B2" i="9"/>
  <c r="U30" i="65"/>
  <c r="E42" i="51"/>
  <c r="D5" i="9"/>
  <c r="X3" i="16"/>
  <c r="AC45" i="65"/>
  <c r="L86" i="65"/>
  <c r="E30" i="5"/>
  <c r="J24" i="65"/>
  <c r="AG105" i="65"/>
  <c r="N37" i="65"/>
  <c r="J20" i="6"/>
  <c r="E46" i="6"/>
  <c r="AM54" i="65"/>
  <c r="W108" i="65"/>
  <c r="AN77" i="65"/>
  <c r="AG62" i="65"/>
  <c r="Q70" i="65"/>
  <c r="E17" i="51"/>
  <c r="L85" i="65"/>
  <c r="E11" i="60"/>
  <c r="J20" i="52"/>
  <c r="L74" i="65"/>
  <c r="AQ3" i="16"/>
  <c r="AF63" i="65"/>
  <c r="T32" i="65"/>
  <c r="AF65" i="65"/>
  <c r="W98" i="65"/>
  <c r="K14" i="53"/>
  <c r="H46" i="9"/>
  <c r="R28" i="65"/>
  <c r="F13" i="5"/>
  <c r="AQ13" i="60"/>
  <c r="J31" i="52"/>
  <c r="F27" i="53"/>
  <c r="F42" i="52"/>
  <c r="L53" i="65"/>
  <c r="O44" i="65"/>
  <c r="AP50" i="65"/>
  <c r="L113" i="65"/>
  <c r="AN42" i="65"/>
  <c r="AM53" i="65"/>
  <c r="Y24" i="65"/>
  <c r="AF112" i="65"/>
  <c r="E28" i="5"/>
  <c r="AC35" i="65"/>
  <c r="AF39" i="65"/>
  <c r="I15" i="5"/>
  <c r="W20" i="65"/>
  <c r="P87" i="65"/>
  <c r="AJ66" i="65"/>
  <c r="F41" i="6"/>
  <c r="K35" i="51"/>
  <c r="AL33" i="65"/>
  <c r="AA88" i="65"/>
  <c r="I3" i="38"/>
  <c r="H39" i="52"/>
  <c r="C31" i="60"/>
  <c r="V54" i="65"/>
  <c r="P47" i="65"/>
  <c r="F37" i="60"/>
  <c r="K33" i="5"/>
  <c r="H10" i="51"/>
  <c r="H3" i="16"/>
  <c r="AD40" i="65"/>
  <c r="I21" i="6"/>
  <c r="F11" i="53"/>
  <c r="J24" i="52"/>
  <c r="G33" i="9"/>
  <c r="H6" i="5"/>
  <c r="AB48" i="65"/>
  <c r="I13" i="52"/>
  <c r="I23" i="53"/>
  <c r="K28" i="51"/>
  <c r="AB61" i="65"/>
  <c r="AB93" i="65"/>
  <c r="H54" i="65"/>
  <c r="F8" i="9"/>
  <c r="L40" i="65"/>
  <c r="AQ56" i="65"/>
  <c r="F24" i="7"/>
  <c r="U38" i="65"/>
  <c r="V72" i="65"/>
  <c r="L26" i="65"/>
  <c r="AL86" i="65"/>
  <c r="T31" i="65"/>
  <c r="G3" i="9"/>
  <c r="AB27" i="60"/>
  <c r="F6" i="51"/>
  <c r="G10" i="9"/>
  <c r="D32" i="9"/>
  <c r="AH31" i="65"/>
  <c r="AC71" i="65"/>
  <c r="Z60" i="65"/>
  <c r="AU99" i="65"/>
  <c r="AH85" i="65"/>
  <c r="Q32" i="65"/>
  <c r="F21" i="7"/>
  <c r="H33" i="52"/>
  <c r="AB90" i="65"/>
  <c r="AT104" i="65"/>
  <c r="Q115" i="65"/>
  <c r="H62" i="65"/>
  <c r="K95" i="65"/>
  <c r="AR57" i="65"/>
  <c r="K25" i="53"/>
  <c r="AH89" i="65"/>
  <c r="AK61" i="65"/>
  <c r="AH87" i="65"/>
  <c r="AL77" i="65"/>
  <c r="AD61" i="65"/>
  <c r="R60" i="65"/>
  <c r="U52" i="65"/>
  <c r="D22" i="65"/>
  <c r="C94" i="65"/>
  <c r="AP85" i="65"/>
  <c r="Y49" i="65"/>
  <c r="AP57" i="65"/>
  <c r="Y25" i="65"/>
  <c r="P108" i="65"/>
  <c r="Z115" i="65"/>
  <c r="AC3" i="38"/>
  <c r="AH66" i="65"/>
  <c r="M44" i="65"/>
  <c r="AT71" i="65"/>
  <c r="AU43" i="65"/>
  <c r="AA34" i="65"/>
  <c r="AH103" i="65"/>
  <c r="Z57" i="65"/>
  <c r="G30" i="65"/>
  <c r="X35" i="65"/>
  <c r="S87" i="65"/>
  <c r="AM41" i="65"/>
  <c r="AA94" i="65"/>
  <c r="E76" i="65"/>
  <c r="P52" i="65"/>
  <c r="F13" i="51"/>
  <c r="L21" i="65"/>
  <c r="F32" i="7"/>
  <c r="N105" i="65"/>
  <c r="R41" i="65"/>
  <c r="AF27" i="60"/>
  <c r="H37" i="6"/>
  <c r="AH88" i="65"/>
  <c r="Y38" i="65"/>
  <c r="D29" i="65"/>
  <c r="X80" i="65"/>
  <c r="U35" i="65"/>
  <c r="T3" i="60"/>
  <c r="M49" i="65"/>
  <c r="AJ31" i="65"/>
  <c r="F12" i="5"/>
  <c r="AL50" i="65"/>
  <c r="AO41" i="65"/>
  <c r="K15" i="5"/>
  <c r="G16" i="7"/>
  <c r="F23" i="5"/>
  <c r="I8" i="52"/>
  <c r="R104" i="65"/>
  <c r="M92" i="65"/>
  <c r="AG106" i="65"/>
  <c r="Y105" i="65"/>
  <c r="V76" i="65"/>
  <c r="E16" i="53"/>
  <c r="AU109" i="65"/>
  <c r="AC32" i="65"/>
  <c r="J39" i="7"/>
  <c r="C15" i="9"/>
  <c r="I65" i="65"/>
  <c r="K32" i="51"/>
  <c r="AA55" i="65"/>
  <c r="R72" i="65"/>
  <c r="F22" i="52"/>
  <c r="G28" i="52"/>
  <c r="H70" i="65"/>
  <c r="AH61" i="65"/>
  <c r="K16" i="7"/>
  <c r="Q112" i="65"/>
  <c r="V20" i="65"/>
  <c r="P25" i="65"/>
  <c r="B23" i="9"/>
  <c r="X89" i="65"/>
  <c r="Y45" i="65"/>
  <c r="AC100" i="65"/>
  <c r="O40" i="65"/>
  <c r="J40" i="52"/>
  <c r="AQ90" i="65"/>
  <c r="AU30" i="65"/>
  <c r="Q104" i="65"/>
  <c r="D87" i="65"/>
  <c r="L54" i="65"/>
  <c r="AT55" i="65"/>
  <c r="Z49" i="65"/>
  <c r="AP20" i="65"/>
  <c r="J62" i="65"/>
  <c r="AM57" i="65"/>
  <c r="F47" i="6"/>
  <c r="K38" i="7"/>
  <c r="Y51" i="65"/>
  <c r="H112" i="65"/>
  <c r="H7" i="52"/>
  <c r="H23" i="52"/>
  <c r="Q21" i="65"/>
  <c r="AH30" i="65"/>
  <c r="R52" i="65"/>
  <c r="K36" i="5"/>
  <c r="K11" i="51"/>
  <c r="D32" i="60"/>
  <c r="E41" i="52"/>
  <c r="K33" i="52"/>
  <c r="U107" i="65"/>
  <c r="G32" i="51"/>
  <c r="W97" i="65"/>
  <c r="AI3" i="38"/>
  <c r="I14" i="7"/>
  <c r="E13" i="53"/>
  <c r="AT89" i="65"/>
  <c r="F11" i="9"/>
  <c r="AI41" i="65"/>
  <c r="D34" i="9"/>
  <c r="AA54" i="65"/>
  <c r="N86" i="65"/>
  <c r="W104" i="65"/>
  <c r="K9" i="5"/>
  <c r="R53" i="65"/>
  <c r="J40" i="51"/>
  <c r="F17" i="9"/>
  <c r="E20" i="51"/>
  <c r="E13" i="5"/>
  <c r="AU45" i="65"/>
  <c r="R21" i="65"/>
  <c r="E82" i="65"/>
  <c r="AN103" i="65"/>
  <c r="E35" i="9"/>
  <c r="AU113" i="65"/>
  <c r="E65" i="65"/>
  <c r="AO107" i="65"/>
  <c r="F6" i="52"/>
  <c r="I27" i="5"/>
  <c r="N39" i="65"/>
  <c r="W26" i="65"/>
  <c r="AD21" i="65"/>
  <c r="Z88" i="65"/>
  <c r="AK62" i="65"/>
  <c r="AU38" i="65"/>
  <c r="E14" i="51"/>
  <c r="AF34" i="65"/>
  <c r="H5" i="9"/>
  <c r="I26" i="52"/>
  <c r="E15" i="6"/>
  <c r="E32" i="9"/>
  <c r="S112" i="65"/>
  <c r="AH21" i="65"/>
  <c r="AF52" i="65"/>
  <c r="I9" i="51"/>
  <c r="P36" i="65"/>
  <c r="J14" i="51"/>
  <c r="E12" i="53"/>
  <c r="AM45" i="65"/>
  <c r="E42" i="7"/>
  <c r="D6" i="9"/>
  <c r="AE29" i="65"/>
  <c r="H31" i="52"/>
  <c r="Q109" i="65"/>
  <c r="H31" i="65"/>
  <c r="E45" i="9"/>
  <c r="AI37" i="65"/>
  <c r="G12" i="5"/>
  <c r="X9" i="60"/>
  <c r="J27" i="5"/>
  <c r="R65" i="65"/>
  <c r="M26" i="65"/>
  <c r="N59" i="65"/>
  <c r="N94" i="65"/>
  <c r="AF76" i="65"/>
  <c r="G6" i="51"/>
  <c r="G15" i="53"/>
  <c r="AC22" i="65"/>
  <c r="J34" i="51"/>
  <c r="K7" i="51"/>
  <c r="I49" i="7"/>
  <c r="AB28" i="65"/>
  <c r="AJ69" i="65"/>
  <c r="AC88" i="65"/>
  <c r="K7" i="7"/>
  <c r="O105" i="65"/>
  <c r="L69" i="65"/>
  <c r="E12" i="5"/>
  <c r="H33" i="6"/>
  <c r="C34" i="60"/>
  <c r="AT77" i="65"/>
  <c r="H27" i="65"/>
  <c r="G12" i="53"/>
  <c r="Q71" i="65"/>
  <c r="AG57" i="65"/>
  <c r="AN100" i="65"/>
  <c r="C62" i="65"/>
  <c r="D42" i="9"/>
  <c r="K14" i="51"/>
  <c r="W64" i="65"/>
  <c r="U101" i="65"/>
  <c r="AM20" i="65"/>
  <c r="G13" i="52"/>
  <c r="E41" i="9"/>
  <c r="AK3" i="38"/>
  <c r="AA56" i="65"/>
  <c r="Z79" i="65"/>
  <c r="AP41" i="65"/>
  <c r="Z45" i="65"/>
  <c r="H10" i="5"/>
  <c r="I27" i="53"/>
  <c r="AG100" i="65"/>
  <c r="AQ86" i="65"/>
  <c r="I39" i="51"/>
  <c r="B45" i="9"/>
  <c r="J20" i="53"/>
  <c r="L20" i="65"/>
  <c r="J16" i="51"/>
  <c r="M115" i="65"/>
  <c r="AH71" i="65"/>
  <c r="C10" i="9"/>
  <c r="I45" i="7"/>
  <c r="E15" i="5"/>
  <c r="J35" i="51"/>
  <c r="H13" i="52"/>
  <c r="L3" i="38"/>
  <c r="U40" i="65"/>
  <c r="G16" i="9"/>
  <c r="X86" i="65"/>
  <c r="K25" i="52"/>
  <c r="AD55" i="65"/>
  <c r="F17" i="7"/>
  <c r="F98" i="65"/>
  <c r="AM61" i="65"/>
  <c r="E22" i="9"/>
  <c r="AA35" i="65"/>
  <c r="H75" i="65"/>
  <c r="AO98" i="65"/>
  <c r="G9" i="9"/>
  <c r="AH104" i="65"/>
  <c r="E28" i="51"/>
  <c r="AD41" i="65"/>
  <c r="I23" i="7"/>
  <c r="L28" i="65"/>
  <c r="W105" i="65"/>
  <c r="Y80" i="65"/>
  <c r="J33" i="6"/>
  <c r="G30" i="51"/>
  <c r="AU39" i="65"/>
  <c r="H33" i="7"/>
  <c r="AP84" i="65"/>
  <c r="M98" i="65"/>
  <c r="AD66" i="65"/>
  <c r="T23" i="65"/>
  <c r="D40" i="9"/>
  <c r="E23" i="65"/>
  <c r="J15" i="7"/>
  <c r="AG30" i="65"/>
  <c r="G32" i="6"/>
  <c r="G38" i="7"/>
  <c r="AU27" i="60"/>
  <c r="AP43" i="65"/>
  <c r="M33" i="65"/>
  <c r="AF81" i="65"/>
  <c r="J71" i="65"/>
  <c r="AI11" i="60"/>
  <c r="AS32" i="65"/>
  <c r="AI62" i="65"/>
  <c r="F29" i="65"/>
  <c r="D58" i="65"/>
  <c r="V107" i="65"/>
  <c r="W83" i="65"/>
  <c r="O24" i="65"/>
  <c r="C39" i="65"/>
  <c r="U100" i="65"/>
  <c r="P93" i="65"/>
  <c r="AK104" i="65"/>
  <c r="N73" i="65"/>
  <c r="I26" i="51"/>
  <c r="M95" i="65"/>
  <c r="J11" i="53"/>
  <c r="AO40" i="65"/>
  <c r="AA43" i="65"/>
  <c r="AR109" i="65"/>
  <c r="E105" i="65"/>
  <c r="H7" i="51"/>
  <c r="S3" i="16"/>
  <c r="AT82" i="65"/>
  <c r="AH86" i="65"/>
  <c r="C21" i="9"/>
  <c r="K20" i="51"/>
  <c r="W60" i="65"/>
  <c r="J13" i="51"/>
  <c r="AP17" i="60"/>
  <c r="O83" i="65"/>
  <c r="T22" i="65"/>
  <c r="AU29" i="65"/>
  <c r="AG88" i="65"/>
  <c r="AP76" i="65"/>
  <c r="F64" i="65"/>
  <c r="H11" i="9"/>
  <c r="X110" i="65"/>
  <c r="W29" i="65"/>
  <c r="Q33" i="65"/>
  <c r="F20" i="9"/>
  <c r="AF23" i="65"/>
  <c r="L24" i="65"/>
  <c r="H61" i="65"/>
  <c r="V69" i="65"/>
  <c r="E35" i="5"/>
  <c r="D86" i="65"/>
  <c r="C51" i="65"/>
  <c r="L47" i="65"/>
  <c r="P112" i="65"/>
  <c r="AE55" i="65"/>
  <c r="AJ29" i="65"/>
  <c r="AM35" i="65"/>
  <c r="AD92" i="65"/>
  <c r="E9" i="51"/>
  <c r="I74" i="65"/>
  <c r="K34" i="65"/>
  <c r="U115" i="65"/>
  <c r="W24" i="65"/>
  <c r="AB50" i="65"/>
  <c r="AO47" i="65"/>
  <c r="O113" i="65"/>
  <c r="T102" i="65"/>
  <c r="K30" i="52"/>
  <c r="J3" i="16"/>
  <c r="AA91" i="65"/>
  <c r="C48" i="65"/>
  <c r="H15" i="52"/>
  <c r="AM63" i="65"/>
  <c r="AN95" i="65"/>
  <c r="AB20" i="65"/>
  <c r="AL53" i="65"/>
  <c r="Q110" i="65"/>
  <c r="C110" i="65"/>
  <c r="N3" i="60"/>
  <c r="H20" i="9"/>
  <c r="F49" i="6"/>
  <c r="O10" i="60"/>
  <c r="F36" i="6"/>
  <c r="AR25" i="65"/>
  <c r="AS90" i="65"/>
  <c r="E37" i="60"/>
  <c r="G12" i="51"/>
  <c r="AQ78" i="65"/>
  <c r="AA62" i="65"/>
  <c r="AU104" i="65"/>
  <c r="J41" i="7"/>
  <c r="H8" i="5"/>
  <c r="AM102" i="65"/>
  <c r="AK51" i="65"/>
  <c r="X34" i="65"/>
  <c r="J47" i="65"/>
  <c r="I27" i="52"/>
  <c r="H40" i="52"/>
  <c r="F30" i="9"/>
  <c r="L61" i="65"/>
  <c r="U63" i="65"/>
  <c r="V113" i="65"/>
  <c r="AC23" i="65"/>
  <c r="AQ85" i="65"/>
  <c r="V36" i="65"/>
  <c r="I82" i="65"/>
  <c r="T29" i="65"/>
  <c r="F44" i="6"/>
  <c r="AG109" i="65"/>
  <c r="R54" i="65"/>
  <c r="AT112" i="65"/>
  <c r="AB45" i="65"/>
  <c r="AH25" i="65"/>
  <c r="N114" i="65"/>
  <c r="AR76" i="65"/>
  <c r="AG49" i="65"/>
  <c r="AI111" i="65"/>
  <c r="F14" i="51"/>
  <c r="T112" i="65"/>
  <c r="AR94" i="65"/>
  <c r="Q83" i="65"/>
  <c r="AU24" i="65"/>
  <c r="E39" i="60"/>
  <c r="C3" i="16"/>
  <c r="K36" i="51"/>
  <c r="AC44" i="65"/>
  <c r="G27" i="9"/>
  <c r="U79" i="65"/>
  <c r="J11" i="52"/>
  <c r="W61" i="65"/>
  <c r="AI34" i="65"/>
  <c r="V101" i="65"/>
  <c r="X93" i="65"/>
  <c r="E26" i="9"/>
  <c r="I22" i="7"/>
  <c r="AR100" i="65"/>
  <c r="K21" i="53"/>
  <c r="L46" i="65"/>
  <c r="AU81" i="65"/>
  <c r="F25" i="7"/>
  <c r="N48" i="65"/>
  <c r="E92" i="65"/>
  <c r="G23" i="5"/>
  <c r="T35" i="65"/>
  <c r="G49" i="65"/>
  <c r="K42" i="6"/>
  <c r="AS44" i="65"/>
  <c r="Y98" i="65"/>
  <c r="T25" i="65"/>
  <c r="H15" i="6"/>
  <c r="Q63" i="65"/>
  <c r="S78" i="65"/>
  <c r="E45" i="65"/>
  <c r="V58" i="65"/>
  <c r="T82" i="65"/>
  <c r="E21" i="7"/>
  <c r="AF94" i="65"/>
  <c r="Y21" i="65"/>
  <c r="U47" i="65"/>
  <c r="AJ93" i="65"/>
  <c r="Q3" i="16"/>
  <c r="X45" i="65"/>
  <c r="H40" i="6"/>
  <c r="O101" i="65"/>
  <c r="C42" i="9"/>
  <c r="J21" i="51"/>
  <c r="I7" i="53"/>
  <c r="F30" i="5"/>
  <c r="I25" i="65"/>
  <c r="AL75" i="65"/>
  <c r="S41" i="65"/>
  <c r="Z34" i="65"/>
  <c r="AT46" i="65"/>
  <c r="Y74" i="65"/>
  <c r="I40" i="6"/>
  <c r="AI27" i="65"/>
  <c r="F30" i="51"/>
  <c r="G12" i="9"/>
  <c r="F33" i="51"/>
  <c r="AS114" i="65"/>
  <c r="R5" i="60"/>
  <c r="G32" i="52"/>
  <c r="AD100" i="65"/>
  <c r="AN63" i="65"/>
  <c r="U26" i="65"/>
  <c r="V49" i="65"/>
  <c r="AQ65" i="65"/>
  <c r="J28" i="52"/>
  <c r="U51" i="65"/>
  <c r="K26" i="53"/>
  <c r="AF3" i="38"/>
  <c r="AH47" i="65"/>
  <c r="AB39" i="65"/>
  <c r="F2" i="9"/>
  <c r="M107" i="65"/>
  <c r="AE27" i="65"/>
  <c r="G38" i="9"/>
  <c r="T86" i="65"/>
  <c r="J12" i="51"/>
  <c r="C43" i="9"/>
  <c r="AT109" i="65"/>
  <c r="Z51" i="65"/>
  <c r="G20" i="51"/>
  <c r="H17" i="52"/>
  <c r="V66" i="65"/>
  <c r="AS115" i="65"/>
  <c r="E12" i="6"/>
  <c r="I41" i="6"/>
  <c r="I19" i="5"/>
  <c r="W86" i="65"/>
  <c r="AJ62" i="65"/>
  <c r="L75" i="65"/>
  <c r="Y44" i="65"/>
  <c r="Q61" i="65"/>
  <c r="AP36" i="65"/>
  <c r="I14" i="6"/>
  <c r="F18" i="5"/>
  <c r="B29" i="9"/>
  <c r="AO49" i="65"/>
  <c r="X84" i="65"/>
  <c r="AS96" i="65"/>
  <c r="F33" i="7"/>
  <c r="AB22" i="65"/>
  <c r="F33" i="52"/>
  <c r="I20" i="53"/>
  <c r="K13" i="6"/>
  <c r="J16" i="53"/>
  <c r="I11" i="52"/>
  <c r="AH62" i="65"/>
  <c r="E25" i="65"/>
  <c r="AR64" i="65"/>
  <c r="J19" i="6"/>
  <c r="S64" i="65"/>
  <c r="J11" i="6"/>
  <c r="I17" i="52"/>
  <c r="AG54" i="65"/>
  <c r="G6" i="5"/>
  <c r="R32" i="65"/>
  <c r="Y65" i="65"/>
  <c r="AT48" i="65"/>
  <c r="G7" i="53"/>
  <c r="AD25" i="65"/>
  <c r="N103" i="65"/>
  <c r="M30" i="65"/>
  <c r="AA81" i="65"/>
  <c r="I12" i="6"/>
  <c r="I39" i="6"/>
  <c r="G33" i="6"/>
  <c r="E40" i="7"/>
  <c r="X28" i="65"/>
  <c r="G40" i="6"/>
  <c r="AS31" i="65"/>
  <c r="G33" i="60"/>
  <c r="AU91" i="65"/>
  <c r="G54" i="65"/>
  <c r="AS66" i="65"/>
  <c r="AN90" i="65"/>
  <c r="AP73" i="65"/>
  <c r="F19" i="5"/>
  <c r="AT42" i="65"/>
  <c r="E33" i="6"/>
  <c r="AL43" i="65"/>
  <c r="Q22" i="65"/>
  <c r="O99" i="65"/>
  <c r="AU90" i="65"/>
  <c r="AN93" i="65"/>
  <c r="R57" i="65"/>
  <c r="I19" i="7"/>
  <c r="H35" i="5"/>
  <c r="T34" i="65"/>
  <c r="H36" i="52"/>
  <c r="AQ24" i="65"/>
  <c r="J16" i="7"/>
  <c r="I35" i="65"/>
  <c r="H19" i="9"/>
  <c r="AM23" i="65"/>
  <c r="K14" i="5"/>
  <c r="Q51" i="65"/>
  <c r="J21" i="6"/>
  <c r="AI95" i="65"/>
  <c r="G18" i="53"/>
  <c r="K37" i="7"/>
  <c r="F28" i="51"/>
  <c r="I32" i="51"/>
  <c r="N65" i="65"/>
  <c r="K29" i="53"/>
  <c r="L37" i="65"/>
  <c r="AJ23" i="65"/>
  <c r="AD54" i="65"/>
  <c r="G13" i="7"/>
  <c r="G32" i="5"/>
  <c r="F34" i="52"/>
  <c r="E21" i="9"/>
  <c r="I34" i="52"/>
  <c r="K32" i="52"/>
  <c r="I49" i="6"/>
  <c r="AO33" i="65"/>
  <c r="Y36" i="65"/>
  <c r="O38" i="65"/>
  <c r="AD50" i="65"/>
  <c r="E16" i="5"/>
  <c r="Y59" i="65"/>
  <c r="AJ115" i="65"/>
  <c r="E37" i="7"/>
  <c r="AA42" i="65"/>
  <c r="AK50" i="65"/>
  <c r="G14" i="6"/>
  <c r="E32" i="52"/>
  <c r="AQ108" i="65"/>
  <c r="J46" i="7"/>
  <c r="G10" i="51"/>
  <c r="D20" i="9"/>
  <c r="AC29" i="65"/>
  <c r="Y107" i="65"/>
  <c r="I8" i="5"/>
  <c r="AL41" i="65"/>
  <c r="U103" i="65"/>
  <c r="AJ113" i="65"/>
  <c r="J48" i="7"/>
  <c r="AK43" i="65"/>
  <c r="E42" i="52"/>
  <c r="AJ25" i="65"/>
  <c r="Z55" i="65"/>
  <c r="H30" i="5"/>
  <c r="H32" i="7"/>
  <c r="I38" i="52"/>
  <c r="H19" i="5"/>
  <c r="G26" i="53"/>
  <c r="S60" i="65"/>
  <c r="AG115" i="65"/>
  <c r="J15" i="53"/>
  <c r="G29" i="9"/>
  <c r="K17" i="52"/>
  <c r="D26" i="9"/>
  <c r="W112" i="65"/>
  <c r="AJ64" i="65"/>
  <c r="AU42" i="65"/>
  <c r="M114" i="65"/>
  <c r="X98" i="65"/>
  <c r="H27" i="9"/>
  <c r="E14" i="7"/>
  <c r="AI66" i="65"/>
  <c r="AJ109" i="65"/>
  <c r="G24" i="51"/>
  <c r="S114" i="65"/>
  <c r="AU41" i="65"/>
  <c r="F39" i="6"/>
  <c r="I33" i="5"/>
  <c r="M43" i="65"/>
  <c r="AS72" i="65"/>
  <c r="AM104" i="65"/>
  <c r="K7" i="6"/>
  <c r="N41" i="65"/>
  <c r="F49" i="7"/>
  <c r="AU53" i="65"/>
  <c r="E39" i="9"/>
  <c r="AE20" i="65"/>
  <c r="U99" i="65"/>
  <c r="V46" i="65"/>
  <c r="H14" i="52"/>
  <c r="AU20" i="65"/>
  <c r="J22" i="7"/>
  <c r="D9" i="9"/>
  <c r="I35" i="52"/>
  <c r="I38" i="7"/>
  <c r="I20" i="51"/>
  <c r="C31" i="9"/>
  <c r="Q54" i="65"/>
  <c r="L91" i="65"/>
  <c r="AQ55" i="65"/>
  <c r="F25" i="51"/>
  <c r="F33" i="60"/>
  <c r="R107" i="65"/>
  <c r="T20" i="65"/>
  <c r="G24" i="52"/>
  <c r="Q24" i="65"/>
  <c r="I15" i="53"/>
  <c r="AI58" i="65"/>
  <c r="U65" i="65"/>
  <c r="D21" i="9"/>
  <c r="AN58" i="65"/>
  <c r="Y34" i="65"/>
  <c r="AE113" i="65"/>
  <c r="Y30" i="65"/>
  <c r="K10" i="53"/>
  <c r="E43" i="9"/>
  <c r="AE62" i="65"/>
  <c r="Y82" i="65"/>
  <c r="D4" i="9"/>
  <c r="F24" i="52"/>
  <c r="Y93" i="65"/>
  <c r="K97" i="65"/>
  <c r="Z112" i="65"/>
  <c r="J10" i="51"/>
  <c r="I22" i="52"/>
  <c r="AF96" i="65"/>
  <c r="M53" i="65"/>
  <c r="C34" i="9"/>
  <c r="G39" i="52"/>
  <c r="H15" i="53"/>
  <c r="AR108" i="65"/>
  <c r="R56" i="65"/>
  <c r="J20" i="5"/>
  <c r="H47" i="6"/>
  <c r="I39" i="5"/>
  <c r="O46" i="65"/>
  <c r="G28" i="9"/>
  <c r="J11" i="5"/>
  <c r="Q101" i="65"/>
  <c r="K11" i="7"/>
  <c r="I22" i="53"/>
  <c r="AO52" i="65"/>
  <c r="G15" i="52"/>
  <c r="X43" i="65"/>
  <c r="K19" i="5"/>
  <c r="G30" i="9"/>
  <c r="G42" i="9"/>
  <c r="W27" i="65"/>
  <c r="H16" i="51"/>
  <c r="AJ49" i="65"/>
  <c r="F39" i="51"/>
  <c r="AT78" i="65"/>
  <c r="E16" i="6"/>
  <c r="AR53" i="65"/>
  <c r="AH98" i="65"/>
  <c r="AG58" i="65"/>
  <c r="T114" i="65"/>
  <c r="AJ3" i="38"/>
  <c r="R114" i="65"/>
  <c r="S32" i="65"/>
  <c r="AO80" i="65"/>
  <c r="G7" i="9"/>
  <c r="N104" i="65"/>
  <c r="AH95" i="65"/>
  <c r="AM21" i="65"/>
  <c r="V47" i="65"/>
  <c r="H21" i="7"/>
  <c r="AS78" i="65"/>
  <c r="AN82" i="65"/>
  <c r="AI53" i="65"/>
  <c r="F35" i="6"/>
  <c r="N53" i="65"/>
  <c r="E37" i="9"/>
  <c r="AM42" i="65"/>
  <c r="AL3" i="38"/>
  <c r="AU50" i="65"/>
  <c r="AQ36" i="65"/>
  <c r="K23" i="53"/>
  <c r="G11" i="52"/>
  <c r="AK58" i="65"/>
  <c r="K42" i="51"/>
  <c r="E6" i="51"/>
  <c r="X41" i="65"/>
  <c r="K34" i="52"/>
  <c r="D28" i="65"/>
  <c r="W52" i="65"/>
  <c r="H12" i="6"/>
  <c r="E6" i="9"/>
  <c r="G25" i="52"/>
  <c r="E25" i="5"/>
  <c r="AC36" i="65"/>
  <c r="Q60" i="65"/>
  <c r="AN97" i="65"/>
  <c r="T63" i="65"/>
  <c r="F29" i="5"/>
  <c r="E7" i="7"/>
  <c r="F21" i="5"/>
  <c r="H28" i="53"/>
  <c r="G11" i="6"/>
  <c r="J14" i="6"/>
  <c r="AB84" i="65"/>
  <c r="AC25" i="65"/>
  <c r="P54" i="65"/>
  <c r="E38" i="7"/>
  <c r="AM31" i="65"/>
  <c r="C45" i="9"/>
  <c r="AG111" i="65"/>
  <c r="Y3" i="16"/>
  <c r="H36" i="5"/>
  <c r="E49" i="6"/>
  <c r="G35" i="51"/>
  <c r="J34" i="52"/>
  <c r="AT33" i="65"/>
  <c r="H40" i="7"/>
  <c r="J27" i="53"/>
  <c r="AB49" i="65"/>
  <c r="N40" i="65"/>
  <c r="AU61" i="65"/>
  <c r="K46" i="6"/>
  <c r="E10" i="51"/>
  <c r="P31" i="65"/>
  <c r="T104" i="65"/>
  <c r="I13" i="51"/>
  <c r="J12" i="53"/>
  <c r="F12" i="6"/>
  <c r="AK46" i="65"/>
  <c r="AT28" i="65"/>
  <c r="AJ20" i="65"/>
  <c r="AM65" i="65"/>
  <c r="M29" i="65"/>
  <c r="K18" i="5"/>
  <c r="I22" i="5"/>
  <c r="H6" i="51"/>
  <c r="F40" i="52"/>
  <c r="F45" i="7"/>
  <c r="E30" i="51"/>
  <c r="AU3" i="38"/>
  <c r="AS40" i="65"/>
  <c r="H41" i="65"/>
  <c r="J10" i="53"/>
  <c r="M63" i="65"/>
  <c r="H50" i="6"/>
  <c r="AK52" i="65"/>
  <c r="P37" i="65"/>
  <c r="I8" i="53"/>
  <c r="F36" i="7"/>
  <c r="D47" i="9"/>
  <c r="AI61" i="65"/>
  <c r="T55" i="65"/>
  <c r="AO29" i="65"/>
  <c r="F37" i="52"/>
  <c r="W43" i="65"/>
  <c r="C9" i="9"/>
  <c r="F42" i="51"/>
  <c r="AB44" i="65"/>
  <c r="I46" i="6"/>
  <c r="J44" i="7"/>
  <c r="J38" i="5"/>
  <c r="AU60" i="65"/>
  <c r="N56" i="65"/>
  <c r="I84" i="65"/>
  <c r="AP48" i="65"/>
  <c r="L105" i="65"/>
  <c r="AR20" i="65"/>
  <c r="AR74" i="65"/>
  <c r="I12" i="52"/>
  <c r="F59" i="65"/>
  <c r="AC33" i="65"/>
  <c r="Y56" i="65"/>
  <c r="E39" i="5"/>
  <c r="E12" i="7"/>
  <c r="AE24" i="65"/>
  <c r="AQ99" i="65"/>
  <c r="E23" i="53"/>
  <c r="E33" i="65"/>
  <c r="K27" i="52"/>
  <c r="F12" i="9"/>
  <c r="AO48" i="65"/>
  <c r="I58" i="65"/>
  <c r="AA113" i="65"/>
  <c r="P34" i="65"/>
  <c r="G19" i="7"/>
  <c r="E40" i="60"/>
  <c r="AK47" i="65"/>
  <c r="AS98" i="65"/>
  <c r="Q64" i="65"/>
  <c r="J37" i="5"/>
  <c r="H49" i="7"/>
  <c r="U32" i="65"/>
  <c r="AO74" i="65"/>
  <c r="O110" i="65"/>
  <c r="AQ48" i="65"/>
  <c r="AH91" i="65"/>
  <c r="J8" i="6"/>
  <c r="S61" i="65"/>
  <c r="I17" i="51"/>
  <c r="AD60" i="65"/>
  <c r="AH110" i="65"/>
  <c r="I36" i="5"/>
  <c r="E42" i="6"/>
  <c r="AL84" i="65"/>
  <c r="H11" i="52"/>
  <c r="J10" i="7"/>
  <c r="I10" i="53"/>
  <c r="Y112" i="65"/>
  <c r="H22" i="5"/>
  <c r="AC53" i="65"/>
  <c r="I18" i="52"/>
  <c r="V103" i="65"/>
  <c r="O85" i="65"/>
  <c r="D109" i="65"/>
  <c r="AL60" i="65"/>
  <c r="AP22" i="65"/>
  <c r="G8" i="6"/>
  <c r="AJ104" i="65"/>
  <c r="C20" i="9"/>
  <c r="C37" i="9"/>
  <c r="H37" i="51"/>
  <c r="AD86" i="65"/>
  <c r="G14" i="7"/>
  <c r="AH112" i="65"/>
  <c r="AA78" i="65"/>
  <c r="K32" i="6"/>
  <c r="AK64" i="65"/>
  <c r="I40" i="51"/>
  <c r="H47" i="9"/>
  <c r="I24" i="52"/>
  <c r="F84" i="65"/>
  <c r="G18" i="52"/>
  <c r="I42" i="6"/>
  <c r="O112" i="65"/>
  <c r="AF49" i="65"/>
  <c r="AT34" i="65"/>
  <c r="P57" i="65"/>
  <c r="AM100" i="65"/>
  <c r="K42" i="7"/>
  <c r="AL105" i="65"/>
  <c r="B35" i="9"/>
  <c r="I44" i="6"/>
  <c r="AD3" i="16"/>
  <c r="I20" i="5"/>
  <c r="K17" i="7"/>
  <c r="G14" i="51"/>
  <c r="J29" i="51"/>
  <c r="H12" i="52"/>
  <c r="K16" i="53"/>
  <c r="J32" i="51"/>
  <c r="F28" i="53"/>
  <c r="K22" i="51"/>
  <c r="B15" i="9"/>
  <c r="AI52" i="65"/>
  <c r="D41" i="9"/>
  <c r="F20" i="5"/>
  <c r="H42" i="7"/>
  <c r="F15" i="51"/>
  <c r="F24" i="51"/>
  <c r="O114" i="65"/>
  <c r="AL111" i="65"/>
  <c r="AE3" i="16"/>
  <c r="AD39" i="65"/>
  <c r="G24" i="7"/>
  <c r="AF25" i="65"/>
  <c r="C30" i="9"/>
  <c r="F40" i="51"/>
  <c r="W39" i="65"/>
  <c r="E22" i="51"/>
  <c r="K6" i="5"/>
  <c r="H41" i="6"/>
  <c r="AL106" i="65"/>
  <c r="U36" i="65"/>
  <c r="N29" i="65"/>
  <c r="E20" i="7"/>
  <c r="L38" i="65"/>
  <c r="K8" i="51"/>
  <c r="AI60" i="65"/>
  <c r="J15" i="51"/>
  <c r="V3" i="38"/>
  <c r="E18" i="9"/>
  <c r="F26" i="52"/>
  <c r="D37" i="60"/>
  <c r="F34" i="51"/>
  <c r="K16" i="51"/>
  <c r="G20" i="53"/>
  <c r="V53" i="65"/>
  <c r="AR26" i="65"/>
  <c r="L97" i="65"/>
  <c r="AB69" i="65"/>
  <c r="F14" i="7"/>
  <c r="AU33" i="65"/>
  <c r="I6" i="53"/>
  <c r="AU49" i="65"/>
  <c r="L93" i="65"/>
  <c r="Y42" i="65"/>
  <c r="J31" i="5"/>
  <c r="T57" i="65"/>
  <c r="AO104" i="65"/>
  <c r="AO64" i="65"/>
  <c r="R105" i="65"/>
  <c r="H40" i="51"/>
  <c r="AR29" i="65"/>
  <c r="AP109" i="65"/>
  <c r="O22" i="65"/>
  <c r="J55" i="65"/>
  <c r="I25" i="7"/>
  <c r="F8" i="53"/>
  <c r="AD22" i="65"/>
  <c r="G27" i="51"/>
  <c r="AM36" i="65"/>
  <c r="E27" i="52"/>
  <c r="R42" i="65"/>
  <c r="AG35" i="65"/>
  <c r="H16" i="9"/>
  <c r="H23" i="9"/>
  <c r="AU35" i="65"/>
  <c r="H11" i="53"/>
  <c r="F19" i="6"/>
  <c r="AM95" i="65"/>
  <c r="M56" i="65"/>
  <c r="D10" i="9"/>
  <c r="AR86" i="65"/>
  <c r="G50" i="6"/>
  <c r="K23" i="52"/>
  <c r="G55" i="65"/>
  <c r="E18" i="5"/>
  <c r="H25" i="53"/>
  <c r="H18" i="5"/>
  <c r="U28" i="65"/>
  <c r="J7" i="51"/>
  <c r="J25" i="51"/>
  <c r="H13" i="6"/>
  <c r="E40" i="51"/>
  <c r="I17" i="7"/>
  <c r="E34" i="51"/>
  <c r="P63" i="65"/>
  <c r="AL78" i="65"/>
  <c r="P111" i="65"/>
  <c r="E15" i="9"/>
  <c r="X30" i="65"/>
  <c r="F30" i="52"/>
  <c r="G24" i="5"/>
  <c r="E14" i="9"/>
  <c r="P22" i="65"/>
  <c r="E26" i="53"/>
  <c r="G20" i="9"/>
  <c r="K20" i="7"/>
  <c r="E3" i="38"/>
  <c r="AR63" i="65"/>
  <c r="E46" i="7"/>
  <c r="B11" i="9"/>
  <c r="F39" i="9"/>
  <c r="E13" i="9"/>
  <c r="C29" i="9"/>
  <c r="Z27" i="65"/>
  <c r="AR92" i="65"/>
  <c r="J38" i="52"/>
  <c r="F15" i="5"/>
  <c r="AA30" i="65"/>
  <c r="P91" i="65"/>
  <c r="AR56" i="65"/>
  <c r="F87" i="65"/>
  <c r="E24" i="5"/>
  <c r="K32" i="5"/>
  <c r="W50" i="65"/>
  <c r="AE45" i="65"/>
  <c r="G21" i="5"/>
  <c r="H28" i="5"/>
  <c r="F20" i="52"/>
  <c r="G30" i="5"/>
  <c r="AP115" i="65"/>
  <c r="AA39" i="65"/>
  <c r="AL59" i="65"/>
  <c r="H36" i="7"/>
  <c r="AE114" i="65"/>
  <c r="G13" i="6"/>
  <c r="T52" i="65"/>
  <c r="W41" i="65"/>
  <c r="L101" i="65"/>
  <c r="I12" i="53"/>
  <c r="F16" i="5"/>
  <c r="K40" i="7"/>
  <c r="E6" i="53"/>
  <c r="J10" i="6"/>
  <c r="K25" i="6"/>
  <c r="P104" i="65"/>
  <c r="AB46" i="65"/>
  <c r="F42" i="7"/>
  <c r="Q28" i="65"/>
  <c r="H23" i="5"/>
  <c r="H43" i="9"/>
  <c r="F47" i="7"/>
  <c r="S110" i="65"/>
  <c r="K10" i="51"/>
  <c r="F46" i="9"/>
  <c r="E27" i="53"/>
  <c r="T53" i="65"/>
  <c r="Z35" i="65"/>
  <c r="AQ53" i="65"/>
  <c r="I25" i="51"/>
  <c r="J9" i="53"/>
  <c r="AO71" i="65"/>
  <c r="H15" i="5"/>
  <c r="G42" i="51"/>
  <c r="AM113" i="65"/>
  <c r="W46" i="65"/>
  <c r="X46" i="65"/>
  <c r="AL42" i="65"/>
  <c r="J6" i="52"/>
  <c r="N64" i="65"/>
  <c r="G46" i="9"/>
  <c r="W44" i="65"/>
  <c r="AA52" i="65"/>
  <c r="N61" i="65"/>
  <c r="AU108" i="65"/>
  <c r="G41" i="52"/>
  <c r="U48" i="65"/>
  <c r="N3" i="38"/>
  <c r="G39" i="9"/>
  <c r="AD33" i="65"/>
  <c r="H48" i="7"/>
  <c r="E8" i="7"/>
  <c r="E91" i="65"/>
  <c r="AM82" i="65"/>
  <c r="I17" i="53"/>
  <c r="AT47" i="65"/>
  <c r="AH28" i="65"/>
  <c r="H14" i="51"/>
  <c r="R87" i="65"/>
  <c r="AM52" i="65"/>
  <c r="I21" i="53"/>
  <c r="F7" i="9"/>
  <c r="Q43" i="65"/>
  <c r="F43" i="9"/>
  <c r="E23" i="51"/>
  <c r="N32" i="65"/>
  <c r="AA21" i="65"/>
  <c r="G11" i="51"/>
  <c r="AF45" i="65"/>
  <c r="AL32" i="65"/>
  <c r="AP102" i="65"/>
  <c r="G16" i="52"/>
  <c r="AO35" i="65"/>
  <c r="D12" i="9"/>
  <c r="E38" i="6"/>
  <c r="I14" i="5"/>
  <c r="AR3" i="38"/>
  <c r="AK66" i="65"/>
  <c r="S62" i="65"/>
  <c r="AR66" i="65"/>
  <c r="AS93" i="65"/>
  <c r="O60" i="65"/>
  <c r="AE81" i="65"/>
  <c r="F34" i="5"/>
  <c r="G26" i="52"/>
  <c r="AI64" i="65"/>
  <c r="C37" i="60"/>
  <c r="AS99" i="65"/>
  <c r="N58" i="65"/>
  <c r="E21" i="5"/>
  <c r="E29" i="51"/>
  <c r="AS113" i="65"/>
  <c r="H22" i="51"/>
  <c r="G26" i="51"/>
  <c r="F24" i="6"/>
  <c r="B20" i="9"/>
  <c r="I113" i="65"/>
  <c r="AM107" i="65"/>
  <c r="AK35" i="65"/>
  <c r="H16" i="7"/>
  <c r="F38" i="9"/>
  <c r="AQ35" i="65"/>
  <c r="J9" i="51"/>
  <c r="AH3" i="16"/>
  <c r="K15" i="6"/>
  <c r="F37" i="9"/>
  <c r="AB54" i="65"/>
  <c r="Y47" i="65"/>
  <c r="H10" i="53"/>
  <c r="AA80" i="65"/>
  <c r="AA49" i="65"/>
  <c r="AC37" i="65"/>
  <c r="E24" i="7"/>
  <c r="I21" i="52"/>
  <c r="AQ64" i="65"/>
  <c r="K12" i="51"/>
  <c r="M25" i="65"/>
  <c r="M47" i="65"/>
  <c r="O49" i="65"/>
  <c r="N108" i="65"/>
  <c r="T84" i="65"/>
  <c r="J14" i="52"/>
  <c r="AC50" i="65"/>
  <c r="N95" i="65"/>
  <c r="E7" i="5"/>
  <c r="K35" i="7"/>
  <c r="F40" i="7"/>
  <c r="AB43" i="65"/>
  <c r="R101" i="65"/>
  <c r="K17" i="5"/>
  <c r="C17" i="9"/>
  <c r="I11" i="51"/>
  <c r="F20" i="51"/>
  <c r="AP104" i="65"/>
  <c r="U3" i="38"/>
  <c r="K21" i="7"/>
  <c r="H31" i="5"/>
  <c r="AC55" i="65"/>
  <c r="K29" i="5"/>
  <c r="G41" i="6"/>
  <c r="I15" i="7"/>
  <c r="H21" i="51"/>
  <c r="AK3" i="16"/>
  <c r="J17" i="51"/>
  <c r="I37" i="65"/>
  <c r="AB37" i="65"/>
  <c r="G10" i="6"/>
  <c r="H17" i="6"/>
  <c r="K39" i="6"/>
  <c r="AI63" i="65"/>
  <c r="AK74" i="65"/>
  <c r="F23" i="51"/>
  <c r="F27" i="51"/>
  <c r="AT41" i="65"/>
  <c r="J22" i="52"/>
  <c r="H38" i="7"/>
  <c r="I25" i="5"/>
  <c r="X92" i="65"/>
  <c r="K7" i="5"/>
  <c r="M36" i="65"/>
  <c r="E21" i="52"/>
  <c r="F16" i="53"/>
  <c r="N21" i="65"/>
  <c r="F14" i="5"/>
  <c r="J37" i="52"/>
  <c r="C36" i="9"/>
  <c r="AG26" i="65"/>
  <c r="I13" i="6"/>
  <c r="Q59" i="65"/>
  <c r="O53" i="65"/>
  <c r="U69" i="65"/>
  <c r="G31" i="52"/>
  <c r="J49" i="6"/>
  <c r="AT57" i="65"/>
  <c r="I38" i="6"/>
  <c r="G15" i="51"/>
  <c r="AP3" i="38"/>
  <c r="J47" i="6"/>
  <c r="AS112" i="65"/>
  <c r="AP3" i="16"/>
  <c r="AT36" i="65"/>
  <c r="I20" i="6"/>
  <c r="H46" i="6"/>
  <c r="F42" i="9"/>
  <c r="Y41" i="65"/>
  <c r="AT64" i="65"/>
  <c r="F38" i="52"/>
  <c r="AS97" i="65"/>
  <c r="F48" i="6"/>
  <c r="X57" i="65"/>
  <c r="T79" i="65"/>
  <c r="D3" i="9"/>
  <c r="F22" i="53"/>
  <c r="M39" i="65"/>
  <c r="AO87" i="65"/>
  <c r="P59" i="65"/>
  <c r="G17" i="52"/>
  <c r="T93" i="65"/>
  <c r="H40" i="9"/>
  <c r="H33" i="51"/>
  <c r="AA18" i="60"/>
  <c r="AH97" i="65"/>
  <c r="Z92" i="65"/>
  <c r="P84" i="65"/>
  <c r="G47" i="7"/>
  <c r="K12" i="6"/>
  <c r="X22" i="65"/>
  <c r="AE105" i="65"/>
  <c r="W65" i="65"/>
  <c r="O75" i="65"/>
  <c r="AT40" i="65"/>
  <c r="AD27" i="65"/>
  <c r="E22" i="53"/>
  <c r="H22" i="9"/>
  <c r="V3" i="16"/>
  <c r="V40" i="65"/>
  <c r="H14" i="7"/>
  <c r="I28" i="51"/>
  <c r="AS110" i="65"/>
  <c r="AD64" i="65"/>
  <c r="C23" i="9"/>
  <c r="H28" i="52"/>
  <c r="V89" i="65"/>
  <c r="H38" i="5"/>
  <c r="AQ33" i="65"/>
  <c r="K40" i="51"/>
  <c r="T36" i="65"/>
  <c r="W53" i="65"/>
  <c r="W70" i="65"/>
  <c r="J18" i="5"/>
  <c r="AH39" i="65"/>
  <c r="E29" i="52"/>
  <c r="E17" i="6"/>
  <c r="E30" i="9"/>
  <c r="Q42" i="65"/>
  <c r="G19" i="52"/>
  <c r="P61" i="65"/>
  <c r="J17" i="53"/>
  <c r="U44" i="65"/>
  <c r="Q45" i="65"/>
  <c r="AO23" i="65"/>
  <c r="AG43" i="65"/>
  <c r="K50" i="65"/>
  <c r="G22" i="53"/>
  <c r="H41" i="7"/>
  <c r="Z3" i="16"/>
  <c r="E32" i="5"/>
  <c r="AJ107" i="65"/>
  <c r="F8" i="52"/>
  <c r="K10" i="5"/>
  <c r="C41" i="9"/>
  <c r="J40" i="7"/>
  <c r="AS23" i="65"/>
  <c r="AG59" i="65"/>
  <c r="C44" i="9"/>
  <c r="G3" i="38"/>
  <c r="F7" i="6"/>
  <c r="AN114" i="65"/>
  <c r="R66" i="65"/>
  <c r="I32" i="6"/>
  <c r="AQ38" i="65"/>
  <c r="Q49" i="65"/>
  <c r="AI28" i="65"/>
  <c r="AU71" i="65"/>
  <c r="O42" i="65"/>
  <c r="K37" i="52"/>
  <c r="H32" i="51"/>
  <c r="K20" i="5"/>
  <c r="I35" i="6"/>
  <c r="G22" i="7"/>
  <c r="F39" i="7"/>
  <c r="I24" i="53"/>
  <c r="AE57" i="65"/>
  <c r="AP47" i="65"/>
  <c r="H24" i="7"/>
  <c r="C2" i="9"/>
  <c r="I30" i="51"/>
  <c r="W25" i="65"/>
  <c r="H44" i="7"/>
  <c r="J37" i="7"/>
  <c r="J33" i="5"/>
  <c r="H3" i="38"/>
  <c r="C40" i="9"/>
  <c r="X52" i="65"/>
  <c r="E20" i="6"/>
  <c r="P42" i="65"/>
  <c r="H8" i="51"/>
  <c r="E22" i="52"/>
  <c r="V62" i="65"/>
  <c r="V60" i="65"/>
  <c r="K25" i="5"/>
  <c r="T71" i="65"/>
  <c r="AG97" i="65"/>
  <c r="AR58" i="65"/>
  <c r="P58" i="65"/>
  <c r="J32" i="6"/>
  <c r="E38" i="60"/>
  <c r="H17" i="51"/>
  <c r="F38" i="6"/>
  <c r="AC56" i="65"/>
  <c r="AK44" i="65"/>
  <c r="R106" i="65"/>
  <c r="Q77" i="65"/>
  <c r="K38" i="5"/>
  <c r="AM51" i="65"/>
  <c r="AC49" i="65"/>
  <c r="M109" i="65"/>
  <c r="Q40" i="65"/>
  <c r="S57" i="65"/>
  <c r="K48" i="7"/>
  <c r="AT61" i="65"/>
  <c r="G35" i="6"/>
  <c r="AQ70" i="65"/>
  <c r="G49" i="6"/>
  <c r="AE33" i="65"/>
  <c r="AS86" i="65"/>
  <c r="J11" i="7"/>
  <c r="J8" i="5"/>
  <c r="L99" i="65"/>
  <c r="J38" i="7"/>
  <c r="AN50" i="65"/>
  <c r="J25" i="6"/>
  <c r="O65" i="65"/>
  <c r="AN57" i="65"/>
  <c r="W113" i="65"/>
  <c r="Q34" i="65"/>
  <c r="AE30" i="65"/>
  <c r="E38" i="9"/>
  <c r="W37" i="65"/>
  <c r="AD46" i="65"/>
  <c r="K41" i="51"/>
  <c r="J23" i="52"/>
  <c r="Q27" i="65"/>
  <c r="F17" i="52"/>
  <c r="G22" i="9"/>
  <c r="AF32" i="65"/>
  <c r="I33" i="65"/>
  <c r="T61" i="65"/>
  <c r="AD59" i="65"/>
  <c r="F50" i="7"/>
  <c r="C32" i="60"/>
  <c r="AP93" i="65"/>
  <c r="H34" i="51"/>
  <c r="F10" i="53"/>
  <c r="K35" i="5"/>
  <c r="B6" i="9"/>
  <c r="K23" i="51"/>
  <c r="AI98" i="65"/>
  <c r="H25" i="5"/>
  <c r="E8" i="51"/>
  <c r="G45" i="9"/>
  <c r="F9" i="53"/>
  <c r="AC40" i="65"/>
  <c r="O66" i="65"/>
  <c r="AP55" i="65"/>
  <c r="AA63" i="65"/>
  <c r="K13" i="5"/>
  <c r="H26" i="9"/>
  <c r="C35" i="9"/>
  <c r="AO22" i="65"/>
  <c r="I34" i="51"/>
  <c r="F15" i="9"/>
  <c r="E29" i="9"/>
  <c r="J36" i="5"/>
  <c r="B38" i="9"/>
  <c r="AL103" i="65"/>
  <c r="H47" i="7"/>
  <c r="G23" i="52"/>
  <c r="B42" i="9"/>
  <c r="L35" i="65"/>
  <c r="Z65" i="65"/>
  <c r="H39" i="51"/>
  <c r="AN65" i="65"/>
  <c r="AJ76" i="65"/>
  <c r="S50" i="65"/>
  <c r="G64" i="65"/>
  <c r="AB31" i="65"/>
  <c r="AI91" i="65"/>
  <c r="Y62" i="65"/>
  <c r="F9" i="9"/>
  <c r="H42" i="9"/>
  <c r="J37" i="51"/>
  <c r="F31" i="52"/>
  <c r="AA53" i="65"/>
  <c r="Y115" i="65"/>
  <c r="G25" i="7"/>
  <c r="AT29" i="65"/>
  <c r="V37" i="65"/>
  <c r="F14" i="52"/>
  <c r="O59" i="65"/>
  <c r="AS105" i="65"/>
  <c r="AA45" i="65"/>
  <c r="O55" i="65"/>
  <c r="J49" i="7"/>
  <c r="H23" i="6"/>
  <c r="J13" i="7"/>
  <c r="G7" i="5"/>
  <c r="K7" i="53"/>
  <c r="H14" i="6"/>
  <c r="E39" i="7"/>
  <c r="G38" i="6"/>
  <c r="AJ61" i="65"/>
  <c r="I8" i="51"/>
  <c r="H13" i="53"/>
  <c r="I29" i="51"/>
  <c r="H36" i="9"/>
  <c r="N28" i="65"/>
  <c r="J8" i="51"/>
  <c r="C87" i="65"/>
  <c r="O62" i="65"/>
  <c r="G21" i="6"/>
  <c r="R100" i="65"/>
  <c r="AO37" i="65"/>
  <c r="C7" i="9"/>
  <c r="E28" i="53"/>
  <c r="G22" i="5"/>
  <c r="G6" i="9"/>
  <c r="AP35" i="65"/>
  <c r="F26" i="51"/>
  <c r="Z39" i="65"/>
  <c r="K47" i="6"/>
  <c r="U20" i="65"/>
  <c r="W95" i="65"/>
  <c r="AN60" i="65"/>
  <c r="G10" i="52"/>
  <c r="I20" i="52"/>
  <c r="Z104" i="65"/>
  <c r="C47" i="65"/>
  <c r="I38" i="5"/>
  <c r="E35" i="6"/>
  <c r="G48" i="7"/>
  <c r="F17" i="51"/>
  <c r="G23" i="53"/>
  <c r="E26" i="52"/>
  <c r="I10" i="6"/>
  <c r="J38" i="51"/>
  <c r="G73" i="65"/>
  <c r="B5" i="9"/>
  <c r="G35" i="7"/>
  <c r="U46" i="65"/>
  <c r="G22" i="52"/>
  <c r="H17" i="53"/>
  <c r="R26" i="65"/>
  <c r="AG40" i="65"/>
  <c r="F25" i="52"/>
  <c r="G38" i="60"/>
  <c r="J44" i="6"/>
  <c r="AT38" i="65"/>
  <c r="S44" i="65"/>
  <c r="J24" i="53"/>
  <c r="AI33" i="65"/>
  <c r="G21" i="51"/>
  <c r="Z78" i="65"/>
  <c r="F31" i="51"/>
  <c r="G32" i="9"/>
  <c r="O35" i="65"/>
  <c r="G13" i="51"/>
  <c r="H87" i="65"/>
  <c r="K40" i="52"/>
  <c r="AR3" i="16"/>
  <c r="I13" i="5"/>
  <c r="U56" i="65"/>
  <c r="H29" i="9"/>
  <c r="D3" i="16"/>
  <c r="H29" i="52"/>
  <c r="K26" i="51"/>
  <c r="AC43" i="65"/>
  <c r="H23" i="7"/>
  <c r="AS22" i="65"/>
  <c r="J35" i="6"/>
  <c r="K8" i="6"/>
  <c r="F16" i="7"/>
  <c r="F21" i="51"/>
  <c r="L76" i="65"/>
  <c r="AM60" i="65"/>
  <c r="K21" i="6"/>
  <c r="K6" i="52"/>
  <c r="G15" i="6"/>
  <c r="W3" i="16"/>
  <c r="AC112" i="65"/>
  <c r="K10" i="6"/>
  <c r="G8" i="52"/>
  <c r="E32" i="6"/>
  <c r="Y37" i="65"/>
  <c r="AH54" i="65"/>
  <c r="M84" i="65"/>
  <c r="AJ114" i="65"/>
  <c r="I22" i="51"/>
  <c r="E48" i="6"/>
  <c r="AO46" i="65"/>
  <c r="E11" i="6"/>
  <c r="F25" i="5"/>
  <c r="E24" i="6"/>
  <c r="K11" i="53"/>
  <c r="F32" i="52"/>
  <c r="F44" i="9"/>
  <c r="X53" i="65"/>
  <c r="F37" i="51"/>
  <c r="AJ35" i="65"/>
  <c r="E17" i="5"/>
  <c r="N23" i="65"/>
  <c r="J42" i="7"/>
  <c r="J91" i="65"/>
  <c r="E37" i="6"/>
  <c r="AA115" i="65"/>
  <c r="AU105" i="65"/>
  <c r="E11" i="51"/>
  <c r="X50" i="65"/>
  <c r="H50" i="7"/>
  <c r="E35" i="7"/>
  <c r="AN3" i="38"/>
  <c r="J13" i="5"/>
  <c r="I42" i="52"/>
  <c r="S40" i="65"/>
  <c r="AI54" i="65"/>
  <c r="K46" i="65"/>
  <c r="P65" i="65"/>
  <c r="I19" i="52"/>
  <c r="I46" i="7"/>
  <c r="E29" i="65"/>
  <c r="G12" i="6"/>
  <c r="AK41" i="65"/>
  <c r="AI3" i="16"/>
  <c r="AF53" i="65"/>
  <c r="X33" i="65"/>
  <c r="D17" i="9"/>
  <c r="AR89" i="65"/>
  <c r="K17" i="6"/>
  <c r="G39" i="7"/>
  <c r="K33" i="51"/>
  <c r="AK56" i="65"/>
  <c r="AB57" i="65"/>
  <c r="I12" i="7"/>
  <c r="I11" i="7"/>
  <c r="AF66" i="65"/>
  <c r="K16" i="52"/>
  <c r="O57" i="65"/>
  <c r="F25" i="53"/>
  <c r="Z20" i="65"/>
  <c r="F23" i="52"/>
  <c r="Z107" i="65"/>
  <c r="K34" i="51"/>
  <c r="AG64" i="65"/>
  <c r="G23" i="7"/>
  <c r="E7" i="51"/>
  <c r="AM59" i="65"/>
  <c r="L112" i="65"/>
  <c r="AI73" i="65"/>
  <c r="AG112" i="65"/>
  <c r="AT56" i="65"/>
  <c r="R111" i="65"/>
  <c r="AC109" i="65"/>
  <c r="AL13" i="60"/>
  <c r="D8" i="9"/>
  <c r="I27" i="65"/>
  <c r="AH78" i="65"/>
  <c r="AH109" i="65"/>
  <c r="H21" i="53"/>
  <c r="Q86" i="65"/>
  <c r="AL47" i="65"/>
  <c r="U59" i="65"/>
  <c r="AD58" i="65"/>
  <c r="G37" i="65"/>
  <c r="AI30" i="65"/>
  <c r="J17" i="7"/>
  <c r="K36" i="7"/>
  <c r="I14" i="51"/>
  <c r="G27" i="53"/>
  <c r="AM115" i="65"/>
  <c r="AI35" i="65"/>
  <c r="AN38" i="65"/>
  <c r="AR75" i="65"/>
  <c r="J33" i="51"/>
  <c r="G37" i="51"/>
  <c r="X47" i="65"/>
  <c r="I15" i="6"/>
  <c r="U50" i="65"/>
  <c r="V115" i="65"/>
  <c r="AN33" i="65"/>
  <c r="J37" i="6"/>
  <c r="F32" i="9"/>
  <c r="E8" i="5"/>
  <c r="AP91" i="65"/>
  <c r="I37" i="6"/>
  <c r="J12" i="52"/>
  <c r="J39" i="6"/>
  <c r="U109" i="65"/>
  <c r="G30" i="52"/>
  <c r="T66" i="65"/>
  <c r="AI89" i="65"/>
  <c r="C46" i="9"/>
  <c r="I41" i="51"/>
  <c r="E94" i="65"/>
  <c r="J33" i="7"/>
  <c r="I45" i="6"/>
  <c r="G5" i="9"/>
  <c r="J8" i="52"/>
  <c r="F41" i="51"/>
  <c r="AP40" i="65"/>
  <c r="H44" i="6"/>
  <c r="E50" i="6"/>
  <c r="J30" i="52"/>
  <c r="H10" i="52"/>
  <c r="H22" i="6"/>
  <c r="Y33" i="65"/>
  <c r="C8" i="9"/>
  <c r="J23" i="53"/>
  <c r="I8" i="6"/>
  <c r="C28" i="9"/>
  <c r="I24" i="7"/>
  <c r="K19" i="53"/>
  <c r="T48" i="65"/>
  <c r="AT88" i="65"/>
  <c r="F46" i="7"/>
  <c r="J15" i="6"/>
  <c r="I25" i="53"/>
  <c r="F10" i="9"/>
  <c r="I35" i="7"/>
  <c r="M66" i="65"/>
  <c r="E13" i="6"/>
  <c r="H19" i="7"/>
  <c r="AN45" i="65"/>
  <c r="F23" i="53"/>
  <c r="T62" i="65"/>
  <c r="AI36" i="65"/>
  <c r="AG92" i="65"/>
  <c r="C22" i="9"/>
  <c r="H11" i="5"/>
  <c r="R99" i="65"/>
  <c r="AF40" i="65"/>
  <c r="Z90" i="65"/>
  <c r="B4" i="9"/>
  <c r="N51" i="65"/>
  <c r="F38" i="7"/>
  <c r="F10" i="7"/>
  <c r="AS85" i="65"/>
  <c r="F36" i="51"/>
  <c r="Q96" i="65"/>
  <c r="F44" i="7"/>
  <c r="AF86" i="65"/>
  <c r="R40" i="65"/>
  <c r="AU100" i="65"/>
  <c r="V38" i="65"/>
  <c r="T96" i="65"/>
  <c r="K39" i="52"/>
  <c r="C33" i="60"/>
  <c r="D33" i="60"/>
  <c r="Z24" i="65"/>
  <c r="B28" i="9"/>
  <c r="K13" i="7"/>
  <c r="AU51" i="65"/>
  <c r="K48" i="6"/>
  <c r="H12" i="53"/>
  <c r="AJ63" i="65"/>
  <c r="I10" i="5"/>
  <c r="AP92" i="65"/>
  <c r="S53" i="65"/>
  <c r="H53" i="65"/>
  <c r="K39" i="7"/>
  <c r="AI103" i="65"/>
  <c r="R96" i="65"/>
  <c r="AJ38" i="65"/>
  <c r="AM47" i="65"/>
  <c r="J15" i="52"/>
  <c r="AR22" i="65"/>
  <c r="AT50" i="65"/>
  <c r="H45" i="9"/>
  <c r="J8" i="53"/>
  <c r="F6" i="53"/>
  <c r="Y79" i="65"/>
  <c r="B8" i="9"/>
  <c r="I47" i="7"/>
  <c r="K39" i="51"/>
  <c r="U3" i="16"/>
  <c r="B22" i="9"/>
  <c r="G20" i="6"/>
  <c r="J23" i="51"/>
  <c r="P51" i="65"/>
  <c r="F6" i="9"/>
  <c r="T28" i="65"/>
  <c r="E23" i="9"/>
  <c r="F41" i="7"/>
  <c r="B34" i="9"/>
  <c r="X42" i="65"/>
  <c r="F11" i="51"/>
  <c r="Y114" i="65"/>
  <c r="O58" i="65"/>
  <c r="AH22" i="65"/>
  <c r="K44" i="6"/>
  <c r="AJ74" i="65"/>
  <c r="E25" i="52"/>
  <c r="G12" i="7"/>
  <c r="E20" i="9"/>
  <c r="AG65" i="65"/>
  <c r="AC60" i="65"/>
  <c r="AM34" i="65"/>
  <c r="Q58" i="65"/>
  <c r="AG66" i="65"/>
  <c r="I42" i="7"/>
  <c r="AH55" i="65"/>
  <c r="S34" i="65"/>
  <c r="X40" i="65"/>
  <c r="V59" i="65"/>
  <c r="C108" i="65"/>
  <c r="I39" i="7"/>
  <c r="AT3" i="60"/>
  <c r="G23" i="51"/>
  <c r="J32" i="5"/>
  <c r="I7" i="6"/>
  <c r="D19" i="9"/>
  <c r="D15" i="9"/>
  <c r="AR28" i="65"/>
  <c r="J27" i="51"/>
  <c r="AA23" i="65"/>
  <c r="AA22" i="65"/>
  <c r="M59" i="65"/>
  <c r="E36" i="7"/>
  <c r="F10" i="5"/>
  <c r="AU59" i="65"/>
  <c r="AB79" i="65"/>
  <c r="Z82" i="65"/>
  <c r="F16" i="51"/>
  <c r="V92" i="65"/>
  <c r="J13" i="6"/>
  <c r="K24" i="7"/>
  <c r="G39" i="6"/>
  <c r="E8" i="52"/>
  <c r="L31" i="65"/>
  <c r="K14" i="6"/>
  <c r="AD71" i="65"/>
  <c r="H18" i="9"/>
  <c r="F19" i="9"/>
  <c r="F47" i="9"/>
  <c r="AU93" i="65"/>
  <c r="AA59" i="65"/>
  <c r="Y87" i="65"/>
  <c r="AS29" i="65"/>
  <c r="F42" i="6"/>
  <c r="AU65" i="65"/>
  <c r="I33" i="52"/>
  <c r="AA100" i="65"/>
  <c r="E36" i="9"/>
  <c r="J14" i="7"/>
  <c r="X54" i="65"/>
  <c r="W3" i="38"/>
  <c r="AU89" i="65"/>
  <c r="AL51" i="65"/>
  <c r="K47" i="7"/>
  <c r="K46" i="7"/>
  <c r="E8" i="9"/>
  <c r="R20" i="65"/>
  <c r="AH46" i="65"/>
  <c r="J17" i="6"/>
  <c r="S52" i="65"/>
  <c r="E17" i="9"/>
  <c r="G42" i="7"/>
  <c r="R51" i="65"/>
  <c r="F8" i="51"/>
  <c r="G4" i="9"/>
  <c r="H39" i="9"/>
  <c r="J19" i="51"/>
  <c r="J9" i="5"/>
  <c r="E41" i="51"/>
  <c r="AA65" i="65"/>
  <c r="AF84" i="65"/>
  <c r="I47" i="6"/>
  <c r="J17" i="5"/>
  <c r="Q39" i="65"/>
  <c r="AA3" i="16"/>
  <c r="J21" i="53"/>
  <c r="E13" i="7"/>
  <c r="L48" i="65"/>
  <c r="Z25" i="65"/>
  <c r="AU62" i="65"/>
  <c r="Q99" i="65"/>
  <c r="H38" i="52"/>
  <c r="D3" i="38"/>
  <c r="R43" i="65"/>
  <c r="S71" i="65"/>
  <c r="F37" i="5"/>
  <c r="AB21" i="65"/>
  <c r="AN101" i="65"/>
  <c r="J28" i="53"/>
  <c r="AK24" i="65"/>
  <c r="AD107" i="65"/>
  <c r="AU48" i="65"/>
  <c r="Y22" i="65"/>
  <c r="AP51" i="65"/>
  <c r="F29" i="52"/>
  <c r="Z58" i="65"/>
  <c r="AL30" i="65"/>
  <c r="E24" i="51"/>
  <c r="H30" i="51"/>
  <c r="AJ94" i="65"/>
  <c r="N42" i="65"/>
  <c r="Z77" i="65"/>
  <c r="B10" i="9"/>
  <c r="L63" i="65"/>
  <c r="B31" i="9"/>
  <c r="W54" i="65"/>
  <c r="H17" i="5"/>
  <c r="R94" i="65"/>
  <c r="F40" i="60"/>
  <c r="I10" i="51"/>
  <c r="Q31" i="65"/>
  <c r="V52" i="65"/>
  <c r="L56" i="65"/>
  <c r="D36" i="9"/>
  <c r="AU112" i="65"/>
  <c r="F19" i="51"/>
  <c r="G36" i="51"/>
  <c r="AF102" i="65"/>
  <c r="AG38" i="65"/>
  <c r="F46" i="6"/>
  <c r="AT25" i="65"/>
  <c r="I6" i="51"/>
  <c r="T56" i="65"/>
  <c r="H16" i="53"/>
  <c r="F11" i="52"/>
  <c r="K15" i="53"/>
  <c r="AR30" i="65"/>
  <c r="AP71" i="65"/>
  <c r="I7" i="52"/>
  <c r="K37" i="6"/>
  <c r="U64" i="65"/>
  <c r="AO32" i="65"/>
  <c r="B27" i="9"/>
  <c r="E113" i="65"/>
  <c r="AQ44" i="65"/>
  <c r="AJ65" i="65"/>
  <c r="E23" i="5"/>
  <c r="F5" i="9"/>
  <c r="N69" i="65"/>
  <c r="Q30" i="65"/>
  <c r="AJ24" i="65"/>
  <c r="AS103" i="65"/>
  <c r="F18" i="53"/>
  <c r="L88" i="65"/>
  <c r="G9" i="5"/>
  <c r="D23" i="9"/>
  <c r="AL40" i="65"/>
  <c r="I15" i="51"/>
  <c r="AD24" i="65"/>
  <c r="AL61" i="65"/>
  <c r="U61" i="65"/>
  <c r="K24" i="52"/>
  <c r="R64" i="65"/>
  <c r="L27" i="65"/>
  <c r="F37" i="7"/>
  <c r="E7" i="53"/>
  <c r="I9" i="52"/>
  <c r="D34" i="60"/>
  <c r="AN69" i="65"/>
  <c r="W62" i="65"/>
  <c r="AT49" i="65"/>
  <c r="AC24" i="65"/>
  <c r="AA33" i="65"/>
  <c r="C13" i="9"/>
  <c r="H32" i="6"/>
  <c r="V41" i="65"/>
  <c r="G23" i="9"/>
  <c r="E39" i="51"/>
  <c r="J20" i="65"/>
  <c r="F4" i="9"/>
  <c r="G21" i="52"/>
  <c r="AA76" i="65"/>
  <c r="F9" i="52"/>
  <c r="G25" i="5"/>
  <c r="G18" i="9"/>
  <c r="AI31" i="65"/>
  <c r="F25" i="6"/>
  <c r="S72" i="65"/>
  <c r="AB65" i="65"/>
  <c r="AN54" i="65"/>
  <c r="E28" i="9"/>
  <c r="F15" i="6"/>
  <c r="Y64" i="65"/>
  <c r="F37" i="6"/>
  <c r="AH26" i="65"/>
  <c r="H28" i="51"/>
  <c r="E14" i="6"/>
  <c r="E42" i="9"/>
  <c r="AU3" i="16"/>
  <c r="G16" i="6"/>
  <c r="H9" i="51"/>
  <c r="G21" i="9"/>
  <c r="H23" i="51"/>
  <c r="AN32" i="65"/>
  <c r="AP21" i="65"/>
  <c r="H13" i="51"/>
  <c r="I16" i="52"/>
  <c r="J28" i="51"/>
  <c r="E72" i="65"/>
  <c r="E31" i="52"/>
  <c r="O3" i="38"/>
  <c r="K15" i="7"/>
  <c r="AM28" i="65"/>
  <c r="AO43" i="65"/>
  <c r="R47" i="65"/>
  <c r="M61" i="65"/>
  <c r="G36" i="9"/>
  <c r="X20" i="65"/>
  <c r="H39" i="7"/>
  <c r="AG44" i="65"/>
  <c r="H33" i="9"/>
  <c r="E2" i="9"/>
  <c r="AF97" i="65"/>
  <c r="Z47" i="65"/>
  <c r="AI65" i="65"/>
  <c r="K38" i="51"/>
  <c r="Q48" i="65"/>
  <c r="M23" i="65"/>
  <c r="AA3" i="38"/>
  <c r="E15" i="53"/>
  <c r="C18" i="9"/>
  <c r="R88" i="65"/>
  <c r="W58" i="65"/>
  <c r="AJ52" i="65"/>
  <c r="AO28" i="65"/>
  <c r="AJ3" i="16"/>
  <c r="F13" i="7"/>
  <c r="D29" i="9"/>
  <c r="H7" i="53"/>
  <c r="AQ12" i="60"/>
  <c r="M78" i="65"/>
  <c r="E19" i="53"/>
  <c r="D27" i="9"/>
  <c r="J35" i="7"/>
  <c r="AT93" i="65"/>
  <c r="R90" i="65"/>
  <c r="F12" i="7"/>
  <c r="I11" i="6"/>
  <c r="I15" i="52"/>
  <c r="T21" i="65"/>
  <c r="AR60" i="65"/>
  <c r="AF92" i="65"/>
  <c r="J36" i="6"/>
  <c r="H17" i="9"/>
  <c r="Q62" i="65"/>
  <c r="AS106" i="65"/>
  <c r="E45" i="7"/>
  <c r="AT35" i="65"/>
  <c r="I36" i="7"/>
  <c r="F21" i="9"/>
  <c r="K22" i="52"/>
  <c r="AB107" i="65"/>
  <c r="G10" i="53"/>
  <c r="G10" i="5"/>
  <c r="D37" i="9"/>
  <c r="AE56" i="65"/>
  <c r="Z3" i="38"/>
  <c r="J22" i="5"/>
  <c r="Z74" i="65"/>
  <c r="S21" i="65"/>
  <c r="AC48" i="65"/>
  <c r="AD112" i="65"/>
  <c r="I21" i="7"/>
  <c r="X81" i="65"/>
  <c r="AI40" i="65"/>
  <c r="E15" i="51"/>
  <c r="K91" i="65"/>
  <c r="E16" i="52"/>
  <c r="H30" i="9"/>
  <c r="Z59" i="65"/>
  <c r="AJ48" i="65"/>
  <c r="H37" i="9"/>
  <c r="G7" i="52"/>
  <c r="G19" i="53"/>
  <c r="E31" i="51"/>
  <c r="AD65" i="65"/>
  <c r="AP61" i="65"/>
  <c r="L34" i="65"/>
  <c r="F8" i="6"/>
  <c r="G37" i="60"/>
  <c r="O45" i="65"/>
  <c r="AL21" i="65"/>
  <c r="AL58" i="65"/>
  <c r="I33" i="6"/>
  <c r="F7" i="53"/>
  <c r="F29" i="9"/>
  <c r="R3" i="16"/>
  <c r="B26" i="9"/>
  <c r="R59" i="65"/>
  <c r="C19" i="9"/>
  <c r="AI59" i="65"/>
  <c r="J9" i="52"/>
  <c r="K9" i="52"/>
  <c r="J11" i="51"/>
  <c r="K36" i="6"/>
  <c r="E32" i="7"/>
  <c r="R115" i="65"/>
  <c r="I38" i="51"/>
  <c r="G31" i="5"/>
  <c r="K45" i="6"/>
  <c r="G9" i="51"/>
  <c r="AB34" i="65"/>
  <c r="G15" i="9"/>
  <c r="AM89" i="65"/>
  <c r="AN21" i="65"/>
  <c r="E40" i="9"/>
  <c r="AA112" i="65"/>
  <c r="AT79" i="65"/>
  <c r="E48" i="7"/>
  <c r="AM111" i="65"/>
  <c r="AO62" i="65"/>
  <c r="F36" i="52"/>
  <c r="C3" i="9"/>
  <c r="F27" i="5"/>
  <c r="P64" i="65"/>
  <c r="AK83" i="65"/>
  <c r="G25" i="51"/>
  <c r="AH111" i="65"/>
  <c r="C65" i="65"/>
  <c r="H35" i="7"/>
  <c r="W55" i="65"/>
  <c r="J33" i="52"/>
  <c r="L81" i="65"/>
  <c r="AI56" i="65"/>
  <c r="AD104" i="65"/>
  <c r="E27" i="9"/>
  <c r="H38" i="51"/>
  <c r="H35" i="9"/>
  <c r="AC39" i="65"/>
  <c r="AG3" i="16"/>
  <c r="I16" i="53"/>
  <c r="E30" i="52"/>
  <c r="AI29" i="65"/>
  <c r="F27" i="52"/>
  <c r="K22" i="6"/>
  <c r="Q35" i="65"/>
  <c r="F11" i="7"/>
  <c r="M102" i="65"/>
  <c r="H35" i="6"/>
  <c r="J48" i="6"/>
  <c r="F33" i="65"/>
  <c r="G11" i="9"/>
  <c r="F39" i="65"/>
  <c r="Y63" i="65"/>
  <c r="I19" i="53"/>
  <c r="M42" i="65"/>
  <c r="E47" i="7"/>
  <c r="AL62" i="65"/>
  <c r="AB56" i="65"/>
  <c r="M52" i="65"/>
  <c r="AL54" i="65"/>
  <c r="AK59" i="65"/>
  <c r="M123" i="65" l="1"/>
  <c r="Y120" i="65"/>
  <c r="F121" i="65"/>
  <c r="E22" i="57"/>
  <c r="H34" i="6"/>
  <c r="M9" i="57"/>
  <c r="E25" i="8"/>
  <c r="H34" i="7"/>
  <c r="O22" i="57"/>
  <c r="C12" i="8"/>
  <c r="AA132" i="65"/>
  <c r="AM134" i="65"/>
  <c r="G8" i="8"/>
  <c r="L20" i="57"/>
  <c r="E31" i="7"/>
  <c r="H23" i="57"/>
  <c r="B26" i="8"/>
  <c r="B48" i="9"/>
  <c r="F25" i="57"/>
  <c r="AL126" i="65"/>
  <c r="G41" i="60"/>
  <c r="G56" i="60" s="1"/>
  <c r="C11" i="57"/>
  <c r="K135" i="65"/>
  <c r="AI122" i="65"/>
  <c r="AD132" i="65"/>
  <c r="AB138" i="65"/>
  <c r="P23" i="57"/>
  <c r="G23" i="57"/>
  <c r="AF136" i="65"/>
  <c r="AR119" i="65"/>
  <c r="F9" i="57"/>
  <c r="AT137" i="65"/>
  <c r="Q22" i="57"/>
  <c r="J34" i="7"/>
  <c r="D25" i="8"/>
  <c r="W126" i="65"/>
  <c r="E24" i="9"/>
  <c r="E13" i="8"/>
  <c r="AG125" i="65"/>
  <c r="X127" i="65"/>
  <c r="X67" i="65"/>
  <c r="AO124" i="65"/>
  <c r="C7" i="57"/>
  <c r="J127" i="65"/>
  <c r="J67" i="65"/>
  <c r="G9" i="8"/>
  <c r="H31" i="6"/>
  <c r="E20" i="57"/>
  <c r="AA121" i="65"/>
  <c r="AN116" i="65"/>
  <c r="AN139" i="65"/>
  <c r="AL122" i="65"/>
  <c r="D9" i="8"/>
  <c r="N139" i="65"/>
  <c r="N116" i="65"/>
  <c r="AQ125" i="65"/>
  <c r="B25" i="8"/>
  <c r="B24" i="8" s="1"/>
  <c r="AU132" i="65"/>
  <c r="L120" i="65"/>
  <c r="N123" i="65"/>
  <c r="Z126" i="65"/>
  <c r="AD138" i="65"/>
  <c r="R124" i="65"/>
  <c r="H21" i="8"/>
  <c r="R67" i="65"/>
  <c r="R127" i="65"/>
  <c r="AU134" i="65"/>
  <c r="AU137" i="65"/>
  <c r="F22" i="8"/>
  <c r="V136" i="65"/>
  <c r="Z133" i="65"/>
  <c r="L23" i="57"/>
  <c r="D8" i="8"/>
  <c r="I6" i="6"/>
  <c r="F6" i="57"/>
  <c r="AT7" i="60"/>
  <c r="X122" i="65"/>
  <c r="Q126" i="65"/>
  <c r="AC119" i="65"/>
  <c r="E10" i="8"/>
  <c r="H24" i="57"/>
  <c r="K43" i="6"/>
  <c r="O126" i="65"/>
  <c r="X123" i="65"/>
  <c r="E9" i="8"/>
  <c r="B7" i="8"/>
  <c r="AP136" i="65"/>
  <c r="AJ120" i="65"/>
  <c r="R122" i="65"/>
  <c r="F43" i="7"/>
  <c r="M24" i="57"/>
  <c r="M8" i="57"/>
  <c r="F9" i="7"/>
  <c r="AF122" i="65"/>
  <c r="C7" i="8"/>
  <c r="AG136" i="65"/>
  <c r="O10" i="57"/>
  <c r="H18" i="7"/>
  <c r="P22" i="57"/>
  <c r="I34" i="7"/>
  <c r="F11" i="57"/>
  <c r="Y121" i="65"/>
  <c r="B21" i="57"/>
  <c r="H43" i="6"/>
  <c r="E24" i="57"/>
  <c r="AP122" i="65"/>
  <c r="Q25" i="57"/>
  <c r="C20" i="8"/>
  <c r="AI134" i="65"/>
  <c r="U131" i="65"/>
  <c r="AP135" i="65"/>
  <c r="AN121" i="65"/>
  <c r="R23" i="57"/>
  <c r="AD126" i="65"/>
  <c r="AH131" i="65"/>
  <c r="AC131" i="65"/>
  <c r="AG132" i="65"/>
  <c r="L132" i="65"/>
  <c r="Z138" i="65"/>
  <c r="Z67" i="65"/>
  <c r="Z127" i="65"/>
  <c r="P9" i="57"/>
  <c r="AR134" i="65"/>
  <c r="X121" i="65"/>
  <c r="S122" i="65"/>
  <c r="L22" i="57"/>
  <c r="E34" i="7"/>
  <c r="O21" i="57"/>
  <c r="J135" i="65"/>
  <c r="F23" i="8"/>
  <c r="B9" i="57"/>
  <c r="B20" i="57"/>
  <c r="E31" i="6"/>
  <c r="H8" i="57"/>
  <c r="K9" i="6"/>
  <c r="AC132" i="65"/>
  <c r="AM119" i="65"/>
  <c r="H11" i="57"/>
  <c r="J34" i="6"/>
  <c r="G22" i="57"/>
  <c r="AC124" i="65"/>
  <c r="AI121" i="65"/>
  <c r="S125" i="65"/>
  <c r="G24" i="57"/>
  <c r="J43" i="6"/>
  <c r="AG122" i="65"/>
  <c r="N22" i="57"/>
  <c r="G34" i="7"/>
  <c r="F8" i="57"/>
  <c r="I9" i="6"/>
  <c r="E34" i="6"/>
  <c r="B22" i="57"/>
  <c r="AN119" i="65"/>
  <c r="U67" i="65"/>
  <c r="U127" i="65"/>
  <c r="N7" i="57"/>
  <c r="AI135" i="65"/>
  <c r="F8" i="8"/>
  <c r="H48" i="9"/>
  <c r="H26" i="8"/>
  <c r="AA120" i="65"/>
  <c r="AC122" i="65"/>
  <c r="AP137" i="65"/>
  <c r="M21" i="57"/>
  <c r="I121" i="65"/>
  <c r="G7" i="8"/>
  <c r="G6" i="8" s="1"/>
  <c r="G7" i="57"/>
  <c r="Q9" i="57"/>
  <c r="AE121" i="65"/>
  <c r="G34" i="6"/>
  <c r="D22" i="57"/>
  <c r="Q122" i="65"/>
  <c r="M131" i="65"/>
  <c r="AK125" i="65"/>
  <c r="J31" i="6"/>
  <c r="G20" i="57"/>
  <c r="P126" i="65"/>
  <c r="AR126" i="65"/>
  <c r="V119" i="65"/>
  <c r="P123" i="65"/>
  <c r="H43" i="7"/>
  <c r="O24" i="57"/>
  <c r="C13" i="8"/>
  <c r="C24" i="9"/>
  <c r="I34" i="6"/>
  <c r="F22" i="57"/>
  <c r="O123" i="65"/>
  <c r="F20" i="57"/>
  <c r="I31" i="6"/>
  <c r="C6" i="57"/>
  <c r="F6" i="6"/>
  <c r="C23" i="8"/>
  <c r="AJ138" i="65"/>
  <c r="AG124" i="65"/>
  <c r="U125" i="65"/>
  <c r="Q123" i="65"/>
  <c r="AQ121" i="65"/>
  <c r="V134" i="65"/>
  <c r="C9" i="8"/>
  <c r="V122" i="65"/>
  <c r="H7" i="8"/>
  <c r="AT122" i="65"/>
  <c r="Z136" i="65"/>
  <c r="T137" i="65"/>
  <c r="D12" i="8"/>
  <c r="AS132" i="65"/>
  <c r="U139" i="65"/>
  <c r="U116" i="65"/>
  <c r="X136" i="65"/>
  <c r="AI120" i="65"/>
  <c r="G9" i="6"/>
  <c r="D8" i="57"/>
  <c r="AB124" i="65"/>
  <c r="R22" i="57"/>
  <c r="K34" i="7"/>
  <c r="AM138" i="65"/>
  <c r="B10" i="8"/>
  <c r="N126" i="65"/>
  <c r="C41" i="60"/>
  <c r="O119" i="65"/>
  <c r="AS137" i="65"/>
  <c r="Q124" i="65"/>
  <c r="AM133" i="65"/>
  <c r="E135" i="65"/>
  <c r="L11" i="57"/>
  <c r="AD121" i="65"/>
  <c r="G21" i="8"/>
  <c r="W125" i="65"/>
  <c r="G20" i="8"/>
  <c r="AL123" i="65"/>
  <c r="F20" i="8"/>
  <c r="H7" i="57"/>
  <c r="J9" i="6"/>
  <c r="G8" i="57"/>
  <c r="O23" i="57"/>
  <c r="P135" i="65"/>
  <c r="AR136" i="65"/>
  <c r="F21" i="8"/>
  <c r="AR120" i="65"/>
  <c r="G10" i="8"/>
  <c r="E8" i="8"/>
  <c r="P120" i="65"/>
  <c r="D21" i="57"/>
  <c r="C10" i="57"/>
  <c r="F18" i="6"/>
  <c r="H9" i="8"/>
  <c r="R123" i="65"/>
  <c r="P7" i="57"/>
  <c r="AP131" i="65"/>
  <c r="Y123" i="65"/>
  <c r="L137" i="65"/>
  <c r="AU121" i="65"/>
  <c r="AB116" i="65"/>
  <c r="AB139" i="65"/>
  <c r="D41" i="60"/>
  <c r="D56" i="60" s="1"/>
  <c r="AI119" i="65"/>
  <c r="B8" i="8"/>
  <c r="I43" i="6"/>
  <c r="F24" i="57"/>
  <c r="O132" i="65"/>
  <c r="H22" i="8"/>
  <c r="H20" i="57"/>
  <c r="K31" i="6"/>
  <c r="AH132" i="65"/>
  <c r="C10" i="8"/>
  <c r="D11" i="57"/>
  <c r="AL119" i="65"/>
  <c r="D131" i="65"/>
  <c r="Y132" i="65"/>
  <c r="J9" i="7"/>
  <c r="Q8" i="57"/>
  <c r="AD119" i="65"/>
  <c r="G11" i="57"/>
  <c r="AH135" i="65"/>
  <c r="G18" i="7"/>
  <c r="N10" i="57"/>
  <c r="I126" i="65"/>
  <c r="E121" i="65"/>
  <c r="AC121" i="65"/>
  <c r="AR127" i="65"/>
  <c r="AR67" i="65"/>
  <c r="AU119" i="65"/>
  <c r="J43" i="7"/>
  <c r="Q24" i="57"/>
  <c r="AB125" i="65"/>
  <c r="W124" i="65"/>
  <c r="D22" i="8"/>
  <c r="M23" i="57"/>
  <c r="E21" i="57"/>
  <c r="M120" i="65"/>
  <c r="AS122" i="65"/>
  <c r="AJ127" i="65"/>
  <c r="AJ67" i="65"/>
  <c r="N122" i="65"/>
  <c r="AT121" i="65"/>
  <c r="D9" i="57"/>
  <c r="E6" i="7"/>
  <c r="L6" i="57"/>
  <c r="T120" i="65"/>
  <c r="Q119" i="65"/>
  <c r="AK126" i="65"/>
  <c r="AM123" i="65"/>
  <c r="F34" i="6"/>
  <c r="C22" i="57"/>
  <c r="AN133" i="65"/>
  <c r="AG126" i="65"/>
  <c r="X124" i="65"/>
  <c r="R9" i="57"/>
  <c r="Z132" i="65"/>
  <c r="Y137" i="65"/>
  <c r="Y133" i="65"/>
  <c r="AN126" i="65"/>
  <c r="AI126" i="65"/>
  <c r="T67" i="65"/>
  <c r="T127" i="65"/>
  <c r="R138" i="65"/>
  <c r="L135" i="65"/>
  <c r="AU67" i="65"/>
  <c r="AU127" i="65"/>
  <c r="AE67" i="65"/>
  <c r="AE127" i="65"/>
  <c r="E21" i="8"/>
  <c r="K6" i="6"/>
  <c r="H6" i="57"/>
  <c r="M124" i="65"/>
  <c r="AJ131" i="65"/>
  <c r="H25" i="8"/>
  <c r="AU123" i="65"/>
  <c r="W132" i="65"/>
  <c r="D48" i="9"/>
  <c r="D26" i="8"/>
  <c r="S119" i="65"/>
  <c r="O20" i="57"/>
  <c r="H31" i="7"/>
  <c r="AK124" i="65"/>
  <c r="Y138" i="65"/>
  <c r="D10" i="8"/>
  <c r="AA123" i="65"/>
  <c r="AO121" i="65"/>
  <c r="I18" i="7"/>
  <c r="P10" i="57"/>
  <c r="AN137" i="65"/>
  <c r="AL124" i="65"/>
  <c r="B25" i="57"/>
  <c r="AT123" i="65"/>
  <c r="AU135" i="65"/>
  <c r="D25" i="57"/>
  <c r="G9" i="57"/>
  <c r="J18" i="6"/>
  <c r="G10" i="57"/>
  <c r="M25" i="57"/>
  <c r="Y125" i="65"/>
  <c r="AT131" i="65"/>
  <c r="M138" i="65"/>
  <c r="F24" i="9"/>
  <c r="F13" i="8"/>
  <c r="AN120" i="65"/>
  <c r="AJ137" i="65"/>
  <c r="T133" i="65"/>
  <c r="V126" i="65"/>
  <c r="Q120" i="65"/>
  <c r="AS125" i="65"/>
  <c r="E136" i="65"/>
  <c r="M7" i="57"/>
  <c r="E26" i="8"/>
  <c r="E48" i="9"/>
  <c r="X137" i="65"/>
  <c r="G25" i="8"/>
  <c r="AC125" i="65"/>
  <c r="T132" i="65"/>
  <c r="AT132" i="65"/>
  <c r="AG131" i="65"/>
  <c r="C24" i="57"/>
  <c r="F43" i="6"/>
  <c r="I133" i="65"/>
  <c r="U120" i="65"/>
  <c r="E41" i="60"/>
  <c r="E56" i="60" s="1"/>
  <c r="C23" i="57"/>
  <c r="O14" i="60"/>
  <c r="H10" i="8"/>
  <c r="N7" i="60"/>
  <c r="AB67" i="65"/>
  <c r="AB127" i="65"/>
  <c r="AM120" i="65"/>
  <c r="AA135" i="65"/>
  <c r="AD136" i="65"/>
  <c r="P132" i="65"/>
  <c r="V116" i="65"/>
  <c r="V139" i="65"/>
  <c r="F10" i="8"/>
  <c r="Q121" i="65"/>
  <c r="AP21" i="60"/>
  <c r="W119" i="65"/>
  <c r="AT133" i="65"/>
  <c r="AR131" i="65"/>
  <c r="AA124" i="65"/>
  <c r="AO122" i="65"/>
  <c r="P137" i="65"/>
  <c r="V138" i="65"/>
  <c r="D126" i="65"/>
  <c r="M121" i="65"/>
  <c r="AP124" i="65"/>
  <c r="G31" i="6"/>
  <c r="D20" i="57"/>
  <c r="O25" i="57"/>
  <c r="G25" i="57"/>
  <c r="E7" i="8"/>
  <c r="E6" i="8" s="1"/>
  <c r="U122" i="65"/>
  <c r="L127" i="65"/>
  <c r="L67" i="65"/>
  <c r="AM127" i="65"/>
  <c r="AM67" i="65"/>
  <c r="E25" i="57"/>
  <c r="L116" i="65"/>
  <c r="L139" i="65"/>
  <c r="K6" i="7"/>
  <c r="R6" i="57"/>
  <c r="AJ116" i="65"/>
  <c r="AJ139" i="65"/>
  <c r="Q131" i="65"/>
  <c r="S132" i="65"/>
  <c r="AO138" i="65"/>
  <c r="E133" i="65"/>
  <c r="AT134" i="65"/>
  <c r="U138" i="65"/>
  <c r="H132" i="65"/>
  <c r="AP67" i="65"/>
  <c r="AP127" i="65"/>
  <c r="O122" i="65"/>
  <c r="X134" i="65"/>
  <c r="B9" i="8"/>
  <c r="V127" i="65"/>
  <c r="V67" i="65"/>
  <c r="Q132" i="65"/>
  <c r="C8" i="8"/>
  <c r="AU131" i="65"/>
  <c r="M136" i="65"/>
  <c r="T7" i="60"/>
  <c r="F31" i="7"/>
  <c r="M20" i="57"/>
  <c r="AU124" i="65"/>
  <c r="M125" i="65"/>
  <c r="R119" i="65"/>
  <c r="AH134" i="65"/>
  <c r="Z119" i="65"/>
  <c r="G12" i="8"/>
  <c r="L122" i="65"/>
  <c r="AB137" i="65"/>
  <c r="AD122" i="65"/>
  <c r="F41" i="60"/>
  <c r="F56" i="60" s="1"/>
  <c r="C35" i="60"/>
  <c r="AL121" i="65"/>
  <c r="W127" i="65"/>
  <c r="W67" i="65"/>
  <c r="AF132" i="65"/>
  <c r="AN123" i="65"/>
  <c r="O125" i="65"/>
  <c r="H20" i="8"/>
  <c r="AF120" i="65"/>
  <c r="B24" i="9"/>
  <c r="B13" i="8"/>
  <c r="C9" i="57"/>
  <c r="T136" i="65"/>
  <c r="L121" i="65"/>
  <c r="V131" i="65"/>
  <c r="AB131" i="65"/>
  <c r="L9" i="57"/>
  <c r="H9" i="57"/>
  <c r="J138" i="65"/>
  <c r="Q23" i="57"/>
  <c r="S136" i="65"/>
  <c r="AS124" i="65"/>
  <c r="AO131" i="65"/>
  <c r="AC135" i="65"/>
  <c r="T126" i="65"/>
  <c r="T124" i="65"/>
  <c r="G6" i="6"/>
  <c r="D6" i="57"/>
  <c r="AJ125" i="65"/>
  <c r="AH120" i="65"/>
  <c r="O133" i="65"/>
  <c r="AT138" i="65"/>
  <c r="D124" i="65"/>
  <c r="O8" i="57"/>
  <c r="H9" i="7"/>
  <c r="N21" i="57"/>
  <c r="E127" i="65"/>
  <c r="E67" i="65"/>
  <c r="AR123" i="65"/>
  <c r="W116" i="65"/>
  <c r="W139" i="65"/>
  <c r="AA138" i="65"/>
  <c r="F10" i="57"/>
  <c r="I18" i="6"/>
  <c r="AQ132" i="65"/>
  <c r="AC134" i="65"/>
  <c r="G31" i="7"/>
  <c r="N20" i="57"/>
  <c r="C48" i="9"/>
  <c r="C26" i="8"/>
  <c r="AO123" i="65"/>
  <c r="AB126" i="65"/>
  <c r="AK127" i="65"/>
  <c r="AK67" i="65"/>
  <c r="X120" i="65"/>
  <c r="E14" i="60"/>
  <c r="AB132" i="65"/>
  <c r="E18" i="6"/>
  <c r="B10" i="57"/>
  <c r="J6" i="6"/>
  <c r="J26" i="6" s="1"/>
  <c r="G6" i="57"/>
  <c r="AE122" i="65"/>
  <c r="U126" i="65"/>
  <c r="E43" i="6"/>
  <c r="B24" i="57"/>
  <c r="U123" i="65"/>
  <c r="L21" i="57"/>
  <c r="N23" i="57"/>
  <c r="B20" i="8"/>
  <c r="AD134" i="65"/>
  <c r="Z134" i="65"/>
  <c r="N9" i="57"/>
  <c r="F9" i="8"/>
  <c r="M67" i="65"/>
  <c r="M127" i="65"/>
  <c r="C21" i="57"/>
  <c r="V123" i="65"/>
  <c r="L123" i="65"/>
  <c r="AO125" i="65"/>
  <c r="AG138" i="65"/>
  <c r="H24" i="9"/>
  <c r="H13" i="8"/>
  <c r="AI123" i="65"/>
  <c r="Q6" i="57"/>
  <c r="J6" i="7"/>
  <c r="P121" i="65"/>
  <c r="M119" i="65"/>
  <c r="Z120" i="65"/>
  <c r="AC137" i="65"/>
  <c r="AQ120" i="65"/>
  <c r="S124" i="65"/>
  <c r="AE136" i="65"/>
  <c r="T122" i="65"/>
  <c r="R11" i="57"/>
  <c r="AQ136" i="65"/>
  <c r="AW3" i="16"/>
  <c r="R116" i="65"/>
  <c r="R139" i="65"/>
  <c r="T119" i="65"/>
  <c r="G139" i="65"/>
  <c r="G116" i="65"/>
  <c r="AO127" i="65"/>
  <c r="AO67" i="65"/>
  <c r="B12" i="8"/>
  <c r="B11" i="8" s="1"/>
  <c r="AL137" i="65"/>
  <c r="AR132" i="65"/>
  <c r="AQ138" i="65"/>
  <c r="AL131" i="65"/>
  <c r="N11" i="57"/>
  <c r="AQ126" i="65"/>
  <c r="F7" i="57"/>
  <c r="D24" i="9"/>
  <c r="D13" i="8"/>
  <c r="AD137" i="65"/>
  <c r="AF124" i="65"/>
  <c r="C22" i="8"/>
  <c r="Z125" i="65"/>
  <c r="AN131" i="65"/>
  <c r="Y131" i="65"/>
  <c r="G21" i="57"/>
  <c r="P11" i="57"/>
  <c r="P25" i="57"/>
  <c r="S134" i="65"/>
  <c r="AA131" i="65"/>
  <c r="M11" i="57"/>
  <c r="I9" i="7"/>
  <c r="P8" i="57"/>
  <c r="C20" i="57"/>
  <c r="F31" i="6"/>
  <c r="X7" i="60"/>
  <c r="AA126" i="65"/>
  <c r="N24" i="57"/>
  <c r="G43" i="7"/>
  <c r="E125" i="65"/>
  <c r="N124" i="65"/>
  <c r="AV28" i="60"/>
  <c r="H25" i="57"/>
  <c r="U124" i="65"/>
  <c r="X126" i="65"/>
  <c r="Y28" i="60"/>
  <c r="AH122" i="65"/>
  <c r="G119" i="65"/>
  <c r="G24" i="9"/>
  <c r="G13" i="8"/>
  <c r="AC67" i="65"/>
  <c r="AC127" i="65"/>
  <c r="AP134" i="65"/>
  <c r="N131" i="65"/>
  <c r="N125" i="65"/>
  <c r="AG135" i="65"/>
  <c r="AR135" i="65"/>
  <c r="L126" i="65"/>
  <c r="AQ123" i="65"/>
  <c r="AD120" i="65"/>
  <c r="P127" i="65"/>
  <c r="P67" i="65"/>
  <c r="B21" i="8"/>
  <c r="AC120" i="65"/>
  <c r="X135" i="65"/>
  <c r="D7" i="8"/>
  <c r="D6" i="8" s="1"/>
  <c r="C138" i="65"/>
  <c r="F18" i="7"/>
  <c r="M10" i="57"/>
  <c r="AT116" i="65"/>
  <c r="AT139" i="65"/>
  <c r="P24" i="57"/>
  <c r="I43" i="7"/>
  <c r="AS119" i="65"/>
  <c r="AR133" i="65"/>
  <c r="AM121" i="65"/>
  <c r="H122" i="65"/>
  <c r="H137" i="65"/>
  <c r="AF126" i="65"/>
  <c r="Q134" i="65"/>
  <c r="G134" i="65"/>
  <c r="I120" i="65"/>
  <c r="Z135" i="65"/>
  <c r="AJ14" i="60"/>
  <c r="E11" i="57"/>
  <c r="P116" i="65"/>
  <c r="P139" i="65"/>
  <c r="AF67" i="65"/>
  <c r="AF127" i="65"/>
  <c r="T131" i="65"/>
  <c r="W135" i="65"/>
  <c r="Q21" i="57"/>
  <c r="AM137" i="65"/>
  <c r="F133" i="65"/>
  <c r="Q67" i="65"/>
  <c r="Q127" i="65"/>
  <c r="AJ119" i="65"/>
  <c r="N25" i="57"/>
  <c r="W138" i="65"/>
  <c r="AA21" i="60"/>
  <c r="D45" i="60"/>
  <c r="W131" i="65"/>
  <c r="R8" i="57"/>
  <c r="K9" i="7"/>
  <c r="F12" i="8"/>
  <c r="I31" i="7"/>
  <c r="P20" i="57"/>
  <c r="Q136" i="65"/>
  <c r="Y67" i="65"/>
  <c r="Y127" i="65"/>
  <c r="AQ122" i="65"/>
  <c r="L25" i="57"/>
  <c r="D20" i="8"/>
  <c r="AA125" i="65"/>
  <c r="L8" i="57"/>
  <c r="E9" i="7"/>
  <c r="AT67" i="65"/>
  <c r="AT127" i="65"/>
  <c r="C25" i="57"/>
  <c r="C121" i="65"/>
  <c r="AE126" i="65"/>
  <c r="O7" i="57"/>
  <c r="K139" i="65"/>
  <c r="K116" i="65"/>
  <c r="L136" i="65"/>
  <c r="AG120" i="65"/>
  <c r="AU120" i="65"/>
  <c r="K34" i="6"/>
  <c r="H22" i="57"/>
  <c r="AI131" i="65"/>
  <c r="AL138" i="65"/>
  <c r="AN67" i="65"/>
  <c r="AN127" i="65"/>
  <c r="AH67" i="65"/>
  <c r="AH127" i="65"/>
  <c r="G9" i="7"/>
  <c r="N8" i="57"/>
  <c r="AA122" i="65"/>
  <c r="AM136" i="65"/>
  <c r="H23" i="8"/>
  <c r="AF134" i="65"/>
  <c r="C132" i="65"/>
  <c r="X139" i="65"/>
  <c r="X116" i="65"/>
  <c r="M6" i="57"/>
  <c r="F6" i="7"/>
  <c r="F26" i="7" s="1"/>
  <c r="U134" i="65"/>
  <c r="G22" i="8"/>
  <c r="F23" i="57"/>
  <c r="AB122" i="65"/>
  <c r="N119" i="65"/>
  <c r="AE137" i="65"/>
  <c r="S135" i="65"/>
  <c r="S120" i="65"/>
  <c r="O127" i="65"/>
  <c r="O67" i="65"/>
  <c r="F126" i="65"/>
  <c r="E12" i="8"/>
  <c r="E11" i="8" s="1"/>
  <c r="AI137" i="65"/>
  <c r="R21" i="57"/>
  <c r="T125" i="65"/>
  <c r="H8" i="8"/>
  <c r="E6" i="6"/>
  <c r="B6" i="57"/>
  <c r="AF125" i="65"/>
  <c r="AL127" i="65"/>
  <c r="AL67" i="65"/>
  <c r="O120" i="65"/>
  <c r="O138" i="65"/>
  <c r="E139" i="65"/>
  <c r="E116" i="65"/>
  <c r="AM7" i="60"/>
  <c r="B23" i="57"/>
  <c r="AJ134" i="65"/>
  <c r="AQ119" i="65"/>
  <c r="AL125" i="65"/>
  <c r="H18" i="6"/>
  <c r="E10" i="57"/>
  <c r="D10" i="57"/>
  <c r="G18" i="6"/>
  <c r="AG137" i="65"/>
  <c r="AJ28" i="60"/>
  <c r="E9" i="6"/>
  <c r="B8" i="57"/>
  <c r="B22" i="8"/>
  <c r="I132" i="65"/>
  <c r="AJ21" i="60"/>
  <c r="R24" i="57"/>
  <c r="K43" i="7"/>
  <c r="AB123" i="65"/>
  <c r="N137" i="65"/>
  <c r="AS116" i="65"/>
  <c r="AS139" i="65"/>
  <c r="AT120" i="65"/>
  <c r="L124" i="65"/>
  <c r="AI139" i="65"/>
  <c r="AI116" i="65"/>
  <c r="AK135" i="65"/>
  <c r="AP133" i="65"/>
  <c r="AS131" i="65"/>
  <c r="T138" i="65"/>
  <c r="AK138" i="65"/>
  <c r="G49" i="60"/>
  <c r="G60" i="60" s="1"/>
  <c r="W137" i="65"/>
  <c r="AN138" i="65"/>
  <c r="R120" i="65"/>
  <c r="AM132" i="65"/>
  <c r="W136" i="65"/>
  <c r="AR138" i="65"/>
  <c r="AS126" i="65"/>
  <c r="F9" i="6"/>
  <c r="C8" i="57"/>
  <c r="X119" i="65"/>
  <c r="AF131" i="65"/>
  <c r="AO135" i="65"/>
  <c r="L125" i="65"/>
  <c r="Q7" i="57"/>
  <c r="M126" i="65"/>
  <c r="AO120" i="65"/>
  <c r="D23" i="8"/>
  <c r="X132" i="65"/>
  <c r="Q20" i="57"/>
  <c r="J31" i="7"/>
  <c r="AO119" i="65"/>
  <c r="E18" i="7"/>
  <c r="L10" i="57"/>
  <c r="F7" i="8"/>
  <c r="C120" i="65"/>
  <c r="AN125" i="65"/>
  <c r="F124" i="65"/>
  <c r="E6" i="57"/>
  <c r="H6" i="6"/>
  <c r="AS123" i="65"/>
  <c r="D21" i="8"/>
  <c r="N121" i="65"/>
  <c r="P131" i="65"/>
  <c r="AN122" i="65"/>
  <c r="W123" i="65"/>
  <c r="AP120" i="65"/>
  <c r="L119" i="65"/>
  <c r="O124" i="65"/>
  <c r="Y122" i="65"/>
  <c r="D7" i="57"/>
  <c r="AH116" i="65"/>
  <c r="AH139" i="65"/>
  <c r="AK137" i="65"/>
  <c r="AP123" i="65"/>
  <c r="B11" i="57"/>
  <c r="P21" i="57"/>
  <c r="R126" i="65"/>
  <c r="W122" i="65"/>
  <c r="W120" i="65"/>
  <c r="AS127" i="65"/>
  <c r="AS67" i="65"/>
  <c r="AP125" i="65"/>
  <c r="AQ127" i="65"/>
  <c r="AQ67" i="65"/>
  <c r="AQ28" i="60"/>
  <c r="C25" i="8"/>
  <c r="AP121" i="65"/>
  <c r="M134" i="65"/>
  <c r="AE125" i="65"/>
  <c r="AJ122" i="65"/>
  <c r="F25" i="8"/>
  <c r="K119" i="65"/>
  <c r="AQ124" i="65"/>
  <c r="AO132" i="65"/>
  <c r="H12" i="8"/>
  <c r="H11" i="8" s="1"/>
  <c r="Q133" i="65"/>
  <c r="AE131" i="65"/>
  <c r="AU125" i="65"/>
  <c r="J139" i="65"/>
  <c r="J116" i="65"/>
  <c r="G26" i="8"/>
  <c r="G48" i="9"/>
  <c r="S137" i="65"/>
  <c r="G122" i="65"/>
  <c r="AU126" i="65"/>
  <c r="V132" i="65"/>
  <c r="AK136" i="65"/>
  <c r="Z124" i="65"/>
  <c r="AB134" i="65"/>
  <c r="R10" i="57"/>
  <c r="K18" i="7"/>
  <c r="AL134" i="65"/>
  <c r="AM131" i="65"/>
  <c r="B23" i="8"/>
  <c r="R125" i="65"/>
  <c r="Q10" i="57"/>
  <c r="J18" i="7"/>
  <c r="AU28" i="60"/>
  <c r="AH137" i="65"/>
  <c r="S139" i="65"/>
  <c r="S116" i="65"/>
  <c r="K31" i="7"/>
  <c r="R20" i="57"/>
  <c r="U135" i="65"/>
  <c r="J132" i="65"/>
  <c r="S133" i="65"/>
  <c r="F21" i="57"/>
  <c r="I6" i="7"/>
  <c r="P6" i="57"/>
  <c r="AD116" i="65"/>
  <c r="AD139" i="65"/>
  <c r="V137" i="65"/>
  <c r="AI138" i="65"/>
  <c r="AG134" i="65"/>
  <c r="AF123" i="65"/>
  <c r="H119" i="65"/>
  <c r="G126" i="65"/>
  <c r="AO134" i="65"/>
  <c r="AK122" i="65"/>
  <c r="AH138" i="65"/>
  <c r="J134" i="65"/>
  <c r="F135" i="65"/>
  <c r="Z122" i="65"/>
  <c r="S126" i="65"/>
  <c r="AL132" i="65"/>
  <c r="D136" i="65"/>
  <c r="R7" i="60"/>
  <c r="U119" i="65"/>
  <c r="AR121" i="65"/>
  <c r="AP119" i="65"/>
  <c r="AK120" i="65"/>
  <c r="E137" i="65"/>
  <c r="AH133" i="65"/>
  <c r="W121" i="65"/>
  <c r="V124" i="65"/>
  <c r="Y136" i="65"/>
  <c r="R135" i="65"/>
  <c r="AR125" i="65"/>
  <c r="AE133" i="65"/>
  <c r="AH125" i="65"/>
  <c r="V7" i="60"/>
  <c r="D134" i="65"/>
  <c r="AP138" i="65"/>
  <c r="R137" i="65"/>
  <c r="H67" i="65"/>
  <c r="H127" i="65"/>
  <c r="AB119" i="65"/>
  <c r="AS136" i="65"/>
  <c r="AU14" i="60"/>
  <c r="AL14" i="60"/>
  <c r="AO126" i="65"/>
  <c r="AQ131" i="65"/>
  <c r="T135" i="65"/>
  <c r="R121" i="65"/>
  <c r="AQ137" i="65"/>
  <c r="AO137" i="65"/>
  <c r="AE123" i="65"/>
  <c r="M133" i="65"/>
  <c r="AE7" i="60"/>
  <c r="AJ7" i="60"/>
  <c r="AT125" i="65"/>
  <c r="AU122" i="65"/>
  <c r="AK21" i="60"/>
  <c r="AE138" i="65"/>
  <c r="AK134" i="65"/>
  <c r="E23" i="8"/>
  <c r="E23" i="57"/>
  <c r="AG139" i="65"/>
  <c r="AG116" i="65"/>
  <c r="R132" i="65"/>
  <c r="E20" i="8"/>
  <c r="E19" i="8" s="1"/>
  <c r="Z139" i="65"/>
  <c r="Z116" i="65"/>
  <c r="L138" i="65"/>
  <c r="AA136" i="65"/>
  <c r="F134" i="65"/>
  <c r="L133" i="65"/>
  <c r="O121" i="65"/>
  <c r="L24" i="57"/>
  <c r="E43" i="7"/>
  <c r="AR139" i="65"/>
  <c r="AR116" i="65"/>
  <c r="AI127" i="65"/>
  <c r="AI67" i="65"/>
  <c r="AA134" i="65"/>
  <c r="E126" i="65"/>
  <c r="G124" i="65"/>
  <c r="J120" i="65"/>
  <c r="R134" i="65"/>
  <c r="AS138" i="65"/>
  <c r="AL116" i="65"/>
  <c r="AL139" i="65"/>
  <c r="AM126" i="65"/>
  <c r="N132" i="65"/>
  <c r="AR122" i="65"/>
  <c r="J126" i="65"/>
  <c r="S14" i="60"/>
  <c r="E22" i="8"/>
  <c r="P119" i="65"/>
  <c r="AQ133" i="65"/>
  <c r="N133" i="65"/>
  <c r="K138" i="65"/>
  <c r="O11" i="57"/>
  <c r="O9" i="57"/>
  <c r="H131" i="65"/>
  <c r="V133" i="65"/>
  <c r="Z121" i="65"/>
  <c r="AK123" i="65"/>
  <c r="AP132" i="65"/>
  <c r="AA116" i="65"/>
  <c r="AA139" i="65"/>
  <c r="K18" i="6"/>
  <c r="H10" i="57"/>
  <c r="K124" i="65"/>
  <c r="W133" i="65"/>
  <c r="AK132" i="65"/>
  <c r="Y21" i="60"/>
  <c r="AF116" i="65"/>
  <c r="AF139" i="65"/>
  <c r="N127" i="65"/>
  <c r="N67" i="65"/>
  <c r="E86" i="71"/>
  <c r="AN124" i="65"/>
  <c r="D67" i="65"/>
  <c r="D127" i="65"/>
  <c r="I138" i="65"/>
  <c r="Q135" i="65"/>
  <c r="S123" i="65"/>
  <c r="E8" i="57"/>
  <c r="H9" i="6"/>
  <c r="E138" i="65"/>
  <c r="AK139" i="65"/>
  <c r="AK116" i="65"/>
  <c r="D123" i="65"/>
  <c r="AS121" i="65"/>
  <c r="F67" i="65"/>
  <c r="F127" i="65"/>
  <c r="E134" i="65"/>
  <c r="E7" i="57"/>
  <c r="E9" i="57"/>
  <c r="O134" i="65"/>
  <c r="G35" i="60"/>
  <c r="G55" i="60" s="1"/>
  <c r="M28" i="60"/>
  <c r="M122" i="65"/>
  <c r="I124" i="65"/>
  <c r="AM125" i="65"/>
  <c r="AM135" i="65"/>
  <c r="AU139" i="65"/>
  <c r="AU116" i="65"/>
  <c r="T28" i="60"/>
  <c r="N120" i="65"/>
  <c r="AJ136" i="65"/>
  <c r="X131" i="65"/>
  <c r="AJ121" i="65"/>
  <c r="I123" i="65"/>
  <c r="AA137" i="65"/>
  <c r="AD124" i="65"/>
  <c r="AI124" i="65"/>
  <c r="E124" i="65"/>
  <c r="J14" i="60"/>
  <c r="AD123" i="65"/>
  <c r="H133" i="65"/>
  <c r="D122" i="65"/>
  <c r="K120" i="65"/>
  <c r="AH119" i="65"/>
  <c r="J125" i="65"/>
  <c r="O137" i="65"/>
  <c r="AC126" i="65"/>
  <c r="E131" i="65"/>
  <c r="AD125" i="65"/>
  <c r="T139" i="65"/>
  <c r="T116" i="65"/>
  <c r="D120" i="65"/>
  <c r="AV14" i="60"/>
  <c r="U121" i="65"/>
  <c r="AS7" i="60"/>
  <c r="K131" i="65"/>
  <c r="X125" i="65"/>
  <c r="AE120" i="65"/>
  <c r="AO136" i="65"/>
  <c r="K126" i="65"/>
  <c r="H6" i="7"/>
  <c r="O6" i="57"/>
  <c r="AC133" i="65"/>
  <c r="AN135" i="65"/>
  <c r="D23" i="57"/>
  <c r="D125" i="65"/>
  <c r="AI136" i="65"/>
  <c r="H136" i="65"/>
  <c r="G23" i="8"/>
  <c r="AF119" i="65"/>
  <c r="F34" i="7"/>
  <c r="M22" i="57"/>
  <c r="I134" i="65"/>
  <c r="AA67" i="65"/>
  <c r="AA127" i="65"/>
  <c r="S67" i="65"/>
  <c r="S127" i="65"/>
  <c r="E99" i="71"/>
  <c r="D133" i="65"/>
  <c r="H21" i="57"/>
  <c r="AK119" i="65"/>
  <c r="AM122" i="65"/>
  <c r="Q138" i="65"/>
  <c r="F26" i="8"/>
  <c r="F48" i="9"/>
  <c r="L134" i="65"/>
  <c r="N6" i="57"/>
  <c r="G6" i="7"/>
  <c r="M137" i="65"/>
  <c r="E123" i="65"/>
  <c r="AF138" i="65"/>
  <c r="AE14" i="60"/>
  <c r="E90" i="71"/>
  <c r="E132" i="71" s="1"/>
  <c r="AI133" i="65"/>
  <c r="E7" i="60"/>
  <c r="Z137" i="65"/>
  <c r="I137" i="65"/>
  <c r="AH126" i="65"/>
  <c r="X28" i="60"/>
  <c r="AA14" i="60"/>
  <c r="P21" i="60"/>
  <c r="AN14" i="60"/>
  <c r="AJ132" i="65"/>
  <c r="AG28" i="60"/>
  <c r="AG123" i="65"/>
  <c r="AQ134" i="65"/>
  <c r="AB120" i="65"/>
  <c r="J122" i="65"/>
  <c r="W7" i="60"/>
  <c r="D28" i="60"/>
  <c r="AI21" i="60"/>
  <c r="U21" i="60"/>
  <c r="AG21" i="60"/>
  <c r="AI125" i="65"/>
  <c r="K132" i="65"/>
  <c r="Q11" i="57"/>
  <c r="I14" i="60"/>
  <c r="S121" i="65"/>
  <c r="D49" i="60"/>
  <c r="D60" i="60" s="1"/>
  <c r="AS133" i="65"/>
  <c r="AR21" i="60"/>
  <c r="K122" i="65"/>
  <c r="AL135" i="65"/>
  <c r="C67" i="65"/>
  <c r="C127" i="65"/>
  <c r="AJ126" i="65"/>
  <c r="Y135" i="65"/>
  <c r="F49" i="60"/>
  <c r="F60" i="60" s="1"/>
  <c r="AM139" i="65"/>
  <c r="AM116" i="65"/>
  <c r="AU138" i="65"/>
  <c r="H120" i="65"/>
  <c r="C122" i="65"/>
  <c r="AC14" i="60"/>
  <c r="AF121" i="65"/>
  <c r="G133" i="65"/>
  <c r="AK121" i="65"/>
  <c r="AO21" i="60"/>
  <c r="AM14" i="60"/>
  <c r="AT136" i="65"/>
  <c r="D121" i="65"/>
  <c r="AD135" i="65"/>
  <c r="AH14" i="60"/>
  <c r="R25" i="57"/>
  <c r="C137" i="65"/>
  <c r="J131" i="65"/>
  <c r="AH136" i="65"/>
  <c r="AF133" i="65"/>
  <c r="AF135" i="65"/>
  <c r="N28" i="60"/>
  <c r="P133" i="65"/>
  <c r="AQ135" i="65"/>
  <c r="AV21" i="60"/>
  <c r="K127" i="65"/>
  <c r="K67" i="65"/>
  <c r="AH121" i="65"/>
  <c r="L7" i="57"/>
  <c r="AN21" i="60"/>
  <c r="P138" i="65"/>
  <c r="Z123" i="65"/>
  <c r="E122" i="65"/>
  <c r="Y119" i="65"/>
  <c r="P125" i="65"/>
  <c r="C21" i="8"/>
  <c r="B7" i="57"/>
  <c r="AE119" i="65"/>
  <c r="V121" i="65"/>
  <c r="AG121" i="65"/>
  <c r="AE124" i="65"/>
  <c r="S131" i="65"/>
  <c r="AD133" i="65"/>
  <c r="I7" i="60"/>
  <c r="D119" i="65"/>
  <c r="AR124" i="65"/>
  <c r="AE139" i="65"/>
  <c r="AE116" i="65"/>
  <c r="AB14" i="60"/>
  <c r="H14" i="60"/>
  <c r="F35" i="60"/>
  <c r="F55" i="60" s="1"/>
  <c r="AL136" i="65"/>
  <c r="F83" i="71"/>
  <c r="AB121" i="65"/>
  <c r="F119" i="65"/>
  <c r="AT135" i="65"/>
  <c r="M135" i="65"/>
  <c r="H121" i="65"/>
  <c r="AM124" i="65"/>
  <c r="AK14" i="60"/>
  <c r="AS134" i="65"/>
  <c r="AD131" i="65"/>
  <c r="K121" i="65"/>
  <c r="Q137" i="65"/>
  <c r="AI14" i="60"/>
  <c r="R7" i="57"/>
  <c r="AT126" i="65"/>
  <c r="AE132" i="65"/>
  <c r="P124" i="65"/>
  <c r="Y126" i="65"/>
  <c r="J136" i="65"/>
  <c r="G45" i="60"/>
  <c r="G59" i="60" s="1"/>
  <c r="C124" i="65"/>
  <c r="AN134" i="65"/>
  <c r="N134" i="65"/>
  <c r="N136" i="65"/>
  <c r="E35" i="60"/>
  <c r="E55" i="60" s="1"/>
  <c r="V120" i="65"/>
  <c r="E119" i="65"/>
  <c r="I139" i="65"/>
  <c r="I116" i="65"/>
  <c r="U132" i="65"/>
  <c r="AA119" i="65"/>
  <c r="AD14" i="60"/>
  <c r="AE135" i="65"/>
  <c r="N138" i="65"/>
  <c r="AC136" i="65"/>
  <c r="Y124" i="65"/>
  <c r="AS120" i="65"/>
  <c r="D24" i="57"/>
  <c r="G43" i="6"/>
  <c r="D138" i="65"/>
  <c r="D132" i="65"/>
  <c r="AJ135" i="65"/>
  <c r="P136" i="65"/>
  <c r="AG7" i="60"/>
  <c r="D35" i="60"/>
  <c r="D55" i="60" s="1"/>
  <c r="AK133" i="65"/>
  <c r="F137" i="65"/>
  <c r="V28" i="60"/>
  <c r="G120" i="65"/>
  <c r="G125" i="65"/>
  <c r="AB133" i="65"/>
  <c r="H135" i="65"/>
  <c r="AV7" i="60"/>
  <c r="H28" i="60"/>
  <c r="K125" i="65"/>
  <c r="AO7" i="60"/>
  <c r="K123" i="65"/>
  <c r="AF21" i="60"/>
  <c r="R21" i="60"/>
  <c r="AA133" i="65"/>
  <c r="D14" i="60"/>
  <c r="AN136" i="65"/>
  <c r="Z131" i="65"/>
  <c r="M14" i="60"/>
  <c r="AG133" i="65"/>
  <c r="AT119" i="65"/>
  <c r="G135" i="65"/>
  <c r="F139" i="65"/>
  <c r="F116" i="65"/>
  <c r="AQ14" i="60"/>
  <c r="E115" i="71"/>
  <c r="AS14" i="60"/>
  <c r="AB136" i="65"/>
  <c r="D97" i="71"/>
  <c r="H134" i="65"/>
  <c r="R136" i="65"/>
  <c r="AI132" i="65"/>
  <c r="T134" i="65"/>
  <c r="AO116" i="65"/>
  <c r="AO139" i="65"/>
  <c r="Q21" i="60"/>
  <c r="AL133" i="65"/>
  <c r="X133" i="65"/>
  <c r="AH124" i="65"/>
  <c r="S138" i="65"/>
  <c r="X138" i="65"/>
  <c r="M7" i="60"/>
  <c r="O136" i="65"/>
  <c r="E120" i="65"/>
  <c r="AJ123" i="65"/>
  <c r="D137" i="65"/>
  <c r="H124" i="65"/>
  <c r="AU133" i="65"/>
  <c r="AF28" i="60"/>
  <c r="AP28" i="60"/>
  <c r="AU136" i="65"/>
  <c r="AG119" i="65"/>
  <c r="AK131" i="65"/>
  <c r="F21" i="60"/>
  <c r="AE134" i="65"/>
  <c r="T14" i="60"/>
  <c r="AH21" i="60"/>
  <c r="I119" i="65"/>
  <c r="G14" i="60"/>
  <c r="V135" i="65"/>
  <c r="AH123" i="65"/>
  <c r="C134" i="65"/>
  <c r="K134" i="65"/>
  <c r="P122" i="65"/>
  <c r="AI28" i="60"/>
  <c r="K133" i="65"/>
  <c r="C126" i="65"/>
  <c r="P7" i="60"/>
  <c r="G121" i="71"/>
  <c r="F85" i="71"/>
  <c r="F128" i="71" s="1"/>
  <c r="M139" i="65"/>
  <c r="M116" i="65"/>
  <c r="AT124" i="65"/>
  <c r="C123" i="65"/>
  <c r="AQ116" i="65"/>
  <c r="AQ139" i="65"/>
  <c r="O116" i="65"/>
  <c r="O139" i="65"/>
  <c r="AG67" i="65"/>
  <c r="AG127" i="65"/>
  <c r="J7" i="60"/>
  <c r="F125" i="65"/>
  <c r="AP116" i="65"/>
  <c r="AP139" i="65"/>
  <c r="F132" i="65"/>
  <c r="AQ21" i="60"/>
  <c r="N135" i="65"/>
  <c r="F28" i="60"/>
  <c r="J137" i="65"/>
  <c r="D7" i="60"/>
  <c r="I135" i="65"/>
  <c r="Y139" i="65"/>
  <c r="Y116" i="65"/>
  <c r="H126" i="65"/>
  <c r="F45" i="60"/>
  <c r="H125" i="65"/>
  <c r="AM28" i="60"/>
  <c r="P14" i="60"/>
  <c r="AS21" i="60"/>
  <c r="U7" i="60"/>
  <c r="V125" i="65"/>
  <c r="R131" i="65"/>
  <c r="AE21" i="60"/>
  <c r="AU7" i="60"/>
  <c r="L21" i="60"/>
  <c r="AL21" i="60"/>
  <c r="U136" i="65"/>
  <c r="S21" i="60"/>
  <c r="O135" i="65"/>
  <c r="U133" i="65"/>
  <c r="C119" i="65"/>
  <c r="AO133" i="65"/>
  <c r="M132" i="65"/>
  <c r="W134" i="65"/>
  <c r="AR137" i="65"/>
  <c r="M21" i="60"/>
  <c r="Q28" i="60"/>
  <c r="F120" i="65"/>
  <c r="R133" i="65"/>
  <c r="O28" i="60"/>
  <c r="AM21" i="60"/>
  <c r="K7" i="60"/>
  <c r="W21" i="60"/>
  <c r="AJ133" i="65"/>
  <c r="J21" i="60"/>
  <c r="AH28" i="60"/>
  <c r="C92" i="71"/>
  <c r="G21" i="60"/>
  <c r="F98" i="71"/>
  <c r="AS135" i="65"/>
  <c r="L28" i="60"/>
  <c r="L131" i="65"/>
  <c r="AF7" i="60"/>
  <c r="AP126" i="65"/>
  <c r="C131" i="65"/>
  <c r="W14" i="60"/>
  <c r="U137" i="65"/>
  <c r="K14" i="60"/>
  <c r="J123" i="65"/>
  <c r="U14" i="60"/>
  <c r="J124" i="65"/>
  <c r="I127" i="65"/>
  <c r="I67" i="65"/>
  <c r="AI7" i="60"/>
  <c r="Z28" i="60"/>
  <c r="F92" i="71"/>
  <c r="G92" i="71"/>
  <c r="I122" i="65"/>
  <c r="L14" i="60"/>
  <c r="G119" i="71"/>
  <c r="N14" i="60"/>
  <c r="AD7" i="60"/>
  <c r="D89" i="71"/>
  <c r="G109" i="71"/>
  <c r="O131" i="65"/>
  <c r="AL120" i="65"/>
  <c r="AP14" i="60"/>
  <c r="I131" i="65"/>
  <c r="T121" i="65"/>
  <c r="U28" i="60"/>
  <c r="H123" i="65"/>
  <c r="AC139" i="65"/>
  <c r="AC116" i="65"/>
  <c r="Y134" i="65"/>
  <c r="F119" i="71"/>
  <c r="C139" i="65"/>
  <c r="C116" i="65"/>
  <c r="W28" i="60"/>
  <c r="T21" i="60"/>
  <c r="G106" i="71"/>
  <c r="K21" i="60"/>
  <c r="G97" i="71"/>
  <c r="AK28" i="60"/>
  <c r="AF137" i="65"/>
  <c r="F89" i="71"/>
  <c r="E113" i="71"/>
  <c r="D108" i="71"/>
  <c r="S28" i="60"/>
  <c r="E111" i="71"/>
  <c r="C125" i="65"/>
  <c r="G105" i="71"/>
  <c r="D120" i="71"/>
  <c r="AL7" i="60"/>
  <c r="AG14" i="60"/>
  <c r="E132" i="65"/>
  <c r="J121" i="65"/>
  <c r="R28" i="60"/>
  <c r="AR28" i="60"/>
  <c r="AA28" i="60"/>
  <c r="Q125" i="65"/>
  <c r="F138" i="65"/>
  <c r="AO14" i="60"/>
  <c r="AT21" i="60"/>
  <c r="F122" i="65"/>
  <c r="P28" i="60"/>
  <c r="C118" i="71"/>
  <c r="AD67" i="65"/>
  <c r="AD127" i="65"/>
  <c r="R14" i="60"/>
  <c r="D93" i="71"/>
  <c r="AB28" i="60"/>
  <c r="AN132" i="65"/>
  <c r="V21" i="60"/>
  <c r="E85" i="71"/>
  <c r="E128" i="71" s="1"/>
  <c r="AT28" i="60"/>
  <c r="S7" i="60"/>
  <c r="C87" i="71"/>
  <c r="AC21" i="60"/>
  <c r="L7" i="60"/>
  <c r="H21" i="60"/>
  <c r="G136" i="65"/>
  <c r="G116" i="71"/>
  <c r="D91" i="71"/>
  <c r="D133" i="71" s="1"/>
  <c r="X14" i="60"/>
  <c r="F105" i="71"/>
  <c r="Q7" i="60"/>
  <c r="C105" i="71"/>
  <c r="G131" i="65"/>
  <c r="G7" i="60"/>
  <c r="I125" i="65"/>
  <c r="AC138" i="65"/>
  <c r="C133" i="65"/>
  <c r="I136" i="65"/>
  <c r="AD28" i="60"/>
  <c r="C104" i="71"/>
  <c r="I28" i="60"/>
  <c r="K136" i="65"/>
  <c r="D98" i="71"/>
  <c r="G138" i="65"/>
  <c r="G98" i="71"/>
  <c r="J133" i="65"/>
  <c r="F123" i="65"/>
  <c r="F104" i="71"/>
  <c r="Z14" i="60"/>
  <c r="E84" i="71"/>
  <c r="E127" i="71" s="1"/>
  <c r="AP7" i="60"/>
  <c r="F84" i="71"/>
  <c r="F127" i="71" s="1"/>
  <c r="C99" i="71"/>
  <c r="D81" i="71"/>
  <c r="H116" i="65"/>
  <c r="H139" i="65"/>
  <c r="D82" i="71"/>
  <c r="D117" i="71"/>
  <c r="X21" i="60"/>
  <c r="D90" i="71"/>
  <c r="D132" i="71" s="1"/>
  <c r="C121" i="71"/>
  <c r="E45" i="60"/>
  <c r="G137" i="65"/>
  <c r="C88" i="71"/>
  <c r="C130" i="71" s="1"/>
  <c r="E89" i="71"/>
  <c r="F117" i="71"/>
  <c r="J28" i="60"/>
  <c r="D116" i="65"/>
  <c r="D139" i="65"/>
  <c r="T123" i="65"/>
  <c r="E92" i="71"/>
  <c r="D87" i="71"/>
  <c r="F120" i="71"/>
  <c r="D102" i="71"/>
  <c r="F109" i="71"/>
  <c r="G81" i="71"/>
  <c r="G121" i="65"/>
  <c r="F7" i="60"/>
  <c r="AK7" i="60"/>
  <c r="AC28" i="60"/>
  <c r="H138" i="65"/>
  <c r="Z7" i="60"/>
  <c r="AO28" i="60"/>
  <c r="AE28" i="60"/>
  <c r="I21" i="60"/>
  <c r="J119" i="65"/>
  <c r="AL28" i="60"/>
  <c r="C102" i="71"/>
  <c r="D106" i="71"/>
  <c r="AA7" i="60"/>
  <c r="G120" i="71"/>
  <c r="D99" i="71"/>
  <c r="D85" i="71"/>
  <c r="D128" i="71" s="1"/>
  <c r="C101" i="71"/>
  <c r="AB7" i="60"/>
  <c r="C115" i="71"/>
  <c r="F87" i="71"/>
  <c r="V14" i="60"/>
  <c r="G123" i="65"/>
  <c r="D83" i="71"/>
  <c r="G101" i="71"/>
  <c r="F136" i="65"/>
  <c r="E21" i="60"/>
  <c r="AC123" i="65"/>
  <c r="F14" i="60"/>
  <c r="C108" i="71"/>
  <c r="G96" i="71"/>
  <c r="E83" i="71"/>
  <c r="N21" i="60"/>
  <c r="D21" i="60"/>
  <c r="D113" i="71"/>
  <c r="G132" i="65"/>
  <c r="K28" i="60"/>
  <c r="AH7" i="60"/>
  <c r="G67" i="65"/>
  <c r="G127" i="65"/>
  <c r="G118" i="71"/>
  <c r="D103" i="71"/>
  <c r="AR7" i="60"/>
  <c r="Q14" i="60"/>
  <c r="C83" i="71"/>
  <c r="G108" i="71"/>
  <c r="G82" i="71"/>
  <c r="AU21" i="60"/>
  <c r="G84" i="71"/>
  <c r="G127" i="71" s="1"/>
  <c r="C97" i="71"/>
  <c r="AT14" i="60"/>
  <c r="H7" i="60"/>
  <c r="O21" i="60"/>
  <c r="C84" i="71"/>
  <c r="C127" i="71" s="1"/>
  <c r="E96" i="71"/>
  <c r="D109" i="71"/>
  <c r="F106" i="71"/>
  <c r="F93" i="71"/>
  <c r="F86" i="71"/>
  <c r="F97" i="71"/>
  <c r="AB21" i="60"/>
  <c r="D84" i="71"/>
  <c r="D127" i="71" s="1"/>
  <c r="G114" i="71"/>
  <c r="F108" i="71"/>
  <c r="F110" i="71" s="1"/>
  <c r="F137" i="71" s="1"/>
  <c r="F101" i="71"/>
  <c r="AJ124" i="65"/>
  <c r="D92" i="71"/>
  <c r="E91" i="71"/>
  <c r="E133" i="71" s="1"/>
  <c r="F82" i="71"/>
  <c r="F126" i="71" s="1"/>
  <c r="K137" i="65"/>
  <c r="D94" i="71"/>
  <c r="C85" i="71"/>
  <c r="C128" i="71" s="1"/>
  <c r="F112" i="71"/>
  <c r="G104" i="71"/>
  <c r="G115" i="71"/>
  <c r="F96" i="71"/>
  <c r="F100" i="71" s="1"/>
  <c r="F135" i="71" s="1"/>
  <c r="F118" i="71"/>
  <c r="G87" i="71"/>
  <c r="C90" i="71"/>
  <c r="C132" i="71" s="1"/>
  <c r="C106" i="71"/>
  <c r="D114" i="71"/>
  <c r="AN28" i="60"/>
  <c r="AR14" i="60"/>
  <c r="AC7" i="60"/>
  <c r="C119" i="71"/>
  <c r="G88" i="71"/>
  <c r="G130" i="71" s="1"/>
  <c r="G112" i="71"/>
  <c r="Z21" i="60"/>
  <c r="Y14" i="60"/>
  <c r="AQ7" i="60"/>
  <c r="F99" i="71"/>
  <c r="O7" i="60"/>
  <c r="D116" i="71"/>
  <c r="C96" i="71"/>
  <c r="AN7" i="60"/>
  <c r="D104" i="71"/>
  <c r="D121" i="71"/>
  <c r="G28" i="60"/>
  <c r="E97" i="71"/>
  <c r="E49" i="60"/>
  <c r="E60" i="60" s="1"/>
  <c r="E88" i="71"/>
  <c r="E130" i="71" s="1"/>
  <c r="E87" i="71"/>
  <c r="F116" i="71"/>
  <c r="F131" i="65"/>
  <c r="Y7" i="60"/>
  <c r="E103" i="71"/>
  <c r="C117" i="71"/>
  <c r="E82" i="71"/>
  <c r="E126" i="71" s="1"/>
  <c r="G85" i="71"/>
  <c r="G128" i="71" s="1"/>
  <c r="C109" i="71"/>
  <c r="AB135" i="65"/>
  <c r="Q116" i="65"/>
  <c r="Q139" i="65"/>
  <c r="AD21" i="60"/>
  <c r="F103" i="71"/>
  <c r="C94" i="71"/>
  <c r="D96" i="71"/>
  <c r="AF14" i="60"/>
  <c r="E106" i="71"/>
  <c r="E28" i="60"/>
  <c r="P134" i="65"/>
  <c r="E102" i="71"/>
  <c r="D111" i="71"/>
  <c r="E114" i="71"/>
  <c r="E98" i="71"/>
  <c r="E109" i="71"/>
  <c r="F121" i="71"/>
  <c r="E112" i="71"/>
  <c r="D118" i="71"/>
  <c r="G117" i="71"/>
  <c r="E81" i="71"/>
  <c r="D119" i="71"/>
  <c r="G113" i="71"/>
  <c r="AS28" i="60"/>
  <c r="F94" i="71"/>
  <c r="D101" i="71"/>
  <c r="E121" i="71"/>
  <c r="G94" i="71"/>
  <c r="E117" i="71"/>
  <c r="C135" i="65"/>
  <c r="C93" i="71"/>
  <c r="G102" i="71"/>
  <c r="E101" i="71"/>
  <c r="G90" i="71"/>
  <c r="G132" i="71" s="1"/>
  <c r="E120" i="71"/>
  <c r="G89" i="71"/>
  <c r="C136" i="65"/>
  <c r="G99" i="71"/>
  <c r="F115" i="71"/>
  <c r="G86" i="71"/>
  <c r="G129" i="71" s="1"/>
  <c r="C86" i="71"/>
  <c r="F81" i="71"/>
  <c r="C116" i="71"/>
  <c r="C89" i="71"/>
  <c r="C131" i="71" s="1"/>
  <c r="G83" i="71"/>
  <c r="D112" i="71"/>
  <c r="G111" i="71"/>
  <c r="C111" i="71"/>
  <c r="F102" i="71"/>
  <c r="C82" i="71"/>
  <c r="G91" i="71"/>
  <c r="G133" i="71" s="1"/>
  <c r="F113" i="71"/>
  <c r="E104" i="71"/>
  <c r="C120" i="71"/>
  <c r="E108" i="71"/>
  <c r="C81" i="71"/>
  <c r="D135" i="65"/>
  <c r="D105" i="71"/>
  <c r="F90" i="71"/>
  <c r="F132" i="71" s="1"/>
  <c r="C113" i="71"/>
  <c r="C112" i="71"/>
  <c r="F111" i="71"/>
  <c r="F114" i="71"/>
  <c r="E118" i="71"/>
  <c r="D88" i="71"/>
  <c r="D130" i="71" s="1"/>
  <c r="C91" i="71"/>
  <c r="C133" i="71" s="1"/>
  <c r="C103" i="71"/>
  <c r="F88" i="71"/>
  <c r="F130" i="71" s="1"/>
  <c r="E94" i="71"/>
  <c r="E116" i="71"/>
  <c r="C114" i="71"/>
  <c r="G103" i="71"/>
  <c r="C98" i="71"/>
  <c r="F91" i="71"/>
  <c r="F133" i="71" s="1"/>
  <c r="G93" i="71"/>
  <c r="E93" i="71"/>
  <c r="E105" i="71"/>
  <c r="E119" i="71"/>
  <c r="D115" i="71"/>
  <c r="D86" i="71"/>
  <c r="R26" i="57" l="1"/>
  <c r="F24" i="8"/>
  <c r="M26" i="57"/>
  <c r="K26" i="7"/>
  <c r="D26" i="57"/>
  <c r="G24" i="8"/>
  <c r="AI128" i="65"/>
  <c r="G26" i="57"/>
  <c r="C19" i="8"/>
  <c r="E26" i="57"/>
  <c r="C129" i="71"/>
  <c r="H26" i="7"/>
  <c r="F6" i="8"/>
  <c r="F51" i="6"/>
  <c r="J26" i="7"/>
  <c r="B19" i="8"/>
  <c r="B27" i="8" s="1"/>
  <c r="F19" i="8"/>
  <c r="F26" i="6"/>
  <c r="J51" i="6"/>
  <c r="F12" i="57"/>
  <c r="E24" i="8"/>
  <c r="E110" i="71"/>
  <c r="E137" i="71" s="1"/>
  <c r="G122" i="71"/>
  <c r="G138" i="71" s="1"/>
  <c r="D100" i="71"/>
  <c r="D135" i="71" s="1"/>
  <c r="E131" i="71"/>
  <c r="D126" i="71"/>
  <c r="G140" i="65"/>
  <c r="G141" i="65" s="1"/>
  <c r="I140" i="65"/>
  <c r="I141" i="65" s="1"/>
  <c r="F95" i="71"/>
  <c r="R140" i="65"/>
  <c r="R141" i="65" s="1"/>
  <c r="Z140" i="65"/>
  <c r="Z141" i="65" s="1"/>
  <c r="AA128" i="65"/>
  <c r="AA129" i="65" s="1"/>
  <c r="E128" i="65"/>
  <c r="E129" i="65" s="1"/>
  <c r="N12" i="57"/>
  <c r="U128" i="65"/>
  <c r="U129" i="65" s="1"/>
  <c r="I26" i="7"/>
  <c r="X128" i="65"/>
  <c r="X129" i="65" s="1"/>
  <c r="M12" i="57"/>
  <c r="D19" i="8"/>
  <c r="F11" i="8"/>
  <c r="AJ128" i="65"/>
  <c r="AJ129" i="65" s="1"/>
  <c r="F134" i="71"/>
  <c r="I128" i="65"/>
  <c r="I129" i="65" s="1"/>
  <c r="F128" i="65"/>
  <c r="F129" i="65" s="1"/>
  <c r="AQ140" i="65"/>
  <c r="AQ141" i="65" s="1"/>
  <c r="H128" i="65"/>
  <c r="H129" i="65" s="1"/>
  <c r="K128" i="65"/>
  <c r="K129" i="65" s="1"/>
  <c r="C146" i="65"/>
  <c r="F146" i="65"/>
  <c r="AU140" i="65"/>
  <c r="AU141" i="65" s="1"/>
  <c r="Q140" i="65"/>
  <c r="Q141" i="65" s="1"/>
  <c r="AG140" i="65"/>
  <c r="AG141" i="65" s="1"/>
  <c r="S128" i="65"/>
  <c r="S129" i="65" s="1"/>
  <c r="AD128" i="65"/>
  <c r="AD129" i="65" s="1"/>
  <c r="AI129" i="65"/>
  <c r="O128" i="65"/>
  <c r="O129" i="65" s="1"/>
  <c r="F26" i="57"/>
  <c r="AC140" i="65"/>
  <c r="AC141" i="65" s="1"/>
  <c r="F122" i="71"/>
  <c r="F138" i="71" s="1"/>
  <c r="F140" i="65"/>
  <c r="F141" i="65" s="1"/>
  <c r="C107" i="71"/>
  <c r="C136" i="71" s="1"/>
  <c r="D110" i="71"/>
  <c r="D137" i="71" s="1"/>
  <c r="D131" i="71"/>
  <c r="AK140" i="65"/>
  <c r="AK141" i="65" s="1"/>
  <c r="AD140" i="65"/>
  <c r="AD141" i="65" s="1"/>
  <c r="Y128" i="65"/>
  <c r="Y129" i="65" s="1"/>
  <c r="D147" i="65"/>
  <c r="AF128" i="65"/>
  <c r="AF129" i="65" s="1"/>
  <c r="H26" i="6"/>
  <c r="AO128" i="65"/>
  <c r="AO129" i="65" s="1"/>
  <c r="C150" i="65"/>
  <c r="F150" i="65"/>
  <c r="AS140" i="65"/>
  <c r="AS141" i="65" s="1"/>
  <c r="B12" i="57"/>
  <c r="AA140" i="65"/>
  <c r="AA141" i="65" s="1"/>
  <c r="Q12" i="57"/>
  <c r="G12" i="57"/>
  <c r="R128" i="65"/>
  <c r="R129" i="65" s="1"/>
  <c r="D152" i="65"/>
  <c r="E14" i="8"/>
  <c r="H24" i="8"/>
  <c r="AL128" i="65"/>
  <c r="AL129" i="65" s="1"/>
  <c r="AH140" i="65"/>
  <c r="AH141" i="65" s="1"/>
  <c r="C145" i="65"/>
  <c r="F145" i="65"/>
  <c r="H51" i="6"/>
  <c r="D24" i="8"/>
  <c r="E27" i="8"/>
  <c r="F107" i="71"/>
  <c r="F136" i="71" s="1"/>
  <c r="D122" i="71"/>
  <c r="D138" i="71" s="1"/>
  <c r="D95" i="71"/>
  <c r="F129" i="71"/>
  <c r="E100" i="71"/>
  <c r="E135" i="71" s="1"/>
  <c r="G126" i="71"/>
  <c r="G100" i="71"/>
  <c r="G135" i="71" s="1"/>
  <c r="E95" i="71"/>
  <c r="D144" i="65"/>
  <c r="L140" i="65"/>
  <c r="AG128" i="65"/>
  <c r="AG129" i="65" s="1"/>
  <c r="D128" i="65"/>
  <c r="D129" i="65" s="1"/>
  <c r="AK128" i="65"/>
  <c r="AK129" i="65" s="1"/>
  <c r="E129" i="71"/>
  <c r="D151" i="65"/>
  <c r="AP128" i="65"/>
  <c r="AP129" i="65" s="1"/>
  <c r="K51" i="7"/>
  <c r="C24" i="8"/>
  <c r="E12" i="57"/>
  <c r="F14" i="8"/>
  <c r="J51" i="7"/>
  <c r="C149" i="65"/>
  <c r="F149" i="65"/>
  <c r="AQ128" i="65"/>
  <c r="AQ129" i="65" s="1"/>
  <c r="E26" i="6"/>
  <c r="N128" i="65"/>
  <c r="N129" i="65" s="1"/>
  <c r="P26" i="57"/>
  <c r="Y140" i="65"/>
  <c r="Y141" i="65" s="1"/>
  <c r="T128" i="65"/>
  <c r="T129" i="65" s="1"/>
  <c r="M128" i="65"/>
  <c r="M129" i="65" s="1"/>
  <c r="E59" i="60"/>
  <c r="N26" i="57"/>
  <c r="D12" i="57"/>
  <c r="AB140" i="65"/>
  <c r="AB141" i="65" s="1"/>
  <c r="H19" i="8"/>
  <c r="G11" i="8"/>
  <c r="G14" i="8" s="1"/>
  <c r="H51" i="7"/>
  <c r="AJ140" i="65"/>
  <c r="AJ141" i="65" s="1"/>
  <c r="L12" i="57"/>
  <c r="AU128" i="65"/>
  <c r="AU129" i="65" s="1"/>
  <c r="H26" i="57"/>
  <c r="C12" i="57"/>
  <c r="D145" i="65"/>
  <c r="U140" i="65"/>
  <c r="U141" i="65" s="1"/>
  <c r="B6" i="8"/>
  <c r="B14" i="8" s="1"/>
  <c r="I26" i="6"/>
  <c r="AR128" i="65"/>
  <c r="AR129" i="65" s="1"/>
  <c r="L26" i="57"/>
  <c r="C11" i="8"/>
  <c r="D149" i="65"/>
  <c r="D27" i="8"/>
  <c r="T140" i="65"/>
  <c r="T141" i="65" s="1"/>
  <c r="AS128" i="65"/>
  <c r="AS129" i="65" s="1"/>
  <c r="C151" i="65"/>
  <c r="F151" i="65"/>
  <c r="F148" i="65"/>
  <c r="C148" i="65"/>
  <c r="H12" i="57"/>
  <c r="Q128" i="65"/>
  <c r="Q129" i="65" s="1"/>
  <c r="D140" i="65"/>
  <c r="D141" i="65" s="1"/>
  <c r="B26" i="57"/>
  <c r="C27" i="8"/>
  <c r="C126" i="71"/>
  <c r="AT128" i="65"/>
  <c r="AT129" i="65" s="1"/>
  <c r="S140" i="65"/>
  <c r="S141" i="65" s="1"/>
  <c r="AE128" i="65"/>
  <c r="AE129" i="65" s="1"/>
  <c r="J140" i="65"/>
  <c r="J141" i="65" s="1"/>
  <c r="O12" i="57"/>
  <c r="P128" i="65"/>
  <c r="P129" i="65" s="1"/>
  <c r="AB128" i="65"/>
  <c r="AB129" i="65" s="1"/>
  <c r="L128" i="65"/>
  <c r="C144" i="65"/>
  <c r="F144" i="65"/>
  <c r="P140" i="65"/>
  <c r="P141" i="65" s="1"/>
  <c r="N140" i="65"/>
  <c r="N141" i="65" s="1"/>
  <c r="C26" i="57"/>
  <c r="AL140" i="65"/>
  <c r="AL141" i="65" s="1"/>
  <c r="C147" i="65"/>
  <c r="F147" i="65"/>
  <c r="F51" i="7"/>
  <c r="G51" i="6"/>
  <c r="AR140" i="65"/>
  <c r="AR141" i="65" s="1"/>
  <c r="K26" i="6"/>
  <c r="K51" i="6"/>
  <c r="D150" i="65"/>
  <c r="V128" i="65"/>
  <c r="V129" i="65" s="1"/>
  <c r="C6" i="8"/>
  <c r="C14" i="8" s="1"/>
  <c r="AC128" i="65"/>
  <c r="AC129" i="65" s="1"/>
  <c r="E51" i="7"/>
  <c r="D129" i="71"/>
  <c r="C122" i="71"/>
  <c r="C138" i="71" s="1"/>
  <c r="G131" i="71"/>
  <c r="G107" i="71"/>
  <c r="G136" i="71" s="1"/>
  <c r="E107" i="71"/>
  <c r="E136" i="71" s="1"/>
  <c r="C100" i="71"/>
  <c r="C135" i="71" s="1"/>
  <c r="G110" i="71"/>
  <c r="G137" i="71" s="1"/>
  <c r="C110" i="71"/>
  <c r="C137" i="71" s="1"/>
  <c r="J128" i="65"/>
  <c r="J129" i="65" s="1"/>
  <c r="D107" i="71"/>
  <c r="D136" i="71" s="1"/>
  <c r="E122" i="71"/>
  <c r="E138" i="71" s="1"/>
  <c r="F131" i="71"/>
  <c r="O140" i="65"/>
  <c r="O141" i="65" s="1"/>
  <c r="G95" i="71"/>
  <c r="C140" i="65"/>
  <c r="C141" i="65" s="1"/>
  <c r="C95" i="71"/>
  <c r="C128" i="65"/>
  <c r="C129" i="65" s="1"/>
  <c r="G26" i="7"/>
  <c r="K140" i="65"/>
  <c r="K141" i="65" s="1"/>
  <c r="E140" i="65"/>
  <c r="E141" i="65" s="1"/>
  <c r="AH128" i="65"/>
  <c r="AH129" i="65" s="1"/>
  <c r="X140" i="65"/>
  <c r="X141" i="65" s="1"/>
  <c r="H140" i="65"/>
  <c r="H141" i="65" s="1"/>
  <c r="D146" i="65"/>
  <c r="P12" i="57"/>
  <c r="AM140" i="65"/>
  <c r="AM141" i="65" s="1"/>
  <c r="AE140" i="65"/>
  <c r="AE141" i="65" s="1"/>
  <c r="Q26" i="57"/>
  <c r="AF140" i="65"/>
  <c r="AF141" i="65" s="1"/>
  <c r="AI140" i="65"/>
  <c r="AI141" i="65" s="1"/>
  <c r="I51" i="7"/>
  <c r="W140" i="65"/>
  <c r="W141" i="65" s="1"/>
  <c r="D59" i="60"/>
  <c r="F59" i="60"/>
  <c r="G128" i="65"/>
  <c r="G129" i="65" s="1"/>
  <c r="AN140" i="65"/>
  <c r="AN141" i="65" s="1"/>
  <c r="G51" i="7"/>
  <c r="G26" i="6"/>
  <c r="AO140" i="65"/>
  <c r="AO141" i="65" s="1"/>
  <c r="V140" i="65"/>
  <c r="V141" i="65" s="1"/>
  <c r="Z128" i="65"/>
  <c r="Z129" i="65" s="1"/>
  <c r="R12" i="57"/>
  <c r="F152" i="65"/>
  <c r="C152" i="65"/>
  <c r="W128" i="65"/>
  <c r="W129" i="65" s="1"/>
  <c r="AT140" i="65"/>
  <c r="AT141" i="65" s="1"/>
  <c r="O26" i="57"/>
  <c r="D148" i="65"/>
  <c r="E26" i="7"/>
  <c r="AP140" i="65"/>
  <c r="AP141" i="65" s="1"/>
  <c r="G19" i="8"/>
  <c r="G27" i="8" s="1"/>
  <c r="D11" i="8"/>
  <c r="D14" i="8" s="1"/>
  <c r="H6" i="8"/>
  <c r="H14" i="8" s="1"/>
  <c r="I51" i="6"/>
  <c r="M140" i="65"/>
  <c r="M141" i="65" s="1"/>
  <c r="AN128" i="65"/>
  <c r="AN129" i="65" s="1"/>
  <c r="AM128" i="65"/>
  <c r="AM129" i="65" s="1"/>
  <c r="E51" i="6"/>
  <c r="F27" i="8" l="1"/>
  <c r="F139" i="71"/>
  <c r="H27" i="8"/>
  <c r="E123" i="71"/>
  <c r="E124" i="71" s="1"/>
  <c r="E134" i="71"/>
  <c r="E139" i="71" s="1"/>
  <c r="G123" i="71"/>
  <c r="G124" i="71" s="1"/>
  <c r="G134" i="71"/>
  <c r="G139" i="71" s="1"/>
  <c r="D134" i="71"/>
  <c r="D139" i="71" s="1"/>
  <c r="D140" i="71" s="1"/>
  <c r="D123" i="71"/>
  <c r="D124" i="71" s="1"/>
  <c r="L141" i="65"/>
  <c r="D153" i="65"/>
  <c r="C134" i="71"/>
  <c r="C139" i="71" s="1"/>
  <c r="C123" i="71"/>
  <c r="C124" i="71" s="1"/>
  <c r="C153" i="65"/>
  <c r="F153" i="65"/>
  <c r="L129" i="65"/>
  <c r="F123" i="71"/>
  <c r="F124" i="71" s="1"/>
  <c r="E140" i="71" l="1"/>
  <c r="C140" i="71"/>
  <c r="G140" i="71"/>
  <c r="F140" i="71"/>
</calcChain>
</file>

<file path=xl/sharedStrings.xml><?xml version="1.0" encoding="utf-8"?>
<sst xmlns="http://schemas.openxmlformats.org/spreadsheetml/2006/main" count="2916" uniqueCount="1076">
  <si>
    <t>Generic template for presenting ThreeME results</t>
  </si>
  <si>
    <t>Instructions</t>
  </si>
  <si>
    <t xml:space="preserve">     Variable name = equation</t>
  </si>
  <si>
    <t xml:space="preserve">by _0 hold the baseline results. </t>
  </si>
  <si>
    <t>Once defined, all the variables specified in the output list described above will automatically</t>
  </si>
  <si>
    <r>
      <t xml:space="preserve">be exported to this template file, </t>
    </r>
    <r>
      <rPr>
        <b/>
        <i/>
        <sz val="11"/>
        <color theme="1"/>
        <rFont val="Calibri"/>
        <family val="2"/>
        <scheme val="minor"/>
      </rPr>
      <t>for each scenario</t>
    </r>
    <r>
      <rPr>
        <sz val="11"/>
        <color theme="1"/>
        <rFont val="Calibri"/>
        <family val="2"/>
        <scheme val="minor"/>
      </rPr>
      <t>.</t>
    </r>
  </si>
  <si>
    <t>The data can then be accessed through the special Output function inside the template.</t>
  </si>
  <si>
    <r>
      <t xml:space="preserve"> - </t>
    </r>
    <r>
      <rPr>
        <i/>
        <sz val="11"/>
        <color theme="1"/>
        <rFont val="Calibri"/>
        <family val="2"/>
        <scheme val="minor"/>
      </rPr>
      <t xml:space="preserve">year </t>
    </r>
    <r>
      <rPr>
        <sz val="11"/>
        <color theme="1"/>
        <rFont val="Calibri"/>
        <family val="2"/>
        <scheme val="minor"/>
      </rPr>
      <t>is the year where we want this point of data</t>
    </r>
  </si>
  <si>
    <r>
      <t xml:space="preserve"> - </t>
    </r>
    <r>
      <rPr>
        <i/>
        <sz val="11"/>
        <color theme="1"/>
        <rFont val="Calibri"/>
        <family val="2"/>
        <scheme val="minor"/>
      </rPr>
      <t xml:space="preserve">variableName </t>
    </r>
    <r>
      <rPr>
        <sz val="11"/>
        <color theme="1"/>
        <rFont val="Calibri"/>
        <family val="2"/>
        <scheme val="minor"/>
      </rPr>
      <t>is one of the variables defined in the output list</t>
    </r>
  </si>
  <si>
    <r>
      <t xml:space="preserve"> - </t>
    </r>
    <r>
      <rPr>
        <i/>
        <sz val="11"/>
        <color theme="1"/>
        <rFont val="Calibri"/>
        <family val="2"/>
        <scheme val="minor"/>
      </rPr>
      <t xml:space="preserve">scenarioName </t>
    </r>
    <r>
      <rPr>
        <sz val="11"/>
        <color theme="1"/>
        <rFont val="Calibri"/>
        <family val="2"/>
        <scheme val="minor"/>
      </rPr>
      <t>corresponds to the name of the scenario as defined by the data shock file</t>
    </r>
  </si>
  <si>
    <r>
      <t xml:space="preserve"> = </t>
    </r>
    <r>
      <rPr>
        <b/>
        <sz val="11"/>
        <color theme="1"/>
        <rFont val="Calibri"/>
        <family val="2"/>
        <scheme val="minor"/>
      </rPr>
      <t>Output</t>
    </r>
    <r>
      <rPr>
        <sz val="11"/>
        <color theme="1"/>
        <rFont val="Calibri"/>
        <family val="2"/>
        <scheme val="minor"/>
      </rPr>
      <t xml:space="preserve">( </t>
    </r>
    <r>
      <rPr>
        <i/>
        <sz val="11"/>
        <color theme="1"/>
        <rFont val="Calibri"/>
        <family val="2"/>
        <scheme val="minor"/>
      </rPr>
      <t>scenarioName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variableName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year</t>
    </r>
    <r>
      <rPr>
        <sz val="11"/>
        <color theme="1"/>
        <rFont val="Calibri"/>
        <family val="2"/>
        <scheme val="minor"/>
      </rPr>
      <t xml:space="preserve"> )</t>
    </r>
  </si>
  <si>
    <t>Example:</t>
  </si>
  <si>
    <t>Given that the output list contains the following line :</t>
  </si>
  <si>
    <r>
      <t xml:space="preserve">eViews can output results from a list of variables defined in the text file </t>
    </r>
    <r>
      <rPr>
        <b/>
        <sz val="11"/>
        <color theme="1"/>
        <rFont val="Calibri"/>
        <family val="2"/>
        <scheme val="minor"/>
      </rPr>
      <t>output_list.txt</t>
    </r>
  </si>
  <si>
    <t>The text file is a simply a list of lines, each of which is structured as follows:</t>
  </si>
  <si>
    <r>
      <t xml:space="preserve">     </t>
    </r>
    <r>
      <rPr>
        <i/>
        <sz val="11"/>
        <color theme="1"/>
        <rFont val="Calibri"/>
        <family val="2"/>
        <scheme val="minor"/>
      </rPr>
      <t>Example :</t>
    </r>
    <r>
      <rPr>
        <sz val="11"/>
        <color theme="1"/>
        <rFont val="Calibri"/>
        <family val="2"/>
        <scheme val="minor"/>
      </rPr>
      <t xml:space="preserve"> Total_IR = 100 * (ir_val_2 / (PGDP_2*GDP_2) - ir_val_0 / (PGDP_0*GDP_0))</t>
    </r>
  </si>
  <si>
    <t>Debt = 100 * (Debt_g_val_2 / GDP_2 - Debt_g_val_0 / GDP_0)</t>
  </si>
  <si>
    <t>Then using the following formula inside this template :</t>
  </si>
  <si>
    <t xml:space="preserve"> = Output( "SCEN_AMS1", "Debt", 2025)</t>
  </si>
  <si>
    <t>would yield the value of the variable Debt, for the scenario SCEN_AMS1, in the year 2025.</t>
  </si>
  <si>
    <t>Exporting results from the model</t>
  </si>
  <si>
    <t>Using the exported results in this template</t>
  </si>
  <si>
    <t>Building a specific results template</t>
  </si>
  <si>
    <t>By default, this main template is blank, and do not contain any data - it is therefore almost impossible to</t>
  </si>
  <si>
    <t>build the tables and/or charts that will present the results without any data.</t>
  </si>
  <si>
    <t>It is therefore recommended to go through the following steps :</t>
  </si>
  <si>
    <t>later, but it is needed as a starting point.</t>
  </si>
  <si>
    <r>
      <t xml:space="preserve">2. Make a run of the model to export a results file. This file, named </t>
    </r>
    <r>
      <rPr>
        <i/>
        <sz val="11"/>
        <color theme="1"/>
        <rFont val="Calibri"/>
        <family val="2"/>
        <scheme val="minor"/>
      </rPr>
      <t>year-month-day time - Results.xlsm</t>
    </r>
    <r>
      <rPr>
        <sz val="11"/>
        <color theme="1"/>
        <rFont val="Calibri"/>
        <family val="2"/>
        <scheme val="minor"/>
      </rPr>
      <t>,</t>
    </r>
  </si>
  <si>
    <t>will still appear blank, but will contain all the data exported by eViews.</t>
  </si>
  <si>
    <t>3. Build the presentation template in this exported file. Once satisfied with the results,</t>
  </si>
  <si>
    <t>When then modifying the template, repeat steps 2 and 3 until satisfied with the result!</t>
  </si>
  <si>
    <t>1. Define a first version for output_list.txt - it need not be complete, and can always be modified</t>
  </si>
  <si>
    <r>
      <t xml:space="preserve">which is located inside the </t>
    </r>
    <r>
      <rPr>
        <b/>
        <sz val="11"/>
        <color theme="1"/>
        <rFont val="Calibri"/>
        <family val="2"/>
        <scheme val="minor"/>
      </rPr>
      <t>src/utils</t>
    </r>
    <r>
      <rPr>
        <sz val="11"/>
        <color theme="1"/>
        <rFont val="Calibri"/>
        <family val="2"/>
        <scheme val="minor"/>
      </rPr>
      <t xml:space="preserve"> folder.</t>
    </r>
  </si>
  <si>
    <t>In the equation definition, series indexed by _2 hold the scenario (shock) results, while those indexed</t>
  </si>
  <si>
    <r>
      <t xml:space="preserve">save that file as </t>
    </r>
    <r>
      <rPr>
        <b/>
        <sz val="11"/>
        <color theme="1"/>
        <rFont val="Calibri"/>
        <family val="2"/>
        <scheme val="minor"/>
      </rPr>
      <t>Template.xlsm</t>
    </r>
    <r>
      <rPr>
        <sz val="11"/>
        <color theme="1"/>
        <rFont val="Calibri"/>
        <family val="2"/>
        <scheme val="minor"/>
      </rPr>
      <t>, replacing the old blank template.</t>
    </r>
  </si>
  <si>
    <t>NB: if you're using Excel in French, you should use ';' to separate the parameters, thus becoming:</t>
  </si>
  <si>
    <r>
      <t xml:space="preserve"> = Output( </t>
    </r>
    <r>
      <rPr>
        <i/>
        <sz val="11"/>
        <color theme="1"/>
        <rFont val="Calibri"/>
        <family val="2"/>
        <scheme val="minor"/>
      </rPr>
      <t>scenarioName</t>
    </r>
    <r>
      <rPr>
        <sz val="11"/>
        <color theme="1"/>
        <rFont val="Calibri"/>
        <family val="2"/>
        <scheme val="minor"/>
      </rPr>
      <t xml:space="preserve">; </t>
    </r>
    <r>
      <rPr>
        <i/>
        <sz val="11"/>
        <color theme="1"/>
        <rFont val="Calibri"/>
        <family val="2"/>
        <scheme val="minor"/>
      </rPr>
      <t>variableName</t>
    </r>
    <r>
      <rPr>
        <sz val="11"/>
        <color theme="1"/>
        <rFont val="Calibri"/>
        <family val="2"/>
        <scheme val="minor"/>
      </rPr>
      <t xml:space="preserve">; </t>
    </r>
    <r>
      <rPr>
        <i/>
        <sz val="11"/>
        <color theme="1"/>
        <rFont val="Calibri"/>
        <family val="2"/>
        <scheme val="minor"/>
      </rPr>
      <t>year</t>
    </r>
    <r>
      <rPr>
        <sz val="11"/>
        <color theme="1"/>
        <rFont val="Calibri"/>
        <family val="2"/>
        <scheme val="minor"/>
      </rPr>
      <t xml:space="preserve"> )</t>
    </r>
  </si>
  <si>
    <t>Hausse permanent de 10% des prix du pétrole, du gaz et du charbon</t>
  </si>
  <si>
    <t>1 an</t>
  </si>
  <si>
    <t>2 ans</t>
  </si>
  <si>
    <t>3 ans</t>
  </si>
  <si>
    <t>5 ans</t>
  </si>
  <si>
    <t>10 ans</t>
  </si>
  <si>
    <t>35 ans</t>
  </si>
  <si>
    <t>PIB en volume</t>
  </si>
  <si>
    <t>Consommation des ménages</t>
  </si>
  <si>
    <t>Investissement</t>
  </si>
  <si>
    <t>Exportations</t>
  </si>
  <si>
    <t>This template system makes it very easy to build the most common types of output we use.</t>
  </si>
  <si>
    <t>Let's suppose we want to build this table, corresponding to a scenario in the shock file "SCEN_FF10.xls":</t>
  </si>
  <si>
    <t>GDP_Rel = 100 * (GDP_2 / GDP_0 - 1)</t>
  </si>
  <si>
    <r>
      <rPr>
        <b/>
        <sz val="11"/>
        <color theme="1"/>
        <rFont val="Calibri"/>
        <family val="2"/>
        <scheme val="minor"/>
      </rPr>
      <t>Also, it cannot contain any space or non-alphanumeric characters, nor be longer than 31 characters</t>
    </r>
    <r>
      <rPr>
        <sz val="11"/>
        <color theme="1"/>
        <rFont val="Calibri"/>
        <family val="2"/>
        <scheme val="minor"/>
      </rPr>
      <t xml:space="preserve"> </t>
    </r>
  </si>
  <si>
    <t>(for it then becomes the name of a worksheet in Excel).</t>
  </si>
  <si>
    <t>(for example, we should use GDP_Out, or GDP_Rel instead of GDP, which is a series in the model).</t>
  </si>
  <si>
    <t>Important: the variable name CANNOT BE THE NAME OF A SERIES PRESENT IN THE MODEL</t>
  </si>
  <si>
    <t>Exports = 100*(X_2/X_0-1)</t>
  </si>
  <si>
    <t>Unemployment = 100 * (UNR_TOT_2 - UNR_TOT_0)</t>
  </si>
  <si>
    <t>Household_consumption = 100 * (CH_2 / CH_0-1)</t>
  </si>
  <si>
    <t>Investments = 100 * (I_2 / I_0-1)</t>
  </si>
  <si>
    <t>Note that the variables need not be in any particular order in the output_list.txt file, and that you can use any eViews</t>
  </si>
  <si>
    <r>
      <t xml:space="preserve">We would need the following variables in </t>
    </r>
    <r>
      <rPr>
        <b/>
        <sz val="12"/>
        <color theme="1"/>
        <rFont val="Calibri"/>
        <family val="2"/>
      </rPr>
      <t>output_list.txt</t>
    </r>
    <r>
      <rPr>
        <sz val="12"/>
        <color theme="1"/>
        <rFont val="Calibri"/>
        <family val="2"/>
      </rPr>
      <t>:</t>
    </r>
  </si>
  <si>
    <t>Taux de chômage (en points)</t>
  </si>
  <si>
    <t>Full example</t>
  </si>
  <si>
    <t>(obviously with a different date). All the data needed is in this file, but nothing is shown, since we've run the model</t>
  </si>
  <si>
    <t>with a blank template.</t>
  </si>
  <si>
    <r>
      <t xml:space="preserve">We would then run the model with this output_list.txt. This would yield a file named, e.g., </t>
    </r>
    <r>
      <rPr>
        <i/>
        <sz val="12"/>
        <color theme="1"/>
        <rFont val="Calibri"/>
        <family val="2"/>
      </rPr>
      <t>2015-07-24 14-15-30 - Results.xlsm</t>
    </r>
  </si>
  <si>
    <r>
      <t xml:space="preserve">To build the template, we open the </t>
    </r>
    <r>
      <rPr>
        <i/>
        <sz val="12"/>
        <color theme="1"/>
        <rFont val="Calibri"/>
        <family val="2"/>
      </rPr>
      <t>2015-07-24 14-15-30 - Results.xlsm</t>
    </r>
    <r>
      <rPr>
        <sz val="12"/>
        <color theme="1"/>
        <rFont val="Calibri"/>
        <family val="2"/>
      </rPr>
      <t xml:space="preserve"> file, and create a new worksheet named "Results".</t>
    </r>
  </si>
  <si>
    <t>In this worksheet we simply add the following table :</t>
  </si>
  <si>
    <t>GDP_Rel</t>
  </si>
  <si>
    <t>formula in the variable's definition. Also note that since GDP is a series in the model, we need to call our output</t>
  </si>
  <si>
    <r>
      <t>variable GDP</t>
    </r>
    <r>
      <rPr>
        <b/>
        <i/>
        <sz val="12"/>
        <color theme="1"/>
        <rFont val="Calibri"/>
        <family val="2"/>
      </rPr>
      <t>_Rel</t>
    </r>
    <r>
      <rPr>
        <sz val="12"/>
        <color theme="1"/>
        <rFont val="Calibri"/>
        <family val="2"/>
      </rPr>
      <t xml:space="preserve"> to avoid any naming conflict.</t>
    </r>
  </si>
  <si>
    <t>Household_consumption</t>
  </si>
  <si>
    <t>Investments</t>
  </si>
  <si>
    <t>Exports</t>
  </si>
  <si>
    <t>Unemployment</t>
  </si>
  <si>
    <t xml:space="preserve"> =Output("SCEN_FF10", $A2, B$1)</t>
  </si>
  <si>
    <t xml:space="preserve"> =Output("SCEN_FF10", $A2, C$1)</t>
  </si>
  <si>
    <t xml:space="preserve"> =Output("SCEN_FF10", $A2, D$1)</t>
  </si>
  <si>
    <t xml:space="preserve"> =Output("SCEN_FF10", $A2, E$1)</t>
  </si>
  <si>
    <t xml:space="preserve"> =Output("SCEN_FF10", $A2, F$1)</t>
  </si>
  <si>
    <t xml:space="preserve"> =Output("SCEN_FF10", $A2, G$1)</t>
  </si>
  <si>
    <t xml:space="preserve"> =Output("SCEN_FF10", $A3, B$1)</t>
  </si>
  <si>
    <t xml:space="preserve"> =Output("SCEN_FF10", $A3, C$1)</t>
  </si>
  <si>
    <t xml:space="preserve"> =Output("SCEN_FF10", $A3, D$1)</t>
  </si>
  <si>
    <t xml:space="preserve"> =Output("SCEN_FF10", $A3, E$1)</t>
  </si>
  <si>
    <t xml:space="preserve"> =Output("SCEN_FF10", $A3, F$1)</t>
  </si>
  <si>
    <t xml:space="preserve"> =Output("SCEN_FF10", $A3, G$1)</t>
  </si>
  <si>
    <t xml:space="preserve"> =Output("SCEN_FF10", $A4, B$1)</t>
  </si>
  <si>
    <t xml:space="preserve"> =Output("SCEN_FF10", $A4, C$1)</t>
  </si>
  <si>
    <t xml:space="preserve"> =Output("SCEN_FF10", $A4, D$1)</t>
  </si>
  <si>
    <t xml:space="preserve"> =Output("SCEN_FF10", $A4, E$1)</t>
  </si>
  <si>
    <t xml:space="preserve"> =Output("SCEN_FF10", $A4, F$1)</t>
  </si>
  <si>
    <t xml:space="preserve"> =Output("SCEN_FF10", $A4, G$1)</t>
  </si>
  <si>
    <t xml:space="preserve"> =Output("SCEN_FF10", $A5, B$1)</t>
  </si>
  <si>
    <t xml:space="preserve"> =Output("SCEN_FF10", $A5, C$1)</t>
  </si>
  <si>
    <t xml:space="preserve"> =Output("SCEN_FF10", $A5, D$1)</t>
  </si>
  <si>
    <t xml:space="preserve"> =Output("SCEN_FF10", $A5, E$1)</t>
  </si>
  <si>
    <t xml:space="preserve"> =Output("SCEN_FF10", $A5, F$1)</t>
  </si>
  <si>
    <t xml:space="preserve"> =Output("SCEN_FF10", $A5, G$1)</t>
  </si>
  <si>
    <t xml:space="preserve"> =Output("SCEN_FF10", $A6, B$1)</t>
  </si>
  <si>
    <t xml:space="preserve"> =Output("SCEN_FF10", $A6, C$1)</t>
  </si>
  <si>
    <t xml:space="preserve"> =Output("SCEN_FF10", $A6, D$1)</t>
  </si>
  <si>
    <t xml:space="preserve"> =Output("SCEN_FF10", $A6, E$1)</t>
  </si>
  <si>
    <t xml:space="preserve"> =Output("SCEN_FF10", $A6, F$1)</t>
  </si>
  <si>
    <t xml:space="preserve"> =Output("SCEN_FF10", $A6, G$1)</t>
  </si>
  <si>
    <t>(i.e. for a file named SCEN_AMS1.xls, one should use "SCEN_AMS1")</t>
  </si>
  <si>
    <r>
      <rPr>
        <b/>
        <i/>
        <sz val="11"/>
        <color theme="1"/>
        <rFont val="Calibri"/>
        <family val="2"/>
        <scheme val="minor"/>
      </rPr>
      <t xml:space="preserve">without </t>
    </r>
    <r>
      <rPr>
        <b/>
        <sz val="11"/>
        <color theme="1"/>
        <rFont val="Calibri"/>
        <family val="2"/>
        <scheme val="minor"/>
      </rPr>
      <t>quotes.</t>
    </r>
  </si>
  <si>
    <r>
      <t xml:space="preserve">Important: </t>
    </r>
    <r>
      <rPr>
        <b/>
        <i/>
        <sz val="11"/>
        <color theme="1"/>
        <rFont val="Calibri"/>
        <family val="2"/>
        <scheme val="minor"/>
      </rPr>
      <t>scenarioName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i/>
        <sz val="11"/>
        <color theme="1"/>
        <rFont val="Calibri"/>
        <family val="2"/>
        <scheme val="minor"/>
      </rPr>
      <t>variableName</t>
    </r>
    <r>
      <rPr>
        <b/>
        <sz val="11"/>
        <color theme="1"/>
        <rFont val="Calibri"/>
        <family val="2"/>
        <scheme val="minor"/>
      </rPr>
      <t xml:space="preserve"> are strings of characters and should entered between quotes</t>
    </r>
  </si>
  <si>
    <r>
      <t xml:space="preserve">(i.e. </t>
    </r>
    <r>
      <rPr>
        <b/>
        <sz val="11"/>
        <color theme="1"/>
        <rFont val="Calibri"/>
        <family val="2"/>
        <scheme val="minor"/>
      </rPr>
      <t>"SCEN_AMS1"</t>
    </r>
    <r>
      <rPr>
        <sz val="11"/>
        <color theme="1"/>
        <rFont val="Calibri"/>
        <family val="2"/>
        <scheme val="minor"/>
      </rPr>
      <t xml:space="preserve">, not SCEN_AMS1, and </t>
    </r>
    <r>
      <rPr>
        <b/>
        <sz val="11"/>
        <color theme="1"/>
        <rFont val="Calibri"/>
        <family val="2"/>
        <scheme val="minor"/>
      </rPr>
      <t>"Debt"</t>
    </r>
    <r>
      <rPr>
        <sz val="11"/>
        <color theme="1"/>
        <rFont val="Calibri"/>
        <family val="2"/>
        <scheme val="minor"/>
      </rPr>
      <t xml:space="preserve">, not Debt). </t>
    </r>
    <r>
      <rPr>
        <b/>
        <sz val="11"/>
        <color theme="1"/>
        <rFont val="Calibri"/>
        <family val="2"/>
        <scheme val="minor"/>
      </rPr>
      <t xml:space="preserve">However, </t>
    </r>
    <r>
      <rPr>
        <b/>
        <i/>
        <sz val="11"/>
        <color theme="1"/>
        <rFont val="Calibri"/>
        <family val="2"/>
        <scheme val="minor"/>
      </rPr>
      <t>year</t>
    </r>
    <r>
      <rPr>
        <b/>
        <sz val="11"/>
        <color theme="1"/>
        <rFont val="Calibri"/>
        <family val="2"/>
        <scheme val="minor"/>
      </rPr>
      <t xml:space="preserve"> is a number and should be </t>
    </r>
  </si>
  <si>
    <t>A</t>
  </si>
  <si>
    <t>B</t>
  </si>
  <si>
    <t>C</t>
  </si>
  <si>
    <t>D</t>
  </si>
  <si>
    <t>E</t>
  </si>
  <si>
    <t>F</t>
  </si>
  <si>
    <t>G</t>
  </si>
  <si>
    <t xml:space="preserve">If we want to get the original naming scheme, we simply need to add a row and a column with the names we want, </t>
  </si>
  <si>
    <t>H</t>
  </si>
  <si>
    <t>and hide the row holding the years (now row 2) and the column containing the variable names (now column B).</t>
  </si>
  <si>
    <r>
      <t xml:space="preserve">Once done, simply save </t>
    </r>
    <r>
      <rPr>
        <i/>
        <sz val="12"/>
        <color theme="1"/>
        <rFont val="Calibri"/>
        <family val="2"/>
      </rPr>
      <t xml:space="preserve">2015-07-24 14-15-30 - Results.xlsm </t>
    </r>
    <r>
      <rPr>
        <sz val="12"/>
        <color theme="1"/>
        <rFont val="Calibri"/>
        <family val="2"/>
      </rPr>
      <t xml:space="preserve">as </t>
    </r>
    <r>
      <rPr>
        <i/>
        <sz val="12"/>
        <color theme="1"/>
        <rFont val="Calibri"/>
        <family val="2"/>
      </rPr>
      <t>Template.xlsm</t>
    </r>
    <r>
      <rPr>
        <sz val="12"/>
        <color theme="1"/>
        <rFont val="Calibri"/>
        <family val="2"/>
      </rPr>
      <t>, overwriting the previous file.</t>
    </r>
  </si>
  <si>
    <t>It will automatically be used by ThreeME in the next run.</t>
  </si>
  <si>
    <t>(see the next worksheet for a full example)</t>
  </si>
  <si>
    <t>GDP_REL</t>
  </si>
  <si>
    <t>GDP_INDEX</t>
  </si>
  <si>
    <t>HOUSEHOLD_CONSUMPTION</t>
  </si>
  <si>
    <t>INVESTMENTS</t>
  </si>
  <si>
    <t>EXPORTS</t>
  </si>
  <si>
    <t>IMPORTS</t>
  </si>
  <si>
    <t>UNEMPLOYMENT_RATE</t>
  </si>
  <si>
    <t>EMPLOYMENT</t>
  </si>
  <si>
    <t>WAGE</t>
  </si>
  <si>
    <t>WAGE_REAL</t>
  </si>
  <si>
    <t>PRICE</t>
  </si>
  <si>
    <t>INFLATION</t>
  </si>
  <si>
    <t>INTEREST_RATE</t>
  </si>
  <si>
    <t>DEBT</t>
  </si>
  <si>
    <t>PUBLIC_DEFICIT</t>
  </si>
  <si>
    <t>EMISSIONS</t>
  </si>
  <si>
    <t>EMISSIONS_INDEX</t>
  </si>
  <si>
    <t>CARBON_TAX</t>
  </si>
  <si>
    <t>CO2_TAX_OVER_GDP</t>
  </si>
  <si>
    <t>CO2_TAX_REVENUE</t>
  </si>
  <si>
    <t>INCOME_TAX_RATE</t>
  </si>
  <si>
    <t>OIL_SOCIAL_TAX</t>
  </si>
  <si>
    <t>TOTAL_CSE</t>
  </si>
  <si>
    <t>TOTAL_IR</t>
  </si>
  <si>
    <t>MPS</t>
  </si>
  <si>
    <t>TCO_EXPENDITURES</t>
  </si>
  <si>
    <t>EXPENDITURES</t>
  </si>
  <si>
    <t>REVENUES</t>
  </si>
  <si>
    <t>INCOME_TAX</t>
  </si>
  <si>
    <t>TAX_SUM</t>
  </si>
  <si>
    <t>SAVINGS</t>
  </si>
  <si>
    <t>FINAL_ENERGY_21_0</t>
  </si>
  <si>
    <t>FINAL_ENERGY_2201_0</t>
  </si>
  <si>
    <t>FINAL_ENERGY_2202_0</t>
  </si>
  <si>
    <t>FINAL_ENERGY_2301_0</t>
  </si>
  <si>
    <t>FINAL_ENERGY_2302_0</t>
  </si>
  <si>
    <t>FINAL_ENERGY_2303_0</t>
  </si>
  <si>
    <t>FINAL_ENERGY_2304_0</t>
  </si>
  <si>
    <t>FINAL_ENERGY_2305_0</t>
  </si>
  <si>
    <t>FINAL_ENERGY_2306_0</t>
  </si>
  <si>
    <t>FINAL_ENERGY_2307_0</t>
  </si>
  <si>
    <t>FINAL_ENERGY_2308_0</t>
  </si>
  <si>
    <t>FINAL_ENERGY_2401_0</t>
  </si>
  <si>
    <t>FINAL_ENERGY_2402_0</t>
  </si>
  <si>
    <t>FINAL_ENERGY_2403_0</t>
  </si>
  <si>
    <t>FINAL_ENERGY_2404_0</t>
  </si>
  <si>
    <t>FINAL_ENERGY_2405_0</t>
  </si>
  <si>
    <t>FINAL_ENERGY_2406_0</t>
  </si>
  <si>
    <t>FINAL_ENERGY_21_2</t>
  </si>
  <si>
    <t>FINAL_ENERGY_2201_2</t>
  </si>
  <si>
    <t>FINAL_ENERGY_2202_2</t>
  </si>
  <si>
    <t>FINAL_ENERGY_2301_2</t>
  </si>
  <si>
    <t>FINAL_ENERGY_2302_2</t>
  </si>
  <si>
    <t>FINAL_ENERGY_2303_2</t>
  </si>
  <si>
    <t>FINAL_ENERGY_2304_2</t>
  </si>
  <si>
    <t>FINAL_ENERGY_2305_2</t>
  </si>
  <si>
    <t>FINAL_ENERGY_2306_2</t>
  </si>
  <si>
    <t>FINAL_ENERGY_2307_2</t>
  </si>
  <si>
    <t>FINAL_ENERGY_2308_2</t>
  </si>
  <si>
    <t>FINAL_ENERGY_2401_2</t>
  </si>
  <si>
    <t>FINAL_ENERGY_2402_2</t>
  </si>
  <si>
    <t>FINAL_ENERGY_2403_2</t>
  </si>
  <si>
    <t>FINAL_ENERGY_2404_2</t>
  </si>
  <si>
    <t>FINAL_ENERGY_2405_2</t>
  </si>
  <si>
    <t>FINAL_ENERGY_2406_2</t>
  </si>
  <si>
    <t>PRIMARY_ENERGY_21_0</t>
  </si>
  <si>
    <t>PRIMARY_ENERGY_2201_0</t>
  </si>
  <si>
    <t>PRIMARY_ENERGY_2202_0</t>
  </si>
  <si>
    <t>PRIMARY_ENERGY_2301_0</t>
  </si>
  <si>
    <t>PRIMARY_ENERGY_2302_0</t>
  </si>
  <si>
    <t>PRIMARY_ENERGY_2303_0</t>
  </si>
  <si>
    <t>PRIMARY_ENERGY_2304_0</t>
  </si>
  <si>
    <t>PRIMARY_ENERGY_2305_0</t>
  </si>
  <si>
    <t>PRIMARY_ENERGY_2306_0</t>
  </si>
  <si>
    <t>PRIMARY_ENERGY_2307_0</t>
  </si>
  <si>
    <t>PRIMARY_ENERGY_2308_0</t>
  </si>
  <si>
    <t>PRIMARY_ENERGY_2401_0</t>
  </si>
  <si>
    <t>PRIMARY_ENERGY_2402_0</t>
  </si>
  <si>
    <t>PRIMARY_ENERGY_2403_0</t>
  </si>
  <si>
    <t>PRIMARY_ENERGY_2404_0</t>
  </si>
  <si>
    <t>PRIMARY_ENERGY_2405_0</t>
  </si>
  <si>
    <t>PRIMARY_ENERGY_2406_0</t>
  </si>
  <si>
    <t>PRIMARY_ENERGY_21_2</t>
  </si>
  <si>
    <t>PRIMARY_ENERGY_2201_2</t>
  </si>
  <si>
    <t>PRIMARY_ENERGY_2202_2</t>
  </si>
  <si>
    <t>PRIMARY_ENERGY_2301_2</t>
  </si>
  <si>
    <t>PRIMARY_ENERGY_2302_2</t>
  </si>
  <si>
    <t>PRIMARY_ENERGY_2303_2</t>
  </si>
  <si>
    <t>PRIMARY_ENERGY_2304_2</t>
  </si>
  <si>
    <t>PRIMARY_ENERGY_2305_2</t>
  </si>
  <si>
    <t>PRIMARY_ENERGY_2306_2</t>
  </si>
  <si>
    <t>PRIMARY_ENERGY_2307_2</t>
  </si>
  <si>
    <t>PRIMARY_ENERGY_2308_2</t>
  </si>
  <si>
    <t>PRIMARY_ENERGY_2401_2</t>
  </si>
  <si>
    <t>PRIMARY_ENERGY_2402_2</t>
  </si>
  <si>
    <t>PRIMARY_ENERGY_2403_2</t>
  </si>
  <si>
    <t>PRIMARY_ENERGY_2404_2</t>
  </si>
  <si>
    <t>PRIMARY_ENERGY_2405_2</t>
  </si>
  <si>
    <t>PRIMARY_ENERGY_2406_2</t>
  </si>
  <si>
    <t>ENERGY_SEC_01_0</t>
  </si>
  <si>
    <t>ENERGY_SEC_02_0</t>
  </si>
  <si>
    <t>ENERGY_SEC_03_0</t>
  </si>
  <si>
    <t>ENERGY_SEC_04_0</t>
  </si>
  <si>
    <t>ENERGY_SEC_05_0</t>
  </si>
  <si>
    <t>ENERGY_SEC_06_0</t>
  </si>
  <si>
    <t>ENERGY_SEC_07_0</t>
  </si>
  <si>
    <t>ENERGY_SEC_08_0</t>
  </si>
  <si>
    <t>ENERGY_SEC_09_0</t>
  </si>
  <si>
    <t>ENERGY_SEC_10_0</t>
  </si>
  <si>
    <t>ENERGY_SEC_11_0</t>
  </si>
  <si>
    <t>ENERGY_SEC_12_0</t>
  </si>
  <si>
    <t>ENERGY_SEC_13_0</t>
  </si>
  <si>
    <t>ENERGY_SEC_14_0</t>
  </si>
  <si>
    <t>ENERGY_SEC_15_0</t>
  </si>
  <si>
    <t>ENERGY_SEC_16_0</t>
  </si>
  <si>
    <t>ENERGY_SEC_17_0</t>
  </si>
  <si>
    <t>ENERGY_SEC_18_0</t>
  </si>
  <si>
    <t>ENERGY_SEC_19_0</t>
  </si>
  <si>
    <t>ENERGY_SEC_20_0</t>
  </si>
  <si>
    <t>ENERGY_AUTO_0</t>
  </si>
  <si>
    <t>ENERGY_BUIL_0</t>
  </si>
  <si>
    <t>ENERGY_SEC_01_2</t>
  </si>
  <si>
    <t>ENERGY_SEC_02_2</t>
  </si>
  <si>
    <t>ENERGY_SEC_03_2</t>
  </si>
  <si>
    <t>ENERGY_SEC_04_2</t>
  </si>
  <si>
    <t>ENERGY_SEC_05_2</t>
  </si>
  <si>
    <t>ENERGY_SEC_06_2</t>
  </si>
  <si>
    <t>ENERGY_SEC_07_2</t>
  </si>
  <si>
    <t>ENERGY_SEC_08_2</t>
  </si>
  <si>
    <t>ENERGY_SEC_09_2</t>
  </si>
  <si>
    <t>ENERGY_SEC_10_2</t>
  </si>
  <si>
    <t>ENERGY_SEC_11_2</t>
  </si>
  <si>
    <t>ENERGY_SEC_12_2</t>
  </si>
  <si>
    <t>ENERGY_SEC_13_2</t>
  </si>
  <si>
    <t>ENERGY_SEC_14_2</t>
  </si>
  <si>
    <t>ENERGY_SEC_15_2</t>
  </si>
  <si>
    <t>ENERGY_SEC_16_2</t>
  </si>
  <si>
    <t>ENERGY_SEC_17_2</t>
  </si>
  <si>
    <t>ENERGY_SEC_18_2</t>
  </si>
  <si>
    <t>ENERGY_SEC_19_2</t>
  </si>
  <si>
    <t>ENERGY_SEC_20_2</t>
  </si>
  <si>
    <t>ENERGY_AUTO_2</t>
  </si>
  <si>
    <t>ENERGY_BUIL_2</t>
  </si>
  <si>
    <t>NA</t>
  </si>
  <si>
    <t>scen_ademehaut</t>
  </si>
  <si>
    <t>GDP_rel</t>
  </si>
  <si>
    <t>Imports</t>
  </si>
  <si>
    <t>Employment</t>
  </si>
  <si>
    <t>Wage_real</t>
  </si>
  <si>
    <t>Price</t>
  </si>
  <si>
    <t>interest_rate</t>
  </si>
  <si>
    <t>Debt</t>
  </si>
  <si>
    <t>Public_deficit</t>
  </si>
  <si>
    <t>Unemployment rate</t>
  </si>
  <si>
    <t>Unemployment_rate</t>
  </si>
  <si>
    <t>GDP_index</t>
  </si>
  <si>
    <t>Emissions</t>
  </si>
  <si>
    <t>Emissions_index</t>
  </si>
  <si>
    <t>Carbon_tax</t>
  </si>
  <si>
    <t>CO2_tax_over_GDP</t>
  </si>
  <si>
    <t>CO2_tax_revenue</t>
  </si>
  <si>
    <t>Real GDP</t>
  </si>
  <si>
    <t>Household consumption</t>
  </si>
  <si>
    <t>Real wage</t>
  </si>
  <si>
    <t>Interest rate</t>
  </si>
  <si>
    <t>Public deficit</t>
  </si>
  <si>
    <t xml:space="preserve">GDP Index </t>
  </si>
  <si>
    <t>Emissions Index</t>
  </si>
  <si>
    <t>Carbon tax revenue</t>
  </si>
  <si>
    <t>Carbon tax revenue (% GDP)</t>
  </si>
  <si>
    <t>Primary_energy_21_0</t>
  </si>
  <si>
    <t>Primary_energy_2201_0</t>
  </si>
  <si>
    <t>Primary_energy_2202_0</t>
  </si>
  <si>
    <t>Primary_energy_2301_0</t>
  </si>
  <si>
    <t>Primary_energy_2302_0</t>
  </si>
  <si>
    <t>Primary_energy_2303_0</t>
  </si>
  <si>
    <t>Primary_energy_2304_0</t>
  </si>
  <si>
    <t>Primary_energy_2305_0</t>
  </si>
  <si>
    <t>Primary_energy_2306_0</t>
  </si>
  <si>
    <t>Primary_energy_2307_0</t>
  </si>
  <si>
    <t>Primary_energy_2308_0</t>
  </si>
  <si>
    <t>Primary_energy_2401_0</t>
  </si>
  <si>
    <t>Primary_energy_2402_0</t>
  </si>
  <si>
    <t>Primary_energy_2403_0</t>
  </si>
  <si>
    <t>Primary_energy_2404_0</t>
  </si>
  <si>
    <t>Primary_energy_2405_0</t>
  </si>
  <si>
    <t>Primary_energy_2406_0</t>
  </si>
  <si>
    <t>Total</t>
  </si>
  <si>
    <t>Electric power generation, transmission and distribution</t>
  </si>
  <si>
    <t>Manufacture and distribution of gas</t>
  </si>
  <si>
    <t>Nuclear</t>
  </si>
  <si>
    <t>Fuel</t>
  </si>
  <si>
    <t>Combined gas</t>
  </si>
  <si>
    <t>Coal</t>
  </si>
  <si>
    <t>Wind</t>
  </si>
  <si>
    <t>Solar</t>
  </si>
  <si>
    <t>Hydraulic</t>
  </si>
  <si>
    <t>Natural gas</t>
  </si>
  <si>
    <t>Wood</t>
  </si>
  <si>
    <t>Biogas</t>
  </si>
  <si>
    <t>Waste incineration</t>
  </si>
  <si>
    <t>Geothermal</t>
  </si>
  <si>
    <t>Refined petroleum products</t>
  </si>
  <si>
    <t>Oil</t>
  </si>
  <si>
    <t>Biofuels</t>
  </si>
  <si>
    <t>Cogeneration (CHP)</t>
  </si>
  <si>
    <t>Primary Energy</t>
  </si>
  <si>
    <t>Baseline</t>
  </si>
  <si>
    <t>Scenario ADEME haut</t>
  </si>
  <si>
    <t>Primary_energy_2201_2</t>
  </si>
  <si>
    <t>Primary_energy_2202_2</t>
  </si>
  <si>
    <t>Primary_energy_2301_2</t>
  </si>
  <si>
    <t>Primary_energy_2302_2</t>
  </si>
  <si>
    <t>Primary_energy_2303_2</t>
  </si>
  <si>
    <t>Primary_energy_2304_2</t>
  </si>
  <si>
    <t>Primary_energy_2305_2</t>
  </si>
  <si>
    <t>Primary_energy_2306_2</t>
  </si>
  <si>
    <t>Primary_energy_2307_2</t>
  </si>
  <si>
    <t>Primary_energy_2308_2</t>
  </si>
  <si>
    <t>Primary_energy_2401_2</t>
  </si>
  <si>
    <t>Primary_energy_2402_2</t>
  </si>
  <si>
    <t>Primary_energy_2403_2</t>
  </si>
  <si>
    <t>Primary_energy_2404_2</t>
  </si>
  <si>
    <t>Primary_energy_2405_2</t>
  </si>
  <si>
    <t>Primary_energy_2406_2</t>
  </si>
  <si>
    <t>Primary_energy_21_2</t>
  </si>
  <si>
    <t>Final_energy_2201_0</t>
  </si>
  <si>
    <t>Final_energy_2202_0</t>
  </si>
  <si>
    <t>Final_energy_2301_0</t>
  </si>
  <si>
    <t>Final_energy_2302_0</t>
  </si>
  <si>
    <t>Final_energy_2303_0</t>
  </si>
  <si>
    <t>Final_energy_2304_0</t>
  </si>
  <si>
    <t>Final_energy_2305_0</t>
  </si>
  <si>
    <t>Final_energy_2306_0</t>
  </si>
  <si>
    <t>Final_energy_2307_0</t>
  </si>
  <si>
    <t>Final_energy_2308_0</t>
  </si>
  <si>
    <t>Final_energy_2401_0</t>
  </si>
  <si>
    <t>Final_energy_2402_0</t>
  </si>
  <si>
    <t>Final_energy_2403_0</t>
  </si>
  <si>
    <t>Final_energy_2404_0</t>
  </si>
  <si>
    <t>Final_energy_2405_0</t>
  </si>
  <si>
    <t>Final_energy_2406_0</t>
  </si>
  <si>
    <t>Final_energy_21_0</t>
  </si>
  <si>
    <t>Final_energy_2201_2</t>
  </si>
  <si>
    <t>Final_energy_2202_2</t>
  </si>
  <si>
    <t>Final_energy_2301_2</t>
  </si>
  <si>
    <t>Final_energy_2302_2</t>
  </si>
  <si>
    <t>Final_energy_2303_2</t>
  </si>
  <si>
    <t>Final_energy_2304_2</t>
  </si>
  <si>
    <t>Final_energy_2305_2</t>
  </si>
  <si>
    <t>Final_energy_2306_2</t>
  </si>
  <si>
    <t>Final_energy_2307_2</t>
  </si>
  <si>
    <t>Final_energy_2308_2</t>
  </si>
  <si>
    <t>Final_energy_2401_2</t>
  </si>
  <si>
    <t>Final_energy_2402_2</t>
  </si>
  <si>
    <t>Final_energy_2403_2</t>
  </si>
  <si>
    <t>Final_energy_2404_2</t>
  </si>
  <si>
    <t>Final_energy_2405_2</t>
  </si>
  <si>
    <t>Final_energy_2406_2</t>
  </si>
  <si>
    <t>Final_energy_21_2</t>
  </si>
  <si>
    <t>Macroeconomic Impacts</t>
  </si>
  <si>
    <t>Agriculture</t>
  </si>
  <si>
    <t>Final energy by uses</t>
  </si>
  <si>
    <t>Cible ADEME baseline</t>
  </si>
  <si>
    <t>Cible ADEME haut</t>
  </si>
  <si>
    <t>ThreeME</t>
  </si>
  <si>
    <t>Total Final Mtep</t>
  </si>
  <si>
    <t>Residential</t>
  </si>
  <si>
    <t>Service</t>
  </si>
  <si>
    <t xml:space="preserve">Energy_SEC_02_0 </t>
  </si>
  <si>
    <t xml:space="preserve">Energy_SEC_03_0 </t>
  </si>
  <si>
    <t xml:space="preserve">Energy_SEC_04_0 </t>
  </si>
  <si>
    <t xml:space="preserve">Energy_SEC_05_0 </t>
  </si>
  <si>
    <t xml:space="preserve">Energy_SEC_06_0 </t>
  </si>
  <si>
    <t xml:space="preserve">Energy_SEC_07_0 </t>
  </si>
  <si>
    <t xml:space="preserve">Energy_SEC_08_0 </t>
  </si>
  <si>
    <t xml:space="preserve">Energy_SEC_09_0 </t>
  </si>
  <si>
    <t xml:space="preserve">Energy_SEC_10_0 </t>
  </si>
  <si>
    <t xml:space="preserve">Energy_SEC_11_0 </t>
  </si>
  <si>
    <t xml:space="preserve">Energy_SEC_12_0 </t>
  </si>
  <si>
    <t xml:space="preserve">Energy_SEC_14_0 </t>
  </si>
  <si>
    <t xml:space="preserve">Energy_SEC_15_0 </t>
  </si>
  <si>
    <t xml:space="preserve">Energy_SEC_16_0 </t>
  </si>
  <si>
    <t xml:space="preserve">Energy_SEC_17_0 </t>
  </si>
  <si>
    <t xml:space="preserve">Energy_SEC_18_0 </t>
  </si>
  <si>
    <t xml:space="preserve">Energy_SEC_19_0 </t>
  </si>
  <si>
    <t xml:space="preserve">Energy_SEC_20_0 </t>
  </si>
  <si>
    <t xml:space="preserve">Energy_BUIL_0 </t>
  </si>
  <si>
    <t xml:space="preserve">Energy_SEC_10_2 </t>
  </si>
  <si>
    <t xml:space="preserve">Energy_SEC_11_2 </t>
  </si>
  <si>
    <t xml:space="preserve">Energy_SEC_12_2 </t>
  </si>
  <si>
    <t xml:space="preserve">Energy_SEC_13_2 </t>
  </si>
  <si>
    <t xml:space="preserve">Energy_SEC_14_2 </t>
  </si>
  <si>
    <t xml:space="preserve">Energy_SEC_15_2 </t>
  </si>
  <si>
    <t xml:space="preserve">Energy_SEC_16_2 </t>
  </si>
  <si>
    <t xml:space="preserve">Energy_SEC_17_2 </t>
  </si>
  <si>
    <t xml:space="preserve">Energy_SEC_18_2 </t>
  </si>
  <si>
    <t xml:space="preserve">Energy_SEC_19_2 </t>
  </si>
  <si>
    <t xml:space="preserve">Energy_SEC_20_2 </t>
  </si>
  <si>
    <t xml:space="preserve">Energy_BUIL_2 </t>
  </si>
  <si>
    <t xml:space="preserve">Energy_SEC_01_2 </t>
  </si>
  <si>
    <t xml:space="preserve">Energy_SEC_02_2 </t>
  </si>
  <si>
    <t xml:space="preserve">Energy_SEC_03_2 </t>
  </si>
  <si>
    <t xml:space="preserve">Energy_SEC_04_2 </t>
  </si>
  <si>
    <t xml:space="preserve">Energy_SEC_05_2 </t>
  </si>
  <si>
    <t xml:space="preserve">Energy_SEC_06_2 </t>
  </si>
  <si>
    <t xml:space="preserve">Energy_SEC_07_2 </t>
  </si>
  <si>
    <t xml:space="preserve">Energy_SEC_08_2 </t>
  </si>
  <si>
    <t xml:space="preserve">Energy_SEC_09_2 </t>
  </si>
  <si>
    <t>Energy_SEC_13_0</t>
  </si>
  <si>
    <t>Energy_SEC_01_0</t>
  </si>
  <si>
    <t>Energy_AUTO_0</t>
  </si>
  <si>
    <t xml:space="preserve">Energy_AUTO_2 </t>
  </si>
  <si>
    <t>Cible</t>
  </si>
  <si>
    <t>Industry and agriculture</t>
  </si>
  <si>
    <t>Transport</t>
  </si>
  <si>
    <t xml:space="preserve">Industry </t>
  </si>
  <si>
    <t>AUTO_A_0</t>
  </si>
  <si>
    <t>AUTO_B_0</t>
  </si>
  <si>
    <t>AUTO_C_0</t>
  </si>
  <si>
    <t>AUTO_D_0</t>
  </si>
  <si>
    <t>AUTO_E_0</t>
  </si>
  <si>
    <t>AUTO_F_0</t>
  </si>
  <si>
    <t>AUTO_G_0</t>
  </si>
  <si>
    <t>AUTO_COAL_0</t>
  </si>
  <si>
    <t>AUTO_FUEL_0</t>
  </si>
  <si>
    <t>AUTO_ELEC_0</t>
  </si>
  <si>
    <t>AUTO_GAS_0</t>
  </si>
  <si>
    <t>AUTO_A_2</t>
  </si>
  <si>
    <t>AUTO_B_2</t>
  </si>
  <si>
    <t>AUTO_C_2</t>
  </si>
  <si>
    <t>AUTO_D_2</t>
  </si>
  <si>
    <t>AUTO_E_2</t>
  </si>
  <si>
    <t>AUTO_F_2</t>
  </si>
  <si>
    <t>AUTO_G_2</t>
  </si>
  <si>
    <t>AUTO_COAL_2</t>
  </si>
  <si>
    <t>AUTO_FUEL_2</t>
  </si>
  <si>
    <t>AUTO_ELEC_2</t>
  </si>
  <si>
    <t>AUTO_GAS_2</t>
  </si>
  <si>
    <t>BUIL_A_0</t>
  </si>
  <si>
    <t>BUIL_B_0</t>
  </si>
  <si>
    <t>BUIL_C_0</t>
  </si>
  <si>
    <t>BUIL_D_0</t>
  </si>
  <si>
    <t>BUIL_E_0</t>
  </si>
  <si>
    <t>BUIL_F_0</t>
  </si>
  <si>
    <t>BUIL_G_0</t>
  </si>
  <si>
    <t>PENER_M2_A_0</t>
  </si>
  <si>
    <t>PENER_M2_B_0</t>
  </si>
  <si>
    <t>PENER_M2_C_0</t>
  </si>
  <si>
    <t>PENER_M2_D_0</t>
  </si>
  <si>
    <t>PENER_M2_E_0</t>
  </si>
  <si>
    <t>PENER_M2_F_0</t>
  </si>
  <si>
    <t>PENER_M2_G_0</t>
  </si>
  <si>
    <t>BUIL_A_2</t>
  </si>
  <si>
    <t>BUIL_B_2</t>
  </si>
  <si>
    <t>BUIL_C_2</t>
  </si>
  <si>
    <t>BUIL_D_2</t>
  </si>
  <si>
    <t>BUIL_E_2</t>
  </si>
  <si>
    <t>BUIL_F_2</t>
  </si>
  <si>
    <t>BUIL_G_2</t>
  </si>
  <si>
    <t>PENER_M2_A_2</t>
  </si>
  <si>
    <t>PENER_M2_B_2</t>
  </si>
  <si>
    <t>PENER_M2_C_2</t>
  </si>
  <si>
    <t>PENER_M2_D_2</t>
  </si>
  <si>
    <t>PENER_M2_E_2</t>
  </si>
  <si>
    <t>PENER_M2_F_2</t>
  </si>
  <si>
    <t>PENER_M2_G_2</t>
  </si>
  <si>
    <t>Electricity</t>
  </si>
  <si>
    <t>TOTFINAL_ENERGY_21_0</t>
  </si>
  <si>
    <t>TOTFINAL_ENERGY_2201_0</t>
  </si>
  <si>
    <t>TOTFINAL_ENERGY_2202_0</t>
  </si>
  <si>
    <t>TOTFINAL_ENERGY_2301_0</t>
  </si>
  <si>
    <t>TOTFINAL_ENERGY_2302_0</t>
  </si>
  <si>
    <t>TOTFINAL_ENERGY_2303_0</t>
  </si>
  <si>
    <t>TOTFINAL_ENERGY_2304_0</t>
  </si>
  <si>
    <t>TOTFINAL_ENERGY_2305_0</t>
  </si>
  <si>
    <t>TOTFINAL_ENERGY_2306_0</t>
  </si>
  <si>
    <t>TOTFINAL_ENERGY_2307_0</t>
  </si>
  <si>
    <t>TOTFINAL_ENERGY_2308_0</t>
  </si>
  <si>
    <t>TOTFINAL_ENERGY_2401_0</t>
  </si>
  <si>
    <t>TOTFINAL_ENERGY_2402_0</t>
  </si>
  <si>
    <t>TOTFINAL_ENERGY_2403_0</t>
  </si>
  <si>
    <t>TOTFINAL_ENERGY_2404_0</t>
  </si>
  <si>
    <t>TOTFINAL_ENERGY_2405_0</t>
  </si>
  <si>
    <t>TOTFINAL_ENERGY_2406_0</t>
  </si>
  <si>
    <t>TOTFINAL_ENERGY_21_2</t>
  </si>
  <si>
    <t>TOTFINAL_ENERGY_2201_2</t>
  </si>
  <si>
    <t>TOTFINAL_ENERGY_2202_2</t>
  </si>
  <si>
    <t>TOTFINAL_ENERGY_2301_2</t>
  </si>
  <si>
    <t>TOTFINAL_ENERGY_2302_2</t>
  </si>
  <si>
    <t>TOTFINAL_ENERGY_2303_2</t>
  </si>
  <si>
    <t>TOTFINAL_ENERGY_2304_2</t>
  </si>
  <si>
    <t>TOTFINAL_ENERGY_2305_2</t>
  </si>
  <si>
    <t>TOTFINAL_ENERGY_2306_2</t>
  </si>
  <si>
    <t>TOTFINAL_ENERGY_2307_2</t>
  </si>
  <si>
    <t>TOTFINAL_ENERGY_2308_2</t>
  </si>
  <si>
    <t>TOTFINAL_ENERGY_2401_2</t>
  </si>
  <si>
    <t>TOTFINAL_ENERGY_2402_2</t>
  </si>
  <si>
    <t>TOTFINAL_ENERGY_2403_2</t>
  </si>
  <si>
    <t>TOTFINAL_ENERGY_2404_2</t>
  </si>
  <si>
    <t>TOTFINAL_ENERGY_2405_2</t>
  </si>
  <si>
    <t>TOTFINAL_ENERGY_2406_2</t>
  </si>
  <si>
    <t>Final Energy (excluding energy for industrial use and exported energy)</t>
  </si>
  <si>
    <t>Tertiary</t>
  </si>
  <si>
    <t>Personal vehicles</t>
  </si>
  <si>
    <t xml:space="preserve">Public and freight transport </t>
  </si>
  <si>
    <t>scen_ademehaut_test1</t>
  </si>
  <si>
    <t>scen_ademehaut_test2</t>
  </si>
  <si>
    <t>scen_ademehaut_test3</t>
  </si>
  <si>
    <t>scen_ademehaut_test4</t>
  </si>
  <si>
    <t>scen_ademehaut_test5</t>
  </si>
  <si>
    <t>scen_ademehaut_test6</t>
  </si>
  <si>
    <t>scen_ademehaut_test7</t>
  </si>
  <si>
    <t>scen_ademehaut_test8</t>
  </si>
  <si>
    <t>SCEN_ADEMEhaut</t>
  </si>
  <si>
    <t>Real GDP
Scenario ADEME haut</t>
  </si>
  <si>
    <t>CO2 Emissions
Scenario ADEME haut</t>
  </si>
  <si>
    <t>PHI_NEWAUTO_CA_0</t>
  </si>
  <si>
    <t>PHI_NEWAUTO_CB_0</t>
  </si>
  <si>
    <t>PHI_NEWAUTO_CC_0</t>
  </si>
  <si>
    <t>PHI_NEWAUTO_CD_0</t>
  </si>
  <si>
    <t>PHI_NEWAUTO_CE_0</t>
  </si>
  <si>
    <t>PHI_NEWAUTO_CF_0</t>
  </si>
  <si>
    <t>PHI_NEWAUTO_CG_0</t>
  </si>
  <si>
    <t>PHI_NEWAUTO_CA_2</t>
  </si>
  <si>
    <t>PHI_NEWAUTO_CB_2</t>
  </si>
  <si>
    <t>PHI_NEWAUTO_CC_2</t>
  </si>
  <si>
    <t>PHI_NEWAUTO_CD_2</t>
  </si>
  <si>
    <t>PHI_NEWAUTO_CE_2</t>
  </si>
  <si>
    <t>PHI_NEWAUTO_CF_2</t>
  </si>
  <si>
    <t>PHI_NEWAUTO_CG_2</t>
  </si>
  <si>
    <t>TAU_REHAB_CB_0</t>
  </si>
  <si>
    <t>TAU_REHAB_CC_0</t>
  </si>
  <si>
    <t>TAU_REHAB_CD_0</t>
  </si>
  <si>
    <t>TAU_REHAB_CE_0</t>
  </si>
  <si>
    <t>TAU_REHAB_CF_0</t>
  </si>
  <si>
    <t>TAU_REHAB_CG_0</t>
  </si>
  <si>
    <t>TAU_REHAB_N_CB_0</t>
  </si>
  <si>
    <t>TAU_REHAB_N_CC_0</t>
  </si>
  <si>
    <t>TAU_REHAB_N_CD_0</t>
  </si>
  <si>
    <t>TAU_REHAB_N_CE_0</t>
  </si>
  <si>
    <t>TAU_REHAB_N_CF_0</t>
  </si>
  <si>
    <t>TAU_REHAB_N_CG_0</t>
  </si>
  <si>
    <t>TAU_REHAB_CB_2</t>
  </si>
  <si>
    <t>TAU_REHAB_CC_2</t>
  </si>
  <si>
    <t>TAU_REHAB_CD_2</t>
  </si>
  <si>
    <t>TAU_REHAB_CE_2</t>
  </si>
  <si>
    <t>TAU_REHAB_CF_2</t>
  </si>
  <si>
    <t>TAU_REHAB_CG_2</t>
  </si>
  <si>
    <t>TAU_REHAB_N_CB_2</t>
  </si>
  <si>
    <t>TAU_REHAB_N_CC_2</t>
  </si>
  <si>
    <t>TAU_REHAB_N_CD_2</t>
  </si>
  <si>
    <t>TAU_REHAB_N_CE_2</t>
  </si>
  <si>
    <t>TAU_REHAB_N_CF_2</t>
  </si>
  <si>
    <t>TAU_REHAB_N_CG_2</t>
  </si>
  <si>
    <t>Sectorial Impacts</t>
  </si>
  <si>
    <t>VA_01_DIF</t>
  </si>
  <si>
    <t>VA_02_DIF</t>
  </si>
  <si>
    <t>VA_03_DIF</t>
  </si>
  <si>
    <t>VA_04_DIF</t>
  </si>
  <si>
    <t>VA_05_DIF</t>
  </si>
  <si>
    <t>VA_06_DIF</t>
  </si>
  <si>
    <t>VA_07_DIF</t>
  </si>
  <si>
    <t>VA_08_DIF</t>
  </si>
  <si>
    <t>VA_09_DIF</t>
  </si>
  <si>
    <t>VA_10_DIF</t>
  </si>
  <si>
    <t>VA_11_DIF</t>
  </si>
  <si>
    <t>VA_12_DIF</t>
  </si>
  <si>
    <t>VA_13_DIF</t>
  </si>
  <si>
    <t>VA_14_DIF</t>
  </si>
  <si>
    <t>VA_15_DIF</t>
  </si>
  <si>
    <t>VA_16_DIF</t>
  </si>
  <si>
    <t>VA_17_DIF</t>
  </si>
  <si>
    <t>VA_18_DIF</t>
  </si>
  <si>
    <t>VA_19_DIF</t>
  </si>
  <si>
    <t>VA_20_DIF</t>
  </si>
  <si>
    <t>VA_21_DIF</t>
  </si>
  <si>
    <t>VA_2201_DIF</t>
  </si>
  <si>
    <t>VA_2202_DIF</t>
  </si>
  <si>
    <t>VA_2301_DIF</t>
  </si>
  <si>
    <t>VA_2302_DIF</t>
  </si>
  <si>
    <t>VA_2303_DIF</t>
  </si>
  <si>
    <t>VA_2304_DIF</t>
  </si>
  <si>
    <t>VA_2305_DIF</t>
  </si>
  <si>
    <t>VA_2306_DIF</t>
  </si>
  <si>
    <t>VA_2307_DIF</t>
  </si>
  <si>
    <t>VA_2308_DIF</t>
  </si>
  <si>
    <t>VA_2401_DIF</t>
  </si>
  <si>
    <t>VA_2402_DIF</t>
  </si>
  <si>
    <t>VA_2403_DIF</t>
  </si>
  <si>
    <t>VA_2404_DIF</t>
  </si>
  <si>
    <t>VA_2405_DIF</t>
  </si>
  <si>
    <t>VA_2406_DIF</t>
  </si>
  <si>
    <t>Agriculture, forestry and fishing</t>
  </si>
  <si>
    <t>Manufacture of food products and beverages</t>
  </si>
  <si>
    <t>Manufacture of motor vehicles, trailers and semi-trailers</t>
  </si>
  <si>
    <t>Manufacture of glass and glass products</t>
  </si>
  <si>
    <t>Manufacture of ceramic products and building materials</t>
  </si>
  <si>
    <t>Manufacture of articles of paper and paperboard</t>
  </si>
  <si>
    <t>Manufacture of inorganic basic chemicals</t>
  </si>
  <si>
    <t>Manufacture of organic basic chemicals</t>
  </si>
  <si>
    <t>Manufacture of plastics products</t>
  </si>
  <si>
    <t>Manufacture of basic iron and steel and of ferro-alloys</t>
  </si>
  <si>
    <t>Manufacture of non-ferrous metals</t>
  </si>
  <si>
    <t>Other industries</t>
  </si>
  <si>
    <t>Construction of buildings and Civil engineering</t>
  </si>
  <si>
    <t xml:space="preserve">Rail transport (Passenger and Freight) </t>
  </si>
  <si>
    <t>Passenger transport by road</t>
  </si>
  <si>
    <t>Freight transport by road and transport via pipeline</t>
  </si>
  <si>
    <t>Water transport</t>
  </si>
  <si>
    <t>Air transport</t>
  </si>
  <si>
    <t>Business services</t>
  </si>
  <si>
    <t>Public services</t>
  </si>
  <si>
    <t>ADDED VALUE</t>
  </si>
  <si>
    <t>Industry and Agriculture</t>
  </si>
  <si>
    <t>Gaz</t>
  </si>
  <si>
    <t>IA_01_DIF</t>
  </si>
  <si>
    <t>IA_02_DIF</t>
  </si>
  <si>
    <t>IA_03_DIF</t>
  </si>
  <si>
    <t>IA_04_DIF</t>
  </si>
  <si>
    <t>IA_05_DIF</t>
  </si>
  <si>
    <t>IA_06_DIF</t>
  </si>
  <si>
    <t>IA_07_DIF</t>
  </si>
  <si>
    <t>IA_08_DIF</t>
  </si>
  <si>
    <t>IA_09_DIF</t>
  </si>
  <si>
    <t>IA_10_DIF</t>
  </si>
  <si>
    <t>IA_11_DIF</t>
  </si>
  <si>
    <t>IA_12_DIF</t>
  </si>
  <si>
    <t>IA_13_DIF</t>
  </si>
  <si>
    <t>IA_14_DIF</t>
  </si>
  <si>
    <t>IA_15_DIF</t>
  </si>
  <si>
    <t>IA_16_DIF</t>
  </si>
  <si>
    <t>IA_17_DIF</t>
  </si>
  <si>
    <t>IA_18_DIF</t>
  </si>
  <si>
    <t>IA_19_DIF</t>
  </si>
  <si>
    <t>IA_20_DIF</t>
  </si>
  <si>
    <t>IA_21_DIF</t>
  </si>
  <si>
    <t>IA_2201_DIF</t>
  </si>
  <si>
    <t>IA_2202_DIF</t>
  </si>
  <si>
    <t>IA_2301_DIF</t>
  </si>
  <si>
    <t>IA_2302_DIF</t>
  </si>
  <si>
    <t>IA_2303_DIF</t>
  </si>
  <si>
    <t>IA_2304_DIF</t>
  </si>
  <si>
    <t>IA_2305_DIF</t>
  </si>
  <si>
    <t>IA_2306_DIF</t>
  </si>
  <si>
    <t>IA_2307_DIF</t>
  </si>
  <si>
    <t>IA_2308_DIF</t>
  </si>
  <si>
    <t>IA_2401_DIF</t>
  </si>
  <si>
    <t>IA_2402_DIF</t>
  </si>
  <si>
    <t>IA_2403_DIF</t>
  </si>
  <si>
    <t>IA_2404_DIF</t>
  </si>
  <si>
    <t>IA_2405_DIF</t>
  </si>
  <si>
    <t>IA_2406_DIF</t>
  </si>
  <si>
    <t>INVESTMENT</t>
  </si>
  <si>
    <t>CONSUMPTION</t>
  </si>
  <si>
    <t>Energy</t>
  </si>
  <si>
    <t>CH_01_DIF</t>
  </si>
  <si>
    <t>CH_02_DIF</t>
  </si>
  <si>
    <t>CH_03_DIF</t>
  </si>
  <si>
    <t>CH_04_DIF</t>
  </si>
  <si>
    <t>CH_05_DIF</t>
  </si>
  <si>
    <t>CH_06_DIF</t>
  </si>
  <si>
    <t>CH_07_DIF</t>
  </si>
  <si>
    <t>CH_08_DIF</t>
  </si>
  <si>
    <t>CH_09_DIF</t>
  </si>
  <si>
    <t>CH_10_DIF</t>
  </si>
  <si>
    <t>CH_11_DIF</t>
  </si>
  <si>
    <t>CH_12_DIF</t>
  </si>
  <si>
    <t>CH_13_DIF</t>
  </si>
  <si>
    <t>CH_14_DIF</t>
  </si>
  <si>
    <t>CH_15_DIF</t>
  </si>
  <si>
    <t>CH_16_DIF</t>
  </si>
  <si>
    <t>CH_17_DIF</t>
  </si>
  <si>
    <t>CH_18_DIF</t>
  </si>
  <si>
    <t>CH_19_DIF</t>
  </si>
  <si>
    <t>CH_20_DIF</t>
  </si>
  <si>
    <t>CH_21_DIF</t>
  </si>
  <si>
    <t>CH_22_DIF</t>
  </si>
  <si>
    <t>CH_23_DIF</t>
  </si>
  <si>
    <t>CH_24_DIF</t>
  </si>
  <si>
    <t>Carbon tax Coal</t>
  </si>
  <si>
    <t>Carbon Tax Oil</t>
  </si>
  <si>
    <t>Carbon tax Gaz</t>
  </si>
  <si>
    <t>Carbon_tax_21</t>
  </si>
  <si>
    <t>Carbon_tax_22</t>
  </si>
  <si>
    <t>Carbon_tax_24</t>
  </si>
  <si>
    <t>Implicite Carbon tax (Current Price)</t>
  </si>
  <si>
    <t xml:space="preserve">Coal </t>
  </si>
  <si>
    <t>Implicite Carbon tax (Constant Price)</t>
  </si>
  <si>
    <t>electricity</t>
  </si>
  <si>
    <t xml:space="preserve">energy_price_signal_24 </t>
  </si>
  <si>
    <t>energy_price_signal</t>
  </si>
  <si>
    <t>energy_price_signal_21</t>
  </si>
  <si>
    <t>energy_price_signal_22</t>
  </si>
  <si>
    <t>energy_price_signal_23</t>
  </si>
  <si>
    <t>Ttco_signal_21</t>
  </si>
  <si>
    <t>Ttco_signal_22</t>
  </si>
  <si>
    <t>Ttco_signal_24</t>
  </si>
  <si>
    <t>Ttco_signal</t>
  </si>
  <si>
    <t>Ttco_vol_signal</t>
  </si>
  <si>
    <t>Ttco_vol_signal_22</t>
  </si>
  <si>
    <t>Ttco_vol_signal_21</t>
  </si>
  <si>
    <t>Ttco_vol_signal_24</t>
  </si>
  <si>
    <t>Energy price signal (Euro/TOE)</t>
  </si>
  <si>
    <t>Nuclear power</t>
  </si>
  <si>
    <t>Thermal power station</t>
  </si>
  <si>
    <t>Renewables</t>
  </si>
  <si>
    <t>BASELINE ENERGY MIX</t>
  </si>
  <si>
    <t>PRIMARY ENERGY</t>
  </si>
  <si>
    <t>FINAL ENERGY</t>
  </si>
  <si>
    <t>SCENARIO HAUT ADEME ENERGY MIX</t>
  </si>
  <si>
    <t xml:space="preserve">DISPINC_BAU </t>
  </si>
  <si>
    <t>DISPINC_ADEMEHAUT</t>
  </si>
  <si>
    <t>CARBON_TAX_21</t>
  </si>
  <si>
    <t>CARBON_TAX_22</t>
  </si>
  <si>
    <t>CARBON_TAX_24</t>
  </si>
  <si>
    <t>TTCO_SIGNAL_21</t>
  </si>
  <si>
    <t>TTCO_SIGNAL_22</t>
  </si>
  <si>
    <t>TTCO_SIGNAL_24</t>
  </si>
  <si>
    <t>TTCO_VOL_SIGNAL_21</t>
  </si>
  <si>
    <t>TTCO_VOL_SIGNAL_22</t>
  </si>
  <si>
    <t>TTCO_VOL_SIGNAL_24</t>
  </si>
  <si>
    <t>TTCO_SIGNAL</t>
  </si>
  <si>
    <t>TTCO_VOL_SIGNAL</t>
  </si>
  <si>
    <t>ENERGY_PRICE_SIGNAL</t>
  </si>
  <si>
    <t>ENERGY_PRICE_SIGNAL_21</t>
  </si>
  <si>
    <t>ENERGY_PRICE_SIGNAL_22</t>
  </si>
  <si>
    <t>ENERGY_PRICE_SIGNAL_23</t>
  </si>
  <si>
    <t>ENERGY_PRICE_SIGNAL_24</t>
  </si>
  <si>
    <t>VA_DIF</t>
  </si>
  <si>
    <t>PHI_NEWAUTO_N_CA_0</t>
  </si>
  <si>
    <t>PHI_NEWAUTO_N_CB_0</t>
  </si>
  <si>
    <t>PHI_NEWAUTO_N_CC_0</t>
  </si>
  <si>
    <t>PHI_NEWAUTO_N_CD_0</t>
  </si>
  <si>
    <t>PHI_NEWAUTO_N_CE_0</t>
  </si>
  <si>
    <t>PHI_NEWAUTO_N_CF_0</t>
  </si>
  <si>
    <t>PHI_NEWAUTO_N_CG_0</t>
  </si>
  <si>
    <t>PHI_NEWAUTO_N_CA_2</t>
  </si>
  <si>
    <t>PHI_NEWAUTO_N_CB_2</t>
  </si>
  <si>
    <t>PHI_NEWAUTO_N_CC_2</t>
  </si>
  <si>
    <t>PHI_NEWAUTO_N_CD_2</t>
  </si>
  <si>
    <t>PHI_NEWAUTO_N_CE_2</t>
  </si>
  <si>
    <t>PHI_NEWAUTO_N_CF_2</t>
  </si>
  <si>
    <t>PHI_NEWAUTO_N_CG_2</t>
  </si>
  <si>
    <t>DISPINC_BAU</t>
  </si>
  <si>
    <t>Disposable income (excluded energy)</t>
  </si>
  <si>
    <t>Reference Sc.</t>
  </si>
  <si>
    <t>ADEME High Sc.</t>
  </si>
  <si>
    <t>CH_21_BAU</t>
  </si>
  <si>
    <t>CH_22_BAU</t>
  </si>
  <si>
    <t>CH_23_BAU</t>
  </si>
  <si>
    <t>CH_24_BAU</t>
  </si>
  <si>
    <t>CH_21_ADEMEHAUT</t>
  </si>
  <si>
    <t>CH_22_ADEMEHAUT</t>
  </si>
  <si>
    <t>CH_23_ADEMEHAUT</t>
  </si>
  <si>
    <t>CH_24_ADEMEHAUT</t>
  </si>
  <si>
    <t>IA_01_BAU</t>
  </si>
  <si>
    <t>IA_02_BAU</t>
  </si>
  <si>
    <t>IA_03_BAU</t>
  </si>
  <si>
    <t>IA_04_BAU</t>
  </si>
  <si>
    <t>IA_05_BAU</t>
  </si>
  <si>
    <t>IA_06_BAU</t>
  </si>
  <si>
    <t>IA_07_BAU</t>
  </si>
  <si>
    <t>IA_08_BAU</t>
  </si>
  <si>
    <t>IA_09_BAU</t>
  </si>
  <si>
    <t>IA_10_BAU</t>
  </si>
  <si>
    <t>IA_11_BAU</t>
  </si>
  <si>
    <t>IA_12_BAU</t>
  </si>
  <si>
    <t>IA_13_BAU</t>
  </si>
  <si>
    <t>IA_14_BAU</t>
  </si>
  <si>
    <t>IA_15_BAU</t>
  </si>
  <si>
    <t>IA_16_BAU</t>
  </si>
  <si>
    <t>IA_17_BAU</t>
  </si>
  <si>
    <t>IA_18_BAU</t>
  </si>
  <si>
    <t>IA_19_BAU</t>
  </si>
  <si>
    <t>IA_20_BAU</t>
  </si>
  <si>
    <t>IA_21_BAU</t>
  </si>
  <si>
    <t>IA_2201_BAU</t>
  </si>
  <si>
    <t>IA_2202_BAU</t>
  </si>
  <si>
    <t>IA_2301_BAU</t>
  </si>
  <si>
    <t>IA_2302_BAU</t>
  </si>
  <si>
    <t>IA_2303_BAU</t>
  </si>
  <si>
    <t>IA_2304_BAU</t>
  </si>
  <si>
    <t>IA_2305_BAU</t>
  </si>
  <si>
    <t>IA_2306_BAU</t>
  </si>
  <si>
    <t>IA_2307_BAU</t>
  </si>
  <si>
    <t>IA_2308_BAU</t>
  </si>
  <si>
    <t>IA_2401_BAU</t>
  </si>
  <si>
    <t>IA_2402_BAU</t>
  </si>
  <si>
    <t>IA_2403_BAU</t>
  </si>
  <si>
    <t>IA_2404_BAU</t>
  </si>
  <si>
    <t>IA_2405_BAU</t>
  </si>
  <si>
    <t>IA_2406_BAU</t>
  </si>
  <si>
    <t>IA_01_ADEMEHAUT</t>
  </si>
  <si>
    <t>IA_02_ADEMEHAUT</t>
  </si>
  <si>
    <t>IA_03_ADEMEHAUT</t>
  </si>
  <si>
    <t>IA_04_ADEMEHAUT</t>
  </si>
  <si>
    <t>IA_05_ADEMEHAUT</t>
  </si>
  <si>
    <t>IA_06_ADEMEHAUT</t>
  </si>
  <si>
    <t>IA_07_ADEMEHAUT</t>
  </si>
  <si>
    <t>IA_08_ADEMEHAUT</t>
  </si>
  <si>
    <t>IA_09_ADEMEHAUT</t>
  </si>
  <si>
    <t>IA_10_ADEMEHAUT</t>
  </si>
  <si>
    <t>IA_11_ADEMEHAUT</t>
  </si>
  <si>
    <t>IA_12_ADEMEHAUT</t>
  </si>
  <si>
    <t>IA_13_ADEMEHAUT</t>
  </si>
  <si>
    <t>IA_14_ADEMEHAUT</t>
  </si>
  <si>
    <t>IA_15_ADEMEHAUT</t>
  </si>
  <si>
    <t>IA_16_ADEMEHAUT</t>
  </si>
  <si>
    <t>IA_17_ADEMEHAUT</t>
  </si>
  <si>
    <t>IA_18_ADEMEHAUT</t>
  </si>
  <si>
    <t>IA_19_ADEMEHAUT</t>
  </si>
  <si>
    <t>IA_20_ADEMEHAUT</t>
  </si>
  <si>
    <t>IA_21_ADEMEHAUT</t>
  </si>
  <si>
    <t>IA_2201_ADEMEHAUT</t>
  </si>
  <si>
    <t>IA_2202_ADEMEHAUT</t>
  </si>
  <si>
    <t>IA_2301_ADEMEHAUT</t>
  </si>
  <si>
    <t>IA_2302_ADEMEHAUT</t>
  </si>
  <si>
    <t>IA_2303_ADEMEHAUT</t>
  </si>
  <si>
    <t>IA_2304_ADEMEHAUT</t>
  </si>
  <si>
    <t>IA_2305_ADEMEHAUT</t>
  </si>
  <si>
    <t>IA_2306_ADEMEHAUT</t>
  </si>
  <si>
    <t>IA_2307_ADEMEHAUT</t>
  </si>
  <si>
    <t>IA_2308_ADEMEHAUT</t>
  </si>
  <si>
    <t>IA_2401_ADEMEHAUT</t>
  </si>
  <si>
    <t>IA_2402_ADEMEHAUT</t>
  </si>
  <si>
    <t>IA_2403_ADEMEHAUT</t>
  </si>
  <si>
    <t>IA_2404_ADEMEHAUT</t>
  </si>
  <si>
    <t>IA_2405_ADEMEHAUT</t>
  </si>
  <si>
    <t>IA_2406_ADEMEHAUT</t>
  </si>
  <si>
    <t>EXP_REHAB_BAU</t>
  </si>
  <si>
    <t>EXP_NEWBUIL_BAU</t>
  </si>
  <si>
    <t>EXP_NEWAUTO_CA_BAU</t>
  </si>
  <si>
    <t>EXP_NEWAUTO_CB_BAU</t>
  </si>
  <si>
    <t>EXP_NEWAUTO_CC_BAU</t>
  </si>
  <si>
    <t>EXP_NEWAUTO_CD_BAU</t>
  </si>
  <si>
    <t>EXP_NEWAUTO_CE_BAU</t>
  </si>
  <si>
    <t>EXP_NEWAUTO_CF_BAU</t>
  </si>
  <si>
    <t>EXP_NEWAUTO_CG_BAU</t>
  </si>
  <si>
    <t>EXP_REHAB_ADEMEHAUT</t>
  </si>
  <si>
    <t>EXP_NEWBUIL_ADEMEHAUT</t>
  </si>
  <si>
    <t>EXP_NEWAUTO_CA_ADEMEHAUT</t>
  </si>
  <si>
    <t>EXP_NEWAUTO_CB_ADEMEHAUT</t>
  </si>
  <si>
    <t>EXP_NEWAUTO_CC_ADEMEHAUT</t>
  </si>
  <si>
    <t>EXP_NEWAUTO_CD_ADEMEHAUT</t>
  </si>
  <si>
    <t>EXP_NEWAUTO_CE_ADEMEHAUT</t>
  </si>
  <si>
    <t>EXP_NEWAUTO_CF_ADEMEHAUT</t>
  </si>
  <si>
    <t>EXP_NEWAUTO_CG_ADEMEHAUT</t>
  </si>
  <si>
    <t>IA_BAU</t>
  </si>
  <si>
    <t>IA_ADEMEHAUT</t>
  </si>
  <si>
    <t>Reference SC</t>
  </si>
  <si>
    <t>Low carbon vehicles (classes A, B , C)</t>
  </si>
  <si>
    <t>Other vehicles</t>
  </si>
  <si>
    <t>Public transport</t>
  </si>
  <si>
    <t>Fossil fuel</t>
  </si>
  <si>
    <t>Renewable energy</t>
  </si>
  <si>
    <t>Nuclear Power</t>
  </si>
  <si>
    <t>Thermal Power station</t>
  </si>
  <si>
    <t>Housing Renovation</t>
  </si>
  <si>
    <t>Other investments</t>
  </si>
  <si>
    <t>ADEME high Sc.</t>
  </si>
  <si>
    <t>Reference 2015</t>
  </si>
  <si>
    <t>TOTAL</t>
  </si>
  <si>
    <t>Disposable income (excluded energy and Debt burden)</t>
  </si>
  <si>
    <t>EXP_BUIL_BAU</t>
  </si>
  <si>
    <t>EXP_BUIL_21_BAU</t>
  </si>
  <si>
    <t>EXP_BUIL_22_BAU</t>
  </si>
  <si>
    <t>EXP_BUIL_23_BAU</t>
  </si>
  <si>
    <t>EXP_BUIL_24_BAU</t>
  </si>
  <si>
    <t>EXP_BUIL_ADEMEHAUT</t>
  </si>
  <si>
    <t>EXP_BUIL_21_ADEMEHAUT</t>
  </si>
  <si>
    <t>EXP_BUIL_22_ADEMEHAUT</t>
  </si>
  <si>
    <t>EXP_BUIL_23_ADEMEHAUT</t>
  </si>
  <si>
    <t>EXP_BUIL_24_ADEMEHAUT</t>
  </si>
  <si>
    <t>EXP_HOUSING_BAU</t>
  </si>
  <si>
    <t>EXP_MOBAUTO_BAU</t>
  </si>
  <si>
    <t>EXP_HOUSING_ADEMEHAUT</t>
  </si>
  <si>
    <t>EXP_MOBAUTO_ADEMEHAUT</t>
  </si>
  <si>
    <t>Energy_BUIL_BAU</t>
  </si>
  <si>
    <t>Energy_BUIL_21_BAU</t>
  </si>
  <si>
    <t>Energy_BUIL_22_BAU</t>
  </si>
  <si>
    <t>Energy_BUIL_23_BAU</t>
  </si>
  <si>
    <t>Energy_BUIL_24_BAU</t>
  </si>
  <si>
    <t>Energy_BUIL_ADEMEHAUT</t>
  </si>
  <si>
    <t>Energy_BUIL_21_ADEMEHAUT</t>
  </si>
  <si>
    <t>Energy_BUIL_22_ADEMEHAUT</t>
  </si>
  <si>
    <t>Energy_BUIL_23_ADEMEHAUT</t>
  </si>
  <si>
    <t>Energy_BUIL_24_ADEMEHAUT</t>
  </si>
  <si>
    <t>ENERGY_BUIL_BAU</t>
  </si>
  <si>
    <t>ENERGY_BUIL_21_BAU</t>
  </si>
  <si>
    <t>ENERGY_BUIL_22_BAU</t>
  </si>
  <si>
    <t>ENERGY_BUIL_23_BAU</t>
  </si>
  <si>
    <t>ENERGY_BUIL_24_BAU</t>
  </si>
  <si>
    <t>ENERGY_BUIL_ADEMEHAUT</t>
  </si>
  <si>
    <t>ENERGY_BUIL_21_ADEMEHAUT</t>
  </si>
  <si>
    <t>ENERGY_BUIL_22_ADEMEHAUT</t>
  </si>
  <si>
    <t>ENERGY_BUIL_23_ADEMEHAUT</t>
  </si>
  <si>
    <t>ENERGY_BUIL_24_ADEMEHAUT</t>
  </si>
  <si>
    <t>L_01_BAU</t>
  </si>
  <si>
    <t>L_02_BAU</t>
  </si>
  <si>
    <t>L_03_BAU</t>
  </si>
  <si>
    <t>L_04_BAU</t>
  </si>
  <si>
    <t>L_05_BAU</t>
  </si>
  <si>
    <t>L_06_BAU</t>
  </si>
  <si>
    <t>L_07_BAU</t>
  </si>
  <si>
    <t>L_08_BAU</t>
  </si>
  <si>
    <t>L_09_BAU</t>
  </si>
  <si>
    <t>L_10_BAU</t>
  </si>
  <si>
    <t>L_11_BAU</t>
  </si>
  <si>
    <t>L_12_BAU</t>
  </si>
  <si>
    <t>L_13_BAU</t>
  </si>
  <si>
    <t>L_14_BAU</t>
  </si>
  <si>
    <t>L_15_BAU</t>
  </si>
  <si>
    <t>L_16_BAU</t>
  </si>
  <si>
    <t>L_17_BAU</t>
  </si>
  <si>
    <t>L_18_BAU</t>
  </si>
  <si>
    <t>L_19_BAU</t>
  </si>
  <si>
    <t>L_20_BAU</t>
  </si>
  <si>
    <t>L_21_BAU</t>
  </si>
  <si>
    <t>L_2201_BAU</t>
  </si>
  <si>
    <t>L_2202_BAU</t>
  </si>
  <si>
    <t>L_2301_BAU</t>
  </si>
  <si>
    <t>L_2302_BAU</t>
  </si>
  <si>
    <t>L_2303_BAU</t>
  </si>
  <si>
    <t>L_2304_BAU</t>
  </si>
  <si>
    <t>L_2305_BAU</t>
  </si>
  <si>
    <t>L_2306_BAU</t>
  </si>
  <si>
    <t>L_2307_BAU</t>
  </si>
  <si>
    <t>L_2308_BAU</t>
  </si>
  <si>
    <t>L_2401_BAU</t>
  </si>
  <si>
    <t>L_2402_BAU</t>
  </si>
  <si>
    <t>L_2403_BAU</t>
  </si>
  <si>
    <t>L_2404_BAU</t>
  </si>
  <si>
    <t>L_2405_BAU</t>
  </si>
  <si>
    <t>L_2406_BAU</t>
  </si>
  <si>
    <t>L_BAU</t>
  </si>
  <si>
    <t>L_ADEMEHAUT</t>
  </si>
  <si>
    <t>L_01_ADEMEHAUT</t>
  </si>
  <si>
    <t>L_02_ADEMEHAUT</t>
  </si>
  <si>
    <t>L_03_ADEMEHAUT</t>
  </si>
  <si>
    <t>L_04_ADEMEHAUT</t>
  </si>
  <si>
    <t>L_05_ADEMEHAUT</t>
  </si>
  <si>
    <t>L_06_ADEMEHAUT</t>
  </si>
  <si>
    <t>L_07_ADEMEHAUT</t>
  </si>
  <si>
    <t>L_08_ADEMEHAUT</t>
  </si>
  <si>
    <t>L_09_ADEMEHAUT</t>
  </si>
  <si>
    <t>L_10_ADEMEHAUT</t>
  </si>
  <si>
    <t>L_11_ADEMEHAUT</t>
  </si>
  <si>
    <t>L_12_ADEMEHAUT</t>
  </si>
  <si>
    <t>L_13_ADEMEHAUT</t>
  </si>
  <si>
    <t>L_14_ADEMEHAUT</t>
  </si>
  <si>
    <t>L_15_ADEMEHAUT</t>
  </si>
  <si>
    <t>L_16_ADEMEHAUT</t>
  </si>
  <si>
    <t>L_17_ADEMEHAUT</t>
  </si>
  <si>
    <t>L_18_ADEMEHAUT</t>
  </si>
  <si>
    <t>L_19_ADEMEHAUT</t>
  </si>
  <si>
    <t>L_20_ADEMEHAUT</t>
  </si>
  <si>
    <t>L_21_ADEMEHAUT</t>
  </si>
  <si>
    <t>L_2201_ADEMEHAUT</t>
  </si>
  <si>
    <t>L_2202_ADEMEHAUT</t>
  </si>
  <si>
    <t>L_2301_ADEMEHAUT</t>
  </si>
  <si>
    <t>L_2302_ADEMEHAUT</t>
  </si>
  <si>
    <t>L_2303_ADEMEHAUT</t>
  </si>
  <si>
    <t>L_2304_ADEMEHAUT</t>
  </si>
  <si>
    <t>L_2305_ADEMEHAUT</t>
  </si>
  <si>
    <t>L_2306_ADEMEHAUT</t>
  </si>
  <si>
    <t>L_2307_ADEMEHAUT</t>
  </si>
  <si>
    <t>L_2308_ADEMEHAUT</t>
  </si>
  <si>
    <t>L_2401_ADEMEHAUT</t>
  </si>
  <si>
    <t>L_2402_ADEMEHAUT</t>
  </si>
  <si>
    <t>L_2403_ADEMEHAUT</t>
  </si>
  <si>
    <t>L_2404_ADEMEHAUT</t>
  </si>
  <si>
    <t>L_2405_ADEMEHAUT</t>
  </si>
  <si>
    <t>L_2406_ADEMEHAUT</t>
  </si>
  <si>
    <t>L_2-L_0</t>
  </si>
  <si>
    <t>Food Industry</t>
  </si>
  <si>
    <t>Automotive industry</t>
  </si>
  <si>
    <t>Construction</t>
  </si>
  <si>
    <t>Road transportation (goods)</t>
  </si>
  <si>
    <t>Road trnasportation (passengers)</t>
  </si>
  <si>
    <t>Fossil fuels</t>
  </si>
  <si>
    <t>Oil products</t>
  </si>
  <si>
    <t>Biofuel</t>
  </si>
  <si>
    <t>Renewable electricity</t>
  </si>
  <si>
    <t>Renewable heating</t>
  </si>
  <si>
    <t>Renewable energies</t>
  </si>
  <si>
    <t>ADEMEHAUT - BAU</t>
  </si>
  <si>
    <t>Railroad</t>
  </si>
  <si>
    <t>L_2302</t>
  </si>
  <si>
    <t>L_2303</t>
  </si>
  <si>
    <t>L_2304</t>
  </si>
  <si>
    <t>L_2305</t>
  </si>
  <si>
    <t>L_2306</t>
  </si>
  <si>
    <t>L_2307</t>
  </si>
  <si>
    <t>L_2308</t>
  </si>
  <si>
    <t>L_2402</t>
  </si>
  <si>
    <t>L_2403</t>
  </si>
  <si>
    <t>L_2404</t>
  </si>
  <si>
    <t>L_2405</t>
  </si>
  <si>
    <t>L_2406</t>
  </si>
  <si>
    <t>L_19</t>
  </si>
  <si>
    <t>L_20</t>
  </si>
  <si>
    <t>L_01</t>
  </si>
  <si>
    <t>L_02</t>
  </si>
  <si>
    <t>L_03</t>
  </si>
  <si>
    <t>L_13</t>
  </si>
  <si>
    <t>L_14</t>
  </si>
  <si>
    <t>L_15</t>
  </si>
  <si>
    <t>L_16</t>
  </si>
  <si>
    <t>L_2101</t>
  </si>
  <si>
    <t>L_2102</t>
  </si>
  <si>
    <t>L_2301</t>
  </si>
  <si>
    <t>L_2401</t>
  </si>
  <si>
    <t>Services</t>
  </si>
  <si>
    <t>L_09</t>
  </si>
  <si>
    <t>L_10</t>
  </si>
  <si>
    <t>L_11</t>
  </si>
  <si>
    <t>L_12</t>
  </si>
  <si>
    <t>L_04</t>
  </si>
  <si>
    <t>L_05</t>
  </si>
  <si>
    <t>L_06</t>
  </si>
  <si>
    <t>L_07</t>
  </si>
  <si>
    <t>L_08</t>
  </si>
  <si>
    <t>L_17</t>
  </si>
  <si>
    <t>L_18</t>
  </si>
  <si>
    <t>Verif</t>
  </si>
  <si>
    <t>Agriculture and food industry</t>
  </si>
  <si>
    <t>UNR_TOT_BAU</t>
  </si>
  <si>
    <t>UNR_TOT_ADEMEHAUT</t>
  </si>
  <si>
    <t>TRADE_BAU</t>
  </si>
  <si>
    <t>TRADE_ADEMEHAUT</t>
  </si>
  <si>
    <t>DEBT_BAU</t>
  </si>
  <si>
    <t>DEBT_ADEMEHAUT</t>
  </si>
  <si>
    <t>PUBBAL_BAU</t>
  </si>
  <si>
    <t>PUBBAL_ADEMEHAUT</t>
  </si>
  <si>
    <t xml:space="preserve">Trade_BAU </t>
  </si>
  <si>
    <t>Trade_ADEMEHAUT</t>
  </si>
  <si>
    <t>Debt_BAU</t>
  </si>
  <si>
    <t xml:space="preserve">Debt_ADEMEHAUT </t>
  </si>
  <si>
    <t xml:space="preserve">Pubbal_BAU </t>
  </si>
  <si>
    <t xml:space="preserve">Pubbal_ADEMEHAUT </t>
  </si>
  <si>
    <t xml:space="preserve">INVESTMENT </t>
  </si>
  <si>
    <t xml:space="preserve">OTHER VARIABLES </t>
  </si>
  <si>
    <t>(a)</t>
  </si>
  <si>
    <t>(b)</t>
  </si>
  <si>
    <t>Public Debt</t>
  </si>
  <si>
    <t>(c)</t>
  </si>
  <si>
    <t>(d)</t>
  </si>
  <si>
    <t>Carbon Tax</t>
  </si>
  <si>
    <t>(e)</t>
  </si>
  <si>
    <t xml:space="preserve">(a) in % difference from reference scenario, (b) in %, (c) in % of GDP, (d) in contant euros per ton of CO2, </t>
  </si>
  <si>
    <t>(e) in billion constant euro</t>
  </si>
  <si>
    <t>GDP_BAU</t>
  </si>
  <si>
    <t>GDP_ADEMEHAUT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</si>
</sst>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_-* #,##0.00_-;_-* #,##0.00\-;_-* &quot;-&quot;??_-;_-@_-"/>
    <numFmt numFmtId="166" formatCode="0.000"/>
    <numFmt numFmtId="167" formatCode="0.0000"/>
    <numFmt numFmtId="168" formatCode="#,##0.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i/>
      <sz val="12"/>
      <color theme="1"/>
      <name val="Calibri"/>
      <family val="2"/>
    </font>
    <font>
      <b/>
      <i/>
      <sz val="12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8"/>
      <color theme="1"/>
      <name val="Calibri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92D05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6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2" fillId="0" borderId="0"/>
    <xf numFmtId="9" fontId="21" fillId="0" borderId="0" applyFont="0" applyFill="0" applyBorder="0" applyAlignment="0" applyProtection="0"/>
    <xf numFmtId="0" fontId="21" fillId="0" borderId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17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7" fillId="2" borderId="1" xfId="0" applyFont="1" applyFill="1" applyBorder="1" applyAlignment="1">
      <alignment wrapText="1"/>
    </xf>
    <xf numFmtId="0" fontId="7" fillId="2" borderId="1" xfId="0" applyFont="1" applyFill="1" applyBorder="1" applyAlignment="1">
      <alignment horizontal="center"/>
    </xf>
    <xf numFmtId="2" fontId="8" fillId="0" borderId="2" xfId="0" applyNumberFormat="1" applyFont="1" applyFill="1" applyBorder="1"/>
    <xf numFmtId="2" fontId="8" fillId="0" borderId="3" xfId="0" applyNumberFormat="1" applyFont="1" applyFill="1" applyBorder="1"/>
    <xf numFmtId="2" fontId="8" fillId="0" borderId="4" xfId="0" applyNumberFormat="1" applyFont="1" applyFill="1" applyBorder="1"/>
    <xf numFmtId="2" fontId="8" fillId="0" borderId="0" xfId="0" applyNumberFormat="1" applyFont="1" applyFill="1" applyBorder="1"/>
    <xf numFmtId="0" fontId="8" fillId="0" borderId="0" xfId="0" applyFont="1" applyFill="1" applyBorder="1"/>
    <xf numFmtId="2" fontId="8" fillId="0" borderId="5" xfId="0" applyNumberFormat="1" applyFont="1" applyFill="1" applyBorder="1"/>
    <xf numFmtId="0" fontId="7" fillId="3" borderId="6" xfId="0" applyFont="1" applyFill="1" applyBorder="1" applyAlignment="1">
      <alignment horizontal="center" wrapText="1"/>
    </xf>
    <xf numFmtId="0" fontId="7" fillId="3" borderId="10" xfId="0" applyFont="1" applyFill="1" applyBorder="1" applyAlignment="1">
      <alignment horizontal="center" wrapText="1"/>
    </xf>
    <xf numFmtId="0" fontId="0" fillId="4" borderId="0" xfId="0" applyFill="1"/>
    <xf numFmtId="0" fontId="7" fillId="5" borderId="1" xfId="0" applyFont="1" applyFill="1" applyBorder="1" applyAlignment="1">
      <alignment wrapText="1"/>
    </xf>
    <xf numFmtId="2" fontId="8" fillId="4" borderId="2" xfId="0" applyNumberFormat="1" applyFont="1" applyFill="1" applyBorder="1"/>
    <xf numFmtId="2" fontId="8" fillId="4" borderId="3" xfId="0" applyNumberFormat="1" applyFont="1" applyFill="1" applyBorder="1"/>
    <xf numFmtId="2" fontId="8" fillId="4" borderId="5" xfId="0" applyNumberFormat="1" applyFont="1" applyFill="1" applyBorder="1"/>
    <xf numFmtId="2" fontId="8" fillId="4" borderId="4" xfId="0" applyNumberFormat="1" applyFont="1" applyFill="1" applyBorder="1"/>
    <xf numFmtId="11" fontId="0" fillId="0" borderId="0" xfId="0" applyNumberFormat="1"/>
    <xf numFmtId="0" fontId="0" fillId="0" borderId="0" xfId="0" applyBorder="1"/>
    <xf numFmtId="0" fontId="0" fillId="0" borderId="6" xfId="0" applyBorder="1"/>
    <xf numFmtId="0" fontId="13" fillId="0" borderId="0" xfId="1" applyFont="1" applyFill="1" applyBorder="1" applyAlignment="1">
      <alignment vertical="top"/>
    </xf>
    <xf numFmtId="0" fontId="13" fillId="0" borderId="0" xfId="1" applyFont="1" applyFill="1" applyBorder="1" applyAlignment="1">
      <alignment horizontal="left" vertical="top" indent="2"/>
    </xf>
    <xf numFmtId="0" fontId="0" fillId="0" borderId="0" xfId="0" applyFill="1"/>
    <xf numFmtId="0" fontId="0" fillId="9" borderId="0" xfId="0" applyFill="1"/>
    <xf numFmtId="0" fontId="1" fillId="9" borderId="9" xfId="0" applyFont="1" applyFill="1" applyBorder="1" applyAlignment="1">
      <alignment horizontal="right"/>
    </xf>
    <xf numFmtId="0" fontId="1" fillId="9" borderId="9" xfId="0" applyFont="1" applyFill="1" applyBorder="1"/>
    <xf numFmtId="0" fontId="0" fillId="9" borderId="9" xfId="0" applyFill="1" applyBorder="1"/>
    <xf numFmtId="0" fontId="0" fillId="9" borderId="0" xfId="0" applyFill="1" applyBorder="1"/>
    <xf numFmtId="164" fontId="0" fillId="9" borderId="0" xfId="0" applyNumberFormat="1" applyFill="1" applyBorder="1" applyAlignment="1">
      <alignment horizontal="right"/>
    </xf>
    <xf numFmtId="0" fontId="0" fillId="9" borderId="6" xfId="0" applyFill="1" applyBorder="1"/>
    <xf numFmtId="164" fontId="0" fillId="9" borderId="6" xfId="0" applyNumberFormat="1" applyFill="1" applyBorder="1" applyAlignment="1">
      <alignment horizontal="right"/>
    </xf>
    <xf numFmtId="0" fontId="0" fillId="9" borderId="9" xfId="0" applyFill="1" applyBorder="1" applyAlignment="1">
      <alignment vertical="center" wrapText="1"/>
    </xf>
    <xf numFmtId="0" fontId="0" fillId="7" borderId="9" xfId="0" applyFill="1" applyBorder="1"/>
    <xf numFmtId="164" fontId="1" fillId="8" borderId="6" xfId="0" applyNumberFormat="1" applyFont="1" applyFill="1" applyBorder="1" applyAlignment="1">
      <alignment horizontal="right"/>
    </xf>
    <xf numFmtId="164" fontId="1" fillId="8" borderId="9" xfId="0" applyNumberFormat="1" applyFont="1" applyFill="1" applyBorder="1" applyAlignment="1">
      <alignment horizontal="right"/>
    </xf>
    <xf numFmtId="0" fontId="4" fillId="0" borderId="0" xfId="0" applyFont="1" applyFill="1"/>
    <xf numFmtId="164" fontId="1" fillId="7" borderId="9" xfId="0" applyNumberFormat="1" applyFont="1" applyFill="1" applyBorder="1"/>
    <xf numFmtId="0" fontId="0" fillId="8" borderId="0" xfId="0" applyFill="1" applyBorder="1"/>
    <xf numFmtId="2" fontId="0" fillId="9" borderId="0" xfId="0" applyNumberFormat="1" applyFill="1" applyBorder="1" applyAlignment="1">
      <alignment horizontal="center"/>
    </xf>
    <xf numFmtId="1" fontId="0" fillId="9" borderId="0" xfId="0" applyNumberFormat="1" applyFill="1" applyBorder="1" applyAlignment="1">
      <alignment horizontal="center"/>
    </xf>
    <xf numFmtId="0" fontId="0" fillId="8" borderId="20" xfId="0" applyFill="1" applyBorder="1"/>
    <xf numFmtId="0" fontId="0" fillId="0" borderId="20" xfId="0" applyBorder="1"/>
    <xf numFmtId="1" fontId="0" fillId="9" borderId="20" xfId="0" applyNumberFormat="1" applyFill="1" applyBorder="1" applyAlignment="1">
      <alignment horizontal="center"/>
    </xf>
    <xf numFmtId="0" fontId="0" fillId="8" borderId="6" xfId="0" applyFill="1" applyBorder="1"/>
    <xf numFmtId="2" fontId="0" fillId="9" borderId="20" xfId="0" applyNumberFormat="1" applyFill="1" applyBorder="1" applyAlignment="1">
      <alignment horizontal="center"/>
    </xf>
    <xf numFmtId="2" fontId="0" fillId="9" borderId="6" xfId="0" applyNumberForma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0" fillId="6" borderId="9" xfId="0" applyFill="1" applyBorder="1"/>
    <xf numFmtId="0" fontId="1" fillId="6" borderId="9" xfId="0" applyFont="1" applyFill="1" applyBorder="1"/>
    <xf numFmtId="0" fontId="14" fillId="0" borderId="0" xfId="0" applyFont="1" applyFill="1" applyBorder="1"/>
    <xf numFmtId="0" fontId="15" fillId="0" borderId="0" xfId="0" applyFont="1" applyFill="1" applyBorder="1"/>
    <xf numFmtId="0" fontId="16" fillId="0" borderId="0" xfId="0" applyFont="1" applyFill="1" applyBorder="1"/>
    <xf numFmtId="0" fontId="17" fillId="0" borderId="0" xfId="0" applyFont="1" applyFill="1" applyBorder="1" applyAlignment="1">
      <alignment horizontal="center"/>
    </xf>
    <xf numFmtId="0" fontId="18" fillId="0" borderId="9" xfId="0" applyFont="1" applyFill="1" applyBorder="1"/>
    <xf numFmtId="49" fontId="0" fillId="0" borderId="0" xfId="0" applyNumberFormat="1"/>
    <xf numFmtId="0" fontId="15" fillId="0" borderId="9" xfId="0" applyFont="1" applyFill="1" applyBorder="1"/>
    <xf numFmtId="1" fontId="0" fillId="0" borderId="0" xfId="0" applyNumberFormat="1"/>
    <xf numFmtId="0" fontId="1" fillId="0" borderId="9" xfId="0" applyFont="1" applyFill="1" applyBorder="1"/>
    <xf numFmtId="164" fontId="0" fillId="9" borderId="0" xfId="0" applyNumberFormat="1" applyFill="1"/>
    <xf numFmtId="0" fontId="1" fillId="9" borderId="0" xfId="0" applyFont="1" applyFill="1"/>
    <xf numFmtId="164" fontId="1" fillId="13" borderId="9" xfId="0" applyNumberFormat="1" applyFont="1" applyFill="1" applyBorder="1"/>
    <xf numFmtId="164" fontId="1" fillId="12" borderId="0" xfId="0" applyNumberFormat="1" applyFont="1" applyFill="1"/>
    <xf numFmtId="0" fontId="15" fillId="0" borderId="20" xfId="0" applyFont="1" applyFill="1" applyBorder="1"/>
    <xf numFmtId="0" fontId="20" fillId="0" borderId="20" xfId="0" applyFont="1" applyFill="1" applyBorder="1" applyAlignment="1">
      <alignment horizontal="left" indent="2"/>
    </xf>
    <xf numFmtId="0" fontId="20" fillId="0" borderId="0" xfId="0" applyFont="1" applyFill="1" applyBorder="1" applyAlignment="1">
      <alignment horizontal="left" indent="2"/>
    </xf>
    <xf numFmtId="1" fontId="15" fillId="0" borderId="0" xfId="0" applyNumberFormat="1" applyFont="1" applyFill="1" applyBorder="1"/>
    <xf numFmtId="1" fontId="15" fillId="10" borderId="9" xfId="0" applyNumberFormat="1" applyFont="1" applyFill="1" applyBorder="1"/>
    <xf numFmtId="1" fontId="15" fillId="10" borderId="6" xfId="0" applyNumberFormat="1" applyFont="1" applyFill="1" applyBorder="1"/>
    <xf numFmtId="1" fontId="15" fillId="9" borderId="0" xfId="0" applyNumberFormat="1" applyFont="1" applyFill="1" applyBorder="1"/>
    <xf numFmtId="1" fontId="15" fillId="15" borderId="0" xfId="0" applyNumberFormat="1" applyFont="1" applyFill="1" applyBorder="1"/>
    <xf numFmtId="1" fontId="17" fillId="10" borderId="9" xfId="0" applyNumberFormat="1" applyFont="1" applyFill="1" applyBorder="1"/>
    <xf numFmtId="1" fontId="17" fillId="10" borderId="6" xfId="0" applyNumberFormat="1" applyFont="1" applyFill="1" applyBorder="1"/>
    <xf numFmtId="0" fontId="0" fillId="0" borderId="0" xfId="0" applyFill="1" applyBorder="1"/>
    <xf numFmtId="1" fontId="1" fillId="14" borderId="9" xfId="0" applyNumberFormat="1" applyFont="1" applyFill="1" applyBorder="1"/>
    <xf numFmtId="1" fontId="15" fillId="0" borderId="20" xfId="0" applyNumberFormat="1" applyFont="1" applyFill="1" applyBorder="1"/>
    <xf numFmtId="1" fontId="17" fillId="14" borderId="9" xfId="0" applyNumberFormat="1" applyFont="1" applyFill="1" applyBorder="1"/>
    <xf numFmtId="1" fontId="0" fillId="0" borderId="0" xfId="0" applyNumberFormat="1" applyFill="1"/>
    <xf numFmtId="1" fontId="18" fillId="11" borderId="9" xfId="0" applyNumberFormat="1" applyFont="1" applyFill="1" applyBorder="1"/>
    <xf numFmtId="1" fontId="1" fillId="8" borderId="6" xfId="0" applyNumberFormat="1" applyFont="1" applyFill="1" applyBorder="1" applyAlignment="1">
      <alignment horizontal="right"/>
    </xf>
    <xf numFmtId="1" fontId="0" fillId="9" borderId="0" xfId="0" applyNumberFormat="1" applyFill="1" applyBorder="1" applyAlignment="1">
      <alignment horizontal="right"/>
    </xf>
    <xf numFmtId="1" fontId="0" fillId="9" borderId="6" xfId="0" applyNumberFormat="1" applyFill="1" applyBorder="1" applyAlignment="1">
      <alignment horizontal="right"/>
    </xf>
    <xf numFmtId="1" fontId="1" fillId="8" borderId="9" xfId="0" applyNumberFormat="1" applyFont="1" applyFill="1" applyBorder="1" applyAlignment="1">
      <alignment horizontal="right"/>
    </xf>
    <xf numFmtId="1" fontId="1" fillId="7" borderId="9" xfId="0" applyNumberFormat="1" applyFont="1" applyFill="1" applyBorder="1"/>
    <xf numFmtId="1" fontId="1" fillId="9" borderId="9" xfId="0" applyNumberFormat="1" applyFont="1" applyFill="1" applyBorder="1" applyAlignment="1">
      <alignment horizontal="right"/>
    </xf>
    <xf numFmtId="1" fontId="0" fillId="0" borderId="0" xfId="0" applyNumberFormat="1" applyFill="1" applyBorder="1" applyAlignment="1">
      <alignment horizontal="right"/>
    </xf>
    <xf numFmtId="1" fontId="1" fillId="0" borderId="0" xfId="0" applyNumberFormat="1" applyFont="1" applyFill="1" applyBorder="1" applyAlignment="1">
      <alignment horizontal="right"/>
    </xf>
    <xf numFmtId="1" fontId="1" fillId="0" borderId="0" xfId="0" applyNumberFormat="1" applyFont="1" applyFill="1" applyBorder="1"/>
    <xf numFmtId="1" fontId="1" fillId="12" borderId="6" xfId="0" applyNumberFormat="1" applyFont="1" applyFill="1" applyBorder="1" applyAlignment="1">
      <alignment horizontal="right"/>
    </xf>
    <xf numFmtId="1" fontId="1" fillId="12" borderId="9" xfId="0" applyNumberFormat="1" applyFont="1" applyFill="1" applyBorder="1" applyAlignment="1">
      <alignment horizontal="right"/>
    </xf>
    <xf numFmtId="1" fontId="1" fillId="16" borderId="9" xfId="0" applyNumberFormat="1" applyFont="1" applyFill="1" applyBorder="1"/>
    <xf numFmtId="1" fontId="18" fillId="16" borderId="9" xfId="0" applyNumberFormat="1" applyFont="1" applyFill="1" applyBorder="1"/>
    <xf numFmtId="0" fontId="22" fillId="0" borderId="0" xfId="0" applyFont="1" applyFill="1" applyBorder="1" applyAlignment="1">
      <alignment wrapText="1" shrinkToFit="1"/>
    </xf>
    <xf numFmtId="164" fontId="0" fillId="0" borderId="0" xfId="0" applyNumberFormat="1" applyFill="1" applyBorder="1"/>
    <xf numFmtId="164" fontId="21" fillId="0" borderId="0" xfId="4" applyNumberFormat="1" applyFont="1" applyFill="1" applyBorder="1"/>
    <xf numFmtId="2" fontId="21" fillId="0" borderId="0" xfId="3" applyNumberFormat="1" applyFont="1" applyFill="1" applyBorder="1"/>
    <xf numFmtId="164" fontId="21" fillId="0" borderId="0" xfId="5" applyNumberFormat="1" applyFont="1" applyFill="1" applyBorder="1"/>
    <xf numFmtId="166" fontId="24" fillId="0" borderId="0" xfId="4" applyNumberFormat="1" applyFont="1" applyFill="1" applyBorder="1"/>
    <xf numFmtId="2" fontId="24" fillId="0" borderId="0" xfId="5" applyNumberFormat="1" applyFont="1" applyFill="1" applyBorder="1"/>
    <xf numFmtId="2" fontId="24" fillId="0" borderId="0" xfId="4" applyNumberFormat="1" applyFont="1" applyFill="1" applyBorder="1"/>
    <xf numFmtId="167" fontId="21" fillId="0" borderId="0" xfId="3" applyNumberFormat="1" applyFont="1" applyFill="1" applyBorder="1"/>
    <xf numFmtId="166" fontId="21" fillId="0" borderId="0" xfId="5" applyNumberFormat="1" applyFont="1" applyFill="1" applyBorder="1"/>
    <xf numFmtId="0" fontId="23" fillId="0" borderId="0" xfId="0" applyFont="1" applyFill="1" applyBorder="1"/>
    <xf numFmtId="0" fontId="0" fillId="0" borderId="0" xfId="2" applyNumberFormat="1" applyFont="1" applyFill="1" applyBorder="1"/>
    <xf numFmtId="0" fontId="0" fillId="0" borderId="0" xfId="0" applyAlignment="1">
      <alignment wrapText="1"/>
    </xf>
    <xf numFmtId="0" fontId="1" fillId="6" borderId="9" xfId="0" applyFont="1" applyFill="1" applyBorder="1" applyAlignment="1">
      <alignment horizontal="center" vertical="center"/>
    </xf>
    <xf numFmtId="2" fontId="0" fillId="0" borderId="0" xfId="0" applyNumberFormat="1"/>
    <xf numFmtId="164" fontId="0" fillId="0" borderId="0" xfId="0" applyNumberFormat="1" applyBorder="1"/>
    <xf numFmtId="164" fontId="0" fillId="0" borderId="20" xfId="0" applyNumberFormat="1" applyBorder="1"/>
    <xf numFmtId="164" fontId="0" fillId="0" borderId="6" xfId="0" applyNumberFormat="1" applyBorder="1"/>
    <xf numFmtId="0" fontId="0" fillId="8" borderId="0" xfId="0" applyFill="1" applyBorder="1" applyAlignment="1">
      <alignment horizontal="left" indent="2"/>
    </xf>
    <xf numFmtId="0" fontId="0" fillId="8" borderId="0" xfId="0" applyFill="1" applyBorder="1" applyAlignment="1">
      <alignment horizontal="left"/>
    </xf>
    <xf numFmtId="0" fontId="0" fillId="8" borderId="0" xfId="0" applyFill="1" applyBorder="1" applyAlignment="1">
      <alignment horizontal="left" indent="3"/>
    </xf>
    <xf numFmtId="0" fontId="0" fillId="8" borderId="6" xfId="0" applyFill="1" applyBorder="1" applyAlignment="1">
      <alignment horizontal="left" indent="3"/>
    </xf>
    <xf numFmtId="3" fontId="0" fillId="9" borderId="6" xfId="0" applyNumberFormat="1" applyFill="1" applyBorder="1" applyAlignment="1">
      <alignment horizontal="center"/>
    </xf>
    <xf numFmtId="3" fontId="0" fillId="9" borderId="0" xfId="0" applyNumberFormat="1" applyFill="1" applyBorder="1" applyAlignment="1">
      <alignment horizontal="center"/>
    </xf>
    <xf numFmtId="0" fontId="0" fillId="8" borderId="0" xfId="0" applyFill="1" applyBorder="1" applyAlignment="1">
      <alignment horizontal="left" indent="4"/>
    </xf>
    <xf numFmtId="0" fontId="0" fillId="8" borderId="0" xfId="0" applyFill="1" applyBorder="1" applyAlignment="1">
      <alignment horizontal="left" indent="1"/>
    </xf>
    <xf numFmtId="0" fontId="0" fillId="8" borderId="6" xfId="0" applyFill="1" applyBorder="1" applyAlignment="1">
      <alignment horizontal="left" indent="4"/>
    </xf>
    <xf numFmtId="2" fontId="0" fillId="9" borderId="0" xfId="0" applyNumberFormat="1" applyFill="1" applyBorder="1" applyAlignment="1">
      <alignment horizontal="left"/>
    </xf>
    <xf numFmtId="2" fontId="0" fillId="9" borderId="6" xfId="0" applyNumberFormat="1" applyFill="1" applyBorder="1" applyAlignment="1">
      <alignment horizontal="left"/>
    </xf>
    <xf numFmtId="164" fontId="0" fillId="0" borderId="0" xfId="0" applyNumberFormat="1"/>
    <xf numFmtId="0" fontId="1" fillId="0" borderId="0" xfId="0" applyFont="1" applyFill="1" applyBorder="1" applyAlignment="1">
      <alignment horizontal="right"/>
    </xf>
    <xf numFmtId="164" fontId="0" fillId="0" borderId="0" xfId="0" applyNumberFormat="1" applyFill="1"/>
    <xf numFmtId="3" fontId="0" fillId="9" borderId="0" xfId="0" applyNumberFormat="1" applyFill="1" applyBorder="1" applyAlignment="1">
      <alignment horizontal="right"/>
    </xf>
    <xf numFmtId="3" fontId="0" fillId="0" borderId="0" xfId="0" applyNumberFormat="1"/>
    <xf numFmtId="4" fontId="0" fillId="9" borderId="0" xfId="0" applyNumberFormat="1" applyFill="1" applyBorder="1" applyAlignment="1">
      <alignment horizontal="right"/>
    </xf>
    <xf numFmtId="3" fontId="25" fillId="0" borderId="0" xfId="0" applyNumberFormat="1" applyFont="1"/>
    <xf numFmtId="0" fontId="25" fillId="0" borderId="0" xfId="0" applyFont="1"/>
    <xf numFmtId="3" fontId="1" fillId="0" borderId="0" xfId="0" applyNumberFormat="1" applyFont="1"/>
    <xf numFmtId="168" fontId="0" fillId="9" borderId="0" xfId="0" applyNumberFormat="1" applyFill="1" applyBorder="1" applyAlignment="1">
      <alignment horizontal="right"/>
    </xf>
    <xf numFmtId="49" fontId="26" fillId="9" borderId="0" xfId="0" applyNumberFormat="1" applyFont="1" applyFill="1" applyBorder="1" applyAlignment="1">
      <alignment horizontal="left"/>
    </xf>
    <xf numFmtId="49" fontId="26" fillId="9" borderId="0" xfId="0" applyNumberFormat="1" applyFont="1" applyFill="1"/>
    <xf numFmtId="49" fontId="26" fillId="9" borderId="0" xfId="0" applyNumberFormat="1" applyFont="1" applyFill="1" applyAlignment="1">
      <alignment horizontal="left"/>
    </xf>
    <xf numFmtId="10" fontId="1" fillId="0" borderId="0" xfId="6" applyNumberFormat="1" applyFont="1"/>
    <xf numFmtId="10" fontId="1" fillId="9" borderId="0" xfId="6" applyNumberFormat="1" applyFont="1" applyFill="1" applyBorder="1" applyAlignment="1">
      <alignment horizontal="right"/>
    </xf>
    <xf numFmtId="2" fontId="1" fillId="9" borderId="0" xfId="6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2" fontId="8" fillId="0" borderId="17" xfId="0" applyNumberFormat="1" applyFont="1" applyFill="1" applyBorder="1" applyAlignment="1">
      <alignment horizontal="left"/>
    </xf>
    <xf numFmtId="2" fontId="8" fillId="0" borderId="18" xfId="0" applyNumberFormat="1" applyFont="1" applyFill="1" applyBorder="1" applyAlignment="1">
      <alignment horizontal="left"/>
    </xf>
    <xf numFmtId="2" fontId="8" fillId="0" borderId="19" xfId="0" applyNumberFormat="1" applyFont="1" applyFill="1" applyBorder="1" applyAlignment="1">
      <alignment horizontal="left"/>
    </xf>
    <xf numFmtId="2" fontId="8" fillId="0" borderId="14" xfId="0" applyNumberFormat="1" applyFont="1" applyFill="1" applyBorder="1" applyAlignment="1">
      <alignment horizontal="left"/>
    </xf>
    <xf numFmtId="2" fontId="8" fillId="0" borderId="15" xfId="0" applyNumberFormat="1" applyFont="1" applyFill="1" applyBorder="1" applyAlignment="1">
      <alignment horizontal="left"/>
    </xf>
    <xf numFmtId="2" fontId="8" fillId="0" borderId="16" xfId="0" applyNumberFormat="1" applyFont="1" applyFill="1" applyBorder="1" applyAlignment="1">
      <alignment horizontal="left"/>
    </xf>
    <xf numFmtId="2" fontId="8" fillId="0" borderId="11" xfId="0" applyNumberFormat="1" applyFont="1" applyFill="1" applyBorder="1" applyAlignment="1">
      <alignment horizontal="left"/>
    </xf>
    <xf numFmtId="2" fontId="8" fillId="0" borderId="12" xfId="0" applyNumberFormat="1" applyFont="1" applyFill="1" applyBorder="1" applyAlignment="1">
      <alignment horizontal="left"/>
    </xf>
    <xf numFmtId="2" fontId="8" fillId="0" borderId="13" xfId="0" applyNumberFormat="1" applyFont="1" applyFill="1" applyBorder="1" applyAlignment="1">
      <alignment horizontal="left"/>
    </xf>
    <xf numFmtId="0" fontId="7" fillId="5" borderId="7" xfId="0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0" fillId="9" borderId="20" xfId="0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 wrapText="1"/>
    </xf>
    <xf numFmtId="0" fontId="17" fillId="0" borderId="6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" fillId="6" borderId="20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20" xfId="0" applyFont="1" applyFill="1" applyBorder="1" applyAlignment="1">
      <alignment horizontal="center" vertical="center" wrapText="1"/>
    </xf>
    <xf numFmtId="0" fontId="1" fillId="6" borderId="0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</cellXfs>
  <cellStyles count="7">
    <cellStyle name="Milliers 2 2" xfId="5"/>
    <cellStyle name="Milliers 3" xfId="4"/>
    <cellStyle name="Normal" xfId="0" builtinId="0"/>
    <cellStyle name="Normal 2 2" xfId="3"/>
    <cellStyle name="Normal 3" xfId="1"/>
    <cellStyle name="Pourcentage" xfId="6" builtinId="5"/>
    <cellStyle name="Pourcentage 2" xfId="2"/>
  </cellStyles>
  <dxfs count="0"/>
  <tableStyles count="0" defaultTableStyle="TableStyleMedium2" defaultPivotStyle="PivotStyleLight16"/>
  <colors>
    <mruColors>
      <color rgb="FF9BBB52"/>
      <color rgb="FFDE862A"/>
      <color rgb="FFDB862A"/>
      <color rgb="FFE2862A"/>
      <color rgb="FFEB862A"/>
      <color rgb="FFDF862A"/>
      <color rgb="FFF6862A"/>
      <color rgb="FFF79957"/>
      <color rgb="FFFFA258"/>
      <color rgb="FFF57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chartsheet" Target="chartsheets/sheet7.xml"/><Relationship Id="rId18" Type="http://schemas.openxmlformats.org/officeDocument/2006/relationships/chartsheet" Target="chartsheets/sheet12.xml"/><Relationship Id="rId26" Type="http://schemas.openxmlformats.org/officeDocument/2006/relationships/worksheet" Target="worksheets/sheet11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5.xml"/><Relationship Id="rId34" Type="http://schemas.openxmlformats.org/officeDocument/2006/relationships/theme" Target="theme/theme1.xml"/><Relationship Id="rId7" Type="http://schemas.openxmlformats.org/officeDocument/2006/relationships/chartsheet" Target="chartsheets/sheet1.xml"/><Relationship Id="rId12" Type="http://schemas.openxmlformats.org/officeDocument/2006/relationships/chartsheet" Target="chartsheets/sheet6.xml"/><Relationship Id="rId17" Type="http://schemas.openxmlformats.org/officeDocument/2006/relationships/chartsheet" Target="chartsheets/sheet11.xml"/><Relationship Id="rId25" Type="http://schemas.openxmlformats.org/officeDocument/2006/relationships/worksheet" Target="worksheets/sheet10.xml"/><Relationship Id="rId33" Type="http://schemas.openxmlformats.org/officeDocument/2006/relationships/worksheet" Target="worksheets/sheet18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0.xml"/><Relationship Id="rId20" Type="http://schemas.openxmlformats.org/officeDocument/2006/relationships/chartsheet" Target="chartsheets/sheet14.xml"/><Relationship Id="rId29" Type="http://schemas.openxmlformats.org/officeDocument/2006/relationships/worksheet" Target="work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5.xml"/><Relationship Id="rId24" Type="http://schemas.openxmlformats.org/officeDocument/2006/relationships/worksheet" Target="worksheets/sheet9.xml"/><Relationship Id="rId32" Type="http://schemas.openxmlformats.org/officeDocument/2006/relationships/worksheet" Target="worksheets/sheet17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9.xml"/><Relationship Id="rId23" Type="http://schemas.openxmlformats.org/officeDocument/2006/relationships/worksheet" Target="worksheets/sheet8.xml"/><Relationship Id="rId28" Type="http://schemas.openxmlformats.org/officeDocument/2006/relationships/worksheet" Target="worksheets/sheet13.xml"/><Relationship Id="rId36" Type="http://schemas.openxmlformats.org/officeDocument/2006/relationships/sharedStrings" Target="sharedStrings.xml"/><Relationship Id="rId10" Type="http://schemas.openxmlformats.org/officeDocument/2006/relationships/chartsheet" Target="chartsheets/sheet4.xml"/><Relationship Id="rId19" Type="http://schemas.openxmlformats.org/officeDocument/2006/relationships/chartsheet" Target="chartsheets/sheet13.xml"/><Relationship Id="rId31" Type="http://schemas.openxmlformats.org/officeDocument/2006/relationships/worksheet" Target="worksheets/sheet16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chartsheet" Target="chartsheets/sheet8.xml"/><Relationship Id="rId22" Type="http://schemas.openxmlformats.org/officeDocument/2006/relationships/worksheet" Target="worksheets/sheet7.xml"/><Relationship Id="rId27" Type="http://schemas.openxmlformats.org/officeDocument/2006/relationships/worksheet" Target="worksheets/sheet12.xml"/><Relationship Id="rId30" Type="http://schemas.openxmlformats.org/officeDocument/2006/relationships/worksheet" Target="worksheets/sheet15.xml"/><Relationship Id="rId35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 algn="ctr">
              <a:defRPr sz="2400"/>
            </a:pPr>
            <a:r>
              <a:rPr lang="fr-FR" sz="2400"/>
              <a:t>Baseline Scenario - Primary</a:t>
            </a:r>
            <a:r>
              <a:rPr lang="fr-FR" sz="2400" baseline="0"/>
              <a:t> Energy</a:t>
            </a:r>
            <a:endParaRPr lang="fr-FR" sz="2400"/>
          </a:p>
          <a:p>
            <a:pPr algn="ctr">
              <a:defRPr sz="2400"/>
            </a:pPr>
            <a:r>
              <a:rPr lang="fr-FR" sz="2400"/>
              <a:t>FIGURE A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MIX'!$A$6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MIX'!$C$6:$H$6</c:f>
              <c:numCache>
                <c:formatCode>0\.0</c:formatCode>
                <c:ptCount val="6"/>
                <c:pt idx="0">
                  <c:v>63.64967</c:v>
                </c:pt>
                <c:pt idx="1">
                  <c:v>64.166870000000003</c:v>
                </c:pt>
                <c:pt idx="2">
                  <c:v>64.950729999999993</c:v>
                </c:pt>
                <c:pt idx="3">
                  <c:v>60.166870000000003</c:v>
                </c:pt>
                <c:pt idx="4">
                  <c:v>51.022790000000001</c:v>
                </c:pt>
                <c:pt idx="5">
                  <c:v>39.180959999999999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E1-4D7E-987D-86F2142469AF}"/>
            </c:ext>
          </c:extLst>
        </c:ser>
        <c:ser>
          <c:idx val="1"/>
          <c:order val="1"/>
          <c:tx>
            <c:strRef>
              <c:f>'Energy MIX'!$A$7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MIX'!$C$7:$H$7</c:f>
              <c:numCache>
                <c:formatCode>0\.0</c:formatCode>
                <c:ptCount val="6"/>
                <c:pt idx="0">
                  <c:v>4.5678979999999996</c:v>
                </c:pt>
                <c:pt idx="1">
                  <c:v>4.8429279999999997</c:v>
                </c:pt>
                <c:pt idx="2">
                  <c:v>5.109947</c:v>
                </c:pt>
                <c:pt idx="3">
                  <c:v>5.9340000000000002</c:v>
                </c:pt>
                <c:pt idx="4">
                  <c:v>6.2461929999999999</c:v>
                </c:pt>
                <c:pt idx="5">
                  <c:v>6.465001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E1-4D7E-987D-86F2142469AF}"/>
            </c:ext>
          </c:extLst>
        </c:ser>
        <c:ser>
          <c:idx val="2"/>
          <c:order val="2"/>
          <c:tx>
            <c:strRef>
              <c:f>'Energy MIX'!$A$8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MIX'!$C$8:$H$8</c:f>
              <c:numCache>
                <c:formatCode>0\.0</c:formatCode>
                <c:ptCount val="6"/>
                <c:pt idx="0">
                  <c:v>111.1211</c:v>
                </c:pt>
                <c:pt idx="1">
                  <c:v>112.88630000000001</c:v>
                </c:pt>
                <c:pt idx="2">
                  <c:v>116.9569</c:v>
                </c:pt>
                <c:pt idx="3">
                  <c:v>128.33099999999999</c:v>
                </c:pt>
                <c:pt idx="4">
                  <c:v>140.3374</c:v>
                </c:pt>
                <c:pt idx="5">
                  <c:v>146.96780000000001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E1-4D7E-987D-86F2142469AF}"/>
            </c:ext>
          </c:extLst>
        </c:ser>
        <c:ser>
          <c:idx val="3"/>
          <c:order val="3"/>
          <c:tx>
            <c:strRef>
              <c:f>'Energy MIX'!$A$9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MIX'!$C$9:$H$9</c:f>
              <c:numCache>
                <c:formatCode>0\.0</c:formatCode>
                <c:ptCount val="6"/>
                <c:pt idx="0">
                  <c:v>9.8593340000000005</c:v>
                </c:pt>
                <c:pt idx="1">
                  <c:v>10.015957999999999</c:v>
                </c:pt>
                <c:pt idx="2">
                  <c:v>10.377122</c:v>
                </c:pt>
                <c:pt idx="3">
                  <c:v>11.386298</c:v>
                </c:pt>
                <c:pt idx="4">
                  <c:v>12.451588000000001</c:v>
                </c:pt>
                <c:pt idx="5">
                  <c:v>13.039870000000001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E1-4D7E-987D-86F2142469AF}"/>
            </c:ext>
          </c:extLst>
        </c:ser>
        <c:ser>
          <c:idx val="4"/>
          <c:order val="4"/>
          <c:tx>
            <c:strRef>
              <c:f>'Energy MIX'!$A$10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MIX'!$C$10:$H$10</c:f>
              <c:numCache>
                <c:formatCode>0\.0</c:formatCode>
                <c:ptCount val="6"/>
                <c:pt idx="0">
                  <c:v>31.63843</c:v>
                </c:pt>
                <c:pt idx="1">
                  <c:v>31.667919999999999</c:v>
                </c:pt>
                <c:pt idx="2">
                  <c:v>32.406950000000002</c:v>
                </c:pt>
                <c:pt idx="3">
                  <c:v>32.34169</c:v>
                </c:pt>
                <c:pt idx="4">
                  <c:v>29.451699999999999</c:v>
                </c:pt>
                <c:pt idx="5">
                  <c:v>25.185500000000001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E1-4D7E-987D-86F2142469AF}"/>
            </c:ext>
          </c:extLst>
        </c:ser>
        <c:ser>
          <c:idx val="5"/>
          <c:order val="5"/>
          <c:tx>
            <c:strRef>
              <c:f>'Energy MIX'!$A$11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MIX'!$C$11:$H$11</c:f>
              <c:numCache>
                <c:formatCode>0\.0</c:formatCode>
                <c:ptCount val="6"/>
                <c:pt idx="0">
                  <c:v>25.345188</c:v>
                </c:pt>
                <c:pt idx="1">
                  <c:v>25.543960000000002</c:v>
                </c:pt>
                <c:pt idx="2">
                  <c:v>26.253662999999996</c:v>
                </c:pt>
                <c:pt idx="3">
                  <c:v>27.157002999999996</c:v>
                </c:pt>
                <c:pt idx="4">
                  <c:v>26.855879000000002</c:v>
                </c:pt>
                <c:pt idx="5">
                  <c:v>25.402591999999999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E1-4D7E-987D-86F214246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31712"/>
        <c:axId val="147333504"/>
      </c:areaChart>
      <c:catAx>
        <c:axId val="14733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147333504"/>
        <c:crosses val="autoZero"/>
        <c:auto val="1"/>
        <c:lblAlgn val="ctr"/>
        <c:lblOffset val="100"/>
        <c:noMultiLvlLbl val="0"/>
      </c:catAx>
      <c:valAx>
        <c:axId val="147333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600"/>
                  <a:t>Million tonne of oil equivalent </a:t>
                </a:r>
              </a:p>
            </c:rich>
          </c:tx>
          <c:layout>
            <c:manualLayout>
              <c:xMode val="edge"/>
              <c:yMode val="edge"/>
              <c:x val="1.6113334193881501E-2"/>
              <c:y val="0.3414044189292391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147331712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 sz="2400"/>
            </a:pPr>
            <a:r>
              <a:rPr lang="fr-FR"/>
              <a:t>Baseline Scenario - Final Energy</a:t>
            </a:r>
          </a:p>
          <a:p>
            <a:pPr algn="ctr">
              <a:defRPr sz="2400"/>
            </a:pPr>
            <a:r>
              <a:rPr lang="fr-FR"/>
              <a:t>FIGURE B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MIX'!$K$6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MIX'!$M$6:$R$6</c:f>
              <c:numCache>
                <c:formatCode>0\.0</c:formatCode>
                <c:ptCount val="6"/>
                <c:pt idx="0">
                  <c:v>59.217599999999997</c:v>
                </c:pt>
                <c:pt idx="1">
                  <c:v>59.698790000000002</c:v>
                </c:pt>
                <c:pt idx="2">
                  <c:v>60.428069999999998</c:v>
                </c:pt>
                <c:pt idx="3">
                  <c:v>55.977310000000003</c:v>
                </c:pt>
                <c:pt idx="4">
                  <c:v>47.46996</c:v>
                </c:pt>
                <c:pt idx="5">
                  <c:v>36.452710000000003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26-45BA-9EF5-C02BDA3F299A}"/>
            </c:ext>
          </c:extLst>
        </c:ser>
        <c:ser>
          <c:idx val="1"/>
          <c:order val="1"/>
          <c:tx>
            <c:strRef>
              <c:f>'Energy MIX'!$K$7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MIX'!$M$7:$R$7</c:f>
              <c:numCache>
                <c:formatCode>0\.0</c:formatCode>
                <c:ptCount val="6"/>
                <c:pt idx="0">
                  <c:v>4.4869709999999996</c:v>
                </c:pt>
                <c:pt idx="1">
                  <c:v>4.7571279999999998</c:v>
                </c:pt>
                <c:pt idx="2">
                  <c:v>5.0194159999999997</c:v>
                </c:pt>
                <c:pt idx="3">
                  <c:v>5.8288700000000002</c:v>
                </c:pt>
                <c:pt idx="4">
                  <c:v>6.1355320000000004</c:v>
                </c:pt>
                <c:pt idx="5">
                  <c:v>6.3504630000000004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26-45BA-9EF5-C02BDA3F299A}"/>
            </c:ext>
          </c:extLst>
        </c:ser>
        <c:ser>
          <c:idx val="2"/>
          <c:order val="2"/>
          <c:tx>
            <c:strRef>
              <c:f>'Energy MIX'!$K$8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MIX'!$M$8:$R$8</c:f>
              <c:numCache>
                <c:formatCode>0\.0</c:formatCode>
                <c:ptCount val="6"/>
                <c:pt idx="0">
                  <c:v>26.839670000000002</c:v>
                </c:pt>
                <c:pt idx="1">
                  <c:v>27.32865</c:v>
                </c:pt>
                <c:pt idx="2">
                  <c:v>28.456209999999999</c:v>
                </c:pt>
                <c:pt idx="3">
                  <c:v>31.606870000000001</c:v>
                </c:pt>
                <c:pt idx="4">
                  <c:v>34.932720000000003</c:v>
                </c:pt>
                <c:pt idx="5">
                  <c:v>36.76934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26-45BA-9EF5-C02BDA3F299A}"/>
            </c:ext>
          </c:extLst>
        </c:ser>
        <c:ser>
          <c:idx val="3"/>
          <c:order val="3"/>
          <c:tx>
            <c:strRef>
              <c:f>'Energy MIX'!$K$9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MIX'!$M$9:$R$9</c:f>
              <c:numCache>
                <c:formatCode>0\.0</c:formatCode>
                <c:ptCount val="6"/>
                <c:pt idx="0">
                  <c:v>3.9800240000000002</c:v>
                </c:pt>
                <c:pt idx="1">
                  <c:v>4.0525350000000007</c:v>
                </c:pt>
                <c:pt idx="2">
                  <c:v>4.2197389999999997</c:v>
                </c:pt>
                <c:pt idx="3">
                  <c:v>4.6869480000000001</c:v>
                </c:pt>
                <c:pt idx="4">
                  <c:v>5.1801329999999997</c:v>
                </c:pt>
                <c:pt idx="5">
                  <c:v>5.4524840000000001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26-45BA-9EF5-C02BDA3F299A}"/>
            </c:ext>
          </c:extLst>
        </c:ser>
        <c:ser>
          <c:idx val="4"/>
          <c:order val="4"/>
          <c:tx>
            <c:strRef>
              <c:f>'Energy MIX'!$K$10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MIX'!$M$10:$R$10</c:f>
              <c:numCache>
                <c:formatCode>0\.0</c:formatCode>
                <c:ptCount val="6"/>
                <c:pt idx="0">
                  <c:v>31.422529999999998</c:v>
                </c:pt>
                <c:pt idx="1">
                  <c:v>31.451820000000001</c:v>
                </c:pt>
                <c:pt idx="2">
                  <c:v>32.1858</c:v>
                </c:pt>
                <c:pt idx="3">
                  <c:v>32.120989999999999</c:v>
                </c:pt>
                <c:pt idx="4">
                  <c:v>29.250730000000001</c:v>
                </c:pt>
                <c:pt idx="5">
                  <c:v>25.013629999999999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26-45BA-9EF5-C02BDA3F299A}"/>
            </c:ext>
          </c:extLst>
        </c:ser>
        <c:ser>
          <c:idx val="5"/>
          <c:order val="5"/>
          <c:tx>
            <c:strRef>
              <c:f>'Energy MIX'!$K$11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MIX'!$M$11:$R$11</c:f>
              <c:numCache>
                <c:formatCode>0\.0</c:formatCode>
                <c:ptCount val="6"/>
                <c:pt idx="0">
                  <c:v>20.785372999999996</c:v>
                </c:pt>
                <c:pt idx="1">
                  <c:v>20.929146999999993</c:v>
                </c:pt>
                <c:pt idx="2">
                  <c:v>21.508115999999998</c:v>
                </c:pt>
                <c:pt idx="3">
                  <c:v>22.058579999999999</c:v>
                </c:pt>
                <c:pt idx="4">
                  <c:v>21.401386000000002</c:v>
                </c:pt>
                <c:pt idx="5">
                  <c:v>19.767022000000001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26-45BA-9EF5-C02BDA3F2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51040"/>
        <c:axId val="147352576"/>
      </c:areaChart>
      <c:catAx>
        <c:axId val="147351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147352576"/>
        <c:crosses val="autoZero"/>
        <c:auto val="1"/>
        <c:lblAlgn val="ctr"/>
        <c:lblOffset val="100"/>
        <c:noMultiLvlLbl val="0"/>
      </c:catAx>
      <c:valAx>
        <c:axId val="147352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800" b="1" i="0" baseline="0">
                    <a:effectLst/>
                  </a:rPr>
                  <a:t>Million tonne of oil equivalent </a:t>
                </a:r>
                <a:endParaRPr lang="fr-FR">
                  <a:effectLst/>
                </a:endParaRPr>
              </a:p>
            </c:rich>
          </c:tx>
          <c:layout>
            <c:manualLayout>
              <c:xMode val="edge"/>
              <c:yMode val="edge"/>
              <c:x val="1.2014973538143797E-2"/>
              <c:y val="0.2891032187922116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147351040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 sz="2400"/>
            </a:pPr>
            <a:r>
              <a:rPr lang="fr-FR"/>
              <a:t>Baseline Scenario - Primary Energy</a:t>
            </a:r>
          </a:p>
          <a:p>
            <a:pPr algn="ctr">
              <a:defRPr sz="2400"/>
            </a:pPr>
            <a:r>
              <a:rPr lang="fr-FR"/>
              <a:t>FIGURE A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MIX'!$A$20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MIX'!$C$20:$H$20</c:f>
              <c:numCache>
                <c:formatCode>0\.0</c:formatCode>
                <c:ptCount val="6"/>
                <c:pt idx="0">
                  <c:v>63.133929999999999</c:v>
                </c:pt>
                <c:pt idx="1">
                  <c:v>61.551380000000002</c:v>
                </c:pt>
                <c:pt idx="2">
                  <c:v>60.188639999999999</c:v>
                </c:pt>
                <c:pt idx="3">
                  <c:v>44.483159999999998</c:v>
                </c:pt>
                <c:pt idx="4">
                  <c:v>20.54618</c:v>
                </c:pt>
                <c:pt idx="5">
                  <c:v>7.5781700000000001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5-4721-9E63-1173B75465B3}"/>
            </c:ext>
          </c:extLst>
        </c:ser>
        <c:ser>
          <c:idx val="1"/>
          <c:order val="1"/>
          <c:tx>
            <c:strRef>
              <c:f>'Energy MIX'!$A$21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MIX'!$C$21:$H$21</c:f>
              <c:numCache>
                <c:formatCode>0\.0</c:formatCode>
                <c:ptCount val="6"/>
                <c:pt idx="0">
                  <c:v>4.5449729999999997</c:v>
                </c:pt>
                <c:pt idx="1">
                  <c:v>4.133216</c:v>
                </c:pt>
                <c:pt idx="2">
                  <c:v>3.152628</c:v>
                </c:pt>
                <c:pt idx="3">
                  <c:v>2.8250069999999998</c:v>
                </c:pt>
                <c:pt idx="4">
                  <c:v>2.7698870000000002</c:v>
                </c:pt>
                <c:pt idx="5">
                  <c:v>2.826749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85-4721-9E63-1173B75465B3}"/>
            </c:ext>
          </c:extLst>
        </c:ser>
        <c:ser>
          <c:idx val="2"/>
          <c:order val="2"/>
          <c:tx>
            <c:strRef>
              <c:f>'Energy MIX'!$A$22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MIX'!$C$22:$H$22</c:f>
              <c:numCache>
                <c:formatCode>0\.0</c:formatCode>
                <c:ptCount val="6"/>
                <c:pt idx="0">
                  <c:v>111.1485</c:v>
                </c:pt>
                <c:pt idx="1">
                  <c:v>106.1438</c:v>
                </c:pt>
                <c:pt idx="2">
                  <c:v>98.027479999999997</c:v>
                </c:pt>
                <c:pt idx="3">
                  <c:v>67.365849999999995</c:v>
                </c:pt>
                <c:pt idx="4">
                  <c:v>61.224330000000002</c:v>
                </c:pt>
                <c:pt idx="5">
                  <c:v>57.935490000000001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85-4721-9E63-1173B75465B3}"/>
            </c:ext>
          </c:extLst>
        </c:ser>
        <c:ser>
          <c:idx val="3"/>
          <c:order val="3"/>
          <c:tx>
            <c:strRef>
              <c:f>'Energy MIX'!$A$23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MIX'!$C$23:$H$23</c:f>
              <c:numCache>
                <c:formatCode>0\.0</c:formatCode>
                <c:ptCount val="6"/>
                <c:pt idx="0">
                  <c:v>9.8617699999999999</c:v>
                </c:pt>
                <c:pt idx="1">
                  <c:v>5.834689</c:v>
                </c:pt>
                <c:pt idx="2">
                  <c:v>4.5443240000000005</c:v>
                </c:pt>
                <c:pt idx="3">
                  <c:v>4.2001109999999997</c:v>
                </c:pt>
                <c:pt idx="4">
                  <c:v>4.3567900000000002</c:v>
                </c:pt>
                <c:pt idx="5">
                  <c:v>3.8621290000000004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85-4721-9E63-1173B75465B3}"/>
            </c:ext>
          </c:extLst>
        </c:ser>
        <c:ser>
          <c:idx val="4"/>
          <c:order val="4"/>
          <c:tx>
            <c:strRef>
              <c:f>'Energy MIX'!$A$24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MIX'!$C$24:$H$24</c:f>
              <c:numCache>
                <c:formatCode>0\.0</c:formatCode>
                <c:ptCount val="6"/>
                <c:pt idx="0">
                  <c:v>31.639990000000001</c:v>
                </c:pt>
                <c:pt idx="1">
                  <c:v>30.376370000000001</c:v>
                </c:pt>
                <c:pt idx="2">
                  <c:v>29.33961</c:v>
                </c:pt>
                <c:pt idx="3">
                  <c:v>19.075800000000001</c:v>
                </c:pt>
                <c:pt idx="4">
                  <c:v>11.51765</c:v>
                </c:pt>
                <c:pt idx="5">
                  <c:v>8.6951870000000007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85-4721-9E63-1173B75465B3}"/>
            </c:ext>
          </c:extLst>
        </c:ser>
        <c:ser>
          <c:idx val="5"/>
          <c:order val="5"/>
          <c:tx>
            <c:strRef>
              <c:f>'Energy MIX'!$A$25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MIX'!$C$25:$H$25</c:f>
              <c:numCache>
                <c:formatCode>0\.0</c:formatCode>
                <c:ptCount val="6"/>
                <c:pt idx="0">
                  <c:v>25.347620999999997</c:v>
                </c:pt>
                <c:pt idx="1">
                  <c:v>30.528323</c:v>
                </c:pt>
                <c:pt idx="2">
                  <c:v>32.498339999999999</c:v>
                </c:pt>
                <c:pt idx="3">
                  <c:v>52.540396000000008</c:v>
                </c:pt>
                <c:pt idx="4">
                  <c:v>65.241011</c:v>
                </c:pt>
                <c:pt idx="5">
                  <c:v>57.540582000000001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85-4721-9E63-1173B7546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90368"/>
        <c:axId val="152491904"/>
      </c:areaChart>
      <c:catAx>
        <c:axId val="152490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152491904"/>
        <c:crosses val="autoZero"/>
        <c:auto val="1"/>
        <c:lblAlgn val="ctr"/>
        <c:lblOffset val="100"/>
        <c:noMultiLvlLbl val="0"/>
      </c:catAx>
      <c:valAx>
        <c:axId val="152491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800" b="1" i="0" baseline="0">
                    <a:effectLst/>
                  </a:rPr>
                  <a:t>Million tonne of oil equivalent </a:t>
                </a:r>
                <a:endParaRPr lang="fr-FR">
                  <a:effectLst/>
                </a:endParaRPr>
              </a:p>
            </c:rich>
          </c:tx>
          <c:layout>
            <c:manualLayout>
              <c:xMode val="edge"/>
              <c:yMode val="edge"/>
              <c:x val="1.7479454412460738E-2"/>
              <c:y val="0.2409860639804961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152490368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 sz="2400"/>
            </a:pPr>
            <a:r>
              <a:rPr lang="fr-FR"/>
              <a:t>Baseline Scenario - Final Energy</a:t>
            </a:r>
          </a:p>
          <a:p>
            <a:pPr algn="ctr">
              <a:defRPr sz="2400"/>
            </a:pPr>
            <a:r>
              <a:rPr lang="fr-FR"/>
              <a:t>FIGURE B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MIX'!$K$20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MIX'!$M$20:$R$20</c:f>
              <c:numCache>
                <c:formatCode>0\.0</c:formatCode>
                <c:ptCount val="6"/>
                <c:pt idx="0">
                  <c:v>59.195250000000001</c:v>
                </c:pt>
                <c:pt idx="1">
                  <c:v>57.683599999999998</c:v>
                </c:pt>
                <c:pt idx="2">
                  <c:v>56.295729999999999</c:v>
                </c:pt>
                <c:pt idx="3">
                  <c:v>41.369340000000001</c:v>
                </c:pt>
                <c:pt idx="4">
                  <c:v>19.107009999999999</c:v>
                </c:pt>
                <c:pt idx="5">
                  <c:v>7.0470420000000003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5-43E4-92D4-0A31281DC646}"/>
            </c:ext>
          </c:extLst>
        </c:ser>
        <c:ser>
          <c:idx val="1"/>
          <c:order val="1"/>
          <c:tx>
            <c:strRef>
              <c:f>'Energy MIX'!$K$21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MIX'!$M$21:$R$21</c:f>
              <c:numCache>
                <c:formatCode>0\.0</c:formatCode>
                <c:ptCount val="6"/>
                <c:pt idx="0">
                  <c:v>4.4871980000000002</c:v>
                </c:pt>
                <c:pt idx="1">
                  <c:v>4.0806750000000003</c:v>
                </c:pt>
                <c:pt idx="2">
                  <c:v>3.1125530000000001</c:v>
                </c:pt>
                <c:pt idx="3">
                  <c:v>2.7890950000000001</c:v>
                </c:pt>
                <c:pt idx="4">
                  <c:v>2.7346759999999999</c:v>
                </c:pt>
                <c:pt idx="5">
                  <c:v>2.790816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15-43E4-92D4-0A31281DC646}"/>
            </c:ext>
          </c:extLst>
        </c:ser>
        <c:ser>
          <c:idx val="2"/>
          <c:order val="2"/>
          <c:tx>
            <c:strRef>
              <c:f>'Energy MIX'!$K$22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MIX'!$M$22:$R$22</c:f>
              <c:numCache>
                <c:formatCode>0\.0</c:formatCode>
                <c:ptCount val="6"/>
                <c:pt idx="0">
                  <c:v>26.847280000000001</c:v>
                </c:pt>
                <c:pt idx="1">
                  <c:v>25.88625</c:v>
                </c:pt>
                <c:pt idx="2">
                  <c:v>24.586919999999999</c:v>
                </c:pt>
                <c:pt idx="3">
                  <c:v>18.07124</c:v>
                </c:pt>
                <c:pt idx="4">
                  <c:v>16.250599999999999</c:v>
                </c:pt>
                <c:pt idx="5">
                  <c:v>15.01182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15-43E4-92D4-0A31281DC646}"/>
            </c:ext>
          </c:extLst>
        </c:ser>
        <c:ser>
          <c:idx val="3"/>
          <c:order val="3"/>
          <c:tx>
            <c:strRef>
              <c:f>'Energy MIX'!$K$23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MIX'!$M$23:$R$23</c:f>
              <c:numCache>
                <c:formatCode>0\.0</c:formatCode>
                <c:ptCount val="6"/>
                <c:pt idx="0">
                  <c:v>3.9811520000000002</c:v>
                </c:pt>
                <c:pt idx="1">
                  <c:v>3.136355</c:v>
                </c:pt>
                <c:pt idx="2">
                  <c:v>2.065569</c:v>
                </c:pt>
                <c:pt idx="3">
                  <c:v>1.8734819999999999</c:v>
                </c:pt>
                <c:pt idx="4">
                  <c:v>1.997792</c:v>
                </c:pt>
                <c:pt idx="5">
                  <c:v>1.7446549999999998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15-43E4-92D4-0A31281DC646}"/>
            </c:ext>
          </c:extLst>
        </c:ser>
        <c:ser>
          <c:idx val="4"/>
          <c:order val="4"/>
          <c:tx>
            <c:strRef>
              <c:f>'Energy MIX'!$K$24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MIX'!$M$24:$R$24</c:f>
              <c:numCache>
                <c:formatCode>0\.0</c:formatCode>
                <c:ptCount val="6"/>
                <c:pt idx="0">
                  <c:v>31.42408</c:v>
                </c:pt>
                <c:pt idx="1">
                  <c:v>30.15663</c:v>
                </c:pt>
                <c:pt idx="2">
                  <c:v>29.071629999999999</c:v>
                </c:pt>
                <c:pt idx="3">
                  <c:v>18.745989999999999</c:v>
                </c:pt>
                <c:pt idx="4">
                  <c:v>11.50433</c:v>
                </c:pt>
                <c:pt idx="5">
                  <c:v>8.6943180000000009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15-43E4-92D4-0A31281DC646}"/>
            </c:ext>
          </c:extLst>
        </c:ser>
        <c:ser>
          <c:idx val="5"/>
          <c:order val="5"/>
          <c:tx>
            <c:strRef>
              <c:f>'Energy MIX'!$K$25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MIX'!$M$25:$R$25</c:f>
              <c:numCache>
                <c:formatCode>0\.0</c:formatCode>
                <c:ptCount val="6"/>
                <c:pt idx="0">
                  <c:v>20.786944000000002</c:v>
                </c:pt>
                <c:pt idx="1">
                  <c:v>25.239730999999999</c:v>
                </c:pt>
                <c:pt idx="2">
                  <c:v>27.882965000000002</c:v>
                </c:pt>
                <c:pt idx="3">
                  <c:v>43.187902999999991</c:v>
                </c:pt>
                <c:pt idx="4">
                  <c:v>56.097399000000003</c:v>
                </c:pt>
                <c:pt idx="5">
                  <c:v>49.766446000000002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15-43E4-92D4-0A31281DC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615936"/>
        <c:axId val="152617728"/>
      </c:areaChart>
      <c:catAx>
        <c:axId val="152615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152617728"/>
        <c:crosses val="autoZero"/>
        <c:auto val="1"/>
        <c:lblAlgn val="ctr"/>
        <c:lblOffset val="100"/>
        <c:noMultiLvlLbl val="0"/>
      </c:catAx>
      <c:valAx>
        <c:axId val="152617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800" b="1" i="0" baseline="0">
                    <a:effectLst/>
                  </a:rPr>
                  <a:t>Million tonne of oil equivalent </a:t>
                </a:r>
                <a:endParaRPr lang="fr-FR">
                  <a:effectLst/>
                </a:endParaRPr>
              </a:p>
            </c:rich>
          </c:tx>
          <c:layout>
            <c:manualLayout>
              <c:xMode val="edge"/>
              <c:yMode val="edge"/>
              <c:x val="2.1577815068198444E-2"/>
              <c:y val="0.2493542648173162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152615936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800"/>
              <a:t>Households Energy</a:t>
            </a:r>
            <a:r>
              <a:rPr lang="en-US" sz="2800" baseline="0"/>
              <a:t> Bill</a:t>
            </a:r>
          </a:p>
          <a:p>
            <a:pPr>
              <a:defRPr/>
            </a:pPr>
            <a:r>
              <a:rPr lang="en-US" b="0" baseline="0"/>
              <a:t>In billions of constant euros</a:t>
            </a:r>
          </a:p>
          <a:p>
            <a:pPr>
              <a:defRPr/>
            </a:pPr>
            <a:r>
              <a:rPr lang="en-US" sz="2000" b="1" baseline="0"/>
              <a:t>FIGURE A</a:t>
            </a:r>
            <a:endParaRPr lang="en-US" sz="2000" b="1"/>
          </a:p>
        </c:rich>
      </c:tx>
      <c:layout>
        <c:manualLayout>
          <c:xMode val="edge"/>
          <c:yMode val="edge"/>
          <c:x val="0.33512134060165555"/>
          <c:y val="2.0930231791604768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698340399757724"/>
          <c:y val="0.23283844596819461"/>
          <c:w val="0.81011061309643995"/>
          <c:h val="0.5834307056059071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Households!$B$35</c:f>
              <c:strCache>
                <c:ptCount val="1"/>
                <c:pt idx="0">
                  <c:v>Reference Sc.</c:v>
                </c:pt>
              </c:strCache>
            </c:strRef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Households!$C$35:$G$35</c:f>
              <c:numCache>
                <c:formatCode>#,##0</c:formatCode>
                <c:ptCount val="4"/>
                <c:pt idx="0">
                  <c:v>68100.309810000006</c:v>
                </c:pt>
                <c:pt idx="1">
                  <c:v>62259.799039999998</c:v>
                </c:pt>
                <c:pt idx="2">
                  <c:v>55594.479289999996</c:v>
                </c:pt>
                <c:pt idx="3">
                  <c:v>44290.919670000003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01-4AB5-8D7A-02056DF3EDE8}"/>
            </c:ext>
          </c:extLst>
        </c:ser>
        <c:ser>
          <c:idx val="1"/>
          <c:order val="1"/>
          <c:tx>
            <c:strRef>
              <c:f>Households!$B$41</c:f>
              <c:strCache>
                <c:ptCount val="1"/>
                <c:pt idx="0">
                  <c:v>ADEME High Sc.</c:v>
                </c:pt>
              </c:strCache>
            </c:strRef>
          </c:tx>
          <c:invertIfNegative val="0"/>
          <c:dLbls>
            <c:dLbl>
              <c:idx val="2"/>
              <c:layout>
                <c:manualLayout>
                  <c:x val="1.6394687690881392E-2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01-4AB5-8D7A-02056DF3EDE8}"/>
                </c:ext>
              </c:extLst>
            </c:dLbl>
            <c:dLbl>
              <c:idx val="3"/>
              <c:layout>
                <c:manualLayout>
                  <c:x val="1.7760911665121507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201-4AB5-8D7A-02056DF3EDE8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Households!$C$41:$G$41</c:f>
              <c:numCache>
                <c:formatCode>#,##0</c:formatCode>
                <c:ptCount val="4"/>
                <c:pt idx="0">
                  <c:v>68075.510269999999</c:v>
                </c:pt>
                <c:pt idx="1">
                  <c:v>59142.959880000002</c:v>
                </c:pt>
                <c:pt idx="2">
                  <c:v>48916.092340000003</c:v>
                </c:pt>
                <c:pt idx="3">
                  <c:v>34307.308539999998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01-4AB5-8D7A-02056DF3ED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gapDepth val="268"/>
        <c:shape val="box"/>
        <c:axId val="152707072"/>
        <c:axId val="152708608"/>
        <c:axId val="0"/>
      </c:bar3DChart>
      <c:catAx>
        <c:axId val="15270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152708608"/>
        <c:crosses val="autoZero"/>
        <c:auto val="1"/>
        <c:lblAlgn val="ctr"/>
        <c:lblOffset val="100"/>
        <c:noMultiLvlLbl val="0"/>
      </c:catAx>
      <c:valAx>
        <c:axId val="152708608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400"/>
            </a:pPr>
            <a:endParaRPr lang="fr-FR"/>
          </a:p>
        </c:txPr>
        <c:crossAx val="152707072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400"/>
              <a:t>Households gross disposable income</a:t>
            </a:r>
            <a:r>
              <a:rPr lang="en-US" sz="2400" baseline="0"/>
              <a:t>  excepting energy</a:t>
            </a:r>
          </a:p>
          <a:p>
            <a:pPr>
              <a:defRPr/>
            </a:pPr>
            <a:r>
              <a:rPr lang="en-US" b="0" baseline="0"/>
              <a:t>In billions of constant euros</a:t>
            </a:r>
          </a:p>
          <a:p>
            <a:pPr>
              <a:defRPr/>
            </a:pPr>
            <a:r>
              <a:rPr lang="en-US" sz="2000" b="1" baseline="0"/>
              <a:t>FIGURE B</a:t>
            </a:r>
            <a:endParaRPr lang="en-US" sz="2000" b="1"/>
          </a:p>
        </c:rich>
      </c:tx>
      <c:layout>
        <c:manualLayout>
          <c:xMode val="edge"/>
          <c:yMode val="edge"/>
          <c:x val="0.14239550054035771"/>
          <c:y val="2.3023254970765246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922250667889885"/>
          <c:y val="0.23283844596819461"/>
          <c:w val="0.81011061309643995"/>
          <c:h val="0.5834307056059071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Households!$B$55</c:f>
              <c:strCache>
                <c:ptCount val="1"/>
                <c:pt idx="0">
                  <c:v>Reference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4.102564102564077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C6-4A81-A309-A19675D3104B}"/>
                </c:ext>
              </c:extLst>
            </c:dLbl>
            <c:dLbl>
              <c:idx val="1"/>
              <c:layout>
                <c:manualLayout>
                  <c:x val="-8.2051282051282051E-3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7C6-4A81-A309-A19675D3104B}"/>
                </c:ext>
              </c:extLst>
            </c:dLbl>
            <c:dLbl>
              <c:idx val="2"/>
              <c:layout>
                <c:manualLayout>
                  <c:x val="-4.1025641025641026E-3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C6-4A81-A309-A19675D3104B}"/>
                </c:ext>
              </c:extLst>
            </c:dLbl>
            <c:dLbl>
              <c:idx val="3"/>
              <c:layout>
                <c:manualLayout>
                  <c:x val="-1.5042735042735043E-2"/>
                  <c:y val="6.2790695374814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C6-4A81-A309-A19675D3104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Households!$D$55:$G$55</c:f>
              <c:numCache>
                <c:formatCode>#,##0</c:formatCode>
                <c:ptCount val="4"/>
                <c:pt idx="0">
                  <c:v>1110333.69019</c:v>
                </c:pt>
                <c:pt idx="1">
                  <c:v>1296296.20096</c:v>
                </c:pt>
                <c:pt idx="2">
                  <c:v>1532114.5207100001</c:v>
                </c:pt>
                <c:pt idx="3">
                  <c:v>2106640.0803299998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C6-4A81-A309-A19675D3104B}"/>
            </c:ext>
          </c:extLst>
        </c:ser>
        <c:ser>
          <c:idx val="1"/>
          <c:order val="1"/>
          <c:tx>
            <c:strRef>
              <c:f>Households!$B$56</c:f>
              <c:strCache>
                <c:ptCount val="1"/>
                <c:pt idx="0">
                  <c:v>ADEME High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3.282051282051282E-2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7C6-4A81-A309-A19675D3104B}"/>
                </c:ext>
              </c:extLst>
            </c:dLbl>
            <c:dLbl>
              <c:idx val="1"/>
              <c:layout>
                <c:manualLayout>
                  <c:x val="3.0085470085470085E-2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C6-4A81-A309-A19675D3104B}"/>
                </c:ext>
              </c:extLst>
            </c:dLbl>
            <c:dLbl>
              <c:idx val="2"/>
              <c:layout>
                <c:manualLayout>
                  <c:x val="2.73504273504273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C6-4A81-A309-A19675D3104B}"/>
                </c:ext>
              </c:extLst>
            </c:dLbl>
            <c:dLbl>
              <c:idx val="3"/>
              <c:layout>
                <c:manualLayout>
                  <c:x val="1.5042735042735043E-2"/>
                  <c:y val="-1.04651158958023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C6-4A81-A309-A19675D3104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Households!$D$56:$G$56</c:f>
              <c:numCache>
                <c:formatCode>#,##0</c:formatCode>
                <c:ptCount val="4"/>
                <c:pt idx="0">
                  <c:v>1110425.48973</c:v>
                </c:pt>
                <c:pt idx="1">
                  <c:v>1311745.04012</c:v>
                </c:pt>
                <c:pt idx="2">
                  <c:v>1578818.90766</c:v>
                </c:pt>
                <c:pt idx="3">
                  <c:v>2324653.6914599999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7C6-4A81-A309-A19675D310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gapDepth val="268"/>
        <c:shape val="box"/>
        <c:axId val="152740608"/>
        <c:axId val="152742144"/>
        <c:axId val="0"/>
      </c:bar3DChart>
      <c:catAx>
        <c:axId val="15274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152742144"/>
        <c:crosses val="autoZero"/>
        <c:auto val="1"/>
        <c:lblAlgn val="ctr"/>
        <c:lblOffset val="100"/>
        <c:noMultiLvlLbl val="0"/>
      </c:catAx>
      <c:valAx>
        <c:axId val="152742144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000"/>
            </a:pPr>
            <a:endParaRPr lang="fr-FR"/>
          </a:p>
        </c:txPr>
        <c:crossAx val="152740608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400"/>
              <a:t>Annual</a:t>
            </a:r>
            <a:r>
              <a:rPr lang="en-US" sz="2400" baseline="0"/>
              <a:t> mean of investment over the periode 2015 - 2050</a:t>
            </a:r>
          </a:p>
          <a:p>
            <a:pPr>
              <a:defRPr/>
            </a:pPr>
            <a:r>
              <a:rPr lang="en-US" sz="2000" b="0" baseline="0"/>
              <a:t>In billions of constant euros</a:t>
            </a:r>
          </a:p>
          <a:p>
            <a:pPr>
              <a:defRPr/>
            </a:pPr>
            <a:r>
              <a:rPr lang="en-US" sz="2400" b="1" baseline="0"/>
              <a:t>FIGURE A</a:t>
            </a:r>
            <a:endParaRPr lang="en-US" sz="2400" b="1"/>
          </a:p>
        </c:rich>
      </c:tx>
      <c:layout>
        <c:manualLayout>
          <c:xMode val="edge"/>
          <c:yMode val="edge"/>
          <c:x val="0.14239550054035771"/>
          <c:y val="2.3023254970765246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605362655009943"/>
          <c:y val="0.27454283924032818"/>
          <c:w val="0.85929463685013729"/>
          <c:h val="0.4348260598855132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'Investments and other variables'!$C$143</c:f>
              <c:strCache>
                <c:ptCount val="1"/>
                <c:pt idx="0">
                  <c:v>Reference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4.102564102564077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5A-414C-BA19-064F0C50F94C}"/>
                </c:ext>
              </c:extLst>
            </c:dLbl>
            <c:dLbl>
              <c:idx val="1"/>
              <c:layout>
                <c:manualLayout>
                  <c:x val="9.5558222979370885E-3"/>
                  <c:y val="-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F5A-414C-BA19-064F0C50F94C}"/>
                </c:ext>
              </c:extLst>
            </c:dLbl>
            <c:dLbl>
              <c:idx val="2"/>
              <c:layout>
                <c:manualLayout>
                  <c:x val="-4.1025641025641026E-3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5A-414C-BA19-064F0C50F94C}"/>
                </c:ext>
              </c:extLst>
            </c:dLbl>
            <c:dLbl>
              <c:idx val="3"/>
              <c:layout>
                <c:manualLayout>
                  <c:x val="2.7181402485925202E-3"/>
                  <c:y val="-6.27906953748135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5A-414C-BA19-064F0C50F94C}"/>
                </c:ext>
              </c:extLst>
            </c:dLbl>
            <c:dLbl>
              <c:idx val="8"/>
              <c:layout>
                <c:manualLayout>
                  <c:x val="-2.8690811035733219E-2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5A-414C-BA19-064F0C50F94C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'Investments and other variables'!$B$144:$B$153</c:f>
              <c:strCache>
                <c:ptCount val="10"/>
                <c:pt idx="0">
                  <c:v>Low carbon vehicles (classes A, B , C)</c:v>
                </c:pt>
                <c:pt idx="1">
                  <c:v>Other vehicles</c:v>
                </c:pt>
                <c:pt idx="2">
                  <c:v>Public transport</c:v>
                </c:pt>
                <c:pt idx="3">
                  <c:v>Fossil fuel</c:v>
                </c:pt>
                <c:pt idx="4">
                  <c:v>Renewable energy</c:v>
                </c:pt>
                <c:pt idx="5">
                  <c:v>Nuclear Power</c:v>
                </c:pt>
                <c:pt idx="6">
                  <c:v>Thermal Power station</c:v>
                </c:pt>
                <c:pt idx="7">
                  <c:v>Housing Renovation</c:v>
                </c:pt>
                <c:pt idx="8">
                  <c:v>Other investments</c:v>
                </c:pt>
                <c:pt idx="9">
                  <c:v>TOTAL</c:v>
                </c:pt>
              </c:strCache>
            </c:strRef>
          </c:cat>
          <c:val>
            <c:numRef>
              <c:f>'Investments and other variables'!$C$144:$C$153</c:f>
              <c:numCache>
                <c:formatCode>#,##0</c:formatCode>
                <c:ptCount val="10"/>
                <c:pt idx="0">
                  <c:v>30393.64822857143</c:v>
                </c:pt>
                <c:pt idx="1">
                  <c:v>6279.1968095251677</c:v>
                </c:pt>
                <c:pt idx="2">
                  <c:v>16420.699457142859</c:v>
                </c:pt>
                <c:pt idx="3">
                  <c:v>943.68710834285719</c:v>
                </c:pt>
                <c:pt idx="4">
                  <c:v>4459.8112634285708</c:v>
                </c:pt>
                <c:pt idx="5">
                  <c:v>2245.9187142857145</c:v>
                </c:pt>
                <c:pt idx="6">
                  <c:v>912.60582571428563</c:v>
                </c:pt>
                <c:pt idx="7">
                  <c:v>8701.5644285714279</c:v>
                </c:pt>
                <c:pt idx="8">
                  <c:v>469994.79754285712</c:v>
                </c:pt>
                <c:pt idx="9">
                  <c:v>540351.92937843932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5A-414C-BA19-064F0C50F94C}"/>
            </c:ext>
          </c:extLst>
        </c:ser>
        <c:ser>
          <c:idx val="1"/>
          <c:order val="1"/>
          <c:tx>
            <c:strRef>
              <c:f>'Investments and other variables'!$D$143</c:f>
              <c:strCache>
                <c:ptCount val="1"/>
                <c:pt idx="0">
                  <c:v>ADEME high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1.5059553380307055E-2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5A-414C-BA19-064F0C50F94C}"/>
                </c:ext>
              </c:extLst>
            </c:dLbl>
            <c:dLbl>
              <c:idx val="1"/>
              <c:layout>
                <c:manualLayout>
                  <c:x val="1.2324523591245631E-2"/>
                  <c:y val="4.18588155334621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F5A-414C-BA19-064F0C50F94C}"/>
                </c:ext>
              </c:extLst>
            </c:dLbl>
            <c:dLbl>
              <c:idx val="2"/>
              <c:layout>
                <c:manualLayout>
                  <c:x val="8.2232698279439929E-3"/>
                  <c:y val="8.37209271664190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F5A-414C-BA19-064F0C50F94C}"/>
                </c:ext>
              </c:extLst>
            </c:dLbl>
            <c:dLbl>
              <c:idx val="3"/>
              <c:layout>
                <c:manualLayout>
                  <c:x val="4.112979622608059E-3"/>
                  <c:y val="-1.4651327059098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F5A-414C-BA19-064F0C50F94C}"/>
                </c:ext>
              </c:extLst>
            </c:dLbl>
            <c:dLbl>
              <c:idx val="4"/>
              <c:layout>
                <c:manualLayout>
                  <c:x val="1.0929791793920927E-2"/>
                  <c:y val="7.6743296690772014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F5A-414C-BA19-064F0C50F94C}"/>
                </c:ext>
              </c:extLst>
            </c:dLbl>
            <c:dLbl>
              <c:idx val="7"/>
              <c:layout>
                <c:manualLayout>
                  <c:x val="1.502846371664137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F5A-414C-BA19-064F0C50F94C}"/>
                </c:ext>
              </c:extLst>
            </c:dLbl>
            <c:dLbl>
              <c:idx val="9"/>
              <c:layout>
                <c:manualLayout>
                  <c:x val="1.7760911665121507E-2"/>
                  <c:y val="-6.2790695374814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F5A-414C-BA19-064F0C50F94C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'Investments and other variables'!$B$144:$B$153</c:f>
              <c:strCache>
                <c:ptCount val="10"/>
                <c:pt idx="0">
                  <c:v>Low carbon vehicles (classes A, B , C)</c:v>
                </c:pt>
                <c:pt idx="1">
                  <c:v>Other vehicles</c:v>
                </c:pt>
                <c:pt idx="2">
                  <c:v>Public transport</c:v>
                </c:pt>
                <c:pt idx="3">
                  <c:v>Fossil fuel</c:v>
                </c:pt>
                <c:pt idx="4">
                  <c:v>Renewable energy</c:v>
                </c:pt>
                <c:pt idx="5">
                  <c:v>Nuclear Power</c:v>
                </c:pt>
                <c:pt idx="6">
                  <c:v>Thermal Power station</c:v>
                </c:pt>
                <c:pt idx="7">
                  <c:v>Housing Renovation</c:v>
                </c:pt>
                <c:pt idx="8">
                  <c:v>Other investments</c:v>
                </c:pt>
                <c:pt idx="9">
                  <c:v>TOTAL</c:v>
                </c:pt>
              </c:strCache>
            </c:strRef>
          </c:cat>
          <c:val>
            <c:numRef>
              <c:f>'Investments and other variables'!$D$144:$D$153</c:f>
              <c:numCache>
                <c:formatCode>#,##0</c:formatCode>
                <c:ptCount val="10"/>
                <c:pt idx="0">
                  <c:v>27368.481228571425</c:v>
                </c:pt>
                <c:pt idx="1">
                  <c:v>4139.5596508248855</c:v>
                </c:pt>
                <c:pt idx="2">
                  <c:v>23411.247514285715</c:v>
                </c:pt>
                <c:pt idx="3">
                  <c:v>608.26400902857142</c:v>
                </c:pt>
                <c:pt idx="4">
                  <c:v>20446.082675714286</c:v>
                </c:pt>
                <c:pt idx="5">
                  <c:v>1174.4426571428569</c:v>
                </c:pt>
                <c:pt idx="6">
                  <c:v>207.05050597142855</c:v>
                </c:pt>
                <c:pt idx="7">
                  <c:v>13759.617857142857</c:v>
                </c:pt>
                <c:pt idx="8">
                  <c:v>485693.45120571426</c:v>
                </c:pt>
                <c:pt idx="9">
                  <c:v>576808.19730439631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5A-414C-BA19-064F0C50F9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gapDepth val="268"/>
        <c:shape val="box"/>
        <c:axId val="153044480"/>
        <c:axId val="153046016"/>
        <c:axId val="0"/>
      </c:bar3DChart>
      <c:catAx>
        <c:axId val="15304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153046016"/>
        <c:crosses val="autoZero"/>
        <c:auto val="1"/>
        <c:lblAlgn val="ctr"/>
        <c:lblOffset val="100"/>
        <c:noMultiLvlLbl val="0"/>
      </c:catAx>
      <c:valAx>
        <c:axId val="153046016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400"/>
            </a:pPr>
            <a:endParaRPr lang="fr-FR"/>
          </a:p>
        </c:txPr>
        <c:crossAx val="153044480"/>
        <c:crosses val="autoZero"/>
        <c:crossBetween val="between"/>
        <c:dispUnits>
          <c:builtInUnit val="thousands"/>
        </c:dispUnits>
      </c:valAx>
    </c:plotArea>
    <c:legend>
      <c:legendPos val="t"/>
      <c:layout>
        <c:manualLayout>
          <c:xMode val="edge"/>
          <c:yMode val="edge"/>
          <c:x val="3.1325256618817271E-3"/>
          <c:y val="0.19817798212129711"/>
          <c:w val="0.46090759872259135"/>
          <c:h val="6.3148157365018956E-2"/>
        </c:manualLayout>
      </c:layout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fr-FR" sz="2400"/>
              <a:t>Job</a:t>
            </a:r>
            <a:r>
              <a:rPr lang="fr-FR" sz="2400" baseline="0"/>
              <a:t> creation/destruction by sector</a:t>
            </a:r>
          </a:p>
          <a:p>
            <a:pPr algn="ctr">
              <a:defRPr/>
            </a:pPr>
            <a:r>
              <a:rPr lang="fr-FR" sz="2400" baseline="0"/>
              <a:t>ADEME high Sc</a:t>
            </a:r>
            <a:r>
              <a:rPr lang="fr-FR" baseline="0"/>
              <a:t>.</a:t>
            </a:r>
          </a:p>
          <a:p>
            <a:pPr algn="ctr">
              <a:defRPr/>
            </a:pPr>
            <a:r>
              <a:rPr lang="fr-FR" b="0" baseline="0"/>
              <a:t>In thousand</a:t>
            </a:r>
          </a:p>
          <a:p>
            <a:pPr algn="ctr">
              <a:defRPr/>
            </a:pPr>
            <a:r>
              <a:rPr lang="fr-FR" sz="2400" b="1" baseline="0"/>
              <a:t>FIGURE A</a:t>
            </a:r>
          </a:p>
        </c:rich>
      </c:tx>
      <c:layout>
        <c:manualLayout>
          <c:xMode val="edge"/>
          <c:yMode val="edge"/>
          <c:x val="0.244750656167979"/>
          <c:y val="1.88284518828451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047738909685471"/>
          <c:y val="0.24471172536487332"/>
          <c:w val="0.81986448616999807"/>
          <c:h val="0.67357292900300569"/>
        </c:manualLayout>
      </c:layout>
      <c:barChart>
        <c:barDir val="bar"/>
        <c:grouping val="clustered"/>
        <c:varyColors val="0"/>
        <c:ser>
          <c:idx val="1"/>
          <c:order val="0"/>
          <c:tx>
            <c:v>2050</c:v>
          </c:tx>
          <c:invertIfNegative val="0"/>
          <c:cat>
            <c:strRef>
              <c:f>Employment!$B$126:$B$138</c:f>
              <c:strCache>
                <c:ptCount val="13"/>
                <c:pt idx="0">
                  <c:v>Agriculture and food industry</c:v>
                </c:pt>
                <c:pt idx="1">
                  <c:v>Automotive industry</c:v>
                </c:pt>
                <c:pt idx="2">
                  <c:v>Construction</c:v>
                </c:pt>
                <c:pt idx="3">
                  <c:v>Public transport</c:v>
                </c:pt>
                <c:pt idx="4">
                  <c:v>Road transportation (goods)</c:v>
                </c:pt>
                <c:pt idx="5">
                  <c:v>Fossil fuels</c:v>
                </c:pt>
                <c:pt idx="6">
                  <c:v>Biofuels</c:v>
                </c:pt>
                <c:pt idx="7">
                  <c:v>Nuclear power</c:v>
                </c:pt>
                <c:pt idx="8">
                  <c:v>Thermal power station</c:v>
                </c:pt>
                <c:pt idx="9">
                  <c:v>Renewable electricity</c:v>
                </c:pt>
                <c:pt idx="10">
                  <c:v>Renewable heating</c:v>
                </c:pt>
                <c:pt idx="11">
                  <c:v>Services</c:v>
                </c:pt>
                <c:pt idx="12">
                  <c:v>Other industries</c:v>
                </c:pt>
              </c:strCache>
            </c:strRef>
          </c:cat>
          <c:val>
            <c:numRef>
              <c:f>Employment!$G$126:$G$138</c:f>
              <c:numCache>
                <c:formatCode>#,##0</c:formatCode>
                <c:ptCount val="13"/>
                <c:pt idx="0">
                  <c:v>11.332300000000032</c:v>
                </c:pt>
                <c:pt idx="1">
                  <c:v>-22.100300000000004</c:v>
                </c:pt>
                <c:pt idx="2">
                  <c:v>179.36899999999969</c:v>
                </c:pt>
                <c:pt idx="3">
                  <c:v>12.203000000000017</c:v>
                </c:pt>
                <c:pt idx="4">
                  <c:v>-51.37700000000001</c:v>
                </c:pt>
                <c:pt idx="5">
                  <c:v>-9.1261209999999995</c:v>
                </c:pt>
                <c:pt idx="6">
                  <c:v>34.534655999999998</c:v>
                </c:pt>
                <c:pt idx="7">
                  <c:v>-29.181339999999999</c:v>
                </c:pt>
                <c:pt idx="8">
                  <c:v>-4.7139170000000004</c:v>
                </c:pt>
                <c:pt idx="9">
                  <c:v>23.275081</c:v>
                </c:pt>
                <c:pt idx="10">
                  <c:v>7.5953520000000001</c:v>
                </c:pt>
                <c:pt idx="11">
                  <c:v>453.88599999999951</c:v>
                </c:pt>
                <c:pt idx="12">
                  <c:v>-76.099799999999973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8-469E-8EB5-0DE13EFFFDDE}"/>
            </c:ext>
          </c:extLst>
        </c:ser>
        <c:ser>
          <c:idx val="0"/>
          <c:order val="1"/>
          <c:tx>
            <c:v>2030</c:v>
          </c:tx>
          <c:invertIfNegative val="0"/>
          <c:cat>
            <c:strRef>
              <c:f>Employment!$B$126:$B$138</c:f>
              <c:strCache>
                <c:ptCount val="13"/>
                <c:pt idx="0">
                  <c:v>Agriculture and food industry</c:v>
                </c:pt>
                <c:pt idx="1">
                  <c:v>Automotive industry</c:v>
                </c:pt>
                <c:pt idx="2">
                  <c:v>Construction</c:v>
                </c:pt>
                <c:pt idx="3">
                  <c:v>Public transport</c:v>
                </c:pt>
                <c:pt idx="4">
                  <c:v>Road transportation (goods)</c:v>
                </c:pt>
                <c:pt idx="5">
                  <c:v>Fossil fuels</c:v>
                </c:pt>
                <c:pt idx="6">
                  <c:v>Biofuels</c:v>
                </c:pt>
                <c:pt idx="7">
                  <c:v>Nuclear power</c:v>
                </c:pt>
                <c:pt idx="8">
                  <c:v>Thermal power station</c:v>
                </c:pt>
                <c:pt idx="9">
                  <c:v>Renewable electricity</c:v>
                </c:pt>
                <c:pt idx="10">
                  <c:v>Renewable heating</c:v>
                </c:pt>
                <c:pt idx="11">
                  <c:v>Services</c:v>
                </c:pt>
                <c:pt idx="12">
                  <c:v>Other industries</c:v>
                </c:pt>
              </c:strCache>
            </c:strRef>
          </c:cat>
          <c:val>
            <c:numRef>
              <c:f>Employment!$F$126:$F$138</c:f>
              <c:numCache>
                <c:formatCode>#,##0</c:formatCode>
                <c:ptCount val="13"/>
                <c:pt idx="0">
                  <c:v>12.870899999999892</c:v>
                </c:pt>
                <c:pt idx="1">
                  <c:v>-9.8748999999999967</c:v>
                </c:pt>
                <c:pt idx="2">
                  <c:v>90.553000000000111</c:v>
                </c:pt>
                <c:pt idx="3">
                  <c:v>28.756700000000009</c:v>
                </c:pt>
                <c:pt idx="4">
                  <c:v>-3.5049000000000206</c:v>
                </c:pt>
                <c:pt idx="5">
                  <c:v>-7.308936000000001</c:v>
                </c:pt>
                <c:pt idx="6">
                  <c:v>1.7331829999999995</c:v>
                </c:pt>
                <c:pt idx="7">
                  <c:v>-23.546309999999998</c:v>
                </c:pt>
                <c:pt idx="8">
                  <c:v>-4.8426899999999993</c:v>
                </c:pt>
                <c:pt idx="9">
                  <c:v>49.158895999999999</c:v>
                </c:pt>
                <c:pt idx="10">
                  <c:v>6.5428229999999994</c:v>
                </c:pt>
                <c:pt idx="11">
                  <c:v>179.76299999999992</c:v>
                </c:pt>
                <c:pt idx="12">
                  <c:v>42.945500000000088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8-469E-8EB5-0DE13EFFF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"/>
        <c:overlap val="-16"/>
        <c:axId val="153148800"/>
        <c:axId val="153150592"/>
      </c:barChart>
      <c:catAx>
        <c:axId val="1531488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900" b="1"/>
            </a:pPr>
            <a:endParaRPr lang="fr-FR"/>
          </a:p>
        </c:txPr>
        <c:crossAx val="153150592"/>
        <c:crosses val="autoZero"/>
        <c:auto val="1"/>
        <c:lblAlgn val="ctr"/>
        <c:lblOffset val="100"/>
        <c:noMultiLvlLbl val="0"/>
      </c:catAx>
      <c:valAx>
        <c:axId val="153150592"/>
        <c:scaling>
          <c:orientation val="minMax"/>
          <c:max val="700"/>
        </c:scaling>
        <c:delete val="0"/>
        <c:axPos val="b"/>
        <c:majorGridlines/>
        <c:numFmt formatCode="#,##0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000" b="0"/>
            </a:pPr>
            <a:endParaRPr lang="fr-FR"/>
          </a:p>
        </c:txPr>
        <c:crossAx val="1531488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0850162191264565"/>
          <c:y val="0.13818682885234101"/>
          <c:w val="0.25171459721380979"/>
          <c:h val="7.2743432604159219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Unemployment Rate</a:t>
            </a:r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layout>
        <c:manualLayout>
          <c:xMode val="edge"/>
          <c:yMode val="edge"/>
          <c:x val="0.3451639344262295"/>
          <c:y val="3.97489539748953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026042338969924"/>
          <c:y val="0.2296924521464105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variables'!$L$3:$AU$3</c:f>
              <c:numCache>
                <c:formatCode>#,##0.00</c:formatCode>
                <c:ptCount val="36"/>
                <c:pt idx="0">
                  <c:v>0.10736900000000001</c:v>
                </c:pt>
                <c:pt idx="1">
                  <c:v>0.10757700000000001</c:v>
                </c:pt>
                <c:pt idx="2">
                  <c:v>0.107207</c:v>
                </c:pt>
                <c:pt idx="3">
                  <c:v>0.106013</c:v>
                </c:pt>
                <c:pt idx="4">
                  <c:v>0.104113</c:v>
                </c:pt>
                <c:pt idx="5">
                  <c:v>0.10180500000000001</c:v>
                </c:pt>
                <c:pt idx="6">
                  <c:v>9.9451999999999999E-2</c:v>
                </c:pt>
                <c:pt idx="7">
                  <c:v>9.7266000000000005E-2</c:v>
                </c:pt>
                <c:pt idx="8">
                  <c:v>9.5425999999999997E-2</c:v>
                </c:pt>
                <c:pt idx="9">
                  <c:v>9.4042000000000001E-2</c:v>
                </c:pt>
                <c:pt idx="10">
                  <c:v>9.3174000000000007E-2</c:v>
                </c:pt>
                <c:pt idx="11">
                  <c:v>9.2839000000000005E-2</c:v>
                </c:pt>
                <c:pt idx="12">
                  <c:v>9.3071000000000001E-2</c:v>
                </c:pt>
                <c:pt idx="13">
                  <c:v>9.3807000000000001E-2</c:v>
                </c:pt>
                <c:pt idx="14">
                  <c:v>9.4967999999999997E-2</c:v>
                </c:pt>
                <c:pt idx="15">
                  <c:v>9.6467999999999998E-2</c:v>
                </c:pt>
                <c:pt idx="16">
                  <c:v>9.8382999999999998E-2</c:v>
                </c:pt>
                <c:pt idx="17">
                  <c:v>0.10072299999999999</c:v>
                </c:pt>
                <c:pt idx="18">
                  <c:v>0.10342899999999999</c:v>
                </c:pt>
                <c:pt idx="19">
                  <c:v>0.106394</c:v>
                </c:pt>
                <c:pt idx="20">
                  <c:v>0.10949399999999999</c:v>
                </c:pt>
                <c:pt idx="21">
                  <c:v>0.11260299999999999</c:v>
                </c:pt>
                <c:pt idx="22">
                  <c:v>0.11561100000000001</c:v>
                </c:pt>
                <c:pt idx="23">
                  <c:v>0.118427</c:v>
                </c:pt>
                <c:pt idx="24">
                  <c:v>0.120987</c:v>
                </c:pt>
                <c:pt idx="25">
                  <c:v>0.123247</c:v>
                </c:pt>
                <c:pt idx="26">
                  <c:v>0.12518899999999999</c:v>
                </c:pt>
                <c:pt idx="27">
                  <c:v>0.12681000000000001</c:v>
                </c:pt>
                <c:pt idx="28">
                  <c:v>0.12812100000000001</c:v>
                </c:pt>
                <c:pt idx="29">
                  <c:v>0.12914700000000001</c:v>
                </c:pt>
                <c:pt idx="30">
                  <c:v>0.129915</c:v>
                </c:pt>
                <c:pt idx="31">
                  <c:v>0.130466</c:v>
                </c:pt>
                <c:pt idx="32">
                  <c:v>0.130853</c:v>
                </c:pt>
                <c:pt idx="33">
                  <c:v>0.13111300000000001</c:v>
                </c:pt>
                <c:pt idx="34">
                  <c:v>0.131275</c:v>
                </c:pt>
                <c:pt idx="35">
                  <c:v>0.13136400000000001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F-4FD5-A26F-BACE9786A44C}"/>
            </c:ext>
          </c:extLst>
        </c:ser>
        <c:ser>
          <c:idx val="1"/>
          <c:order val="1"/>
          <c:tx>
            <c:v>ADEME high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variables'!$L$4:$AU$4</c:f>
              <c:numCache>
                <c:formatCode>#,##0.00</c:formatCode>
                <c:ptCount val="36"/>
                <c:pt idx="0">
                  <c:v>0.105258</c:v>
                </c:pt>
                <c:pt idx="1">
                  <c:v>0.10333299999999999</c:v>
                </c:pt>
                <c:pt idx="2">
                  <c:v>0.100893</c:v>
                </c:pt>
                <c:pt idx="3">
                  <c:v>9.8222000000000004E-2</c:v>
                </c:pt>
                <c:pt idx="4">
                  <c:v>9.5538999999999999E-2</c:v>
                </c:pt>
                <c:pt idx="5">
                  <c:v>9.2947000000000002E-2</c:v>
                </c:pt>
                <c:pt idx="6">
                  <c:v>9.0590000000000004E-2</c:v>
                </c:pt>
                <c:pt idx="7">
                  <c:v>8.8475999999999999E-2</c:v>
                </c:pt>
                <c:pt idx="8">
                  <c:v>8.6640999999999996E-2</c:v>
                </c:pt>
                <c:pt idx="9">
                  <c:v>8.5089999999999999E-2</c:v>
                </c:pt>
                <c:pt idx="10">
                  <c:v>8.3808999999999995E-2</c:v>
                </c:pt>
                <c:pt idx="11">
                  <c:v>8.2772999999999999E-2</c:v>
                </c:pt>
                <c:pt idx="12">
                  <c:v>8.2000000000000003E-2</c:v>
                </c:pt>
                <c:pt idx="13">
                  <c:v>8.1439999999999999E-2</c:v>
                </c:pt>
                <c:pt idx="14">
                  <c:v>8.1047999999999995E-2</c:v>
                </c:pt>
                <c:pt idx="15">
                  <c:v>8.0789E-2</c:v>
                </c:pt>
                <c:pt idx="16">
                  <c:v>8.0950999999999995E-2</c:v>
                </c:pt>
                <c:pt idx="17">
                  <c:v>8.2043000000000005E-2</c:v>
                </c:pt>
                <c:pt idx="18">
                  <c:v>8.4007999999999999E-2</c:v>
                </c:pt>
                <c:pt idx="19">
                  <c:v>8.6705000000000004E-2</c:v>
                </c:pt>
                <c:pt idx="20">
                  <c:v>8.9945999999999998E-2</c:v>
                </c:pt>
                <c:pt idx="21">
                  <c:v>9.3519000000000005E-2</c:v>
                </c:pt>
                <c:pt idx="22">
                  <c:v>9.7214999999999996E-2</c:v>
                </c:pt>
                <c:pt idx="23">
                  <c:v>0.10084799999999999</c:v>
                </c:pt>
                <c:pt idx="24">
                  <c:v>0.104259</c:v>
                </c:pt>
                <c:pt idx="25">
                  <c:v>0.107322</c:v>
                </c:pt>
                <c:pt idx="26">
                  <c:v>0.109946</c:v>
                </c:pt>
                <c:pt idx="27">
                  <c:v>0.11207499999999999</c:v>
                </c:pt>
                <c:pt idx="28">
                  <c:v>0.113676</c:v>
                </c:pt>
                <c:pt idx="29">
                  <c:v>0.114742</c:v>
                </c:pt>
                <c:pt idx="30">
                  <c:v>0.115276</c:v>
                </c:pt>
                <c:pt idx="31">
                  <c:v>0.115304</c:v>
                </c:pt>
                <c:pt idx="32">
                  <c:v>0.114867</c:v>
                </c:pt>
                <c:pt idx="33">
                  <c:v>0.11400200000000001</c:v>
                </c:pt>
                <c:pt idx="34">
                  <c:v>0.112738</c:v>
                </c:pt>
                <c:pt idx="35">
                  <c:v>0.111099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CF-4FD5-A26F-BACE9786A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172224"/>
        <c:axId val="153178112"/>
      </c:lineChart>
      <c:catAx>
        <c:axId val="15317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15317811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153178112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1531722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1423045479970743"/>
          <c:y val="0.91836885975027183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Trade Balance</a:t>
            </a:r>
          </a:p>
          <a:p>
            <a:pPr>
              <a:defRPr/>
            </a:pPr>
            <a:r>
              <a:rPr lang="fr-FR" sz="2000" b="0"/>
              <a:t>In % of GDP</a:t>
            </a:r>
          </a:p>
          <a:p>
            <a:pPr>
              <a:defRPr/>
            </a:pPr>
            <a:r>
              <a:rPr lang="fr-FR" sz="2400" b="1"/>
              <a:t>FIGURE 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variables'!$L$5:$AU$5</c:f>
              <c:numCache>
                <c:formatCode>#,##0.00</c:formatCode>
                <c:ptCount val="36"/>
                <c:pt idx="0">
                  <c:v>-1.2936E-2</c:v>
                </c:pt>
                <c:pt idx="1">
                  <c:v>-1.2148000000000001E-2</c:v>
                </c:pt>
                <c:pt idx="2">
                  <c:v>-1.1705E-2</c:v>
                </c:pt>
                <c:pt idx="3">
                  <c:v>-1.1615E-2</c:v>
                </c:pt>
                <c:pt idx="4">
                  <c:v>-1.1771999999999999E-2</c:v>
                </c:pt>
                <c:pt idx="5">
                  <c:v>-1.1461000000000001E-2</c:v>
                </c:pt>
                <c:pt idx="6">
                  <c:v>-1.1753E-2</c:v>
                </c:pt>
                <c:pt idx="7">
                  <c:v>-1.2187E-2</c:v>
                </c:pt>
                <c:pt idx="8">
                  <c:v>-1.2654E-2</c:v>
                </c:pt>
                <c:pt idx="9">
                  <c:v>-1.3148E-2</c:v>
                </c:pt>
                <c:pt idx="10">
                  <c:v>-1.3672E-2</c:v>
                </c:pt>
                <c:pt idx="11">
                  <c:v>-1.4226000000000001E-2</c:v>
                </c:pt>
                <c:pt idx="12">
                  <c:v>-1.4801E-2</c:v>
                </c:pt>
                <c:pt idx="13">
                  <c:v>-1.5409000000000001E-2</c:v>
                </c:pt>
                <c:pt idx="14">
                  <c:v>-1.6056999999999998E-2</c:v>
                </c:pt>
                <c:pt idx="15">
                  <c:v>-1.6747999999999999E-2</c:v>
                </c:pt>
                <c:pt idx="16">
                  <c:v>-1.6357E-2</c:v>
                </c:pt>
                <c:pt idx="17">
                  <c:v>-1.6621E-2</c:v>
                </c:pt>
                <c:pt idx="18">
                  <c:v>-1.7260000000000001E-2</c:v>
                </c:pt>
                <c:pt idx="19">
                  <c:v>-1.8127999999999998E-2</c:v>
                </c:pt>
                <c:pt idx="20">
                  <c:v>-1.9136E-2</c:v>
                </c:pt>
                <c:pt idx="21">
                  <c:v>-2.0227999999999999E-2</c:v>
                </c:pt>
                <c:pt idx="22">
                  <c:v>-2.1373E-2</c:v>
                </c:pt>
                <c:pt idx="23">
                  <c:v>-2.2551999999999999E-2</c:v>
                </c:pt>
                <c:pt idx="24">
                  <c:v>-2.375E-2</c:v>
                </c:pt>
                <c:pt idx="25">
                  <c:v>-2.4958000000000001E-2</c:v>
                </c:pt>
                <c:pt idx="26">
                  <c:v>-2.6165000000000001E-2</c:v>
                </c:pt>
                <c:pt idx="27">
                  <c:v>-2.7363999999999999E-2</c:v>
                </c:pt>
                <c:pt idx="28">
                  <c:v>-2.8548E-2</c:v>
                </c:pt>
                <c:pt idx="29">
                  <c:v>-2.9707999999999998E-2</c:v>
                </c:pt>
                <c:pt idx="30">
                  <c:v>-3.09E-2</c:v>
                </c:pt>
                <c:pt idx="31">
                  <c:v>-3.2065000000000003E-2</c:v>
                </c:pt>
                <c:pt idx="32">
                  <c:v>-3.3234E-2</c:v>
                </c:pt>
                <c:pt idx="33">
                  <c:v>-3.4368000000000003E-2</c:v>
                </c:pt>
                <c:pt idx="34">
                  <c:v>-3.5466999999999999E-2</c:v>
                </c:pt>
                <c:pt idx="35">
                  <c:v>-3.653E-2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84-4BF7-B543-E2696E74FF47}"/>
            </c:ext>
          </c:extLst>
        </c:ser>
        <c:ser>
          <c:idx val="1"/>
          <c:order val="1"/>
          <c:tx>
            <c:v>ADEME high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variables'!$L$6:$AU$6</c:f>
              <c:numCache>
                <c:formatCode>#,##0.00</c:formatCode>
                <c:ptCount val="36"/>
                <c:pt idx="0">
                  <c:v>-1.2733E-2</c:v>
                </c:pt>
                <c:pt idx="1">
                  <c:v>-1.2239999999999999E-2</c:v>
                </c:pt>
                <c:pt idx="2">
                  <c:v>-1.1842E-2</c:v>
                </c:pt>
                <c:pt idx="3">
                  <c:v>-1.1571E-2</c:v>
                </c:pt>
                <c:pt idx="4">
                  <c:v>-1.1417E-2</c:v>
                </c:pt>
                <c:pt idx="5">
                  <c:v>-1.081E-2</c:v>
                </c:pt>
                <c:pt idx="6">
                  <c:v>-1.0678999999999999E-2</c:v>
                </c:pt>
                <c:pt idx="7">
                  <c:v>-1.0742E-2</c:v>
                </c:pt>
                <c:pt idx="8">
                  <c:v>-1.0839E-2</c:v>
                </c:pt>
                <c:pt idx="9">
                  <c:v>-1.0958000000000001E-2</c:v>
                </c:pt>
                <c:pt idx="10">
                  <c:v>-1.1091E-2</c:v>
                </c:pt>
                <c:pt idx="11">
                  <c:v>-1.1226E-2</c:v>
                </c:pt>
                <c:pt idx="12">
                  <c:v>-1.1343000000000001E-2</c:v>
                </c:pt>
                <c:pt idx="13">
                  <c:v>-1.1443E-2</c:v>
                </c:pt>
                <c:pt idx="14">
                  <c:v>-1.1526E-2</c:v>
                </c:pt>
                <c:pt idx="15">
                  <c:v>-1.1591000000000001E-2</c:v>
                </c:pt>
                <c:pt idx="16">
                  <c:v>-1.2055E-2</c:v>
                </c:pt>
                <c:pt idx="17">
                  <c:v>-1.2070000000000001E-2</c:v>
                </c:pt>
                <c:pt idx="18">
                  <c:v>-1.2383E-2</c:v>
                </c:pt>
                <c:pt idx="19">
                  <c:v>-1.2864E-2</c:v>
                </c:pt>
                <c:pt idx="20">
                  <c:v>-1.3426E-2</c:v>
                </c:pt>
                <c:pt idx="21">
                  <c:v>-1.4016000000000001E-2</c:v>
                </c:pt>
                <c:pt idx="22">
                  <c:v>-1.4602E-2</c:v>
                </c:pt>
                <c:pt idx="23">
                  <c:v>-1.5162E-2</c:v>
                </c:pt>
                <c:pt idx="24">
                  <c:v>-1.5679999999999999E-2</c:v>
                </c:pt>
                <c:pt idx="25">
                  <c:v>-1.6142E-2</c:v>
                </c:pt>
                <c:pt idx="26">
                  <c:v>-1.653E-2</c:v>
                </c:pt>
                <c:pt idx="27">
                  <c:v>-1.6830999999999999E-2</c:v>
                </c:pt>
                <c:pt idx="28">
                  <c:v>-1.7028999999999999E-2</c:v>
                </c:pt>
                <c:pt idx="29">
                  <c:v>-1.711E-2</c:v>
                </c:pt>
                <c:pt idx="30">
                  <c:v>-1.7108999999999999E-2</c:v>
                </c:pt>
                <c:pt idx="31">
                  <c:v>-1.6982000000000001E-2</c:v>
                </c:pt>
                <c:pt idx="32">
                  <c:v>-1.6759E-2</c:v>
                </c:pt>
                <c:pt idx="33">
                  <c:v>-1.6397999999999999E-2</c:v>
                </c:pt>
                <c:pt idx="34">
                  <c:v>-1.5904999999999999E-2</c:v>
                </c:pt>
                <c:pt idx="35">
                  <c:v>-1.5285999999999999E-2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84-4BF7-B543-E2696E74F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248896"/>
        <c:axId val="153250432"/>
      </c:lineChart>
      <c:catAx>
        <c:axId val="15324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15325043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1532504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153248896"/>
        <c:crosses val="autoZero"/>
        <c:crossBetween val="between"/>
        <c:majorUnit val="1.0000000000000002E-2"/>
        <c:minorUnit val="5.000000000000001E-3"/>
      </c:valAx>
    </c:plotArea>
    <c:legend>
      <c:legendPos val="b"/>
      <c:layout>
        <c:manualLayout>
          <c:xMode val="edge"/>
          <c:yMode val="edge"/>
          <c:x val="0.23472225807839595"/>
          <c:y val="0.88280400619378641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ln>
      <a:noFill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GDP</a:t>
            </a:r>
          </a:p>
          <a:p>
            <a:pPr>
              <a:defRPr/>
            </a:pPr>
            <a:r>
              <a:rPr lang="fr-FR" sz="2800" b="0"/>
              <a:t>% difference from reference Sc.</a:t>
            </a:r>
            <a:r>
              <a:rPr lang="fr-FR" sz="2800" b="0" baseline="0"/>
              <a:t> </a:t>
            </a:r>
            <a:endParaRPr lang="fr-FR" sz="2000" b="0"/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GDP!$L$2:$AU$2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GDP!$L$3:$AU$3</c:f>
              <c:numCache>
                <c:formatCode>General</c:formatCode>
                <c:ptCount val="36"/>
                <c:pt idx="0">
                  <c:v>0.45549699999999999</c:v>
                </c:pt>
                <c:pt idx="1">
                  <c:v>0.75298399999999999</c:v>
                </c:pt>
                <c:pt idx="2">
                  <c:v>0.93302600000000002</c:v>
                </c:pt>
                <c:pt idx="3">
                  <c:v>0.98848199999999997</c:v>
                </c:pt>
                <c:pt idx="4">
                  <c:v>0.97374700000000003</c:v>
                </c:pt>
                <c:pt idx="5">
                  <c:v>0.94635800000000003</c:v>
                </c:pt>
                <c:pt idx="6">
                  <c:v>0.92391000000000001</c:v>
                </c:pt>
                <c:pt idx="7">
                  <c:v>0.923844</c:v>
                </c:pt>
                <c:pt idx="8">
                  <c:v>0.94530800000000004</c:v>
                </c:pt>
                <c:pt idx="9">
                  <c:v>0.99211099999999997</c:v>
                </c:pt>
                <c:pt idx="10">
                  <c:v>1.0658570000000001</c:v>
                </c:pt>
                <c:pt idx="11">
                  <c:v>1.1660090000000001</c:v>
                </c:pt>
                <c:pt idx="12">
                  <c:v>1.290278</c:v>
                </c:pt>
                <c:pt idx="13">
                  <c:v>1.4341550000000001</c:v>
                </c:pt>
                <c:pt idx="14">
                  <c:v>1.5920289999999999</c:v>
                </c:pt>
                <c:pt idx="15">
                  <c:v>1.757061</c:v>
                </c:pt>
                <c:pt idx="16">
                  <c:v>1.953268</c:v>
                </c:pt>
                <c:pt idx="17">
                  <c:v>1.994802</c:v>
                </c:pt>
                <c:pt idx="18">
                  <c:v>2.0104320000000002</c:v>
                </c:pt>
                <c:pt idx="19">
                  <c:v>1.996572</c:v>
                </c:pt>
                <c:pt idx="20">
                  <c:v>1.958569</c:v>
                </c:pt>
                <c:pt idx="21">
                  <c:v>1.9051089999999999</c:v>
                </c:pt>
                <c:pt idx="22">
                  <c:v>1.8447020000000001</c:v>
                </c:pt>
                <c:pt idx="23">
                  <c:v>1.784824</c:v>
                </c:pt>
                <c:pt idx="24">
                  <c:v>1.732936</c:v>
                </c:pt>
                <c:pt idx="25">
                  <c:v>1.6951430000000001</c:v>
                </c:pt>
                <c:pt idx="26">
                  <c:v>1.6762649999999999</c:v>
                </c:pt>
                <c:pt idx="27">
                  <c:v>1.6794610000000001</c:v>
                </c:pt>
                <c:pt idx="28">
                  <c:v>1.707454</c:v>
                </c:pt>
                <c:pt idx="29">
                  <c:v>1.761854</c:v>
                </c:pt>
                <c:pt idx="30">
                  <c:v>1.8436680000000001</c:v>
                </c:pt>
                <c:pt idx="31">
                  <c:v>1.9541170000000001</c:v>
                </c:pt>
                <c:pt idx="32">
                  <c:v>2.0922390000000002</c:v>
                </c:pt>
                <c:pt idx="33">
                  <c:v>2.2566739999999998</c:v>
                </c:pt>
                <c:pt idx="34">
                  <c:v>2.4467449999999999</c:v>
                </c:pt>
                <c:pt idx="35">
                  <c:v>2.6619000000000002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5-4405-91CE-B535579A8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7957376"/>
        <c:axId val="377975552"/>
      </c:lineChart>
      <c:catAx>
        <c:axId val="37795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37797555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77975552"/>
        <c:scaling>
          <c:orientation val="minMax"/>
        </c:scaling>
        <c:delete val="0"/>
        <c:axPos val="l"/>
        <c:majorGridlines/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37795737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Carbon tax</a:t>
            </a:r>
          </a:p>
          <a:p>
            <a:pPr>
              <a:defRPr/>
            </a:pPr>
            <a:r>
              <a:rPr lang="fr-FR" sz="2800" b="0"/>
              <a:t>In constant euro</a:t>
            </a:r>
            <a:r>
              <a:rPr lang="fr-FR" sz="2800" b="0" baseline="0"/>
              <a:t> per ton of CO</a:t>
            </a:r>
            <a:r>
              <a:rPr lang="fr-FR" sz="2800" b="0" baseline="-25000"/>
              <a:t>2</a:t>
            </a:r>
            <a:r>
              <a:rPr lang="fr-FR" sz="2800" b="0" baseline="0"/>
              <a:t> </a:t>
            </a:r>
            <a:endParaRPr lang="fr-FR" sz="2000" b="0"/>
          </a:p>
          <a:p>
            <a:pPr>
              <a:defRPr/>
            </a:pPr>
            <a:r>
              <a:rPr lang="fr-FR" sz="2400" b="1"/>
              <a:t>FIGURE 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variables'!$L$11:$AU$11</c:f>
              <c:numCache>
                <c:formatCode>#.##0\.000</c:formatCode>
                <c:ptCount val="36"/>
                <c:pt idx="0">
                  <c:v>30</c:v>
                </c:pt>
                <c:pt idx="1">
                  <c:v>33.99868</c:v>
                </c:pt>
                <c:pt idx="2">
                  <c:v>38.557600000000001</c:v>
                </c:pt>
                <c:pt idx="3">
                  <c:v>43.754170000000002</c:v>
                </c:pt>
                <c:pt idx="4">
                  <c:v>49.680019999999999</c:v>
                </c:pt>
                <c:pt idx="5">
                  <c:v>56.444600000000001</c:v>
                </c:pt>
                <c:pt idx="6">
                  <c:v>66.156450000000007</c:v>
                </c:pt>
                <c:pt idx="7">
                  <c:v>77.774479999999997</c:v>
                </c:pt>
                <c:pt idx="8">
                  <c:v>91.676919999999996</c:v>
                </c:pt>
                <c:pt idx="9">
                  <c:v>108.3103</c:v>
                </c:pt>
                <c:pt idx="10">
                  <c:v>128.1979</c:v>
                </c:pt>
                <c:pt idx="11">
                  <c:v>151.9487</c:v>
                </c:pt>
                <c:pt idx="12">
                  <c:v>180.26679999999999</c:v>
                </c:pt>
                <c:pt idx="13">
                  <c:v>213.94489999999999</c:v>
                </c:pt>
                <c:pt idx="14">
                  <c:v>253.86879999999999</c:v>
                </c:pt>
                <c:pt idx="15">
                  <c:v>301.0102</c:v>
                </c:pt>
                <c:pt idx="16">
                  <c:v>315.41140000000001</c:v>
                </c:pt>
                <c:pt idx="17">
                  <c:v>330.06259999999997</c:v>
                </c:pt>
                <c:pt idx="18">
                  <c:v>344.88889999999998</c:v>
                </c:pt>
                <c:pt idx="19">
                  <c:v>359.79669999999999</c:v>
                </c:pt>
                <c:pt idx="20">
                  <c:v>374.68040000000002</c:v>
                </c:pt>
                <c:pt idx="21">
                  <c:v>389.4194</c:v>
                </c:pt>
                <c:pt idx="22">
                  <c:v>403.87799999999999</c:v>
                </c:pt>
                <c:pt idx="23">
                  <c:v>417.90699999999998</c:v>
                </c:pt>
                <c:pt idx="24">
                  <c:v>431.34840000000003</c:v>
                </c:pt>
                <c:pt idx="25">
                  <c:v>444.04390000000001</c:v>
                </c:pt>
                <c:pt idx="26">
                  <c:v>455.84840000000003</c:v>
                </c:pt>
                <c:pt idx="27">
                  <c:v>466.64909999999998</c:v>
                </c:pt>
                <c:pt idx="28">
                  <c:v>476.39179999999999</c:v>
                </c:pt>
                <c:pt idx="29">
                  <c:v>485.11160000000001</c:v>
                </c:pt>
                <c:pt idx="30">
                  <c:v>492.99669999999998</c:v>
                </c:pt>
                <c:pt idx="31">
                  <c:v>500.37310000000002</c:v>
                </c:pt>
                <c:pt idx="32">
                  <c:v>508.69200000000001</c:v>
                </c:pt>
                <c:pt idx="33">
                  <c:v>517.84410000000003</c:v>
                </c:pt>
                <c:pt idx="34">
                  <c:v>528.64189999999996</c:v>
                </c:pt>
                <c:pt idx="35">
                  <c:v>541.97280000000001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2-4175-8888-A84A1ECF0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549632"/>
        <c:axId val="384551168"/>
      </c:lineChart>
      <c:catAx>
        <c:axId val="38454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38455116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84551168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3845496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Energy price signal</a:t>
            </a:r>
          </a:p>
          <a:p>
            <a:pPr>
              <a:defRPr/>
            </a:pPr>
            <a:r>
              <a:rPr lang="fr-FR" sz="2800" b="0"/>
              <a:t>In constant euro</a:t>
            </a:r>
            <a:r>
              <a:rPr lang="fr-FR" sz="2800" b="0" baseline="0"/>
              <a:t> per TOE</a:t>
            </a:r>
            <a:endParaRPr lang="fr-FR" sz="2000" b="0"/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variables'!$L$12:$AU$12</c:f>
              <c:numCache>
                <c:formatCode>#.##0\.000</c:formatCode>
                <c:ptCount val="36"/>
                <c:pt idx="0">
                  <c:v>224.1103</c:v>
                </c:pt>
                <c:pt idx="1">
                  <c:v>243.74</c:v>
                </c:pt>
                <c:pt idx="2">
                  <c:v>253.79750000000001</c:v>
                </c:pt>
                <c:pt idx="3">
                  <c:v>265.40449999999998</c:v>
                </c:pt>
                <c:pt idx="4">
                  <c:v>278.92959999999999</c:v>
                </c:pt>
                <c:pt idx="5">
                  <c:v>294.60660000000001</c:v>
                </c:pt>
                <c:pt idx="6">
                  <c:v>316.76330000000002</c:v>
                </c:pt>
                <c:pt idx="7">
                  <c:v>343.37439999999998</c:v>
                </c:pt>
                <c:pt idx="8">
                  <c:v>375.24299999999999</c:v>
                </c:pt>
                <c:pt idx="9">
                  <c:v>413.24489999999997</c:v>
                </c:pt>
                <c:pt idx="10">
                  <c:v>458.32459999999998</c:v>
                </c:pt>
                <c:pt idx="11">
                  <c:v>511.483</c:v>
                </c:pt>
                <c:pt idx="12">
                  <c:v>573.8297</c:v>
                </c:pt>
                <c:pt idx="13">
                  <c:v>646.45339999999999</c:v>
                </c:pt>
                <c:pt idx="14">
                  <c:v>730.42619999999999</c:v>
                </c:pt>
                <c:pt idx="15">
                  <c:v>827.06240000000003</c:v>
                </c:pt>
                <c:pt idx="16">
                  <c:v>851.09659999999997</c:v>
                </c:pt>
                <c:pt idx="17">
                  <c:v>875.81659999999999</c:v>
                </c:pt>
                <c:pt idx="18">
                  <c:v>901.36159999999995</c:v>
                </c:pt>
                <c:pt idx="19">
                  <c:v>928.1617</c:v>
                </c:pt>
                <c:pt idx="20">
                  <c:v>956.77940000000001</c:v>
                </c:pt>
                <c:pt idx="21">
                  <c:v>987.88919999999996</c:v>
                </c:pt>
                <c:pt idx="22">
                  <c:v>1022.278</c:v>
                </c:pt>
                <c:pt idx="23">
                  <c:v>1060.856</c:v>
                </c:pt>
                <c:pt idx="24">
                  <c:v>1104.6669999999999</c:v>
                </c:pt>
                <c:pt idx="25">
                  <c:v>1154.9079999999999</c:v>
                </c:pt>
                <c:pt idx="26">
                  <c:v>1212.954</c:v>
                </c:pt>
                <c:pt idx="27">
                  <c:v>1280.3779999999999</c:v>
                </c:pt>
                <c:pt idx="28">
                  <c:v>1358.9849999999999</c:v>
                </c:pt>
                <c:pt idx="29">
                  <c:v>1450.8330000000001</c:v>
                </c:pt>
                <c:pt idx="30">
                  <c:v>1558.2819999999999</c:v>
                </c:pt>
                <c:pt idx="31">
                  <c:v>1683.9939999999999</c:v>
                </c:pt>
                <c:pt idx="32">
                  <c:v>1832.069</c:v>
                </c:pt>
                <c:pt idx="33">
                  <c:v>2004.9670000000001</c:v>
                </c:pt>
                <c:pt idx="34">
                  <c:v>2206.451</c:v>
                </c:pt>
                <c:pt idx="35">
                  <c:v>2440.5819999999999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C7-4D04-8048-19BDC3677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835200"/>
        <c:axId val="602841088"/>
      </c:lineChart>
      <c:catAx>
        <c:axId val="60283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60284108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602841088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60283520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Public debt</a:t>
            </a:r>
          </a:p>
          <a:p>
            <a:pPr>
              <a:defRPr/>
            </a:pPr>
            <a:r>
              <a:rPr lang="fr-FR" sz="2000" b="0"/>
              <a:t>In % of GDP</a:t>
            </a:r>
          </a:p>
          <a:p>
            <a:pPr>
              <a:defRPr/>
            </a:pPr>
            <a:r>
              <a:rPr lang="fr-FR" sz="2400" b="1"/>
              <a:t>FIGURE 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392245054538156"/>
          <c:y val="0.22340945894856404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variables'!$L$7:$AU$7</c:f>
              <c:numCache>
                <c:formatCode>#,##0.00</c:formatCode>
                <c:ptCount val="36"/>
                <c:pt idx="0">
                  <c:v>0.64839599999999997</c:v>
                </c:pt>
                <c:pt idx="1">
                  <c:v>0.65050399999999997</c:v>
                </c:pt>
                <c:pt idx="2">
                  <c:v>0.65190700000000001</c:v>
                </c:pt>
                <c:pt idx="3">
                  <c:v>0.65200100000000005</c:v>
                </c:pt>
                <c:pt idx="4">
                  <c:v>0.65065700000000004</c:v>
                </c:pt>
                <c:pt idx="5">
                  <c:v>0.64749100000000004</c:v>
                </c:pt>
                <c:pt idx="6">
                  <c:v>0.64363499999999996</c:v>
                </c:pt>
                <c:pt idx="7">
                  <c:v>0.63861900000000005</c:v>
                </c:pt>
                <c:pt idx="8">
                  <c:v>0.63292199999999998</c:v>
                </c:pt>
                <c:pt idx="9">
                  <c:v>0.62686799999999998</c:v>
                </c:pt>
                <c:pt idx="10">
                  <c:v>0.62078900000000004</c:v>
                </c:pt>
                <c:pt idx="11">
                  <c:v>0.61500600000000005</c:v>
                </c:pt>
                <c:pt idx="12">
                  <c:v>0.60994599999999999</c:v>
                </c:pt>
                <c:pt idx="13">
                  <c:v>0.60580500000000004</c:v>
                </c:pt>
                <c:pt idx="14">
                  <c:v>0.60278799999999999</c:v>
                </c:pt>
                <c:pt idx="15">
                  <c:v>0.601047</c:v>
                </c:pt>
                <c:pt idx="16">
                  <c:v>0.60054300000000005</c:v>
                </c:pt>
                <c:pt idx="17">
                  <c:v>0.60175100000000004</c:v>
                </c:pt>
                <c:pt idx="18">
                  <c:v>0.60494400000000004</c:v>
                </c:pt>
                <c:pt idx="19">
                  <c:v>0.61025600000000002</c:v>
                </c:pt>
                <c:pt idx="20">
                  <c:v>0.61775899999999995</c:v>
                </c:pt>
                <c:pt idx="21">
                  <c:v>0.62746999999999997</c:v>
                </c:pt>
                <c:pt idx="22">
                  <c:v>0.63935500000000001</c:v>
                </c:pt>
                <c:pt idx="23">
                  <c:v>0.65334599999999998</c:v>
                </c:pt>
                <c:pt idx="24">
                  <c:v>0.66934899999999997</c:v>
                </c:pt>
                <c:pt idx="25">
                  <c:v>0.68725499999999995</c:v>
                </c:pt>
                <c:pt idx="26">
                  <c:v>0.70694500000000005</c:v>
                </c:pt>
                <c:pt idx="27">
                  <c:v>0.72829999999999995</c:v>
                </c:pt>
                <c:pt idx="28">
                  <c:v>0.75120399999999998</c:v>
                </c:pt>
                <c:pt idx="29">
                  <c:v>0.77554400000000001</c:v>
                </c:pt>
                <c:pt idx="30">
                  <c:v>0.80115599999999998</c:v>
                </c:pt>
                <c:pt idx="31">
                  <c:v>0.82799999999999996</c:v>
                </c:pt>
                <c:pt idx="32">
                  <c:v>0.85600900000000002</c:v>
                </c:pt>
                <c:pt idx="33">
                  <c:v>0.88510599999999995</c:v>
                </c:pt>
                <c:pt idx="34">
                  <c:v>0.91519899999999998</c:v>
                </c:pt>
                <c:pt idx="35">
                  <c:v>0.94621100000000002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BA-4381-93C5-A217187203FA}"/>
            </c:ext>
          </c:extLst>
        </c:ser>
        <c:ser>
          <c:idx val="1"/>
          <c:order val="1"/>
          <c:tx>
            <c:v>ADEME high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variables'!$L$8:$AU$8</c:f>
              <c:numCache>
                <c:formatCode>#,##0.00</c:formatCode>
                <c:ptCount val="36"/>
                <c:pt idx="0">
                  <c:v>0.64161999999999997</c:v>
                </c:pt>
                <c:pt idx="1">
                  <c:v>0.63754100000000002</c:v>
                </c:pt>
                <c:pt idx="2">
                  <c:v>0.63222500000000004</c:v>
                </c:pt>
                <c:pt idx="3">
                  <c:v>0.62529800000000002</c:v>
                </c:pt>
                <c:pt idx="4">
                  <c:v>0.61693799999999999</c:v>
                </c:pt>
                <c:pt idx="5">
                  <c:v>0.60678699999999997</c:v>
                </c:pt>
                <c:pt idx="6">
                  <c:v>0.59585500000000002</c:v>
                </c:pt>
                <c:pt idx="7">
                  <c:v>0.58377699999999999</c:v>
                </c:pt>
                <c:pt idx="8">
                  <c:v>0.57082599999999994</c:v>
                </c:pt>
                <c:pt idx="9">
                  <c:v>0.55717499999999998</c:v>
                </c:pt>
                <c:pt idx="10">
                  <c:v>0.542964</c:v>
                </c:pt>
                <c:pt idx="11">
                  <c:v>0.52830999999999995</c:v>
                </c:pt>
                <c:pt idx="12">
                  <c:v>0.51342699999999997</c:v>
                </c:pt>
                <c:pt idx="13">
                  <c:v>0.498392</c:v>
                </c:pt>
                <c:pt idx="14">
                  <c:v>0.48325699999999999</c:v>
                </c:pt>
                <c:pt idx="15">
                  <c:v>0.46807100000000001</c:v>
                </c:pt>
                <c:pt idx="16">
                  <c:v>0.45321299999999998</c:v>
                </c:pt>
                <c:pt idx="17">
                  <c:v>0.43976999999999999</c:v>
                </c:pt>
                <c:pt idx="18">
                  <c:v>0.42763800000000002</c:v>
                </c:pt>
                <c:pt idx="19">
                  <c:v>0.41709800000000002</c:v>
                </c:pt>
                <c:pt idx="20">
                  <c:v>0.408329</c:v>
                </c:pt>
                <c:pt idx="21">
                  <c:v>0.401418</c:v>
                </c:pt>
                <c:pt idx="22">
                  <c:v>0.39629300000000001</c:v>
                </c:pt>
                <c:pt idx="23">
                  <c:v>0.392787</c:v>
                </c:pt>
                <c:pt idx="24">
                  <c:v>0.39076899999999998</c:v>
                </c:pt>
                <c:pt idx="25">
                  <c:v>0.390019</c:v>
                </c:pt>
                <c:pt idx="26">
                  <c:v>0.39028800000000002</c:v>
                </c:pt>
                <c:pt idx="27">
                  <c:v>0.39127200000000001</c:v>
                </c:pt>
                <c:pt idx="28">
                  <c:v>0.392733</c:v>
                </c:pt>
                <c:pt idx="29">
                  <c:v>0.39439600000000002</c:v>
                </c:pt>
                <c:pt idx="30">
                  <c:v>0.39595900000000001</c:v>
                </c:pt>
                <c:pt idx="31">
                  <c:v>0.397171</c:v>
                </c:pt>
                <c:pt idx="32">
                  <c:v>0.397754</c:v>
                </c:pt>
                <c:pt idx="33">
                  <c:v>0.39748499999999998</c:v>
                </c:pt>
                <c:pt idx="34">
                  <c:v>0.396117</c:v>
                </c:pt>
                <c:pt idx="35">
                  <c:v>0.39353100000000002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BA-4381-93C5-A21718720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0847872"/>
        <c:axId val="620849408"/>
      </c:lineChart>
      <c:catAx>
        <c:axId val="62084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62084940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620849408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620847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3062355537951229"/>
          <c:y val="0.90582730614073226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ln>
      <a:noFill/>
    </a:ln>
  </c:sp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Public Balance</a:t>
            </a:r>
          </a:p>
          <a:p>
            <a:pPr>
              <a:defRPr/>
            </a:pPr>
            <a:r>
              <a:rPr lang="fr-FR" sz="2000" b="0"/>
              <a:t>In % of GDP</a:t>
            </a:r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392245054538156"/>
          <c:y val="0.22340945894856404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variables'!$L$9:$AU$9</c:f>
              <c:numCache>
                <c:formatCode>#.##0\.000</c:formatCode>
                <c:ptCount val="36"/>
                <c:pt idx="0">
                  <c:v>-2.2572999999999999E-2</c:v>
                </c:pt>
                <c:pt idx="1">
                  <c:v>-2.3318999999999999E-2</c:v>
                </c:pt>
                <c:pt idx="2">
                  <c:v>-2.3928000000000001E-2</c:v>
                </c:pt>
                <c:pt idx="3">
                  <c:v>-2.3932999999999999E-2</c:v>
                </c:pt>
                <c:pt idx="4">
                  <c:v>-2.3491000000000001E-2</c:v>
                </c:pt>
                <c:pt idx="5">
                  <c:v>-2.2669000000000002E-2</c:v>
                </c:pt>
                <c:pt idx="6">
                  <c:v>-2.1891000000000001E-2</c:v>
                </c:pt>
                <c:pt idx="7">
                  <c:v>-2.1156999999999999E-2</c:v>
                </c:pt>
                <c:pt idx="8">
                  <c:v>-2.0695999999999999E-2</c:v>
                </c:pt>
                <c:pt idx="9">
                  <c:v>-2.0441000000000001E-2</c:v>
                </c:pt>
                <c:pt idx="10">
                  <c:v>-2.0409E-2</c:v>
                </c:pt>
                <c:pt idx="11">
                  <c:v>-2.0601000000000001E-2</c:v>
                </c:pt>
                <c:pt idx="12">
                  <c:v>-2.1054E-2</c:v>
                </c:pt>
                <c:pt idx="13">
                  <c:v>-2.1731E-2</c:v>
                </c:pt>
                <c:pt idx="14">
                  <c:v>-2.2589999999999999E-2</c:v>
                </c:pt>
                <c:pt idx="15">
                  <c:v>-2.3599999999999999E-2</c:v>
                </c:pt>
                <c:pt idx="16">
                  <c:v>-2.4355999999999999E-2</c:v>
                </c:pt>
                <c:pt idx="17">
                  <c:v>-2.5198999999999999E-2</c:v>
                </c:pt>
                <c:pt idx="18">
                  <c:v>-2.6296E-2</c:v>
                </c:pt>
                <c:pt idx="19">
                  <c:v>-2.7573E-2</c:v>
                </c:pt>
                <c:pt idx="20">
                  <c:v>-2.8995E-2</c:v>
                </c:pt>
                <c:pt idx="21">
                  <c:v>-3.0519999999999999E-2</c:v>
                </c:pt>
                <c:pt idx="22">
                  <c:v>-3.2112000000000002E-2</c:v>
                </c:pt>
                <c:pt idx="23">
                  <c:v>-3.3741E-2</c:v>
                </c:pt>
                <c:pt idx="24">
                  <c:v>-3.5385E-2</c:v>
                </c:pt>
                <c:pt idx="25">
                  <c:v>-3.7031000000000001E-2</c:v>
                </c:pt>
                <c:pt idx="26">
                  <c:v>-3.8670000000000003E-2</c:v>
                </c:pt>
                <c:pt idx="27">
                  <c:v>-4.0304E-2</c:v>
                </c:pt>
                <c:pt idx="28">
                  <c:v>-4.1933999999999999E-2</c:v>
                </c:pt>
                <c:pt idx="29">
                  <c:v>-4.3565E-2</c:v>
                </c:pt>
                <c:pt idx="30">
                  <c:v>-4.5171000000000003E-2</c:v>
                </c:pt>
                <c:pt idx="31">
                  <c:v>-4.6809000000000003E-2</c:v>
                </c:pt>
                <c:pt idx="32">
                  <c:v>-4.8473000000000002E-2</c:v>
                </c:pt>
                <c:pt idx="33">
                  <c:v>-5.0181999999999997E-2</c:v>
                </c:pt>
                <c:pt idx="34">
                  <c:v>-5.1926E-2</c:v>
                </c:pt>
                <c:pt idx="35">
                  <c:v>-5.3719000000000003E-2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5-4493-9932-17E6F4C74394}"/>
            </c:ext>
          </c:extLst>
        </c:ser>
        <c:ser>
          <c:idx val="1"/>
          <c:order val="1"/>
          <c:tx>
            <c:v>ADEME high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variables'!$L$10:$AU$10</c:f>
              <c:numCache>
                <c:formatCode>#.##0\.000</c:formatCode>
                <c:ptCount val="36"/>
                <c:pt idx="0">
                  <c:v>-2.1346E-2</c:v>
                </c:pt>
                <c:pt idx="1">
                  <c:v>-2.0160999999999998E-2</c:v>
                </c:pt>
                <c:pt idx="2">
                  <c:v>-1.9594E-2</c:v>
                </c:pt>
                <c:pt idx="3">
                  <c:v>-1.8647E-2</c:v>
                </c:pt>
                <c:pt idx="4">
                  <c:v>-1.7762E-2</c:v>
                </c:pt>
                <c:pt idx="5">
                  <c:v>-1.6750999999999999E-2</c:v>
                </c:pt>
                <c:pt idx="6">
                  <c:v>-1.5844E-2</c:v>
                </c:pt>
                <c:pt idx="7">
                  <c:v>-1.5043000000000001E-2</c:v>
                </c:pt>
                <c:pt idx="8">
                  <c:v>-1.4307E-2</c:v>
                </c:pt>
                <c:pt idx="9">
                  <c:v>-1.3668E-2</c:v>
                </c:pt>
                <c:pt idx="10">
                  <c:v>-1.3100000000000001E-2</c:v>
                </c:pt>
                <c:pt idx="11">
                  <c:v>-1.259E-2</c:v>
                </c:pt>
                <c:pt idx="12">
                  <c:v>-1.2173E-2</c:v>
                </c:pt>
                <c:pt idx="13">
                  <c:v>-1.1861E-2</c:v>
                </c:pt>
                <c:pt idx="14">
                  <c:v>-1.1579000000000001E-2</c:v>
                </c:pt>
                <c:pt idx="15">
                  <c:v>-1.1331000000000001E-2</c:v>
                </c:pt>
                <c:pt idx="16">
                  <c:v>-1.0743000000000001E-2</c:v>
                </c:pt>
                <c:pt idx="17">
                  <c:v>-1.056E-2</c:v>
                </c:pt>
                <c:pt idx="18">
                  <c:v>-1.0749E-2</c:v>
                </c:pt>
                <c:pt idx="19">
                  <c:v>-1.1188999999999999E-2</c:v>
                </c:pt>
                <c:pt idx="20">
                  <c:v>-1.1856999999999999E-2</c:v>
                </c:pt>
                <c:pt idx="21">
                  <c:v>-1.2714E-2</c:v>
                </c:pt>
                <c:pt idx="22">
                  <c:v>-1.3624000000000001E-2</c:v>
                </c:pt>
                <c:pt idx="23">
                  <c:v>-1.4501E-2</c:v>
                </c:pt>
                <c:pt idx="24">
                  <c:v>-1.5391E-2</c:v>
                </c:pt>
                <c:pt idx="25">
                  <c:v>-1.6206999999999999E-2</c:v>
                </c:pt>
                <c:pt idx="26">
                  <c:v>-1.6917999999999999E-2</c:v>
                </c:pt>
                <c:pt idx="27">
                  <c:v>-1.7465000000000001E-2</c:v>
                </c:pt>
                <c:pt idx="28">
                  <c:v>-1.7909000000000001E-2</c:v>
                </c:pt>
                <c:pt idx="29">
                  <c:v>-1.8211000000000001E-2</c:v>
                </c:pt>
                <c:pt idx="30">
                  <c:v>-1.8353000000000001E-2</c:v>
                </c:pt>
                <c:pt idx="31">
                  <c:v>-1.8349000000000001E-2</c:v>
                </c:pt>
                <c:pt idx="32">
                  <c:v>-1.8186999999999998E-2</c:v>
                </c:pt>
                <c:pt idx="33">
                  <c:v>-1.7888999999999999E-2</c:v>
                </c:pt>
                <c:pt idx="34">
                  <c:v>-1.7448000000000002E-2</c:v>
                </c:pt>
                <c:pt idx="35">
                  <c:v>-1.6976000000000002E-2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5-4493-9932-17E6F4C74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1318528"/>
        <c:axId val="621320064"/>
      </c:lineChart>
      <c:catAx>
        <c:axId val="62131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62132006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62132006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62131852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3062355537951229"/>
          <c:y val="0.90582730614073226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ln>
      <a:noFill/>
    </a:ln>
  </c:sp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94241739263793"/>
          <c:y val="7.603877498539845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3534413205175656E-2"/>
          <c:y val="0.24410123215745655"/>
          <c:w val="0.83647629672150681"/>
          <c:h val="0.59032262017831427"/>
        </c:manualLayout>
      </c:layout>
      <c:lineChart>
        <c:grouping val="standard"/>
        <c:varyColors val="0"/>
        <c:ser>
          <c:idx val="0"/>
          <c:order val="0"/>
          <c:tx>
            <c:strRef>
              <c:f>GDP!$A$3</c:f>
              <c:strCache>
                <c:ptCount val="1"/>
                <c:pt idx="0">
                  <c:v>Real GDP
Scenario ADEME haut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GDP!$C$2:$AU$2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GDP!$C$3:$AU$3</c:f>
              <c:numCache>
                <c:formatCode>General</c:formatCode>
                <c:ptCount val="45"/>
                <c:pt idx="0">
                  <c:v>0</c:v>
                </c:pt>
                <c:pt idx="1">
                  <c:v>1.201E-3</c:v>
                </c:pt>
                <c:pt idx="2">
                  <c:v>3.9839999999999997E-3</c:v>
                </c:pt>
                <c:pt idx="3">
                  <c:v>8.0719999999999993E-3</c:v>
                </c:pt>
                <c:pt idx="4">
                  <c:v>1.1790999999999999E-2</c:v>
                </c:pt>
                <c:pt idx="5">
                  <c:v>3.7956999999999998E-2</c:v>
                </c:pt>
                <c:pt idx="6">
                  <c:v>6.6675999999999999E-2</c:v>
                </c:pt>
                <c:pt idx="7">
                  <c:v>9.6416000000000002E-2</c:v>
                </c:pt>
                <c:pt idx="8">
                  <c:v>0.11941300000000001</c:v>
                </c:pt>
                <c:pt idx="9">
                  <c:v>0.45549699999999999</c:v>
                </c:pt>
                <c:pt idx="10">
                  <c:v>0.75298399999999999</c:v>
                </c:pt>
                <c:pt idx="11">
                  <c:v>0.93302600000000002</c:v>
                </c:pt>
                <c:pt idx="12">
                  <c:v>0.98848199999999997</c:v>
                </c:pt>
                <c:pt idx="13">
                  <c:v>0.97374700000000003</c:v>
                </c:pt>
                <c:pt idx="14">
                  <c:v>0.94635800000000003</c:v>
                </c:pt>
                <c:pt idx="15">
                  <c:v>0.92391000000000001</c:v>
                </c:pt>
                <c:pt idx="16">
                  <c:v>0.923844</c:v>
                </c:pt>
                <c:pt idx="17">
                  <c:v>0.94530800000000004</c:v>
                </c:pt>
                <c:pt idx="18">
                  <c:v>0.99211099999999997</c:v>
                </c:pt>
                <c:pt idx="19">
                  <c:v>1.0658570000000001</c:v>
                </c:pt>
                <c:pt idx="20">
                  <c:v>1.1660090000000001</c:v>
                </c:pt>
                <c:pt idx="21">
                  <c:v>1.290278</c:v>
                </c:pt>
                <c:pt idx="22">
                  <c:v>1.4341550000000001</c:v>
                </c:pt>
                <c:pt idx="23">
                  <c:v>1.5920289999999999</c:v>
                </c:pt>
                <c:pt idx="24">
                  <c:v>1.757061</c:v>
                </c:pt>
                <c:pt idx="25">
                  <c:v>1.953268</c:v>
                </c:pt>
                <c:pt idx="26">
                  <c:v>1.994802</c:v>
                </c:pt>
                <c:pt idx="27">
                  <c:v>2.0104320000000002</c:v>
                </c:pt>
                <c:pt idx="28">
                  <c:v>1.996572</c:v>
                </c:pt>
                <c:pt idx="29">
                  <c:v>1.958569</c:v>
                </c:pt>
                <c:pt idx="30">
                  <c:v>1.9051089999999999</c:v>
                </c:pt>
                <c:pt idx="31">
                  <c:v>1.8447020000000001</c:v>
                </c:pt>
                <c:pt idx="32">
                  <c:v>1.784824</c:v>
                </c:pt>
                <c:pt idx="33">
                  <c:v>1.732936</c:v>
                </c:pt>
                <c:pt idx="34">
                  <c:v>1.6951430000000001</c:v>
                </c:pt>
                <c:pt idx="35">
                  <c:v>1.6762649999999999</c:v>
                </c:pt>
                <c:pt idx="36">
                  <c:v>1.6794610000000001</c:v>
                </c:pt>
                <c:pt idx="37">
                  <c:v>1.707454</c:v>
                </c:pt>
                <c:pt idx="38">
                  <c:v>1.761854</c:v>
                </c:pt>
                <c:pt idx="39">
                  <c:v>1.8436680000000001</c:v>
                </c:pt>
                <c:pt idx="40">
                  <c:v>1.9541170000000001</c:v>
                </c:pt>
                <c:pt idx="41">
                  <c:v>2.0922390000000002</c:v>
                </c:pt>
                <c:pt idx="42">
                  <c:v>2.2566739999999998</c:v>
                </c:pt>
                <c:pt idx="43">
                  <c:v>2.4467449999999999</c:v>
                </c:pt>
                <c:pt idx="44">
                  <c:v>2.6619000000000002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8-4E79-BC35-28AB296FD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1785088"/>
        <c:axId val="621786624"/>
      </c:lineChart>
      <c:catAx>
        <c:axId val="62178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1786624"/>
        <c:crosses val="autoZero"/>
        <c:auto val="1"/>
        <c:lblAlgn val="ctr"/>
        <c:lblOffset val="100"/>
        <c:noMultiLvlLbl val="0"/>
      </c:catAx>
      <c:valAx>
        <c:axId val="62178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1785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3534413205175656E-2"/>
          <c:y val="0.24410123215745655"/>
          <c:w val="0.83647629672150681"/>
          <c:h val="0.59032262017831427"/>
        </c:manualLayout>
      </c:layout>
      <c:lineChart>
        <c:grouping val="standard"/>
        <c:varyColors val="0"/>
        <c:ser>
          <c:idx val="0"/>
          <c:order val="0"/>
          <c:tx>
            <c:strRef>
              <c:f>Emissions!$A$3</c:f>
              <c:strCache>
                <c:ptCount val="1"/>
                <c:pt idx="0">
                  <c:v>CO2 Emissions
Scenario ADEME haut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Emissions!$C$2:$AU$2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Emissions!$C$3:$AU$3</c:f>
              <c:numCache>
                <c:formatCode>General</c:formatCode>
                <c:ptCount val="45"/>
                <c:pt idx="0">
                  <c:v>0</c:v>
                </c:pt>
                <c:pt idx="1">
                  <c:v>-0.44826300000000002</c:v>
                </c:pt>
                <c:pt idx="2">
                  <c:v>-0.45168999999999998</c:v>
                </c:pt>
                <c:pt idx="3">
                  <c:v>-0.458262</c:v>
                </c:pt>
                <c:pt idx="4">
                  <c:v>-0.46825600000000001</c:v>
                </c:pt>
                <c:pt idx="5">
                  <c:v>-1.4499519999999999</c:v>
                </c:pt>
                <c:pt idx="6">
                  <c:v>-2.3257289999999999</c:v>
                </c:pt>
                <c:pt idx="7">
                  <c:v>-3.0992479999999998</c:v>
                </c:pt>
                <c:pt idx="8">
                  <c:v>-3.7831890000000001</c:v>
                </c:pt>
                <c:pt idx="9">
                  <c:v>-6.9845550000000003</c:v>
                </c:pt>
                <c:pt idx="10">
                  <c:v>-9.4287539999999996</c:v>
                </c:pt>
                <c:pt idx="11">
                  <c:v>-11.423170000000001</c:v>
                </c:pt>
                <c:pt idx="12">
                  <c:v>-13.084720000000001</c:v>
                </c:pt>
                <c:pt idx="13">
                  <c:v>-14.551539999999999</c:v>
                </c:pt>
                <c:pt idx="14">
                  <c:v>-15.984859999999999</c:v>
                </c:pt>
                <c:pt idx="15">
                  <c:v>-17.44895</c:v>
                </c:pt>
                <c:pt idx="16">
                  <c:v>-19.020849999999999</c:v>
                </c:pt>
                <c:pt idx="17">
                  <c:v>-20.742080000000001</c:v>
                </c:pt>
                <c:pt idx="18">
                  <c:v>-22.64143</c:v>
                </c:pt>
                <c:pt idx="19">
                  <c:v>-24.738939999999999</c:v>
                </c:pt>
                <c:pt idx="20">
                  <c:v>-27.048120000000001</c:v>
                </c:pt>
                <c:pt idx="21">
                  <c:v>-29.573270000000001</c:v>
                </c:pt>
                <c:pt idx="22">
                  <c:v>-32.307600000000001</c:v>
                </c:pt>
                <c:pt idx="23">
                  <c:v>-35.237760000000002</c:v>
                </c:pt>
                <c:pt idx="24">
                  <c:v>-38.312600000000003</c:v>
                </c:pt>
                <c:pt idx="25">
                  <c:v>-41.075629999999997</c:v>
                </c:pt>
                <c:pt idx="26">
                  <c:v>-43.69361</c:v>
                </c:pt>
                <c:pt idx="27">
                  <c:v>-46.187399999999997</c:v>
                </c:pt>
                <c:pt idx="28">
                  <c:v>-48.575069999999997</c:v>
                </c:pt>
                <c:pt idx="29">
                  <c:v>-50.86506</c:v>
                </c:pt>
                <c:pt idx="30">
                  <c:v>-53.05883</c:v>
                </c:pt>
                <c:pt idx="31">
                  <c:v>-55.153829999999999</c:v>
                </c:pt>
                <c:pt idx="32">
                  <c:v>-57.145530000000001</c:v>
                </c:pt>
                <c:pt idx="33">
                  <c:v>-59.028300000000002</c:v>
                </c:pt>
                <c:pt idx="34">
                  <c:v>-60.796190000000003</c:v>
                </c:pt>
                <c:pt idx="35">
                  <c:v>-62.44323</c:v>
                </c:pt>
                <c:pt idx="36">
                  <c:v>-63.963639999999998</c:v>
                </c:pt>
                <c:pt idx="37">
                  <c:v>-65.351709999999997</c:v>
                </c:pt>
                <c:pt idx="38">
                  <c:v>-66.602040000000002</c:v>
                </c:pt>
                <c:pt idx="39">
                  <c:v>-67.709580000000003</c:v>
                </c:pt>
                <c:pt idx="40">
                  <c:v>-68.67004</c:v>
                </c:pt>
                <c:pt idx="41">
                  <c:v>-69.459729999999993</c:v>
                </c:pt>
                <c:pt idx="42">
                  <c:v>-70.102770000000007</c:v>
                </c:pt>
                <c:pt idx="43">
                  <c:v>-70.600260000000006</c:v>
                </c:pt>
                <c:pt idx="44">
                  <c:v>-70.956710000000001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1-4B54-BC52-2031128B6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4723328"/>
        <c:axId val="634729216"/>
      </c:lineChart>
      <c:catAx>
        <c:axId val="63472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4729216"/>
        <c:crosses val="autoZero"/>
        <c:auto val="1"/>
        <c:lblAlgn val="ctr"/>
        <c:lblOffset val="100"/>
        <c:noMultiLvlLbl val="0"/>
      </c:catAx>
      <c:valAx>
        <c:axId val="63472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34723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22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3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24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aph25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aph26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aph27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Graph28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407912</xdr:colOff>
      <xdr:row>5</xdr:row>
      <xdr:rowOff>162278</xdr:rowOff>
    </xdr:from>
    <xdr:to>
      <xdr:col>9</xdr:col>
      <xdr:colOff>635000</xdr:colOff>
      <xdr:row>24</xdr:row>
      <xdr:rowOff>17235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407912</xdr:colOff>
      <xdr:row>5</xdr:row>
      <xdr:rowOff>162278</xdr:rowOff>
    </xdr:from>
    <xdr:to>
      <xdr:col>9</xdr:col>
      <xdr:colOff>635000</xdr:colOff>
      <xdr:row>24</xdr:row>
      <xdr:rowOff>17235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>
      <selection activeCell="D19" sqref="D19"/>
    </sheetView>
  </sheetViews>
  <sheetFormatPr baseColWidth="10" defaultRowHeight="15" x14ac:dyDescent="0.25"/>
  <sheetData>
    <row r="1" spans="1:1" x14ac:dyDescent="0.35">
      <c r="A1" t="s">
        <v>266</v>
      </c>
    </row>
    <row r="2" spans="1:1" x14ac:dyDescent="0.35">
      <c r="A2" t="s">
        <v>528</v>
      </c>
    </row>
    <row r="3" spans="1:1" x14ac:dyDescent="0.35">
      <c r="A3" t="s">
        <v>529</v>
      </c>
    </row>
    <row r="4" spans="1:1" x14ac:dyDescent="0.35">
      <c r="A4" t="s">
        <v>530</v>
      </c>
    </row>
    <row r="5" spans="1:1" x14ac:dyDescent="0.35">
      <c r="A5" t="s">
        <v>531</v>
      </c>
    </row>
    <row r="6" spans="1:1" x14ac:dyDescent="0.35">
      <c r="A6" t="s">
        <v>532</v>
      </c>
    </row>
    <row r="7" spans="1:1" x14ac:dyDescent="0.35">
      <c r="A7" t="s">
        <v>533</v>
      </c>
    </row>
    <row r="8" spans="1:1" x14ac:dyDescent="0.35">
      <c r="A8" t="s">
        <v>534</v>
      </c>
    </row>
    <row r="9" spans="1:1" x14ac:dyDescent="0.35">
      <c r="A9" t="s">
        <v>535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78"/>
  <sheetViews>
    <sheetView showGridLines="0" topLeftCell="A41" workbookViewId="0">
      <selection activeCell="A30" sqref="A30"/>
    </sheetView>
  </sheetViews>
  <sheetFormatPr baseColWidth="10" defaultRowHeight="15" x14ac:dyDescent="0.25"/>
  <cols>
    <col min="1" max="1" width="97.140625" bestFit="1" customWidth="1"/>
  </cols>
  <sheetData>
    <row r="1" spans="1:1" ht="23.45" x14ac:dyDescent="0.55000000000000004">
      <c r="A1" s="4" t="s">
        <v>0</v>
      </c>
    </row>
    <row r="3" spans="1:1" ht="18.600000000000001" x14ac:dyDescent="0.45">
      <c r="A3" s="3" t="s">
        <v>1</v>
      </c>
    </row>
    <row r="5" spans="1:1" ht="14.45" x14ac:dyDescent="0.35">
      <c r="A5" s="1" t="s">
        <v>121</v>
      </c>
    </row>
    <row r="7" spans="1:1" ht="15.6" x14ac:dyDescent="0.35">
      <c r="A7" s="2" t="s">
        <v>20</v>
      </c>
    </row>
    <row r="9" spans="1:1" ht="14.45" x14ac:dyDescent="0.35">
      <c r="A9" t="s">
        <v>13</v>
      </c>
    </row>
    <row r="10" spans="1:1" ht="14.45" x14ac:dyDescent="0.35">
      <c r="A10" t="s">
        <v>32</v>
      </c>
    </row>
    <row r="12" spans="1:1" ht="14.45" x14ac:dyDescent="0.35">
      <c r="A12" t="s">
        <v>14</v>
      </c>
    </row>
    <row r="14" spans="1:1" ht="14.45" x14ac:dyDescent="0.35">
      <c r="A14" s="1" t="s">
        <v>2</v>
      </c>
    </row>
    <row r="15" spans="1:1" ht="14.45" x14ac:dyDescent="0.35">
      <c r="A15" s="1"/>
    </row>
    <row r="16" spans="1:1" ht="14.45" x14ac:dyDescent="0.35">
      <c r="A16" t="s">
        <v>15</v>
      </c>
    </row>
    <row r="18" spans="1:1" ht="14.45" x14ac:dyDescent="0.35">
      <c r="A18" t="s">
        <v>33</v>
      </c>
    </row>
    <row r="19" spans="1:1" ht="14.45" x14ac:dyDescent="0.35">
      <c r="A19" t="s">
        <v>3</v>
      </c>
    </row>
    <row r="21" spans="1:1" ht="14.45" x14ac:dyDescent="0.35">
      <c r="A21" s="1" t="s">
        <v>54</v>
      </c>
    </row>
    <row r="22" spans="1:1" ht="14.45" x14ac:dyDescent="0.35">
      <c r="A22" s="1" t="s">
        <v>53</v>
      </c>
    </row>
    <row r="23" spans="1:1" ht="14.45" x14ac:dyDescent="0.35">
      <c r="A23" t="s">
        <v>51</v>
      </c>
    </row>
    <row r="24" spans="1:1" ht="14.45" x14ac:dyDescent="0.35">
      <c r="A24" t="s">
        <v>52</v>
      </c>
    </row>
    <row r="27" spans="1:1" ht="15.6" x14ac:dyDescent="0.35">
      <c r="A27" s="2" t="s">
        <v>21</v>
      </c>
    </row>
    <row r="29" spans="1:1" ht="14.45" x14ac:dyDescent="0.35">
      <c r="A29" t="s">
        <v>4</v>
      </c>
    </row>
    <row r="30" spans="1:1" ht="14.45" x14ac:dyDescent="0.35">
      <c r="A30" t="s">
        <v>5</v>
      </c>
    </row>
    <row r="32" spans="1:1" ht="14.45" x14ac:dyDescent="0.35">
      <c r="A32" t="s">
        <v>6</v>
      </c>
    </row>
    <row r="34" spans="1:1" ht="14.45" x14ac:dyDescent="0.35">
      <c r="A34" t="s">
        <v>10</v>
      </c>
    </row>
    <row r="36" spans="1:1" ht="14.45" x14ac:dyDescent="0.35">
      <c r="A36" t="s">
        <v>9</v>
      </c>
    </row>
    <row r="37" spans="1:1" ht="14.45" x14ac:dyDescent="0.35">
      <c r="A37" t="s">
        <v>105</v>
      </c>
    </row>
    <row r="38" spans="1:1" ht="14.45" x14ac:dyDescent="0.35">
      <c r="A38" t="s">
        <v>8</v>
      </c>
    </row>
    <row r="39" spans="1:1" ht="14.45" x14ac:dyDescent="0.35">
      <c r="A39" t="s">
        <v>7</v>
      </c>
    </row>
    <row r="41" spans="1:1" ht="14.45" x14ac:dyDescent="0.35">
      <c r="A41" s="1" t="s">
        <v>107</v>
      </c>
    </row>
    <row r="42" spans="1:1" ht="14.45" x14ac:dyDescent="0.35">
      <c r="A42" t="s">
        <v>108</v>
      </c>
    </row>
    <row r="43" spans="1:1" ht="14.45" x14ac:dyDescent="0.35">
      <c r="A43" s="1" t="s">
        <v>106</v>
      </c>
    </row>
    <row r="45" spans="1:1" ht="14.45" x14ac:dyDescent="0.35">
      <c r="A45" t="s">
        <v>35</v>
      </c>
    </row>
    <row r="46" spans="1:1" ht="14.45" x14ac:dyDescent="0.35">
      <c r="A46" t="s">
        <v>36</v>
      </c>
    </row>
    <row r="48" spans="1:1" ht="14.45" x14ac:dyDescent="0.35">
      <c r="A48" s="1" t="s">
        <v>11</v>
      </c>
    </row>
    <row r="50" spans="1:1" ht="14.45" x14ac:dyDescent="0.35">
      <c r="A50" t="s">
        <v>12</v>
      </c>
    </row>
    <row r="52" spans="1:1" ht="14.45" x14ac:dyDescent="0.35">
      <c r="A52" t="s">
        <v>16</v>
      </c>
    </row>
    <row r="54" spans="1:1" ht="14.45" x14ac:dyDescent="0.35">
      <c r="A54" t="s">
        <v>17</v>
      </c>
    </row>
    <row r="56" spans="1:1" ht="14.45" x14ac:dyDescent="0.35">
      <c r="A56" t="s">
        <v>18</v>
      </c>
    </row>
    <row r="58" spans="1:1" ht="14.45" x14ac:dyDescent="0.35">
      <c r="A58" t="s">
        <v>19</v>
      </c>
    </row>
    <row r="61" spans="1:1" ht="15.6" x14ac:dyDescent="0.35">
      <c r="A61" s="2" t="s">
        <v>22</v>
      </c>
    </row>
    <row r="63" spans="1:1" x14ac:dyDescent="0.25">
      <c r="A63" t="s">
        <v>23</v>
      </c>
    </row>
    <row r="64" spans="1:1" x14ac:dyDescent="0.25">
      <c r="A64" t="s">
        <v>24</v>
      </c>
    </row>
    <row r="66" spans="1:1" x14ac:dyDescent="0.25">
      <c r="A66" t="s">
        <v>25</v>
      </c>
    </row>
    <row r="68" spans="1:1" x14ac:dyDescent="0.25">
      <c r="A68" t="s">
        <v>31</v>
      </c>
    </row>
    <row r="69" spans="1:1" x14ac:dyDescent="0.25">
      <c r="A69" t="s">
        <v>26</v>
      </c>
    </row>
    <row r="70" spans="1:1" x14ac:dyDescent="0.25">
      <c r="A70" t="s">
        <v>27</v>
      </c>
    </row>
    <row r="71" spans="1:1" x14ac:dyDescent="0.25">
      <c r="A71" t="s">
        <v>28</v>
      </c>
    </row>
    <row r="72" spans="1:1" x14ac:dyDescent="0.25">
      <c r="A72" t="s">
        <v>29</v>
      </c>
    </row>
    <row r="73" spans="1:1" x14ac:dyDescent="0.25">
      <c r="A73" t="s">
        <v>34</v>
      </c>
    </row>
    <row r="75" spans="1:1" x14ac:dyDescent="0.25">
      <c r="A75" t="s">
        <v>30</v>
      </c>
    </row>
    <row r="78" spans="1:1" x14ac:dyDescent="0.25">
      <c r="A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U55"/>
  <sheetViews>
    <sheetView showGridLines="0" topLeftCell="A31" workbookViewId="0">
      <selection activeCell="H55" sqref="H55"/>
    </sheetView>
  </sheetViews>
  <sheetFormatPr baseColWidth="10" defaultRowHeight="15" x14ac:dyDescent="0.25"/>
  <cols>
    <col min="1" max="1" width="3.5703125" customWidth="1"/>
    <col min="2" max="2" width="38.140625" bestFit="1" customWidth="1"/>
  </cols>
  <sheetData>
    <row r="1" spans="2:8" ht="23.45" x14ac:dyDescent="0.55000000000000004">
      <c r="B1" s="4" t="s">
        <v>62</v>
      </c>
    </row>
    <row r="3" spans="2:8" ht="14.45" x14ac:dyDescent="0.35">
      <c r="B3" t="s">
        <v>48</v>
      </c>
    </row>
    <row r="5" spans="2:8" ht="14.45" x14ac:dyDescent="0.35">
      <c r="B5" t="s">
        <v>49</v>
      </c>
    </row>
    <row r="7" spans="2:8" ht="31.5" x14ac:dyDescent="0.25">
      <c r="B7" s="5" t="s">
        <v>37</v>
      </c>
      <c r="C7" s="6" t="s">
        <v>38</v>
      </c>
      <c r="D7" s="6" t="s">
        <v>39</v>
      </c>
      <c r="E7" s="6" t="s">
        <v>40</v>
      </c>
      <c r="F7" s="6" t="s">
        <v>41</v>
      </c>
      <c r="G7" s="6" t="s">
        <v>42</v>
      </c>
      <c r="H7" s="6" t="s">
        <v>43</v>
      </c>
    </row>
    <row r="8" spans="2:8" ht="15.6" x14ac:dyDescent="0.35">
      <c r="B8" s="7" t="s">
        <v>44</v>
      </c>
      <c r="C8" s="7">
        <v>-0.14681</v>
      </c>
      <c r="D8" s="7">
        <v>-0.20929200000000001</v>
      </c>
      <c r="E8" s="7">
        <v>-0.23314299999999999</v>
      </c>
      <c r="F8" s="7">
        <v>-0.25317499999999998</v>
      </c>
      <c r="G8" s="7">
        <v>-0.281387</v>
      </c>
      <c r="H8" s="7">
        <v>-0.273086</v>
      </c>
    </row>
    <row r="9" spans="2:8" ht="15.75" x14ac:dyDescent="0.25">
      <c r="B9" s="8" t="s">
        <v>45</v>
      </c>
      <c r="C9" s="8">
        <v>-0.29469699999999999</v>
      </c>
      <c r="D9" s="8">
        <v>-0.40978799999999999</v>
      </c>
      <c r="E9" s="8">
        <v>-0.43386000000000002</v>
      </c>
      <c r="F9" s="8">
        <v>-0.40556900000000001</v>
      </c>
      <c r="G9" s="8">
        <v>-0.28891800000000001</v>
      </c>
      <c r="H9" s="8">
        <v>-0.298898</v>
      </c>
    </row>
    <row r="10" spans="2:8" ht="15.6" x14ac:dyDescent="0.35">
      <c r="B10" s="8" t="s">
        <v>46</v>
      </c>
      <c r="C10" s="8">
        <v>-9.0800000000000006E-2</v>
      </c>
      <c r="D10" s="8">
        <v>-0.17734</v>
      </c>
      <c r="E10" s="8">
        <v>-0.224109</v>
      </c>
      <c r="F10" s="8">
        <v>-0.24085400000000001</v>
      </c>
      <c r="G10" s="8">
        <v>-0.18621099999999999</v>
      </c>
      <c r="H10" s="8">
        <v>-6.8503999999999995E-2</v>
      </c>
    </row>
    <row r="11" spans="2:8" ht="15.6" x14ac:dyDescent="0.35">
      <c r="B11" s="12" t="s">
        <v>47</v>
      </c>
      <c r="C11" s="12">
        <v>-4.8641999999999998E-2</v>
      </c>
      <c r="D11" s="12">
        <v>-0.104911</v>
      </c>
      <c r="E11" s="12">
        <v>-0.15964600000000001</v>
      </c>
      <c r="F11" s="12">
        <v>-0.26383099999999998</v>
      </c>
      <c r="G11" s="12">
        <v>-0.48123199999999999</v>
      </c>
      <c r="H11" s="12">
        <v>-0.45417600000000002</v>
      </c>
    </row>
    <row r="12" spans="2:8" s="11" customFormat="1" ht="15.75" x14ac:dyDescent="0.25">
      <c r="B12" s="9" t="s">
        <v>61</v>
      </c>
      <c r="C12" s="9">
        <v>3.5368999999999998E-2</v>
      </c>
      <c r="D12" s="9">
        <v>7.2875999999999996E-2</v>
      </c>
      <c r="E12" s="9">
        <v>9.6879000000000007E-2</v>
      </c>
      <c r="F12" s="9">
        <v>0.114802</v>
      </c>
      <c r="G12" s="9">
        <v>0.19314600000000001</v>
      </c>
      <c r="H12" s="9">
        <v>0.43462099999999998</v>
      </c>
    </row>
    <row r="13" spans="2:8" s="11" customFormat="1" ht="15.6" x14ac:dyDescent="0.35">
      <c r="B13" s="10"/>
      <c r="C13" s="10"/>
      <c r="D13" s="10"/>
      <c r="E13" s="10"/>
      <c r="F13" s="10"/>
      <c r="G13" s="10"/>
      <c r="H13" s="10"/>
    </row>
    <row r="14" spans="2:8" ht="15.6" x14ac:dyDescent="0.35">
      <c r="B14" s="10" t="s">
        <v>60</v>
      </c>
    </row>
    <row r="16" spans="2:8" ht="15.6" x14ac:dyDescent="0.35">
      <c r="B16" s="10" t="s">
        <v>55</v>
      </c>
    </row>
    <row r="17" spans="2:2" ht="15.6" x14ac:dyDescent="0.35">
      <c r="B17" s="10" t="s">
        <v>58</v>
      </c>
    </row>
    <row r="18" spans="2:2" ht="15.6" x14ac:dyDescent="0.35">
      <c r="B18" s="10" t="s">
        <v>50</v>
      </c>
    </row>
    <row r="19" spans="2:2" ht="15.6" x14ac:dyDescent="0.35">
      <c r="B19" s="10" t="s">
        <v>56</v>
      </c>
    </row>
    <row r="20" spans="2:2" ht="15.6" x14ac:dyDescent="0.35">
      <c r="B20" s="10" t="s">
        <v>57</v>
      </c>
    </row>
    <row r="22" spans="2:2" ht="15.6" x14ac:dyDescent="0.35">
      <c r="B22" s="10" t="s">
        <v>59</v>
      </c>
    </row>
    <row r="23" spans="2:2" ht="15.6" x14ac:dyDescent="0.35">
      <c r="B23" s="10" t="s">
        <v>69</v>
      </c>
    </row>
    <row r="24" spans="2:2" ht="15.6" x14ac:dyDescent="0.35">
      <c r="B24" s="10" t="s">
        <v>70</v>
      </c>
    </row>
    <row r="26" spans="2:2" ht="15.6" x14ac:dyDescent="0.35">
      <c r="B26" s="10" t="s">
        <v>65</v>
      </c>
    </row>
    <row r="27" spans="2:2" ht="15.6" x14ac:dyDescent="0.35">
      <c r="B27" s="10" t="s">
        <v>63</v>
      </c>
    </row>
    <row r="28" spans="2:2" ht="15.6" x14ac:dyDescent="0.35">
      <c r="B28" s="10" t="s">
        <v>64</v>
      </c>
    </row>
    <row r="30" spans="2:2" ht="15.6" x14ac:dyDescent="0.35">
      <c r="B30" s="10" t="s">
        <v>66</v>
      </c>
    </row>
    <row r="32" spans="2:2" ht="15.6" x14ac:dyDescent="0.35">
      <c r="B32" s="10" t="s">
        <v>67</v>
      </c>
    </row>
    <row r="34" spans="1:21" ht="15.6" x14ac:dyDescent="0.35">
      <c r="B34" s="13" t="s">
        <v>109</v>
      </c>
      <c r="C34" s="155" t="s">
        <v>110</v>
      </c>
      <c r="D34" s="155"/>
      <c r="E34" s="155"/>
      <c r="F34" s="155" t="s">
        <v>111</v>
      </c>
      <c r="G34" s="155"/>
      <c r="H34" s="155"/>
      <c r="I34" s="155" t="s">
        <v>112</v>
      </c>
      <c r="J34" s="155"/>
      <c r="K34" s="155"/>
      <c r="L34" s="155" t="s">
        <v>113</v>
      </c>
      <c r="M34" s="155"/>
      <c r="N34" s="155"/>
      <c r="O34" s="155" t="s">
        <v>114</v>
      </c>
      <c r="P34" s="155"/>
      <c r="Q34" s="155"/>
      <c r="R34" s="155" t="s">
        <v>115</v>
      </c>
      <c r="S34" s="155"/>
      <c r="T34" s="155"/>
    </row>
    <row r="35" spans="1:21" ht="15.6" x14ac:dyDescent="0.35">
      <c r="A35" s="14">
        <v>1</v>
      </c>
      <c r="B35" s="5"/>
      <c r="C35" s="156">
        <v>2007</v>
      </c>
      <c r="D35" s="157"/>
      <c r="E35" s="158"/>
      <c r="F35" s="156">
        <v>2008</v>
      </c>
      <c r="G35" s="157"/>
      <c r="H35" s="158"/>
      <c r="I35" s="156">
        <v>2009</v>
      </c>
      <c r="J35" s="157"/>
      <c r="K35" s="158"/>
      <c r="L35" s="156">
        <v>2011</v>
      </c>
      <c r="M35" s="157"/>
      <c r="N35" s="158"/>
      <c r="O35" s="156">
        <v>2016</v>
      </c>
      <c r="P35" s="157"/>
      <c r="Q35" s="158"/>
      <c r="R35" s="156">
        <v>2041</v>
      </c>
      <c r="S35" s="157"/>
      <c r="T35" s="158"/>
    </row>
    <row r="36" spans="1:21" ht="15.6" x14ac:dyDescent="0.35">
      <c r="A36" s="14">
        <v>2</v>
      </c>
      <c r="B36" s="7" t="s">
        <v>68</v>
      </c>
      <c r="C36" s="149" t="s">
        <v>75</v>
      </c>
      <c r="D36" s="150"/>
      <c r="E36" s="151"/>
      <c r="F36" s="149" t="s">
        <v>76</v>
      </c>
      <c r="G36" s="150"/>
      <c r="H36" s="151"/>
      <c r="I36" s="149" t="s">
        <v>77</v>
      </c>
      <c r="J36" s="150"/>
      <c r="K36" s="151"/>
      <c r="L36" s="149" t="s">
        <v>78</v>
      </c>
      <c r="M36" s="150"/>
      <c r="N36" s="151"/>
      <c r="O36" s="149" t="s">
        <v>79</v>
      </c>
      <c r="P36" s="150"/>
      <c r="Q36" s="151"/>
      <c r="R36" s="149" t="s">
        <v>80</v>
      </c>
      <c r="S36" s="150"/>
      <c r="T36" s="151"/>
    </row>
    <row r="37" spans="1:21" ht="15.6" x14ac:dyDescent="0.35">
      <c r="A37" s="14">
        <v>3</v>
      </c>
      <c r="B37" s="8" t="s">
        <v>71</v>
      </c>
      <c r="C37" s="146" t="s">
        <v>81</v>
      </c>
      <c r="D37" s="147"/>
      <c r="E37" s="148"/>
      <c r="F37" s="146" t="s">
        <v>82</v>
      </c>
      <c r="G37" s="147"/>
      <c r="H37" s="148"/>
      <c r="I37" s="146" t="s">
        <v>83</v>
      </c>
      <c r="J37" s="147"/>
      <c r="K37" s="148"/>
      <c r="L37" s="146" t="s">
        <v>84</v>
      </c>
      <c r="M37" s="147"/>
      <c r="N37" s="148"/>
      <c r="O37" s="146" t="s">
        <v>85</v>
      </c>
      <c r="P37" s="147"/>
      <c r="Q37" s="148"/>
      <c r="R37" s="146" t="s">
        <v>86</v>
      </c>
      <c r="S37" s="147"/>
      <c r="T37" s="148"/>
    </row>
    <row r="38" spans="1:21" ht="15.6" x14ac:dyDescent="0.35">
      <c r="A38" s="14">
        <v>4</v>
      </c>
      <c r="B38" s="8" t="s">
        <v>72</v>
      </c>
      <c r="C38" s="146" t="s">
        <v>87</v>
      </c>
      <c r="D38" s="147"/>
      <c r="E38" s="148"/>
      <c r="F38" s="146" t="s">
        <v>88</v>
      </c>
      <c r="G38" s="147"/>
      <c r="H38" s="148"/>
      <c r="I38" s="146" t="s">
        <v>89</v>
      </c>
      <c r="J38" s="147"/>
      <c r="K38" s="148"/>
      <c r="L38" s="146" t="s">
        <v>90</v>
      </c>
      <c r="M38" s="147"/>
      <c r="N38" s="148"/>
      <c r="O38" s="146" t="s">
        <v>91</v>
      </c>
      <c r="P38" s="147"/>
      <c r="Q38" s="148"/>
      <c r="R38" s="146" t="s">
        <v>92</v>
      </c>
      <c r="S38" s="147"/>
      <c r="T38" s="148"/>
    </row>
    <row r="39" spans="1:21" ht="15.6" x14ac:dyDescent="0.35">
      <c r="A39" s="14">
        <v>5</v>
      </c>
      <c r="B39" s="12" t="s">
        <v>73</v>
      </c>
      <c r="C39" s="146" t="s">
        <v>93</v>
      </c>
      <c r="D39" s="147"/>
      <c r="E39" s="148"/>
      <c r="F39" s="146" t="s">
        <v>94</v>
      </c>
      <c r="G39" s="147"/>
      <c r="H39" s="148"/>
      <c r="I39" s="146" t="s">
        <v>95</v>
      </c>
      <c r="J39" s="147"/>
      <c r="K39" s="148"/>
      <c r="L39" s="146" t="s">
        <v>96</v>
      </c>
      <c r="M39" s="147"/>
      <c r="N39" s="148"/>
      <c r="O39" s="146" t="s">
        <v>97</v>
      </c>
      <c r="P39" s="147"/>
      <c r="Q39" s="148"/>
      <c r="R39" s="146" t="s">
        <v>98</v>
      </c>
      <c r="S39" s="147"/>
      <c r="T39" s="148"/>
    </row>
    <row r="40" spans="1:21" ht="15.6" x14ac:dyDescent="0.35">
      <c r="A40" s="14">
        <v>6</v>
      </c>
      <c r="B40" s="9" t="s">
        <v>74</v>
      </c>
      <c r="C40" s="143" t="s">
        <v>99</v>
      </c>
      <c r="D40" s="144"/>
      <c r="E40" s="145"/>
      <c r="F40" s="143" t="s">
        <v>100</v>
      </c>
      <c r="G40" s="144"/>
      <c r="H40" s="145"/>
      <c r="I40" s="143" t="s">
        <v>101</v>
      </c>
      <c r="J40" s="144"/>
      <c r="K40" s="145"/>
      <c r="L40" s="143" t="s">
        <v>102</v>
      </c>
      <c r="M40" s="144"/>
      <c r="N40" s="145"/>
      <c r="O40" s="143" t="s">
        <v>103</v>
      </c>
      <c r="P40" s="144"/>
      <c r="Q40" s="145"/>
      <c r="R40" s="143" t="s">
        <v>104</v>
      </c>
      <c r="S40" s="144"/>
      <c r="T40" s="145"/>
    </row>
    <row r="42" spans="1:21" ht="15.6" x14ac:dyDescent="0.35">
      <c r="B42" s="10" t="s">
        <v>116</v>
      </c>
    </row>
    <row r="43" spans="1:21" ht="14.45" x14ac:dyDescent="0.35">
      <c r="B43" t="s">
        <v>118</v>
      </c>
    </row>
    <row r="45" spans="1:21" ht="15.6" x14ac:dyDescent="0.35">
      <c r="B45" s="13" t="s">
        <v>109</v>
      </c>
      <c r="C45" s="13" t="s">
        <v>110</v>
      </c>
      <c r="D45" s="155" t="s">
        <v>111</v>
      </c>
      <c r="E45" s="155"/>
      <c r="F45" s="155"/>
      <c r="G45" s="155" t="s">
        <v>112</v>
      </c>
      <c r="H45" s="155"/>
      <c r="I45" s="155"/>
      <c r="J45" s="155" t="s">
        <v>113</v>
      </c>
      <c r="K45" s="155"/>
      <c r="L45" s="155"/>
      <c r="M45" s="155" t="s">
        <v>114</v>
      </c>
      <c r="N45" s="155"/>
      <c r="O45" s="155"/>
      <c r="P45" s="155" t="s">
        <v>115</v>
      </c>
      <c r="Q45" s="155"/>
      <c r="R45" s="155"/>
      <c r="S45" s="155" t="s">
        <v>117</v>
      </c>
      <c r="T45" s="155"/>
      <c r="U45" s="155"/>
    </row>
    <row r="46" spans="1:21" ht="31.5" x14ac:dyDescent="0.25">
      <c r="A46" s="14">
        <v>1</v>
      </c>
      <c r="B46" s="5" t="s">
        <v>37</v>
      </c>
      <c r="C46" s="15"/>
      <c r="D46" s="140" t="s">
        <v>38</v>
      </c>
      <c r="E46" s="141"/>
      <c r="F46" s="142"/>
      <c r="G46" s="140" t="s">
        <v>39</v>
      </c>
      <c r="H46" s="141"/>
      <c r="I46" s="142"/>
      <c r="J46" s="140" t="s">
        <v>40</v>
      </c>
      <c r="K46" s="141"/>
      <c r="L46" s="142"/>
      <c r="M46" s="140" t="s">
        <v>41</v>
      </c>
      <c r="N46" s="141"/>
      <c r="O46" s="142"/>
      <c r="P46" s="140" t="s">
        <v>42</v>
      </c>
      <c r="Q46" s="141"/>
      <c r="R46" s="142"/>
      <c r="S46" s="140" t="s">
        <v>43</v>
      </c>
      <c r="T46" s="141"/>
      <c r="U46" s="142"/>
    </row>
    <row r="47" spans="1:21" ht="15.6" x14ac:dyDescent="0.35">
      <c r="A47" s="14">
        <v>2</v>
      </c>
      <c r="B47" s="15"/>
      <c r="C47" s="16"/>
      <c r="D47" s="152">
        <v>2007</v>
      </c>
      <c r="E47" s="153"/>
      <c r="F47" s="154"/>
      <c r="G47" s="152">
        <v>2008</v>
      </c>
      <c r="H47" s="153"/>
      <c r="I47" s="154"/>
      <c r="J47" s="152">
        <v>2009</v>
      </c>
      <c r="K47" s="153"/>
      <c r="L47" s="154"/>
      <c r="M47" s="152">
        <v>2011</v>
      </c>
      <c r="N47" s="153"/>
      <c r="O47" s="154"/>
      <c r="P47" s="152">
        <v>2016</v>
      </c>
      <c r="Q47" s="153"/>
      <c r="R47" s="154"/>
      <c r="S47" s="152">
        <v>2041</v>
      </c>
      <c r="T47" s="153"/>
      <c r="U47" s="154"/>
    </row>
    <row r="48" spans="1:21" ht="15.6" x14ac:dyDescent="0.35">
      <c r="A48" s="14">
        <v>3</v>
      </c>
      <c r="B48" s="7" t="s">
        <v>44</v>
      </c>
      <c r="C48" s="17" t="s">
        <v>68</v>
      </c>
      <c r="D48" s="149" t="s">
        <v>75</v>
      </c>
      <c r="E48" s="150"/>
      <c r="F48" s="151"/>
      <c r="G48" s="149" t="s">
        <v>76</v>
      </c>
      <c r="H48" s="150"/>
      <c r="I48" s="151"/>
      <c r="J48" s="149" t="s">
        <v>77</v>
      </c>
      <c r="K48" s="150"/>
      <c r="L48" s="151"/>
      <c r="M48" s="149" t="s">
        <v>78</v>
      </c>
      <c r="N48" s="150"/>
      <c r="O48" s="151"/>
      <c r="P48" s="149" t="s">
        <v>79</v>
      </c>
      <c r="Q48" s="150"/>
      <c r="R48" s="151"/>
      <c r="S48" s="149" t="s">
        <v>80</v>
      </c>
      <c r="T48" s="150"/>
      <c r="U48" s="151"/>
    </row>
    <row r="49" spans="1:21" ht="15.75" x14ac:dyDescent="0.25">
      <c r="A49" s="14">
        <v>4</v>
      </c>
      <c r="B49" s="8" t="s">
        <v>45</v>
      </c>
      <c r="C49" s="18" t="s">
        <v>71</v>
      </c>
      <c r="D49" s="146" t="s">
        <v>81</v>
      </c>
      <c r="E49" s="147"/>
      <c r="F49" s="148"/>
      <c r="G49" s="146" t="s">
        <v>82</v>
      </c>
      <c r="H49" s="147"/>
      <c r="I49" s="148"/>
      <c r="J49" s="146" t="s">
        <v>83</v>
      </c>
      <c r="K49" s="147"/>
      <c r="L49" s="148"/>
      <c r="M49" s="146" t="s">
        <v>84</v>
      </c>
      <c r="N49" s="147"/>
      <c r="O49" s="148"/>
      <c r="P49" s="146" t="s">
        <v>85</v>
      </c>
      <c r="Q49" s="147"/>
      <c r="R49" s="148"/>
      <c r="S49" s="146" t="s">
        <v>86</v>
      </c>
      <c r="T49" s="147"/>
      <c r="U49" s="148"/>
    </row>
    <row r="50" spans="1:21" ht="15.6" x14ac:dyDescent="0.35">
      <c r="A50" s="14">
        <v>5</v>
      </c>
      <c r="B50" s="8" t="s">
        <v>46</v>
      </c>
      <c r="C50" s="18" t="s">
        <v>72</v>
      </c>
      <c r="D50" s="146" t="s">
        <v>87</v>
      </c>
      <c r="E50" s="147"/>
      <c r="F50" s="148"/>
      <c r="G50" s="146" t="s">
        <v>88</v>
      </c>
      <c r="H50" s="147"/>
      <c r="I50" s="148"/>
      <c r="J50" s="146" t="s">
        <v>89</v>
      </c>
      <c r="K50" s="147"/>
      <c r="L50" s="148"/>
      <c r="M50" s="146" t="s">
        <v>90</v>
      </c>
      <c r="N50" s="147"/>
      <c r="O50" s="148"/>
      <c r="P50" s="146" t="s">
        <v>91</v>
      </c>
      <c r="Q50" s="147"/>
      <c r="R50" s="148"/>
      <c r="S50" s="146" t="s">
        <v>92</v>
      </c>
      <c r="T50" s="147"/>
      <c r="U50" s="148"/>
    </row>
    <row r="51" spans="1:21" ht="15.75" x14ac:dyDescent="0.25">
      <c r="A51" s="14">
        <v>6</v>
      </c>
      <c r="B51" s="12" t="s">
        <v>47</v>
      </c>
      <c r="C51" s="19" t="s">
        <v>73</v>
      </c>
      <c r="D51" s="146" t="s">
        <v>93</v>
      </c>
      <c r="E51" s="147"/>
      <c r="F51" s="148"/>
      <c r="G51" s="146" t="s">
        <v>94</v>
      </c>
      <c r="H51" s="147"/>
      <c r="I51" s="148"/>
      <c r="J51" s="146" t="s">
        <v>95</v>
      </c>
      <c r="K51" s="147"/>
      <c r="L51" s="148"/>
      <c r="M51" s="146" t="s">
        <v>96</v>
      </c>
      <c r="N51" s="147"/>
      <c r="O51" s="148"/>
      <c r="P51" s="146" t="s">
        <v>97</v>
      </c>
      <c r="Q51" s="147"/>
      <c r="R51" s="148"/>
      <c r="S51" s="146" t="s">
        <v>98</v>
      </c>
      <c r="T51" s="147"/>
      <c r="U51" s="148"/>
    </row>
    <row r="52" spans="1:21" ht="15.75" x14ac:dyDescent="0.25">
      <c r="A52" s="14">
        <v>7</v>
      </c>
      <c r="B52" s="9" t="s">
        <v>61</v>
      </c>
      <c r="C52" s="20" t="s">
        <v>74</v>
      </c>
      <c r="D52" s="143" t="s">
        <v>99</v>
      </c>
      <c r="E52" s="144"/>
      <c r="F52" s="145"/>
      <c r="G52" s="143" t="s">
        <v>100</v>
      </c>
      <c r="H52" s="144"/>
      <c r="I52" s="145"/>
      <c r="J52" s="143" t="s">
        <v>101</v>
      </c>
      <c r="K52" s="144"/>
      <c r="L52" s="145"/>
      <c r="M52" s="143" t="s">
        <v>102</v>
      </c>
      <c r="N52" s="144"/>
      <c r="O52" s="145"/>
      <c r="P52" s="143" t="s">
        <v>103</v>
      </c>
      <c r="Q52" s="144"/>
      <c r="R52" s="145"/>
      <c r="S52" s="143" t="s">
        <v>104</v>
      </c>
      <c r="T52" s="144"/>
      <c r="U52" s="145"/>
    </row>
    <row r="54" spans="1:21" ht="15.75" x14ac:dyDescent="0.25">
      <c r="B54" s="10" t="s">
        <v>119</v>
      </c>
    </row>
    <row r="55" spans="1:21" x14ac:dyDescent="0.25">
      <c r="B55" t="s">
        <v>120</v>
      </c>
    </row>
  </sheetData>
  <mergeCells count="90">
    <mergeCell ref="R35:T35"/>
    <mergeCell ref="C35:E35"/>
    <mergeCell ref="F35:H35"/>
    <mergeCell ref="I35:K35"/>
    <mergeCell ref="L35:N35"/>
    <mergeCell ref="O35:Q35"/>
    <mergeCell ref="R37:T37"/>
    <mergeCell ref="C36:E36"/>
    <mergeCell ref="F36:H36"/>
    <mergeCell ref="I36:K36"/>
    <mergeCell ref="L36:N36"/>
    <mergeCell ref="O36:Q36"/>
    <mergeCell ref="R36:T36"/>
    <mergeCell ref="C37:E37"/>
    <mergeCell ref="F37:H37"/>
    <mergeCell ref="I37:K37"/>
    <mergeCell ref="L37:N37"/>
    <mergeCell ref="O37:Q37"/>
    <mergeCell ref="L39:N39"/>
    <mergeCell ref="O39:Q39"/>
    <mergeCell ref="R39:T39"/>
    <mergeCell ref="C38:E38"/>
    <mergeCell ref="F38:H38"/>
    <mergeCell ref="I38:K38"/>
    <mergeCell ref="L38:N38"/>
    <mergeCell ref="O38:Q38"/>
    <mergeCell ref="R38:T38"/>
    <mergeCell ref="S45:U45"/>
    <mergeCell ref="C34:E34"/>
    <mergeCell ref="F34:H34"/>
    <mergeCell ref="I34:K34"/>
    <mergeCell ref="L34:N34"/>
    <mergeCell ref="O34:Q34"/>
    <mergeCell ref="R34:T34"/>
    <mergeCell ref="C40:E40"/>
    <mergeCell ref="F40:H40"/>
    <mergeCell ref="I40:K40"/>
    <mergeCell ref="L40:N40"/>
    <mergeCell ref="O40:Q40"/>
    <mergeCell ref="R40:T40"/>
    <mergeCell ref="C39:E39"/>
    <mergeCell ref="F39:H39"/>
    <mergeCell ref="I39:K39"/>
    <mergeCell ref="D45:F45"/>
    <mergeCell ref="G45:I45"/>
    <mergeCell ref="J45:L45"/>
    <mergeCell ref="M45:O45"/>
    <mergeCell ref="P45:R45"/>
    <mergeCell ref="S48:U48"/>
    <mergeCell ref="D47:F47"/>
    <mergeCell ref="G47:I47"/>
    <mergeCell ref="J47:L47"/>
    <mergeCell ref="M47:O47"/>
    <mergeCell ref="P47:R47"/>
    <mergeCell ref="S47:U47"/>
    <mergeCell ref="D48:F48"/>
    <mergeCell ref="G48:I48"/>
    <mergeCell ref="J48:L48"/>
    <mergeCell ref="M48:O48"/>
    <mergeCell ref="P48:R48"/>
    <mergeCell ref="S50:U50"/>
    <mergeCell ref="D49:F49"/>
    <mergeCell ref="G49:I49"/>
    <mergeCell ref="J49:L49"/>
    <mergeCell ref="M49:O49"/>
    <mergeCell ref="P49:R49"/>
    <mergeCell ref="S49:U49"/>
    <mergeCell ref="D50:F50"/>
    <mergeCell ref="G50:I50"/>
    <mergeCell ref="J50:L50"/>
    <mergeCell ref="M50:O50"/>
    <mergeCell ref="P50:R50"/>
    <mergeCell ref="S52:U52"/>
    <mergeCell ref="D51:F51"/>
    <mergeCell ref="G51:I51"/>
    <mergeCell ref="J51:L51"/>
    <mergeCell ref="M51:O51"/>
    <mergeCell ref="P51:R51"/>
    <mergeCell ref="S51:U51"/>
    <mergeCell ref="D52:F52"/>
    <mergeCell ref="G52:I52"/>
    <mergeCell ref="J52:L52"/>
    <mergeCell ref="M52:O52"/>
    <mergeCell ref="P52:R52"/>
    <mergeCell ref="P46:R46"/>
    <mergeCell ref="S46:U46"/>
    <mergeCell ref="D46:F46"/>
    <mergeCell ref="G46:I46"/>
    <mergeCell ref="J46:L46"/>
    <mergeCell ref="M46:O4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00000"/>
  </sheetPr>
  <dimension ref="A1:AB51"/>
  <sheetViews>
    <sheetView tabSelected="1" workbookViewId="0">
      <selection activeCell="C56" sqref="C56"/>
    </sheetView>
  </sheetViews>
  <sheetFormatPr baseColWidth="10" defaultRowHeight="15" x14ac:dyDescent="0.25"/>
  <cols>
    <col min="2" max="2" width="13.140625" customWidth="1"/>
    <col min="3" max="3" width="19.140625" customWidth="1"/>
    <col min="4" max="4" width="20.85546875" hidden="1" customWidth="1"/>
    <col min="13" max="13" width="14.85546875" customWidth="1"/>
    <col min="17" max="17" width="16.42578125" customWidth="1"/>
  </cols>
  <sheetData>
    <row r="1" spans="1:22" ht="23.45" x14ac:dyDescent="0.55000000000000004">
      <c r="A1" s="39" t="s">
        <v>328</v>
      </c>
      <c r="B1" s="26"/>
    </row>
    <row r="2" spans="1:22" ht="13.5" customHeight="1" x14ac:dyDescent="0.55000000000000004">
      <c r="A2" s="39"/>
      <c r="B2" s="26"/>
    </row>
    <row r="3" spans="1:22" ht="23.45" x14ac:dyDescent="0.55000000000000004">
      <c r="B3" s="39" t="s">
        <v>329</v>
      </c>
    </row>
    <row r="4" spans="1:22" ht="14.45" customHeight="1" x14ac:dyDescent="0.55000000000000004">
      <c r="A4" s="39"/>
      <c r="B4" s="26"/>
      <c r="M4" s="26"/>
      <c r="N4" s="76"/>
      <c r="O4" s="76"/>
      <c r="P4" s="76"/>
      <c r="Q4" s="76"/>
      <c r="R4" s="76"/>
      <c r="S4" s="76"/>
      <c r="T4" s="76"/>
      <c r="U4" s="76"/>
      <c r="V4" s="26"/>
    </row>
    <row r="5" spans="1:22" ht="15.6" customHeight="1" x14ac:dyDescent="0.35">
      <c r="B5" s="30"/>
      <c r="C5" s="30"/>
      <c r="D5" s="27"/>
      <c r="E5" s="28">
        <v>2006</v>
      </c>
      <c r="F5" s="28">
        <v>2010</v>
      </c>
      <c r="G5" s="28">
        <v>2015</v>
      </c>
      <c r="H5" s="28">
        <v>2020</v>
      </c>
      <c r="I5" s="28">
        <v>2030</v>
      </c>
      <c r="J5" s="28">
        <v>2040</v>
      </c>
      <c r="K5" s="28">
        <v>2050</v>
      </c>
      <c r="M5" s="26"/>
      <c r="N5" s="125"/>
      <c r="O5" s="125"/>
      <c r="P5" s="125"/>
      <c r="Q5" s="125"/>
      <c r="R5" s="125"/>
      <c r="S5" s="125"/>
      <c r="T5" s="125"/>
      <c r="U5" s="76"/>
      <c r="V5" s="26"/>
    </row>
    <row r="6" spans="1:22" ht="15.6" customHeight="1" x14ac:dyDescent="0.25">
      <c r="B6" s="160" t="s">
        <v>324</v>
      </c>
      <c r="C6" s="29" t="s">
        <v>309</v>
      </c>
      <c r="D6" s="30"/>
      <c r="E6" s="37">
        <f ca="1">SUM(E7:E8)</f>
        <v>69.39</v>
      </c>
      <c r="F6" s="37">
        <f t="shared" ref="F6:K6" ca="1" si="0">SUM(F7:F8)</f>
        <v>65.818151</v>
      </c>
      <c r="G6" s="37">
        <f t="shared" ca="1" si="0"/>
        <v>66.352970999999997</v>
      </c>
      <c r="H6" s="37">
        <f t="shared" ca="1" si="0"/>
        <v>67.163536999999991</v>
      </c>
      <c r="I6" s="37">
        <f t="shared" ca="1" si="0"/>
        <v>62.216695000000001</v>
      </c>
      <c r="J6" s="37">
        <f t="shared" ca="1" si="0"/>
        <v>52.761085999999999</v>
      </c>
      <c r="K6" s="37">
        <f t="shared" ca="1" si="0"/>
        <v>40.515816000000001</v>
      </c>
      <c r="M6" s="24"/>
      <c r="N6" s="96"/>
      <c r="O6" s="96"/>
      <c r="P6" s="96"/>
      <c r="Q6" s="96"/>
      <c r="R6" s="96"/>
      <c r="S6" s="96"/>
      <c r="T6" s="96"/>
      <c r="U6" s="76"/>
      <c r="V6" s="26"/>
    </row>
    <row r="7" spans="1:22" ht="15.6" customHeight="1" x14ac:dyDescent="0.25">
      <c r="B7" s="161"/>
      <c r="C7" s="31" t="s">
        <v>325</v>
      </c>
      <c r="D7" s="31" t="s">
        <v>293</v>
      </c>
      <c r="E7" s="32">
        <f t="shared" ref="E7:K24" ca="1" si="1">Output("SCEN_ADEMEhaut",$D7,E$5)</f>
        <v>68.790000000000006</v>
      </c>
      <c r="F7" s="32">
        <f t="shared" ref="F7:K23" ca="1" si="2">Output("SCEN_ADEMEhaut",$D7,F$5)</f>
        <v>63.64967</v>
      </c>
      <c r="G7" s="32">
        <f t="shared" ca="1" si="2"/>
        <v>64.166870000000003</v>
      </c>
      <c r="H7" s="32">
        <f t="shared" ca="1" si="2"/>
        <v>64.950729999999993</v>
      </c>
      <c r="I7" s="32">
        <f t="shared" ca="1" si="2"/>
        <v>60.166870000000003</v>
      </c>
      <c r="J7" s="32">
        <f t="shared" ca="1" si="2"/>
        <v>51.022790000000001</v>
      </c>
      <c r="K7" s="32">
        <f t="shared" ca="1" si="2"/>
        <v>39.180959999999999</v>
      </c>
      <c r="M7" s="24"/>
      <c r="N7" s="96"/>
      <c r="O7" s="96"/>
      <c r="P7" s="96"/>
      <c r="Q7" s="96"/>
      <c r="R7" s="96"/>
      <c r="S7" s="96"/>
      <c r="T7" s="96"/>
      <c r="U7" s="76"/>
      <c r="V7" s="26"/>
    </row>
    <row r="8" spans="1:22" ht="15.6" customHeight="1" x14ac:dyDescent="0.25">
      <c r="B8" s="162"/>
      <c r="C8" s="33" t="s">
        <v>326</v>
      </c>
      <c r="D8" s="33" t="s">
        <v>294</v>
      </c>
      <c r="E8" s="34">
        <f t="shared" ca="1" si="1"/>
        <v>0.6</v>
      </c>
      <c r="F8" s="34">
        <f t="shared" ca="1" si="2"/>
        <v>2.1684809999999999</v>
      </c>
      <c r="G8" s="34">
        <f t="shared" ca="1" si="2"/>
        <v>2.1861009999999998</v>
      </c>
      <c r="H8" s="34">
        <f t="shared" ca="1" si="2"/>
        <v>2.2128070000000002</v>
      </c>
      <c r="I8" s="34">
        <f t="shared" ca="1" si="2"/>
        <v>2.0498249999999998</v>
      </c>
      <c r="J8" s="34">
        <f t="shared" ca="1" si="2"/>
        <v>1.7382960000000001</v>
      </c>
      <c r="K8" s="34">
        <f t="shared" ca="1" si="2"/>
        <v>1.334856</v>
      </c>
      <c r="M8" s="24"/>
      <c r="N8" s="96"/>
      <c r="O8" s="96"/>
      <c r="P8" s="96"/>
      <c r="Q8" s="96"/>
      <c r="R8" s="96"/>
      <c r="S8" s="96"/>
      <c r="T8" s="96"/>
      <c r="U8" s="76"/>
      <c r="V8" s="26"/>
    </row>
    <row r="9" spans="1:22" ht="15.6" customHeight="1" x14ac:dyDescent="0.25">
      <c r="B9" s="160" t="s">
        <v>310</v>
      </c>
      <c r="C9" s="29" t="s">
        <v>309</v>
      </c>
      <c r="D9" s="30"/>
      <c r="E9" s="38">
        <f ca="1">SUM(E10:E17)</f>
        <v>134.62</v>
      </c>
      <c r="F9" s="38">
        <f t="shared" ref="F9:K9" ca="1" si="3">SUM(F10:F17)</f>
        <v>131.65011699999999</v>
      </c>
      <c r="G9" s="38">
        <f t="shared" ca="1" si="3"/>
        <v>133.74143700000002</v>
      </c>
      <c r="H9" s="38">
        <f t="shared" ca="1" si="3"/>
        <v>138.56405000000001</v>
      </c>
      <c r="I9" s="38">
        <f t="shared" ca="1" si="3"/>
        <v>152.039447</v>
      </c>
      <c r="J9" s="38">
        <f t="shared" ca="1" si="3"/>
        <v>166.26398399999999</v>
      </c>
      <c r="K9" s="38">
        <f t="shared" ca="1" si="3"/>
        <v>174.11929900000001</v>
      </c>
      <c r="M9" s="24"/>
      <c r="N9" s="126"/>
      <c r="O9" s="126"/>
      <c r="P9" s="126"/>
      <c r="Q9" s="126"/>
      <c r="R9" s="126"/>
      <c r="S9" s="126"/>
      <c r="T9" s="126"/>
      <c r="U9" s="26"/>
      <c r="V9" s="26"/>
    </row>
    <row r="10" spans="1:22" ht="15.6" customHeight="1" x14ac:dyDescent="0.25">
      <c r="B10" s="161"/>
      <c r="C10" s="31" t="s">
        <v>312</v>
      </c>
      <c r="D10" s="31" t="s">
        <v>295</v>
      </c>
      <c r="E10" s="32">
        <f t="shared" ref="E10:K17" ca="1" si="4">Output("SCEN_ADEMEhaut",$D10,E$5)</f>
        <v>117.54</v>
      </c>
      <c r="F10" s="32">
        <f t="shared" ca="1" si="4"/>
        <v>111.1211</v>
      </c>
      <c r="G10" s="32">
        <f t="shared" ca="1" si="4"/>
        <v>112.88630000000001</v>
      </c>
      <c r="H10" s="32">
        <f t="shared" ca="1" si="4"/>
        <v>116.9569</v>
      </c>
      <c r="I10" s="32">
        <f t="shared" ca="1" si="4"/>
        <v>128.33099999999999</v>
      </c>
      <c r="J10" s="32">
        <f t="shared" ca="1" si="4"/>
        <v>140.3374</v>
      </c>
      <c r="K10" s="32">
        <f t="shared" ca="1" si="4"/>
        <v>146.96780000000001</v>
      </c>
      <c r="M10" s="24"/>
      <c r="N10" s="126"/>
      <c r="O10" s="126"/>
      <c r="P10" s="126"/>
      <c r="Q10" s="126"/>
      <c r="R10" s="126"/>
      <c r="S10" s="126"/>
      <c r="T10" s="126"/>
      <c r="U10" s="26"/>
      <c r="V10" s="26"/>
    </row>
    <row r="11" spans="1:22" ht="15.6" customHeight="1" x14ac:dyDescent="0.25">
      <c r="B11" s="161"/>
      <c r="C11" s="31" t="s">
        <v>313</v>
      </c>
      <c r="D11" s="31" t="s">
        <v>296</v>
      </c>
      <c r="E11" s="32">
        <f t="shared" ca="1" si="4"/>
        <v>1.36</v>
      </c>
      <c r="F11" s="32">
        <f t="shared" ca="1" si="4"/>
        <v>1.0638810000000001</v>
      </c>
      <c r="G11" s="32">
        <f t="shared" ca="1" si="4"/>
        <v>1.0807819999999999</v>
      </c>
      <c r="H11" s="32">
        <f t="shared" ca="1" si="4"/>
        <v>1.1197539999999999</v>
      </c>
      <c r="I11" s="32">
        <f t="shared" ca="1" si="4"/>
        <v>1.22865</v>
      </c>
      <c r="J11" s="32">
        <f t="shared" ca="1" si="4"/>
        <v>1.343601</v>
      </c>
      <c r="K11" s="32">
        <f t="shared" ca="1" si="4"/>
        <v>1.4070800000000001</v>
      </c>
      <c r="M11" s="24"/>
      <c r="N11" s="126"/>
      <c r="O11" s="126"/>
      <c r="P11" s="126"/>
      <c r="Q11" s="126"/>
      <c r="R11" s="126"/>
      <c r="S11" s="126"/>
      <c r="T11" s="126"/>
      <c r="U11" s="26"/>
      <c r="V11" s="26"/>
    </row>
    <row r="12" spans="1:22" ht="15.6" customHeight="1" x14ac:dyDescent="0.25">
      <c r="B12" s="161"/>
      <c r="C12" s="31" t="s">
        <v>314</v>
      </c>
      <c r="D12" s="31" t="s">
        <v>297</v>
      </c>
      <c r="E12" s="32">
        <f t="shared" ca="1" si="4"/>
        <v>3.55</v>
      </c>
      <c r="F12" s="32">
        <f t="shared" ca="1" si="4"/>
        <v>3.8868529999999999</v>
      </c>
      <c r="G12" s="32">
        <f t="shared" ca="1" si="4"/>
        <v>3.9485990000000002</v>
      </c>
      <c r="H12" s="32">
        <f t="shared" ca="1" si="4"/>
        <v>4.0909810000000002</v>
      </c>
      <c r="I12" s="32">
        <f t="shared" ca="1" si="4"/>
        <v>4.488829</v>
      </c>
      <c r="J12" s="32">
        <f t="shared" ca="1" si="4"/>
        <v>4.9087990000000001</v>
      </c>
      <c r="K12" s="32">
        <f t="shared" ca="1" si="4"/>
        <v>5.1407179999999997</v>
      </c>
      <c r="M12" s="25"/>
      <c r="N12" s="126"/>
      <c r="O12" s="126"/>
      <c r="P12" s="126"/>
      <c r="Q12" s="126"/>
      <c r="R12" s="126"/>
      <c r="S12" s="126"/>
      <c r="T12" s="126"/>
      <c r="U12" s="26"/>
      <c r="V12" s="26"/>
    </row>
    <row r="13" spans="1:22" ht="15.6" customHeight="1" x14ac:dyDescent="0.25">
      <c r="B13" s="161"/>
      <c r="C13" s="31" t="s">
        <v>315</v>
      </c>
      <c r="D13" s="31" t="s">
        <v>298</v>
      </c>
      <c r="E13" s="32">
        <f t="shared" ca="1" si="4"/>
        <v>5.22</v>
      </c>
      <c r="F13" s="32">
        <f t="shared" ca="1" si="4"/>
        <v>4.9085999999999999</v>
      </c>
      <c r="G13" s="32">
        <f t="shared" ca="1" si="4"/>
        <v>4.9865769999999996</v>
      </c>
      <c r="H13" s="32">
        <f t="shared" ca="1" si="4"/>
        <v>5.1663870000000003</v>
      </c>
      <c r="I13" s="32">
        <f t="shared" ca="1" si="4"/>
        <v>5.6688190000000001</v>
      </c>
      <c r="J13" s="32">
        <f t="shared" ca="1" si="4"/>
        <v>6.1991880000000004</v>
      </c>
      <c r="K13" s="32">
        <f t="shared" ca="1" si="4"/>
        <v>6.4920720000000003</v>
      </c>
      <c r="M13" s="25"/>
    </row>
    <row r="14" spans="1:22" ht="15.6" customHeight="1" x14ac:dyDescent="0.25">
      <c r="B14" s="161"/>
      <c r="C14" s="31" t="s">
        <v>316</v>
      </c>
      <c r="D14" s="31" t="s">
        <v>299</v>
      </c>
      <c r="E14" s="32">
        <f t="shared" ca="1" si="4"/>
        <v>0.39</v>
      </c>
      <c r="F14" s="32">
        <f t="shared" ca="1" si="4"/>
        <v>0.77569399999999999</v>
      </c>
      <c r="G14" s="32">
        <f t="shared" ca="1" si="4"/>
        <v>0.78801600000000005</v>
      </c>
      <c r="H14" s="32">
        <f t="shared" ca="1" si="4"/>
        <v>0.81643100000000002</v>
      </c>
      <c r="I14" s="32">
        <f t="shared" ca="1" si="4"/>
        <v>0.89582899999999999</v>
      </c>
      <c r="J14" s="32">
        <f t="shared" ca="1" si="4"/>
        <v>0.97964200000000001</v>
      </c>
      <c r="K14" s="32">
        <f t="shared" ca="1" si="4"/>
        <v>1.0259259999999999</v>
      </c>
      <c r="M14" s="25"/>
    </row>
    <row r="15" spans="1:22" ht="15.6" customHeight="1" x14ac:dyDescent="0.25">
      <c r="B15" s="161"/>
      <c r="C15" s="31" t="s">
        <v>317</v>
      </c>
      <c r="D15" s="31" t="s">
        <v>300</v>
      </c>
      <c r="E15" s="32">
        <f t="shared" ca="1" si="4"/>
        <v>0.1</v>
      </c>
      <c r="F15" s="32">
        <f t="shared" ca="1" si="4"/>
        <v>0.10280300000000001</v>
      </c>
      <c r="G15" s="32">
        <f t="shared" ca="1" si="4"/>
        <v>0.104436</v>
      </c>
      <c r="H15" s="32">
        <f t="shared" ca="1" si="4"/>
        <v>0.10820200000000001</v>
      </c>
      <c r="I15" s="32">
        <f t="shared" ca="1" si="4"/>
        <v>0.118724</v>
      </c>
      <c r="J15" s="32">
        <f t="shared" ca="1" si="4"/>
        <v>0.129832</v>
      </c>
      <c r="K15" s="32">
        <f t="shared" ca="1" si="4"/>
        <v>0.135966</v>
      </c>
      <c r="M15" s="25"/>
    </row>
    <row r="16" spans="1:22" ht="15.6" customHeight="1" x14ac:dyDescent="0.25">
      <c r="B16" s="161"/>
      <c r="C16" s="31" t="s">
        <v>318</v>
      </c>
      <c r="D16" s="31" t="s">
        <v>301</v>
      </c>
      <c r="E16" s="32">
        <f t="shared" ca="1" si="4"/>
        <v>5</v>
      </c>
      <c r="F16" s="32">
        <f t="shared" ca="1" si="4"/>
        <v>5.2429420000000002</v>
      </c>
      <c r="G16" s="32">
        <f t="shared" ca="1" si="4"/>
        <v>5.3262299999999998</v>
      </c>
      <c r="H16" s="32">
        <f t="shared" ca="1" si="4"/>
        <v>5.5182880000000001</v>
      </c>
      <c r="I16" s="32">
        <f t="shared" ca="1" si="4"/>
        <v>6.0549419999999996</v>
      </c>
      <c r="J16" s="32">
        <f t="shared" ca="1" si="4"/>
        <v>6.6214360000000001</v>
      </c>
      <c r="K16" s="32">
        <f t="shared" ca="1" si="4"/>
        <v>6.9342689999999996</v>
      </c>
      <c r="M16" s="25"/>
    </row>
    <row r="17" spans="1:28" ht="15.6" customHeight="1" x14ac:dyDescent="0.25">
      <c r="B17" s="162"/>
      <c r="C17" s="33" t="s">
        <v>327</v>
      </c>
      <c r="D17" s="33" t="s">
        <v>302</v>
      </c>
      <c r="E17" s="34">
        <f t="shared" ca="1" si="4"/>
        <v>1.46</v>
      </c>
      <c r="F17" s="34">
        <f t="shared" ca="1" si="4"/>
        <v>4.5482440000000004</v>
      </c>
      <c r="G17" s="34">
        <f t="shared" ca="1" si="4"/>
        <v>4.6204970000000003</v>
      </c>
      <c r="H17" s="34">
        <f t="shared" ca="1" si="4"/>
        <v>4.7871069999999998</v>
      </c>
      <c r="I17" s="34">
        <f t="shared" ca="1" si="4"/>
        <v>5.2526539999999997</v>
      </c>
      <c r="J17" s="34">
        <f t="shared" ca="1" si="4"/>
        <v>5.7440860000000002</v>
      </c>
      <c r="K17" s="34">
        <f t="shared" ca="1" si="4"/>
        <v>6.0154680000000003</v>
      </c>
      <c r="M17" s="25"/>
    </row>
    <row r="18" spans="1:28" ht="15.6" customHeight="1" x14ac:dyDescent="0.25">
      <c r="B18" s="160" t="s">
        <v>311</v>
      </c>
      <c r="C18" s="29" t="s">
        <v>309</v>
      </c>
      <c r="D18" s="30"/>
      <c r="E18" s="38">
        <f ca="1">SUM(E19:E24)</f>
        <v>46.12</v>
      </c>
      <c r="F18" s="38">
        <f t="shared" ref="F18:K18" ca="1" si="5">SUM(F19:F24)</f>
        <v>44.145454000000001</v>
      </c>
      <c r="G18" s="38">
        <f t="shared" ca="1" si="5"/>
        <v>44.186600000000006</v>
      </c>
      <c r="H18" s="38">
        <f t="shared" ca="1" si="5"/>
        <v>45.217778000000003</v>
      </c>
      <c r="I18" s="38">
        <f t="shared" ca="1" si="5"/>
        <v>45.126719000000001</v>
      </c>
      <c r="J18" s="38">
        <f t="shared" ca="1" si="5"/>
        <v>41.094286999999994</v>
      </c>
      <c r="K18" s="38">
        <f t="shared" ca="1" si="5"/>
        <v>35.141607</v>
      </c>
      <c r="M18" s="25"/>
    </row>
    <row r="19" spans="1:28" ht="15.6" customHeight="1" x14ac:dyDescent="0.25">
      <c r="B19" s="161"/>
      <c r="C19" s="31" t="s">
        <v>319</v>
      </c>
      <c r="D19" s="31" t="s">
        <v>303</v>
      </c>
      <c r="E19" s="32">
        <f t="shared" ca="1" si="1"/>
        <v>35.17</v>
      </c>
      <c r="F19" s="32">
        <f t="shared" ca="1" si="2"/>
        <v>31.63843</v>
      </c>
      <c r="G19" s="32">
        <f t="shared" ca="1" si="2"/>
        <v>31.667919999999999</v>
      </c>
      <c r="H19" s="32">
        <f t="shared" ca="1" si="2"/>
        <v>32.406950000000002</v>
      </c>
      <c r="I19" s="32">
        <f t="shared" ca="1" si="2"/>
        <v>32.34169</v>
      </c>
      <c r="J19" s="32">
        <f t="shared" ca="1" si="2"/>
        <v>29.451699999999999</v>
      </c>
      <c r="K19" s="32">
        <f t="shared" ca="1" si="2"/>
        <v>25.185500000000001</v>
      </c>
      <c r="M19" s="24"/>
    </row>
    <row r="20" spans="1:28" ht="15.6" customHeight="1" x14ac:dyDescent="0.25">
      <c r="B20" s="161"/>
      <c r="C20" s="31" t="s">
        <v>320</v>
      </c>
      <c r="D20" s="31" t="s">
        <v>304</v>
      </c>
      <c r="E20" s="32">
        <f t="shared" ca="1" si="1"/>
        <v>9.5</v>
      </c>
      <c r="F20" s="32">
        <f t="shared" ca="1" si="2"/>
        <v>9.2070670000000003</v>
      </c>
      <c r="G20" s="32">
        <f t="shared" ca="1" si="2"/>
        <v>9.2156459999999996</v>
      </c>
      <c r="H20" s="32">
        <f t="shared" ca="1" si="2"/>
        <v>9.4307110000000005</v>
      </c>
      <c r="I20" s="32">
        <f t="shared" ca="1" si="2"/>
        <v>9.4117200000000008</v>
      </c>
      <c r="J20" s="32">
        <f t="shared" ca="1" si="2"/>
        <v>8.5707090000000008</v>
      </c>
      <c r="K20" s="32">
        <f t="shared" ca="1" si="2"/>
        <v>7.3292039999999998</v>
      </c>
      <c r="M20" s="25"/>
    </row>
    <row r="21" spans="1:28" ht="15.6" customHeight="1" x14ac:dyDescent="0.25">
      <c r="B21" s="161"/>
      <c r="C21" s="31" t="s">
        <v>321</v>
      </c>
      <c r="D21" s="31" t="s">
        <v>305</v>
      </c>
      <c r="E21" s="32">
        <f t="shared" ca="1" si="1"/>
        <v>0.15</v>
      </c>
      <c r="F21" s="32">
        <f t="shared" ca="1" si="2"/>
        <v>0.55606999999999995</v>
      </c>
      <c r="G21" s="32">
        <f t="shared" ca="1" si="2"/>
        <v>0.556589</v>
      </c>
      <c r="H21" s="32">
        <f t="shared" ca="1" si="2"/>
        <v>0.56957800000000003</v>
      </c>
      <c r="I21" s="32">
        <f t="shared" ca="1" si="2"/>
        <v>0.56843100000000002</v>
      </c>
      <c r="J21" s="32">
        <f t="shared" ca="1" si="2"/>
        <v>0.51763700000000001</v>
      </c>
      <c r="K21" s="32">
        <f t="shared" ca="1" si="2"/>
        <v>0.44265500000000002</v>
      </c>
      <c r="M21" s="25"/>
    </row>
    <row r="22" spans="1:28" ht="15.6" customHeight="1" x14ac:dyDescent="0.25">
      <c r="B22" s="161"/>
      <c r="C22" s="31" t="s">
        <v>322</v>
      </c>
      <c r="D22" s="31" t="s">
        <v>306</v>
      </c>
      <c r="E22" s="32">
        <f t="shared" ca="1" si="1"/>
        <v>0.6</v>
      </c>
      <c r="F22" s="32">
        <f t="shared" ca="1" si="2"/>
        <v>0.85689499999999996</v>
      </c>
      <c r="G22" s="32">
        <f t="shared" ca="1" si="2"/>
        <v>0.85769399999999996</v>
      </c>
      <c r="H22" s="32">
        <f t="shared" ca="1" si="2"/>
        <v>0.87770999999999999</v>
      </c>
      <c r="I22" s="32">
        <f t="shared" ca="1" si="2"/>
        <v>0.875942</v>
      </c>
      <c r="J22" s="32">
        <f t="shared" ca="1" si="2"/>
        <v>0.79766999999999999</v>
      </c>
      <c r="K22" s="32">
        <f t="shared" ca="1" si="2"/>
        <v>0.68212399999999995</v>
      </c>
      <c r="M22" s="25"/>
    </row>
    <row r="23" spans="1:28" ht="15.6" customHeight="1" x14ac:dyDescent="0.25">
      <c r="B23" s="161"/>
      <c r="C23" s="31" t="s">
        <v>323</v>
      </c>
      <c r="D23" s="31" t="s">
        <v>307</v>
      </c>
      <c r="E23" s="32">
        <f t="shared" ca="1" si="1"/>
        <v>0.4</v>
      </c>
      <c r="F23" s="32">
        <f t="shared" ca="1" si="2"/>
        <v>1.5405880000000001</v>
      </c>
      <c r="G23" s="32">
        <f t="shared" ca="1" si="2"/>
        <v>1.5420240000000001</v>
      </c>
      <c r="H23" s="32">
        <f t="shared" ca="1" si="2"/>
        <v>1.5780099999999999</v>
      </c>
      <c r="I23" s="32">
        <f t="shared" ca="1" si="2"/>
        <v>1.574832</v>
      </c>
      <c r="J23" s="32">
        <f t="shared" ca="1" si="2"/>
        <v>1.4341090000000001</v>
      </c>
      <c r="K23" s="32">
        <f t="shared" ca="1" si="2"/>
        <v>1.226372</v>
      </c>
      <c r="M23" s="25"/>
    </row>
    <row r="24" spans="1:28" ht="15.6" customHeight="1" x14ac:dyDescent="0.25">
      <c r="B24" s="162"/>
      <c r="C24" s="33" t="s">
        <v>327</v>
      </c>
      <c r="D24" s="33" t="s">
        <v>308</v>
      </c>
      <c r="E24" s="34">
        <f t="shared" ca="1" si="1"/>
        <v>0.3</v>
      </c>
      <c r="F24" s="34">
        <f t="shared" ca="1" si="1"/>
        <v>0.34640399999999999</v>
      </c>
      <c r="G24" s="34">
        <f t="shared" ca="1" si="1"/>
        <v>0.34672700000000001</v>
      </c>
      <c r="H24" s="34">
        <f t="shared" ca="1" si="1"/>
        <v>0.354819</v>
      </c>
      <c r="I24" s="34">
        <f t="shared" ca="1" si="1"/>
        <v>0.35410399999999997</v>
      </c>
      <c r="J24" s="34">
        <f t="shared" ca="1" si="1"/>
        <v>0.32246200000000003</v>
      </c>
      <c r="K24" s="34">
        <f t="shared" ca="1" si="1"/>
        <v>0.275752</v>
      </c>
      <c r="M24" s="25"/>
    </row>
    <row r="25" spans="1:28" ht="15.6" customHeight="1" x14ac:dyDescent="0.35">
      <c r="B25" s="35" t="s">
        <v>315</v>
      </c>
      <c r="C25" s="30"/>
      <c r="D25" s="36" t="s">
        <v>292</v>
      </c>
      <c r="E25" s="38">
        <f t="shared" ref="E25:K25" ca="1" si="6">Output("SCEN_ADEMEhaut",$D25,E$5)</f>
        <v>5.08</v>
      </c>
      <c r="F25" s="38">
        <f t="shared" ca="1" si="6"/>
        <v>4.5678979999999996</v>
      </c>
      <c r="G25" s="38">
        <f t="shared" ca="1" si="6"/>
        <v>4.8429279999999997</v>
      </c>
      <c r="H25" s="38">
        <f t="shared" ca="1" si="6"/>
        <v>5.109947</v>
      </c>
      <c r="I25" s="38">
        <f t="shared" ca="1" si="6"/>
        <v>5.9340000000000002</v>
      </c>
      <c r="J25" s="38">
        <f t="shared" ca="1" si="6"/>
        <v>6.2461929999999999</v>
      </c>
      <c r="K25" s="38">
        <f t="shared" ca="1" si="6"/>
        <v>6.465001</v>
      </c>
      <c r="M25" s="25"/>
    </row>
    <row r="26" spans="1:28" ht="15.6" customHeight="1" x14ac:dyDescent="0.35">
      <c r="B26" s="29" t="s">
        <v>309</v>
      </c>
      <c r="C26" s="30"/>
      <c r="D26" s="30"/>
      <c r="E26" s="40">
        <f ca="1">SUM(E6,E9,E18,E25)</f>
        <v>255.21</v>
      </c>
      <c r="F26" s="40">
        <f t="shared" ref="F26:K26" ca="1" si="7">SUM(F6,F9,F18,F25)</f>
        <v>246.18162000000001</v>
      </c>
      <c r="G26" s="40">
        <f t="shared" ca="1" si="7"/>
        <v>249.12393600000001</v>
      </c>
      <c r="H26" s="40">
        <f t="shared" ca="1" si="7"/>
        <v>256.05531200000001</v>
      </c>
      <c r="I26" s="40">
        <f t="shared" ca="1" si="7"/>
        <v>265.31686100000002</v>
      </c>
      <c r="J26" s="40">
        <f t="shared" ca="1" si="7"/>
        <v>266.36554999999998</v>
      </c>
      <c r="K26" s="40">
        <f t="shared" ca="1" si="7"/>
        <v>256.24172299999998</v>
      </c>
    </row>
    <row r="27" spans="1:28" ht="17.45" customHeight="1" x14ac:dyDescent="0.55000000000000004">
      <c r="A27" s="39"/>
      <c r="B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</row>
    <row r="28" spans="1:28" ht="23.45" x14ac:dyDescent="0.55000000000000004">
      <c r="B28" s="39" t="s">
        <v>330</v>
      </c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</row>
    <row r="29" spans="1:28" ht="15" customHeight="1" x14ac:dyDescent="0.55000000000000004">
      <c r="A29" s="39"/>
      <c r="B29" s="26"/>
      <c r="N29" s="159" t="s">
        <v>435</v>
      </c>
      <c r="O29" s="159"/>
      <c r="Q29" s="76"/>
      <c r="R29" s="76"/>
      <c r="S29" s="76"/>
      <c r="T29" s="76"/>
      <c r="U29" s="76"/>
      <c r="V29" s="76"/>
      <c r="W29" s="76"/>
      <c r="X29" s="76"/>
      <c r="Y29" s="76"/>
      <c r="Z29" s="26"/>
      <c r="AA29" s="26"/>
      <c r="AB29" s="26"/>
    </row>
    <row r="30" spans="1:28" ht="14.45" x14ac:dyDescent="0.35">
      <c r="B30" s="30"/>
      <c r="C30" s="30"/>
      <c r="D30" s="27"/>
      <c r="E30" s="28">
        <v>2006</v>
      </c>
      <c r="F30" s="28">
        <v>2010</v>
      </c>
      <c r="G30" s="28">
        <v>2015</v>
      </c>
      <c r="H30" s="28">
        <v>2020</v>
      </c>
      <c r="I30" s="28">
        <v>2030</v>
      </c>
      <c r="J30" s="28">
        <v>2040</v>
      </c>
      <c r="K30" s="28">
        <v>2050</v>
      </c>
      <c r="N30" s="63">
        <v>2030</v>
      </c>
      <c r="O30" s="63">
        <v>2050</v>
      </c>
      <c r="Q30" s="76"/>
      <c r="R30" s="125"/>
      <c r="S30" s="125"/>
      <c r="T30" s="125"/>
      <c r="U30" s="125"/>
      <c r="V30" s="125"/>
      <c r="W30" s="125"/>
      <c r="X30" s="125"/>
      <c r="Y30" s="76"/>
      <c r="Z30" s="26"/>
      <c r="AA30" s="26"/>
      <c r="AB30" s="26"/>
    </row>
    <row r="31" spans="1:28" ht="15.75" x14ac:dyDescent="0.25">
      <c r="B31" s="160" t="s">
        <v>324</v>
      </c>
      <c r="C31" s="29" t="s">
        <v>309</v>
      </c>
      <c r="D31" s="30"/>
      <c r="E31" s="37">
        <f ca="1">SUM(E32:E33)</f>
        <v>69.39</v>
      </c>
      <c r="F31" s="37">
        <f t="shared" ref="F31" ca="1" si="8">SUM(F32:F33)</f>
        <v>65.301592999999997</v>
      </c>
      <c r="G31" s="37">
        <f t="shared" ref="G31" ca="1" si="9">SUM(G32:G33)</f>
        <v>64.766998000000001</v>
      </c>
      <c r="H31" s="37">
        <f t="shared" ref="H31" ca="1" si="10">SUM(H32:H33)</f>
        <v>62.562283000000001</v>
      </c>
      <c r="I31" s="37">
        <f t="shared" ref="I31" ca="1" si="11">SUM(I32:I33)</f>
        <v>47.647144999999995</v>
      </c>
      <c r="J31" s="37">
        <f t="shared" ref="J31" ca="1" si="12">SUM(J32:J33)</f>
        <v>31.952480000000001</v>
      </c>
      <c r="K31" s="37">
        <f t="shared" ref="K31" ca="1" si="13">SUM(K32:K33)</f>
        <v>16.807676000000001</v>
      </c>
      <c r="N31" s="64">
        <f>SUM(N32:N33)</f>
        <v>45.177657163185373</v>
      </c>
      <c r="O31" s="64">
        <f>SUM(O32:O33)</f>
        <v>14.959933713906784</v>
      </c>
      <c r="Q31" s="24"/>
      <c r="R31" s="96"/>
      <c r="S31" s="96"/>
      <c r="T31" s="96"/>
      <c r="U31" s="96"/>
      <c r="V31" s="96"/>
      <c r="W31" s="96"/>
      <c r="X31" s="96"/>
      <c r="Y31" s="76"/>
      <c r="Z31" s="26"/>
      <c r="AA31" s="26"/>
      <c r="AB31" s="26"/>
    </row>
    <row r="32" spans="1:28" ht="15.75" x14ac:dyDescent="0.25">
      <c r="B32" s="161"/>
      <c r="C32" s="31" t="s">
        <v>325</v>
      </c>
      <c r="D32" s="31" t="s">
        <v>331</v>
      </c>
      <c r="E32" s="32">
        <f t="shared" ref="E32:K49" ca="1" si="14">Output("SCEN_ADEMEhaut",$D32,E$5)</f>
        <v>68.790000000000006</v>
      </c>
      <c r="F32" s="32">
        <f t="shared" ca="1" si="14"/>
        <v>63.133929999999999</v>
      </c>
      <c r="G32" s="32">
        <f t="shared" ca="1" si="14"/>
        <v>61.551380000000002</v>
      </c>
      <c r="H32" s="32">
        <f t="shared" ca="1" si="14"/>
        <v>60.188639999999999</v>
      </c>
      <c r="I32" s="32">
        <f t="shared" ca="1" si="14"/>
        <v>44.483159999999998</v>
      </c>
      <c r="J32" s="32">
        <f t="shared" ca="1" si="14"/>
        <v>20.54618</v>
      </c>
      <c r="K32" s="32">
        <f t="shared" ca="1" si="14"/>
        <v>7.5781700000000001</v>
      </c>
      <c r="N32" s="62">
        <v>42.177657163185373</v>
      </c>
      <c r="O32" s="62">
        <v>5.9074343177858619</v>
      </c>
      <c r="Q32" s="24"/>
      <c r="R32" s="126"/>
      <c r="S32" s="126"/>
      <c r="T32" s="126"/>
      <c r="U32" s="126"/>
      <c r="V32" s="126"/>
      <c r="W32" s="126"/>
      <c r="X32" s="126"/>
      <c r="Y32" s="26"/>
      <c r="Z32" s="26"/>
      <c r="AA32" s="26"/>
      <c r="AB32" s="26"/>
    </row>
    <row r="33" spans="2:28" ht="15.75" x14ac:dyDescent="0.25">
      <c r="B33" s="162"/>
      <c r="C33" s="33" t="s">
        <v>326</v>
      </c>
      <c r="D33" s="33" t="s">
        <v>332</v>
      </c>
      <c r="E33" s="34">
        <f t="shared" ca="1" si="14"/>
        <v>0.6</v>
      </c>
      <c r="F33" s="34">
        <f t="shared" ca="1" si="14"/>
        <v>2.1676630000000001</v>
      </c>
      <c r="G33" s="34">
        <f t="shared" ca="1" si="14"/>
        <v>3.2156180000000001</v>
      </c>
      <c r="H33" s="34">
        <f t="shared" ca="1" si="14"/>
        <v>2.3736429999999999</v>
      </c>
      <c r="I33" s="34">
        <f t="shared" ca="1" si="14"/>
        <v>3.1639849999999998</v>
      </c>
      <c r="J33" s="34">
        <f t="shared" ca="1" si="14"/>
        <v>11.4063</v>
      </c>
      <c r="K33" s="34">
        <f t="shared" ca="1" si="14"/>
        <v>9.2295060000000007</v>
      </c>
      <c r="N33" s="62">
        <v>3</v>
      </c>
      <c r="O33" s="62">
        <v>9.0524993961209219</v>
      </c>
      <c r="Q33" s="24"/>
      <c r="R33" s="126"/>
      <c r="S33" s="126"/>
      <c r="T33" s="126"/>
      <c r="U33" s="126"/>
      <c r="V33" s="126"/>
      <c r="W33" s="126"/>
      <c r="X33" s="126"/>
      <c r="Y33" s="26"/>
      <c r="Z33" s="26"/>
      <c r="AA33" s="26"/>
      <c r="AB33" s="26"/>
    </row>
    <row r="34" spans="2:28" ht="15.75" x14ac:dyDescent="0.25">
      <c r="B34" s="160" t="s">
        <v>310</v>
      </c>
      <c r="C34" s="29" t="s">
        <v>309</v>
      </c>
      <c r="D34" s="30"/>
      <c r="E34" s="38">
        <f ca="1">SUM(E35:E42)</f>
        <v>134.62</v>
      </c>
      <c r="F34" s="38">
        <f t="shared" ref="F34" ca="1" si="15">SUM(F35:F42)</f>
        <v>131.68258799999998</v>
      </c>
      <c r="G34" s="38">
        <f t="shared" ref="G34" ca="1" si="16">SUM(G35:G42)</f>
        <v>126.07042099999998</v>
      </c>
      <c r="H34" s="38">
        <f t="shared" ref="H34" ca="1" si="17">SUM(H35:H42)</f>
        <v>118.91061200000001</v>
      </c>
      <c r="I34" s="38">
        <f t="shared" ref="I34" ca="1" si="18">SUM(I35:I42)</f>
        <v>97.774347999999975</v>
      </c>
      <c r="J34" s="38">
        <f t="shared" ref="J34" ca="1" si="19">SUM(J35:J42)</f>
        <v>91.942237000000006</v>
      </c>
      <c r="K34" s="38">
        <f t="shared" ref="K34" ca="1" si="20">SUM(K35:K42)</f>
        <v>83.735325999999986</v>
      </c>
      <c r="N34" s="64">
        <v>81.501229134513537</v>
      </c>
      <c r="O34" s="64">
        <v>81.501229134513551</v>
      </c>
      <c r="Q34" s="24"/>
      <c r="R34" s="126"/>
      <c r="S34" s="126"/>
      <c r="T34" s="126"/>
      <c r="U34" s="126"/>
      <c r="V34" s="126"/>
      <c r="W34" s="126"/>
      <c r="X34" s="126"/>
      <c r="Y34" s="26"/>
      <c r="Z34" s="26"/>
      <c r="AA34" s="26"/>
      <c r="AB34" s="26"/>
    </row>
    <row r="35" spans="2:28" ht="15.75" x14ac:dyDescent="0.25">
      <c r="B35" s="161"/>
      <c r="C35" s="31" t="s">
        <v>312</v>
      </c>
      <c r="D35" s="31" t="s">
        <v>333</v>
      </c>
      <c r="E35" s="32">
        <f t="shared" ref="E35:K42" ca="1" si="21">Output("SCEN_ADEMEhaut",$D35,E$5)</f>
        <v>117.54</v>
      </c>
      <c r="F35" s="32">
        <f t="shared" ca="1" si="21"/>
        <v>111.1485</v>
      </c>
      <c r="G35" s="32">
        <f t="shared" ca="1" si="21"/>
        <v>106.1438</v>
      </c>
      <c r="H35" s="32">
        <f t="shared" ca="1" si="21"/>
        <v>98.027479999999997</v>
      </c>
      <c r="I35" s="32">
        <f t="shared" ca="1" si="21"/>
        <v>67.365849999999995</v>
      </c>
      <c r="J35" s="32">
        <f t="shared" ca="1" si="21"/>
        <v>61.224330000000002</v>
      </c>
      <c r="K35" s="32">
        <f t="shared" ca="1" si="21"/>
        <v>57.935490000000001</v>
      </c>
      <c r="N35" s="62">
        <v>56.131084863562776</v>
      </c>
      <c r="O35" s="62">
        <v>56.131084863562776</v>
      </c>
      <c r="Q35" s="24"/>
      <c r="R35" s="126"/>
      <c r="S35" s="126"/>
      <c r="T35" s="126"/>
      <c r="U35" s="126"/>
      <c r="V35" s="126"/>
      <c r="W35" s="126"/>
      <c r="X35" s="126"/>
      <c r="Y35" s="26"/>
      <c r="Z35" s="26"/>
      <c r="AA35" s="26"/>
      <c r="AB35" s="26"/>
    </row>
    <row r="36" spans="2:28" ht="15.75" x14ac:dyDescent="0.25">
      <c r="B36" s="161"/>
      <c r="C36" s="31" t="s">
        <v>313</v>
      </c>
      <c r="D36" s="31" t="s">
        <v>334</v>
      </c>
      <c r="E36" s="32">
        <f t="shared" ca="1" si="21"/>
        <v>1.36</v>
      </c>
      <c r="F36" s="32">
        <f t="shared" ca="1" si="21"/>
        <v>1.064144</v>
      </c>
      <c r="G36" s="32">
        <f t="shared" ca="1" si="21"/>
        <v>0.24233299999999999</v>
      </c>
      <c r="H36" s="32">
        <f t="shared" ca="1" si="21"/>
        <v>5.9216999999999999E-2</v>
      </c>
      <c r="I36" s="32">
        <f t="shared" ca="1" si="21"/>
        <v>6.0012999999999997E-2</v>
      </c>
      <c r="J36" s="32">
        <f t="shared" ca="1" si="21"/>
        <v>4.8365999999999999E-2</v>
      </c>
      <c r="K36" s="32">
        <f t="shared" ca="1" si="21"/>
        <v>1.0323000000000001E-2</v>
      </c>
      <c r="N36" s="62">
        <v>0.1</v>
      </c>
      <c r="O36" s="62">
        <v>0.1</v>
      </c>
      <c r="Q36" s="24"/>
      <c r="R36" s="126"/>
      <c r="S36" s="126"/>
      <c r="T36" s="126"/>
      <c r="U36" s="126"/>
      <c r="V36" s="126"/>
      <c r="W36" s="126"/>
      <c r="X36" s="126"/>
      <c r="Y36" s="26"/>
      <c r="Z36" s="26"/>
      <c r="AA36" s="26"/>
      <c r="AB36" s="26"/>
    </row>
    <row r="37" spans="2:28" ht="15.75" x14ac:dyDescent="0.25">
      <c r="B37" s="161"/>
      <c r="C37" s="31" t="s">
        <v>314</v>
      </c>
      <c r="D37" s="31" t="s">
        <v>335</v>
      </c>
      <c r="E37" s="32">
        <f t="shared" ca="1" si="21"/>
        <v>3.55</v>
      </c>
      <c r="F37" s="32">
        <f t="shared" ca="1" si="21"/>
        <v>3.887813</v>
      </c>
      <c r="G37" s="32">
        <f t="shared" ca="1" si="21"/>
        <v>4.2000929999999999</v>
      </c>
      <c r="H37" s="32">
        <f t="shared" ca="1" si="21"/>
        <v>4.1346449999999999</v>
      </c>
      <c r="I37" s="32">
        <f t="shared" ca="1" si="21"/>
        <v>4.0200709999999997</v>
      </c>
      <c r="J37" s="32">
        <f t="shared" ca="1" si="21"/>
        <v>4.1919370000000002</v>
      </c>
      <c r="K37" s="32">
        <f t="shared" ca="1" si="21"/>
        <v>3.8414830000000002</v>
      </c>
      <c r="N37" s="62">
        <v>3.127205211270581</v>
      </c>
      <c r="O37" s="62">
        <v>3.636046941717455</v>
      </c>
      <c r="Q37" s="25"/>
      <c r="R37" s="124"/>
      <c r="S37" s="124"/>
      <c r="T37" s="124"/>
      <c r="U37" s="124"/>
      <c r="V37" s="124"/>
      <c r="W37" s="124"/>
      <c r="X37" s="124"/>
    </row>
    <row r="38" spans="2:28" x14ac:dyDescent="0.25">
      <c r="B38" s="161"/>
      <c r="C38" s="31" t="s">
        <v>315</v>
      </c>
      <c r="D38" s="31" t="s">
        <v>336</v>
      </c>
      <c r="E38" s="32">
        <f t="shared" ca="1" si="21"/>
        <v>5.22</v>
      </c>
      <c r="F38" s="32">
        <f t="shared" ca="1" si="21"/>
        <v>4.9098129999999998</v>
      </c>
      <c r="G38" s="32">
        <f t="shared" ca="1" si="21"/>
        <v>1.392263</v>
      </c>
      <c r="H38" s="32">
        <f t="shared" ca="1" si="21"/>
        <v>0.350462</v>
      </c>
      <c r="I38" s="32">
        <f t="shared" ca="1" si="21"/>
        <v>0.12002699999999999</v>
      </c>
      <c r="J38" s="32">
        <f t="shared" ca="1" si="21"/>
        <v>0.11648699999999999</v>
      </c>
      <c r="K38" s="32">
        <f t="shared" ca="1" si="21"/>
        <v>1.0323000000000001E-2</v>
      </c>
      <c r="N38" s="62">
        <v>0.1</v>
      </c>
      <c r="O38" s="62">
        <v>0.1</v>
      </c>
    </row>
    <row r="39" spans="2:28" x14ac:dyDescent="0.25">
      <c r="B39" s="161"/>
      <c r="C39" s="31" t="s">
        <v>316</v>
      </c>
      <c r="D39" s="31" t="s">
        <v>337</v>
      </c>
      <c r="E39" s="32">
        <f t="shared" ca="1" si="21"/>
        <v>0.39</v>
      </c>
      <c r="F39" s="32">
        <f t="shared" ca="1" si="21"/>
        <v>0.77588500000000005</v>
      </c>
      <c r="G39" s="32">
        <f t="shared" ca="1" si="21"/>
        <v>2.615783</v>
      </c>
      <c r="H39" s="32">
        <f t="shared" ca="1" si="21"/>
        <v>5.575501</v>
      </c>
      <c r="I39" s="32">
        <f t="shared" ca="1" si="21"/>
        <v>10.802960000000001</v>
      </c>
      <c r="J39" s="32">
        <f t="shared" ca="1" si="21"/>
        <v>10.29524</v>
      </c>
      <c r="K39" s="32">
        <f t="shared" ca="1" si="21"/>
        <v>8.6373479999999994</v>
      </c>
      <c r="N39" s="62">
        <v>9.0030751928350714</v>
      </c>
      <c r="O39" s="62">
        <v>8.5670068273012685</v>
      </c>
    </row>
    <row r="40" spans="2:28" x14ac:dyDescent="0.25">
      <c r="B40" s="161"/>
      <c r="C40" s="31" t="s">
        <v>317</v>
      </c>
      <c r="D40" s="31" t="s">
        <v>338</v>
      </c>
      <c r="E40" s="32">
        <f t="shared" ca="1" si="21"/>
        <v>0.1</v>
      </c>
      <c r="F40" s="32">
        <f t="shared" ca="1" si="21"/>
        <v>0.102828</v>
      </c>
      <c r="G40" s="32">
        <f t="shared" ca="1" si="21"/>
        <v>4.4608000000000002E-2</v>
      </c>
      <c r="H40" s="32">
        <f t="shared" ca="1" si="21"/>
        <v>0.60275299999999998</v>
      </c>
      <c r="I40" s="32">
        <f t="shared" ca="1" si="21"/>
        <v>4.0748430000000004</v>
      </c>
      <c r="J40" s="32">
        <f t="shared" ca="1" si="21"/>
        <v>4.5658120000000002</v>
      </c>
      <c r="K40" s="32">
        <f t="shared" ca="1" si="21"/>
        <v>3.5046349999999999</v>
      </c>
      <c r="N40" s="62">
        <v>3.395930634245548</v>
      </c>
      <c r="O40" s="62">
        <v>3.395930634245548</v>
      </c>
    </row>
    <row r="41" spans="2:28" x14ac:dyDescent="0.25">
      <c r="B41" s="161"/>
      <c r="C41" s="31" t="s">
        <v>318</v>
      </c>
      <c r="D41" s="31" t="s">
        <v>339</v>
      </c>
      <c r="E41" s="32">
        <f t="shared" ca="1" si="21"/>
        <v>5</v>
      </c>
      <c r="F41" s="32">
        <f t="shared" ca="1" si="21"/>
        <v>5.244237</v>
      </c>
      <c r="G41" s="32">
        <f t="shared" ca="1" si="21"/>
        <v>6.6740839999999997</v>
      </c>
      <c r="H41" s="32">
        <f t="shared" ca="1" si="21"/>
        <v>7.6663129999999997</v>
      </c>
      <c r="I41" s="32">
        <f t="shared" ca="1" si="21"/>
        <v>4.8777720000000002</v>
      </c>
      <c r="J41" s="32">
        <f t="shared" ca="1" si="21"/>
        <v>4.3970900000000004</v>
      </c>
      <c r="K41" s="32">
        <f t="shared" ca="1" si="21"/>
        <v>4.6452349999999996</v>
      </c>
      <c r="N41" s="62">
        <v>4.0650833296752955</v>
      </c>
      <c r="O41" s="62">
        <v>4.5011516952090984</v>
      </c>
    </row>
    <row r="42" spans="2:28" x14ac:dyDescent="0.25">
      <c r="B42" s="162"/>
      <c r="C42" s="33" t="s">
        <v>327</v>
      </c>
      <c r="D42" s="33" t="s">
        <v>340</v>
      </c>
      <c r="E42" s="34">
        <f t="shared" ca="1" si="21"/>
        <v>1.46</v>
      </c>
      <c r="F42" s="34">
        <f t="shared" ca="1" si="21"/>
        <v>4.5493680000000003</v>
      </c>
      <c r="G42" s="34">
        <f t="shared" ca="1" si="21"/>
        <v>4.7574569999999996</v>
      </c>
      <c r="H42" s="34">
        <f t="shared" ca="1" si="21"/>
        <v>2.4942410000000002</v>
      </c>
      <c r="I42" s="34">
        <f t="shared" ca="1" si="21"/>
        <v>6.4528119999999998</v>
      </c>
      <c r="J42" s="34">
        <f t="shared" ca="1" si="21"/>
        <v>7.1029749999999998</v>
      </c>
      <c r="K42" s="34">
        <f t="shared" ca="1" si="21"/>
        <v>5.1504890000000003</v>
      </c>
      <c r="N42" s="62">
        <v>5.5788499029242757</v>
      </c>
      <c r="O42" s="62">
        <v>5.0700081724774018</v>
      </c>
    </row>
    <row r="43" spans="2:28" x14ac:dyDescent="0.25">
      <c r="B43" s="160" t="s">
        <v>311</v>
      </c>
      <c r="C43" s="29" t="s">
        <v>309</v>
      </c>
      <c r="D43" s="30"/>
      <c r="E43" s="38">
        <f ca="1">SUM(E44:E49)</f>
        <v>46.12</v>
      </c>
      <c r="F43" s="38">
        <f t="shared" ref="F43" ca="1" si="22">SUM(F44:F49)</f>
        <v>44.147629999999999</v>
      </c>
      <c r="G43" s="38">
        <f t="shared" ref="G43" ca="1" si="23">SUM(G44:G49)</f>
        <v>43.59714300000001</v>
      </c>
      <c r="H43" s="38">
        <f t="shared" ref="H43" ca="1" si="24">SUM(H44:H49)</f>
        <v>43.125498999999998</v>
      </c>
      <c r="I43" s="38">
        <f t="shared" ref="I43" ca="1" si="25">SUM(I44:I49)</f>
        <v>42.243824000000011</v>
      </c>
      <c r="J43" s="38">
        <f t="shared" ref="J43" ca="1" si="26">SUM(J44:J49)</f>
        <v>38.991244000000002</v>
      </c>
      <c r="K43" s="38">
        <f t="shared" ref="K43" ca="1" si="27">SUM(K44:K49)</f>
        <v>35.068556000000001</v>
      </c>
      <c r="N43" s="64">
        <f>SUM(N44:N49)</f>
        <v>46.019704433604261</v>
      </c>
      <c r="O43" s="64">
        <f>SUM(O44:O49)</f>
        <v>34.394545723098574</v>
      </c>
    </row>
    <row r="44" spans="2:28" x14ac:dyDescent="0.25">
      <c r="B44" s="161"/>
      <c r="C44" s="31" t="s">
        <v>319</v>
      </c>
      <c r="D44" s="31" t="s">
        <v>341</v>
      </c>
      <c r="E44" s="32">
        <f t="shared" ca="1" si="14"/>
        <v>35.17</v>
      </c>
      <c r="F44" s="32">
        <f t="shared" ca="1" si="14"/>
        <v>31.639990000000001</v>
      </c>
      <c r="G44" s="32">
        <f t="shared" ca="1" si="14"/>
        <v>30.376370000000001</v>
      </c>
      <c r="H44" s="32">
        <f t="shared" ca="1" si="14"/>
        <v>29.33961</v>
      </c>
      <c r="I44" s="32">
        <f t="shared" ca="1" si="14"/>
        <v>19.075800000000001</v>
      </c>
      <c r="J44" s="32">
        <f t="shared" ca="1" si="14"/>
        <v>11.51765</v>
      </c>
      <c r="K44" s="32">
        <f t="shared" ca="1" si="14"/>
        <v>8.6951870000000007</v>
      </c>
      <c r="N44" s="62">
        <v>20.547703475070914</v>
      </c>
      <c r="O44" s="62">
        <v>8.2946610514039616</v>
      </c>
    </row>
    <row r="45" spans="2:28" x14ac:dyDescent="0.25">
      <c r="B45" s="161"/>
      <c r="C45" s="31" t="s">
        <v>320</v>
      </c>
      <c r="D45" s="31" t="s">
        <v>342</v>
      </c>
      <c r="E45" s="32">
        <f t="shared" ca="1" si="14"/>
        <v>9.5</v>
      </c>
      <c r="F45" s="32">
        <f t="shared" ca="1" si="14"/>
        <v>9.2075189999999996</v>
      </c>
      <c r="G45" s="32">
        <f t="shared" ca="1" si="14"/>
        <v>9.0985759999999996</v>
      </c>
      <c r="H45" s="32">
        <f t="shared" ca="1" si="14"/>
        <v>9.5595940000000006</v>
      </c>
      <c r="I45" s="32">
        <f t="shared" ca="1" si="14"/>
        <v>12.84192</v>
      </c>
      <c r="J45" s="32">
        <f t="shared" ca="1" si="14"/>
        <v>11.153499999999999</v>
      </c>
      <c r="K45" s="32">
        <f t="shared" ca="1" si="14"/>
        <v>8.5139949999999995</v>
      </c>
      <c r="N45" s="62">
        <v>14.087161448209969</v>
      </c>
      <c r="O45" s="62">
        <v>8.4910849563097059</v>
      </c>
    </row>
    <row r="46" spans="2:28" x14ac:dyDescent="0.25">
      <c r="B46" s="161"/>
      <c r="C46" s="31" t="s">
        <v>321</v>
      </c>
      <c r="D46" s="31" t="s">
        <v>343</v>
      </c>
      <c r="E46" s="32">
        <f t="shared" ca="1" si="14"/>
        <v>0.15</v>
      </c>
      <c r="F46" s="32">
        <f t="shared" ca="1" si="14"/>
        <v>0.55609799999999998</v>
      </c>
      <c r="G46" s="32">
        <f t="shared" ca="1" si="14"/>
        <v>0.60079000000000005</v>
      </c>
      <c r="H46" s="32">
        <f t="shared" ca="1" si="14"/>
        <v>0.78096500000000002</v>
      </c>
      <c r="I46" s="32">
        <f t="shared" ca="1" si="14"/>
        <v>3.6641460000000001</v>
      </c>
      <c r="J46" s="32">
        <f t="shared" ca="1" si="14"/>
        <v>6.171754</v>
      </c>
      <c r="K46" s="32">
        <f t="shared" ca="1" si="14"/>
        <v>7.4454830000000003</v>
      </c>
      <c r="N46" s="62">
        <v>4.0434099416572211</v>
      </c>
      <c r="O46" s="62">
        <v>7.3341785671288013</v>
      </c>
    </row>
    <row r="47" spans="2:28" x14ac:dyDescent="0.25">
      <c r="B47" s="161"/>
      <c r="C47" s="31" t="s">
        <v>322</v>
      </c>
      <c r="D47" s="31" t="s">
        <v>344</v>
      </c>
      <c r="E47" s="32">
        <f t="shared" ca="1" si="14"/>
        <v>0.6</v>
      </c>
      <c r="F47" s="32">
        <f t="shared" ca="1" si="14"/>
        <v>0.85693699999999995</v>
      </c>
      <c r="G47" s="32">
        <f t="shared" ca="1" si="14"/>
        <v>1.006542</v>
      </c>
      <c r="H47" s="32">
        <f t="shared" ca="1" si="14"/>
        <v>0.98615699999999995</v>
      </c>
      <c r="I47" s="32">
        <f t="shared" ca="1" si="14"/>
        <v>1.4541379999999999</v>
      </c>
      <c r="J47" s="32">
        <f t="shared" ca="1" si="14"/>
        <v>1.6284130000000001</v>
      </c>
      <c r="K47" s="32">
        <f t="shared" ca="1" si="14"/>
        <v>1.5014780000000001</v>
      </c>
      <c r="N47" s="62">
        <v>1.6351470157879655</v>
      </c>
      <c r="O47" s="62">
        <v>1.5015530473575147</v>
      </c>
    </row>
    <row r="48" spans="2:28" x14ac:dyDescent="0.25">
      <c r="B48" s="161"/>
      <c r="C48" s="31" t="s">
        <v>323</v>
      </c>
      <c r="D48" s="31" t="s">
        <v>345</v>
      </c>
      <c r="E48" s="32">
        <f t="shared" ca="1" si="14"/>
        <v>0.4</v>
      </c>
      <c r="F48" s="32">
        <f t="shared" ca="1" si="14"/>
        <v>1.540664</v>
      </c>
      <c r="G48" s="32">
        <f t="shared" ca="1" si="14"/>
        <v>2.2382580000000001</v>
      </c>
      <c r="H48" s="32">
        <f t="shared" ca="1" si="14"/>
        <v>1.8818060000000001</v>
      </c>
      <c r="I48" s="32">
        <f t="shared" ca="1" si="14"/>
        <v>2.2668789999999999</v>
      </c>
      <c r="J48" s="32">
        <f t="shared" ca="1" si="14"/>
        <v>5.3708710000000002</v>
      </c>
      <c r="K48" s="32">
        <f t="shared" ca="1" si="14"/>
        <v>6.5521500000000001</v>
      </c>
      <c r="N48" s="62">
        <v>2.5</v>
      </c>
      <c r="O48" s="62">
        <v>6.4611427691146641</v>
      </c>
    </row>
    <row r="49" spans="2:15" x14ac:dyDescent="0.25">
      <c r="B49" s="162"/>
      <c r="C49" s="33" t="s">
        <v>327</v>
      </c>
      <c r="D49" s="33" t="s">
        <v>346</v>
      </c>
      <c r="E49" s="34">
        <f t="shared" ca="1" si="14"/>
        <v>0.3</v>
      </c>
      <c r="F49" s="34">
        <f t="shared" ca="1" si="14"/>
        <v>0.34642200000000001</v>
      </c>
      <c r="G49" s="34">
        <f t="shared" ca="1" si="14"/>
        <v>0.27660699999999999</v>
      </c>
      <c r="H49" s="34">
        <f t="shared" ca="1" si="14"/>
        <v>0.57736699999999996</v>
      </c>
      <c r="I49" s="34">
        <f t="shared" ca="1" si="14"/>
        <v>2.940941</v>
      </c>
      <c r="J49" s="34">
        <f t="shared" ca="1" si="14"/>
        <v>3.1490559999999999</v>
      </c>
      <c r="K49" s="34">
        <f t="shared" ca="1" si="14"/>
        <v>2.3602630000000002</v>
      </c>
      <c r="N49" s="62">
        <v>3.2062825528781849</v>
      </c>
      <c r="O49" s="62">
        <v>2.3119253317839279</v>
      </c>
    </row>
    <row r="50" spans="2:15" x14ac:dyDescent="0.25">
      <c r="B50" s="35" t="s">
        <v>315</v>
      </c>
      <c r="C50" s="30"/>
      <c r="D50" s="36" t="s">
        <v>347</v>
      </c>
      <c r="E50" s="38">
        <f t="shared" ref="E50:K50" ca="1" si="28">Output("SCEN_ADEMEhaut",$D50,E$5)</f>
        <v>5.08</v>
      </c>
      <c r="F50" s="38">
        <f t="shared" ca="1" si="28"/>
        <v>4.5449729999999997</v>
      </c>
      <c r="G50" s="38">
        <f t="shared" ca="1" si="28"/>
        <v>4.133216</v>
      </c>
      <c r="H50" s="38">
        <f t="shared" ca="1" si="28"/>
        <v>3.152628</v>
      </c>
      <c r="I50" s="38">
        <f t="shared" ca="1" si="28"/>
        <v>2.8250069999999998</v>
      </c>
      <c r="J50" s="38">
        <f t="shared" ca="1" si="28"/>
        <v>2.7698870000000002</v>
      </c>
      <c r="K50" s="38">
        <f t="shared" ca="1" si="28"/>
        <v>2.826749</v>
      </c>
      <c r="N50" s="64">
        <v>5.0588131868202808</v>
      </c>
      <c r="O50" s="64">
        <v>4.0201856086575631</v>
      </c>
    </row>
    <row r="51" spans="2:15" x14ac:dyDescent="0.25">
      <c r="B51" s="29" t="s">
        <v>309</v>
      </c>
      <c r="C51" s="30"/>
      <c r="D51" s="30"/>
      <c r="E51" s="40">
        <f ca="1">SUM(E31,E34,E43,E50)</f>
        <v>255.21</v>
      </c>
      <c r="F51" s="40">
        <f t="shared" ref="F51" ca="1" si="29">SUM(F31,F34,F43,F50)</f>
        <v>245.67678399999997</v>
      </c>
      <c r="G51" s="40">
        <f t="shared" ref="G51" ca="1" si="30">SUM(G31,G34,G43,G50)</f>
        <v>238.567778</v>
      </c>
      <c r="H51" s="40">
        <f t="shared" ref="H51" ca="1" si="31">SUM(H31,H34,H43,H50)</f>
        <v>227.75102200000001</v>
      </c>
      <c r="I51" s="40">
        <f t="shared" ref="I51" ca="1" si="32">SUM(I31,I34,I43,I50)</f>
        <v>190.49032399999999</v>
      </c>
      <c r="J51" s="40">
        <f t="shared" ref="J51" ca="1" si="33">SUM(J31,J34,J43,J50)</f>
        <v>165.65584800000002</v>
      </c>
      <c r="K51" s="40">
        <f t="shared" ref="K51" ca="1" si="34">SUM(K31,K34,K43,K50)</f>
        <v>138.43830700000001</v>
      </c>
      <c r="N51" s="65">
        <v>177.75740391812343</v>
      </c>
      <c r="O51" s="65">
        <v>134.87589418017649</v>
      </c>
    </row>
  </sheetData>
  <mergeCells count="7">
    <mergeCell ref="N29:O29"/>
    <mergeCell ref="B31:B33"/>
    <mergeCell ref="B34:B42"/>
    <mergeCell ref="B43:B49"/>
    <mergeCell ref="B6:B8"/>
    <mergeCell ref="B9:B17"/>
    <mergeCell ref="B18:B24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00000"/>
  </sheetPr>
  <dimension ref="A1:AA51"/>
  <sheetViews>
    <sheetView topLeftCell="H16" workbookViewId="0">
      <selection activeCell="M55" sqref="M55"/>
    </sheetView>
  </sheetViews>
  <sheetFormatPr baseColWidth="10" defaultRowHeight="15" x14ac:dyDescent="0.25"/>
  <cols>
    <col min="3" max="3" width="16.85546875" customWidth="1"/>
    <col min="4" max="4" width="24.140625" hidden="1" customWidth="1"/>
    <col min="19" max="19" width="24.140625" customWidth="1"/>
  </cols>
  <sheetData>
    <row r="1" spans="1:27" ht="23.45" x14ac:dyDescent="0.55000000000000004">
      <c r="A1" s="39" t="s">
        <v>524</v>
      </c>
      <c r="B1" s="26"/>
    </row>
    <row r="2" spans="1:27" ht="15" customHeight="1" x14ac:dyDescent="0.55000000000000004">
      <c r="A2" s="39"/>
      <c r="B2" s="26"/>
    </row>
    <row r="3" spans="1:27" ht="23.45" x14ac:dyDescent="0.55000000000000004">
      <c r="B3" s="39" t="s">
        <v>329</v>
      </c>
    </row>
    <row r="4" spans="1:27" ht="13.5" customHeight="1" x14ac:dyDescent="0.55000000000000004">
      <c r="A4" s="39"/>
      <c r="B4" s="26"/>
    </row>
    <row r="5" spans="1:27" ht="14.45" x14ac:dyDescent="0.35">
      <c r="B5" s="30"/>
      <c r="C5" s="30"/>
      <c r="D5" s="27"/>
      <c r="E5" s="28">
        <v>2006</v>
      </c>
      <c r="F5" s="28">
        <v>2010</v>
      </c>
      <c r="G5" s="28">
        <v>2015</v>
      </c>
      <c r="H5" s="28">
        <v>2020</v>
      </c>
      <c r="I5" s="28">
        <v>2030</v>
      </c>
      <c r="J5" s="28">
        <v>2040</v>
      </c>
      <c r="K5" s="28">
        <v>2050</v>
      </c>
      <c r="M5" s="87">
        <v>2006</v>
      </c>
      <c r="N5" s="87">
        <v>2010</v>
      </c>
      <c r="O5" s="87">
        <v>2020</v>
      </c>
      <c r="P5" s="87">
        <v>2030</v>
      </c>
      <c r="Q5" s="87">
        <v>2050</v>
      </c>
      <c r="S5" s="76"/>
      <c r="T5" s="125"/>
      <c r="U5" s="125"/>
      <c r="V5" s="125"/>
      <c r="W5" s="125"/>
      <c r="X5" s="125"/>
      <c r="Y5" s="125"/>
      <c r="Z5" s="125"/>
      <c r="AA5" s="76"/>
    </row>
    <row r="6" spans="1:27" ht="15.75" x14ac:dyDescent="0.25">
      <c r="B6" s="160" t="s">
        <v>324</v>
      </c>
      <c r="C6" s="29" t="s">
        <v>309</v>
      </c>
      <c r="D6" s="30"/>
      <c r="E6" s="82">
        <f ca="1">SUM(E7:E8)</f>
        <v>64.599999999999994</v>
      </c>
      <c r="F6" s="82">
        <f t="shared" ref="F6:K6" ca="1" si="0">SUM(F7:F8)</f>
        <v>61.386080999999997</v>
      </c>
      <c r="G6" s="82">
        <f t="shared" ca="1" si="0"/>
        <v>61.884891000000003</v>
      </c>
      <c r="H6" s="82">
        <f t="shared" ca="1" si="0"/>
        <v>62.640876999999996</v>
      </c>
      <c r="I6" s="82">
        <f t="shared" ca="1" si="0"/>
        <v>58.027135000000001</v>
      </c>
      <c r="J6" s="82">
        <f t="shared" ca="1" si="0"/>
        <v>49.208255999999999</v>
      </c>
      <c r="K6" s="82">
        <f t="shared" ca="1" si="0"/>
        <v>37.787566000000005</v>
      </c>
      <c r="M6" s="91">
        <f>SUM(M7:M8)</f>
        <v>72.689999999999984</v>
      </c>
      <c r="N6" s="91">
        <f t="shared" ref="N6" si="1">SUM(N7:N8)</f>
        <v>67.940000000000012</v>
      </c>
      <c r="O6" s="91">
        <f t="shared" ref="O6" si="2">SUM(O7:O8)</f>
        <v>0</v>
      </c>
      <c r="P6" s="91">
        <f t="shared" ref="P6" si="3">SUM(P7:P8)</f>
        <v>0</v>
      </c>
      <c r="Q6" s="91">
        <f t="shared" ref="Q6" si="4">SUM(Q7:Q8)</f>
        <v>0</v>
      </c>
      <c r="S6" s="24"/>
      <c r="T6" s="96"/>
      <c r="U6" s="96"/>
      <c r="V6" s="96"/>
      <c r="W6" s="96"/>
      <c r="X6" s="96"/>
      <c r="Y6" s="96"/>
      <c r="Z6" s="96"/>
      <c r="AA6" s="76"/>
    </row>
    <row r="7" spans="1:27" ht="15.75" x14ac:dyDescent="0.25">
      <c r="B7" s="161"/>
      <c r="C7" s="31" t="s">
        <v>325</v>
      </c>
      <c r="D7" s="31" t="s">
        <v>348</v>
      </c>
      <c r="E7" s="83">
        <f t="shared" ref="E7:K24" ca="1" si="5">Output("SCEN_ADEMEhaut",$D7,E$5)</f>
        <v>64</v>
      </c>
      <c r="F7" s="83">
        <f t="shared" ca="1" si="5"/>
        <v>59.217599999999997</v>
      </c>
      <c r="G7" s="83">
        <f t="shared" ca="1" si="5"/>
        <v>59.698790000000002</v>
      </c>
      <c r="H7" s="83">
        <f t="shared" ca="1" si="5"/>
        <v>60.428069999999998</v>
      </c>
      <c r="I7" s="83">
        <f t="shared" ca="1" si="5"/>
        <v>55.977310000000003</v>
      </c>
      <c r="J7" s="83">
        <f t="shared" ca="1" si="5"/>
        <v>47.46996</v>
      </c>
      <c r="K7" s="83">
        <f t="shared" ca="1" si="5"/>
        <v>36.452710000000003</v>
      </c>
      <c r="M7" s="83">
        <v>71.989999999999981</v>
      </c>
      <c r="N7" s="83">
        <v>65.540000000000006</v>
      </c>
      <c r="O7" s="83"/>
      <c r="P7" s="83"/>
      <c r="Q7" s="83"/>
      <c r="S7" s="24"/>
      <c r="T7" s="96"/>
      <c r="U7" s="96"/>
      <c r="V7" s="96"/>
      <c r="W7" s="96"/>
      <c r="X7" s="96"/>
      <c r="Y7" s="96"/>
      <c r="Z7" s="96"/>
      <c r="AA7" s="76"/>
    </row>
    <row r="8" spans="1:27" ht="15.75" x14ac:dyDescent="0.25">
      <c r="B8" s="162"/>
      <c r="C8" s="33" t="s">
        <v>326</v>
      </c>
      <c r="D8" s="33" t="s">
        <v>349</v>
      </c>
      <c r="E8" s="84">
        <f t="shared" ca="1" si="5"/>
        <v>0.6</v>
      </c>
      <c r="F8" s="84">
        <f t="shared" ca="1" si="5"/>
        <v>2.1684809999999999</v>
      </c>
      <c r="G8" s="84">
        <f t="shared" ca="1" si="5"/>
        <v>2.1861009999999998</v>
      </c>
      <c r="H8" s="84">
        <f t="shared" ca="1" si="5"/>
        <v>2.2128070000000002</v>
      </c>
      <c r="I8" s="84">
        <f t="shared" ca="1" si="5"/>
        <v>2.0498249999999998</v>
      </c>
      <c r="J8" s="84">
        <f t="shared" ca="1" si="5"/>
        <v>1.7382960000000001</v>
      </c>
      <c r="K8" s="84">
        <f t="shared" ca="1" si="5"/>
        <v>1.334856</v>
      </c>
      <c r="M8" s="84">
        <v>0.7</v>
      </c>
      <c r="N8" s="84">
        <v>2.4</v>
      </c>
      <c r="O8" s="84"/>
      <c r="P8" s="84"/>
      <c r="Q8" s="84"/>
      <c r="S8" s="24"/>
      <c r="T8" s="96"/>
      <c r="U8" s="96"/>
      <c r="V8" s="96"/>
      <c r="W8" s="96"/>
      <c r="X8" s="96"/>
      <c r="Y8" s="96"/>
      <c r="Z8" s="96"/>
      <c r="AA8" s="76"/>
    </row>
    <row r="9" spans="1:27" ht="15.75" x14ac:dyDescent="0.25">
      <c r="B9" s="160" t="s">
        <v>310</v>
      </c>
      <c r="C9" s="29" t="s">
        <v>309</v>
      </c>
      <c r="D9" s="30"/>
      <c r="E9" s="85">
        <f ca="1">SUM(E10:E17)</f>
        <v>37.376580999999995</v>
      </c>
      <c r="F9" s="85">
        <f t="shared" ref="F9:K9" ca="1" si="6">SUM(F10:F17)</f>
        <v>37.113861</v>
      </c>
      <c r="G9" s="85">
        <f t="shared" ca="1" si="6"/>
        <v>37.790023000000005</v>
      </c>
      <c r="H9" s="85">
        <f t="shared" ca="1" si="6"/>
        <v>39.349209000000002</v>
      </c>
      <c r="I9" s="85">
        <f t="shared" ca="1" si="6"/>
        <v>43.705940999999989</v>
      </c>
      <c r="J9" s="85">
        <f t="shared" ca="1" si="6"/>
        <v>48.304918000000008</v>
      </c>
      <c r="K9" s="85">
        <f t="shared" ca="1" si="6"/>
        <v>50.844594999999998</v>
      </c>
      <c r="M9" s="92">
        <f>SUM(M10:M17)</f>
        <v>42.867565033981727</v>
      </c>
      <c r="N9" s="92">
        <f t="shared" ref="N9" si="7">SUM(N10:N17)</f>
        <v>45.543759081321767</v>
      </c>
      <c r="O9" s="92">
        <f t="shared" ref="O9" si="8">SUM(O10:O17)</f>
        <v>0</v>
      </c>
      <c r="P9" s="92">
        <f t="shared" ref="P9" si="9">SUM(P10:P17)</f>
        <v>0</v>
      </c>
      <c r="Q9" s="92">
        <f t="shared" ref="Q9" si="10">SUM(Q10:Q17)</f>
        <v>0</v>
      </c>
      <c r="S9" s="24"/>
      <c r="T9" s="96"/>
      <c r="U9" s="96"/>
      <c r="V9" s="96"/>
      <c r="W9" s="96"/>
      <c r="X9" s="96"/>
      <c r="Y9" s="96"/>
      <c r="Z9" s="96"/>
      <c r="AA9" s="76"/>
    </row>
    <row r="10" spans="1:27" ht="15.75" x14ac:dyDescent="0.25">
      <c r="B10" s="161"/>
      <c r="C10" s="31" t="s">
        <v>312</v>
      </c>
      <c r="D10" s="31" t="s">
        <v>350</v>
      </c>
      <c r="E10" s="83">
        <f t="shared" ref="E10:K17" ca="1" si="11">Output("SCEN_ADEMEhaut",$D10,E$5)</f>
        <v>28.41564</v>
      </c>
      <c r="F10" s="83">
        <f t="shared" ca="1" si="11"/>
        <v>26.839670000000002</v>
      </c>
      <c r="G10" s="83">
        <f t="shared" ca="1" si="11"/>
        <v>27.32865</v>
      </c>
      <c r="H10" s="83">
        <f t="shared" ca="1" si="11"/>
        <v>28.456209999999999</v>
      </c>
      <c r="I10" s="83">
        <f t="shared" ca="1" si="11"/>
        <v>31.606870000000001</v>
      </c>
      <c r="J10" s="83">
        <f t="shared" ca="1" si="11"/>
        <v>34.932720000000003</v>
      </c>
      <c r="K10" s="83">
        <f t="shared" ca="1" si="11"/>
        <v>36.76934</v>
      </c>
      <c r="M10" s="83">
        <v>32.6</v>
      </c>
      <c r="N10" s="83">
        <v>32.935929224279356</v>
      </c>
      <c r="O10" s="83"/>
      <c r="P10" s="83"/>
      <c r="Q10" s="83"/>
      <c r="R10" s="95"/>
      <c r="S10" s="24"/>
      <c r="T10" s="96"/>
      <c r="U10" s="96"/>
      <c r="V10" s="96"/>
      <c r="W10" s="96"/>
      <c r="X10" s="96"/>
      <c r="Y10" s="96"/>
      <c r="Z10" s="96"/>
      <c r="AA10" s="76"/>
    </row>
    <row r="11" spans="1:27" ht="15.75" x14ac:dyDescent="0.25">
      <c r="B11" s="161"/>
      <c r="C11" s="31" t="s">
        <v>313</v>
      </c>
      <c r="D11" s="31" t="s">
        <v>351</v>
      </c>
      <c r="E11" s="83">
        <f t="shared" ca="1" si="11"/>
        <v>0.54949999999999999</v>
      </c>
      <c r="F11" s="83">
        <f t="shared" ca="1" si="11"/>
        <v>0.42946800000000002</v>
      </c>
      <c r="G11" s="83">
        <f t="shared" ca="1" si="11"/>
        <v>0.43729299999999999</v>
      </c>
      <c r="H11" s="83">
        <f t="shared" ca="1" si="11"/>
        <v>0.45533499999999999</v>
      </c>
      <c r="I11" s="83">
        <f t="shared" ca="1" si="11"/>
        <v>0.50575000000000003</v>
      </c>
      <c r="J11" s="83">
        <f t="shared" ca="1" si="11"/>
        <v>0.55896699999999999</v>
      </c>
      <c r="K11" s="83">
        <f t="shared" ca="1" si="11"/>
        <v>0.58835599999999999</v>
      </c>
      <c r="M11" s="83">
        <v>0.62962491593350212</v>
      </c>
      <c r="N11" s="83">
        <v>0.52701615859337925</v>
      </c>
      <c r="O11" s="83"/>
      <c r="P11" s="83"/>
      <c r="Q11" s="83"/>
      <c r="R11" s="98"/>
      <c r="S11" s="24"/>
      <c r="T11" s="96"/>
      <c r="U11" s="96"/>
      <c r="V11" s="96"/>
      <c r="W11" s="96"/>
      <c r="X11" s="96"/>
      <c r="Y11" s="96"/>
      <c r="Z11" s="96"/>
      <c r="AA11" s="76"/>
    </row>
    <row r="12" spans="1:27" ht="15.75" x14ac:dyDescent="0.25">
      <c r="B12" s="161"/>
      <c r="C12" s="31" t="s">
        <v>314</v>
      </c>
      <c r="D12" s="31" t="s">
        <v>352</v>
      </c>
      <c r="E12" s="83">
        <f t="shared" ca="1" si="11"/>
        <v>1.434358</v>
      </c>
      <c r="F12" s="83">
        <f t="shared" ca="1" si="11"/>
        <v>1.569048</v>
      </c>
      <c r="G12" s="83">
        <f t="shared" ca="1" si="11"/>
        <v>1.597634</v>
      </c>
      <c r="H12" s="83">
        <f t="shared" ca="1" si="11"/>
        <v>1.663551</v>
      </c>
      <c r="I12" s="83">
        <f t="shared" ca="1" si="11"/>
        <v>1.847739</v>
      </c>
      <c r="J12" s="83">
        <f t="shared" ca="1" si="11"/>
        <v>2.0421680000000002</v>
      </c>
      <c r="K12" s="83">
        <f t="shared" ca="1" si="11"/>
        <v>2.149537</v>
      </c>
      <c r="M12" s="83">
        <v>1.6435062143852444</v>
      </c>
      <c r="N12" s="83">
        <v>1.9254352724847217</v>
      </c>
      <c r="O12" s="83"/>
      <c r="P12" s="83"/>
      <c r="Q12" s="83"/>
      <c r="R12" s="98"/>
      <c r="S12" s="25"/>
      <c r="T12" s="96"/>
      <c r="U12" s="96"/>
      <c r="V12" s="96"/>
      <c r="W12" s="96"/>
      <c r="X12" s="96"/>
      <c r="Y12" s="96"/>
      <c r="Z12" s="96"/>
      <c r="AA12" s="76"/>
    </row>
    <row r="13" spans="1:27" x14ac:dyDescent="0.25">
      <c r="B13" s="161"/>
      <c r="C13" s="31" t="s">
        <v>315</v>
      </c>
      <c r="D13" s="31" t="s">
        <v>353</v>
      </c>
      <c r="E13" s="83">
        <f t="shared" ca="1" si="11"/>
        <v>2.1091120000000001</v>
      </c>
      <c r="F13" s="83">
        <f t="shared" ca="1" si="11"/>
        <v>1.981508</v>
      </c>
      <c r="G13" s="83">
        <f t="shared" ca="1" si="11"/>
        <v>2.0176080000000001</v>
      </c>
      <c r="H13" s="83">
        <f t="shared" ca="1" si="11"/>
        <v>2.1008529999999999</v>
      </c>
      <c r="I13" s="83">
        <f t="shared" ca="1" si="11"/>
        <v>2.3334589999999999</v>
      </c>
      <c r="J13" s="83">
        <f t="shared" ca="1" si="11"/>
        <v>2.5789979999999999</v>
      </c>
      <c r="K13" s="83">
        <f t="shared" ca="1" si="11"/>
        <v>2.714591</v>
      </c>
      <c r="M13" s="83">
        <v>2.4166485743918238</v>
      </c>
      <c r="N13" s="83">
        <v>2.431579504005096</v>
      </c>
      <c r="O13" s="83"/>
      <c r="P13" s="83"/>
      <c r="Q13" s="83"/>
      <c r="R13" s="98"/>
      <c r="S13" s="99"/>
      <c r="T13" s="76"/>
      <c r="U13" s="76"/>
      <c r="V13" s="76"/>
      <c r="W13" s="76"/>
      <c r="X13" s="76"/>
      <c r="Y13" s="76"/>
      <c r="Z13" s="76"/>
      <c r="AA13" s="76"/>
    </row>
    <row r="14" spans="1:27" x14ac:dyDescent="0.25">
      <c r="B14" s="161"/>
      <c r="C14" s="31" t="s">
        <v>316</v>
      </c>
      <c r="D14" s="31" t="s">
        <v>354</v>
      </c>
      <c r="E14" s="83">
        <f t="shared" ca="1" si="11"/>
        <v>0.31484400000000001</v>
      </c>
      <c r="F14" s="83">
        <f t="shared" ca="1" si="11"/>
        <v>0.62564799999999998</v>
      </c>
      <c r="G14" s="83">
        <f t="shared" ca="1" si="11"/>
        <v>0.637046</v>
      </c>
      <c r="H14" s="83">
        <f t="shared" ca="1" si="11"/>
        <v>0.66332999999999998</v>
      </c>
      <c r="I14" s="83">
        <f t="shared" ca="1" si="11"/>
        <v>0.73677400000000004</v>
      </c>
      <c r="J14" s="83">
        <f t="shared" ca="1" si="11"/>
        <v>0.81430100000000005</v>
      </c>
      <c r="K14" s="83">
        <f t="shared" ca="1" si="11"/>
        <v>0.85711400000000004</v>
      </c>
      <c r="M14" s="83">
        <v>0.36075228497773609</v>
      </c>
      <c r="N14" s="83">
        <v>0.76775486290133577</v>
      </c>
      <c r="O14" s="83"/>
      <c r="P14" s="83"/>
      <c r="Q14" s="83"/>
      <c r="R14" s="100"/>
      <c r="S14" s="101"/>
      <c r="T14" s="76"/>
      <c r="U14" s="76"/>
      <c r="V14" s="76"/>
      <c r="W14" s="76"/>
      <c r="X14" s="76"/>
      <c r="Y14" s="76"/>
      <c r="Z14" s="76"/>
      <c r="AA14" s="76"/>
    </row>
    <row r="15" spans="1:27" x14ac:dyDescent="0.25">
      <c r="B15" s="161"/>
      <c r="C15" s="31" t="s">
        <v>317</v>
      </c>
      <c r="D15" s="31" t="s">
        <v>355</v>
      </c>
      <c r="E15" s="83">
        <f t="shared" ca="1" si="11"/>
        <v>8.0728999999999995E-2</v>
      </c>
      <c r="F15" s="83">
        <f t="shared" ca="1" si="11"/>
        <v>8.2917000000000005E-2</v>
      </c>
      <c r="G15" s="83">
        <f t="shared" ca="1" si="11"/>
        <v>8.4428000000000003E-2</v>
      </c>
      <c r="H15" s="83">
        <f t="shared" ca="1" si="11"/>
        <v>8.7911000000000003E-2</v>
      </c>
      <c r="I15" s="83">
        <f t="shared" ca="1" si="11"/>
        <v>9.7644999999999996E-2</v>
      </c>
      <c r="J15" s="83">
        <f t="shared" ca="1" si="11"/>
        <v>0.107919</v>
      </c>
      <c r="K15" s="83">
        <f t="shared" ca="1" si="11"/>
        <v>0.113593</v>
      </c>
      <c r="M15" s="83">
        <v>9.2500585891727216E-2</v>
      </c>
      <c r="N15" s="83">
        <v>0.1017506444809</v>
      </c>
      <c r="O15" s="83"/>
      <c r="P15" s="83"/>
      <c r="Q15" s="83"/>
      <c r="R15" s="98"/>
      <c r="S15" s="99"/>
    </row>
    <row r="16" spans="1:27" x14ac:dyDescent="0.25">
      <c r="B16" s="161"/>
      <c r="C16" s="31" t="s">
        <v>318</v>
      </c>
      <c r="D16" s="31" t="s">
        <v>356</v>
      </c>
      <c r="E16" s="83">
        <f t="shared" ca="1" si="11"/>
        <v>4.0364599999999999</v>
      </c>
      <c r="F16" s="83">
        <f t="shared" ca="1" si="11"/>
        <v>4.2287759999999999</v>
      </c>
      <c r="G16" s="83">
        <f t="shared" ca="1" si="11"/>
        <v>4.3058180000000004</v>
      </c>
      <c r="H16" s="83">
        <f t="shared" ca="1" si="11"/>
        <v>4.4834719999999999</v>
      </c>
      <c r="I16" s="83">
        <f t="shared" ca="1" si="11"/>
        <v>4.9798809999999998</v>
      </c>
      <c r="J16" s="83">
        <f t="shared" ca="1" si="11"/>
        <v>5.5038910000000003</v>
      </c>
      <c r="K16" s="83">
        <f t="shared" ca="1" si="11"/>
        <v>5.7932629999999996</v>
      </c>
      <c r="M16" s="83">
        <v>4.6250292945863603</v>
      </c>
      <c r="N16" s="83">
        <v>5.1892828685258969</v>
      </c>
      <c r="O16" s="83"/>
      <c r="P16" s="83"/>
      <c r="Q16" s="83"/>
      <c r="R16" s="102"/>
      <c r="S16" s="101"/>
    </row>
    <row r="17" spans="1:19" x14ac:dyDescent="0.25">
      <c r="B17" s="162"/>
      <c r="C17" s="33" t="s">
        <v>327</v>
      </c>
      <c r="D17" s="33" t="s">
        <v>357</v>
      </c>
      <c r="E17" s="84">
        <f t="shared" ca="1" si="11"/>
        <v>0.43593799999999999</v>
      </c>
      <c r="F17" s="84">
        <f t="shared" ca="1" si="11"/>
        <v>1.3568260000000001</v>
      </c>
      <c r="G17" s="84">
        <f t="shared" ca="1" si="11"/>
        <v>1.3815459999999999</v>
      </c>
      <c r="H17" s="84">
        <f t="shared" ca="1" si="11"/>
        <v>1.438547</v>
      </c>
      <c r="I17" s="84">
        <f t="shared" ca="1" si="11"/>
        <v>1.597823</v>
      </c>
      <c r="J17" s="84">
        <f t="shared" ca="1" si="11"/>
        <v>1.765954</v>
      </c>
      <c r="K17" s="84">
        <f t="shared" ca="1" si="11"/>
        <v>1.8588009999999999</v>
      </c>
      <c r="M17" s="84">
        <v>0.49950316381532556</v>
      </c>
      <c r="N17" s="84">
        <v>1.6650105460510898</v>
      </c>
      <c r="O17" s="84"/>
      <c r="P17" s="84"/>
      <c r="Q17" s="84"/>
      <c r="R17" s="98"/>
      <c r="S17" s="99"/>
    </row>
    <row r="18" spans="1:19" x14ac:dyDescent="0.25">
      <c r="B18" s="160" t="s">
        <v>311</v>
      </c>
      <c r="C18" s="29" t="s">
        <v>309</v>
      </c>
      <c r="D18" s="30"/>
      <c r="E18" s="85">
        <f ca="1">SUM(E19:E24)</f>
        <v>45.718643999999998</v>
      </c>
      <c r="F18" s="85">
        <f t="shared" ref="F18:K18" ca="1" si="12">SUM(F19:F24)</f>
        <v>43.745255</v>
      </c>
      <c r="G18" s="85">
        <f t="shared" ca="1" si="12"/>
        <v>43.786027999999995</v>
      </c>
      <c r="H18" s="85">
        <f t="shared" ca="1" si="12"/>
        <v>44.807848999999997</v>
      </c>
      <c r="I18" s="85">
        <f t="shared" ca="1" si="12"/>
        <v>44.717621999999999</v>
      </c>
      <c r="J18" s="85">
        <f t="shared" ca="1" si="12"/>
        <v>40.721755000000002</v>
      </c>
      <c r="K18" s="85">
        <f t="shared" ca="1" si="12"/>
        <v>34.823025000000001</v>
      </c>
      <c r="M18" s="92">
        <f>SUM(M19:M24)</f>
        <v>45.718643292682927</v>
      </c>
      <c r="N18" s="92">
        <f t="shared" ref="N18" si="13">SUM(N19:N24)</f>
        <v>47.987825203252036</v>
      </c>
      <c r="O18" s="92">
        <f t="shared" ref="O18" si="14">SUM(O19:O24)</f>
        <v>0</v>
      </c>
      <c r="P18" s="92">
        <f t="shared" ref="P18" si="15">SUM(P19:P24)</f>
        <v>0</v>
      </c>
      <c r="Q18" s="92">
        <f t="shared" ref="Q18" si="16">SUM(Q19:Q24)</f>
        <v>0</v>
      </c>
      <c r="R18" s="103"/>
      <c r="S18" s="104"/>
    </row>
    <row r="19" spans="1:19" x14ac:dyDescent="0.25">
      <c r="B19" s="161"/>
      <c r="C19" s="31" t="s">
        <v>319</v>
      </c>
      <c r="D19" s="31" t="s">
        <v>358</v>
      </c>
      <c r="E19" s="83">
        <f t="shared" ca="1" si="5"/>
        <v>34.93</v>
      </c>
      <c r="F19" s="83">
        <f t="shared" ca="1" si="5"/>
        <v>31.422529999999998</v>
      </c>
      <c r="G19" s="83">
        <f t="shared" ca="1" si="5"/>
        <v>31.451820000000001</v>
      </c>
      <c r="H19" s="83">
        <f t="shared" ca="1" si="5"/>
        <v>32.1858</v>
      </c>
      <c r="I19" s="83">
        <f t="shared" ca="1" si="5"/>
        <v>32.120989999999999</v>
      </c>
      <c r="J19" s="83">
        <f t="shared" ca="1" si="5"/>
        <v>29.250730000000001</v>
      </c>
      <c r="K19" s="83">
        <f t="shared" ca="1" si="5"/>
        <v>25.013629999999999</v>
      </c>
      <c r="M19" s="83">
        <v>34.93</v>
      </c>
      <c r="N19" s="83">
        <v>34.47</v>
      </c>
      <c r="O19" s="83"/>
      <c r="P19" s="83"/>
      <c r="Q19" s="83"/>
      <c r="R19" s="98"/>
      <c r="S19" s="99"/>
    </row>
    <row r="20" spans="1:19" x14ac:dyDescent="0.25">
      <c r="B20" s="161"/>
      <c r="C20" s="31" t="s">
        <v>320</v>
      </c>
      <c r="D20" s="31" t="s">
        <v>359</v>
      </c>
      <c r="E20" s="83">
        <f t="shared" ca="1" si="5"/>
        <v>9.3600100000000008</v>
      </c>
      <c r="F20" s="83">
        <f t="shared" ca="1" si="5"/>
        <v>9.0713939999999997</v>
      </c>
      <c r="G20" s="83">
        <f t="shared" ca="1" si="5"/>
        <v>9.0798469999999991</v>
      </c>
      <c r="H20" s="83">
        <f t="shared" ca="1" si="5"/>
        <v>9.2917419999999993</v>
      </c>
      <c r="I20" s="83">
        <f t="shared" ca="1" si="5"/>
        <v>9.2730309999999996</v>
      </c>
      <c r="J20" s="83">
        <f t="shared" ca="1" si="5"/>
        <v>8.4444130000000008</v>
      </c>
      <c r="K20" s="83">
        <f t="shared" ca="1" si="5"/>
        <v>7.2212019999999999</v>
      </c>
      <c r="M20" s="83">
        <v>9.3600101626016254</v>
      </c>
      <c r="N20" s="83">
        <v>9.9511686991869919</v>
      </c>
      <c r="O20" s="83"/>
      <c r="P20" s="83"/>
      <c r="Q20" s="83"/>
      <c r="R20" s="98"/>
      <c r="S20" s="99"/>
    </row>
    <row r="21" spans="1:19" x14ac:dyDescent="0.25">
      <c r="B21" s="161"/>
      <c r="C21" s="31" t="s">
        <v>321</v>
      </c>
      <c r="D21" s="31" t="s">
        <v>360</v>
      </c>
      <c r="E21" s="83">
        <f t="shared" ca="1" si="5"/>
        <v>0.14779</v>
      </c>
      <c r="F21" s="83">
        <f t="shared" ca="1" si="5"/>
        <v>0.54787600000000003</v>
      </c>
      <c r="G21" s="83">
        <f t="shared" ca="1" si="5"/>
        <v>0.54838699999999996</v>
      </c>
      <c r="H21" s="83">
        <f t="shared" ca="1" si="5"/>
        <v>0.56118400000000002</v>
      </c>
      <c r="I21" s="83">
        <f t="shared" ca="1" si="5"/>
        <v>0.56005400000000005</v>
      </c>
      <c r="J21" s="83">
        <f t="shared" ca="1" si="5"/>
        <v>0.51000900000000005</v>
      </c>
      <c r="K21" s="83">
        <f t="shared" ca="1" si="5"/>
        <v>0.43613200000000002</v>
      </c>
      <c r="M21" s="83">
        <v>0.14778963414634144</v>
      </c>
      <c r="N21" s="83">
        <v>0.60101117886178856</v>
      </c>
      <c r="O21" s="83"/>
      <c r="P21" s="83"/>
      <c r="Q21" s="83"/>
      <c r="R21" s="98"/>
      <c r="S21" s="99"/>
    </row>
    <row r="22" spans="1:19" x14ac:dyDescent="0.25">
      <c r="B22" s="161"/>
      <c r="C22" s="31" t="s">
        <v>322</v>
      </c>
      <c r="D22" s="31" t="s">
        <v>361</v>
      </c>
      <c r="E22" s="83">
        <f t="shared" ca="1" si="5"/>
        <v>0.59115899999999999</v>
      </c>
      <c r="F22" s="83">
        <f t="shared" ca="1" si="5"/>
        <v>0.84426800000000002</v>
      </c>
      <c r="G22" s="83">
        <f t="shared" ca="1" si="5"/>
        <v>0.845055</v>
      </c>
      <c r="H22" s="83">
        <f t="shared" ca="1" si="5"/>
        <v>0.86477599999999999</v>
      </c>
      <c r="I22" s="83">
        <f t="shared" ca="1" si="5"/>
        <v>0.863035</v>
      </c>
      <c r="J22" s="83">
        <f t="shared" ca="1" si="5"/>
        <v>0.78591599999999995</v>
      </c>
      <c r="K22" s="83">
        <f t="shared" ca="1" si="5"/>
        <v>0.672072</v>
      </c>
      <c r="M22" s="83">
        <v>0.59115853658536466</v>
      </c>
      <c r="N22" s="83">
        <v>0.92614837398374061</v>
      </c>
      <c r="O22" s="83"/>
      <c r="P22" s="83"/>
      <c r="Q22" s="83"/>
      <c r="R22" s="98"/>
      <c r="S22" s="99"/>
    </row>
    <row r="23" spans="1:19" x14ac:dyDescent="0.25">
      <c r="B23" s="161"/>
      <c r="C23" s="31" t="s">
        <v>323</v>
      </c>
      <c r="D23" s="31" t="s">
        <v>362</v>
      </c>
      <c r="E23" s="83">
        <f t="shared" ca="1" si="5"/>
        <v>0.39410600000000001</v>
      </c>
      <c r="F23" s="83">
        <f t="shared" ca="1" si="5"/>
        <v>1.517887</v>
      </c>
      <c r="G23" s="83">
        <f t="shared" ca="1" si="5"/>
        <v>1.519301</v>
      </c>
      <c r="H23" s="83">
        <f t="shared" ca="1" si="5"/>
        <v>1.5547569999999999</v>
      </c>
      <c r="I23" s="83">
        <f t="shared" ca="1" si="5"/>
        <v>1.5516259999999999</v>
      </c>
      <c r="J23" s="83">
        <f t="shared" ca="1" si="5"/>
        <v>1.412976</v>
      </c>
      <c r="K23" s="83">
        <f t="shared" ca="1" si="5"/>
        <v>1.2082999999999999</v>
      </c>
      <c r="M23" s="83">
        <v>0.39410569105691057</v>
      </c>
      <c r="N23" s="83">
        <v>1.6650965447154473</v>
      </c>
      <c r="O23" s="83"/>
      <c r="P23" s="83"/>
      <c r="Q23" s="83"/>
      <c r="R23" s="98"/>
      <c r="S23" s="99"/>
    </row>
    <row r="24" spans="1:19" x14ac:dyDescent="0.25">
      <c r="B24" s="162"/>
      <c r="C24" s="33" t="s">
        <v>327</v>
      </c>
      <c r="D24" s="33" t="s">
        <v>363</v>
      </c>
      <c r="E24" s="84">
        <f t="shared" ca="1" si="5"/>
        <v>0.29557899999999998</v>
      </c>
      <c r="F24" s="84">
        <f t="shared" ca="1" si="5"/>
        <v>0.34129999999999999</v>
      </c>
      <c r="G24" s="84">
        <f t="shared" ca="1" si="5"/>
        <v>0.34161799999999998</v>
      </c>
      <c r="H24" s="84">
        <f t="shared" ca="1" si="5"/>
        <v>0.34959000000000001</v>
      </c>
      <c r="I24" s="84">
        <f t="shared" ca="1" si="5"/>
        <v>0.34888599999999997</v>
      </c>
      <c r="J24" s="84">
        <f t="shared" ca="1" si="5"/>
        <v>0.31771100000000002</v>
      </c>
      <c r="K24" s="84">
        <f t="shared" ca="1" si="5"/>
        <v>0.27168900000000001</v>
      </c>
      <c r="M24" s="84">
        <v>0.29557926829268288</v>
      </c>
      <c r="N24" s="84">
        <v>0.37440040650406503</v>
      </c>
      <c r="O24" s="84"/>
      <c r="P24" s="84"/>
      <c r="Q24" s="84"/>
      <c r="R24" s="98"/>
      <c r="S24" s="99"/>
    </row>
    <row r="25" spans="1:19" ht="14.45" x14ac:dyDescent="0.35">
      <c r="B25" s="35" t="s">
        <v>315</v>
      </c>
      <c r="C25" s="30"/>
      <c r="D25" s="36" t="s">
        <v>364</v>
      </c>
      <c r="E25" s="85">
        <f t="shared" ref="E25:K25" ca="1" si="17">Output("SCEN_ADEMEhaut",$D25,E$5)</f>
        <v>4.99</v>
      </c>
      <c r="F25" s="85">
        <f t="shared" ca="1" si="17"/>
        <v>4.4869709999999996</v>
      </c>
      <c r="G25" s="85">
        <f t="shared" ca="1" si="17"/>
        <v>4.7571279999999998</v>
      </c>
      <c r="H25" s="85">
        <f t="shared" ca="1" si="17"/>
        <v>5.0194159999999997</v>
      </c>
      <c r="I25" s="85">
        <f t="shared" ca="1" si="17"/>
        <v>5.8288700000000002</v>
      </c>
      <c r="J25" s="85">
        <f t="shared" ca="1" si="17"/>
        <v>6.1355320000000004</v>
      </c>
      <c r="K25" s="85">
        <f t="shared" ca="1" si="17"/>
        <v>6.3504630000000004</v>
      </c>
      <c r="M25" s="92">
        <v>6.99</v>
      </c>
      <c r="N25" s="92">
        <v>5.31</v>
      </c>
      <c r="O25" s="92"/>
      <c r="P25" s="92"/>
      <c r="Q25" s="92"/>
      <c r="R25" s="98"/>
      <c r="S25" s="99"/>
    </row>
    <row r="26" spans="1:19" ht="14.45" x14ac:dyDescent="0.35">
      <c r="B26" s="29" t="s">
        <v>309</v>
      </c>
      <c r="C26" s="30"/>
      <c r="D26" s="30"/>
      <c r="E26" s="86">
        <f ca="1">SUM(E6,E9,E18,E25)</f>
        <v>152.685225</v>
      </c>
      <c r="F26" s="86">
        <f t="shared" ref="F26:K26" ca="1" si="18">SUM(F6,F9,F18,F25)</f>
        <v>146.73216800000003</v>
      </c>
      <c r="G26" s="86">
        <f t="shared" ca="1" si="18"/>
        <v>148.21806999999998</v>
      </c>
      <c r="H26" s="86">
        <f t="shared" ca="1" si="18"/>
        <v>151.817351</v>
      </c>
      <c r="I26" s="86">
        <f t="shared" ca="1" si="18"/>
        <v>152.27956799999998</v>
      </c>
      <c r="J26" s="86">
        <f t="shared" ca="1" si="18"/>
        <v>144.37046100000003</v>
      </c>
      <c r="K26" s="86">
        <f t="shared" ca="1" si="18"/>
        <v>129.80564899999999</v>
      </c>
      <c r="M26" s="93">
        <f>SUM(M6,M9,M18,M25)</f>
        <v>168.26620832666464</v>
      </c>
      <c r="N26" s="93">
        <f t="shared" ref="N26" si="19">SUM(N6,N9,N18,N25)</f>
        <v>166.78158428457382</v>
      </c>
      <c r="O26" s="93">
        <f t="shared" ref="O26" si="20">SUM(O6,O9,O18,O25)</f>
        <v>0</v>
      </c>
      <c r="P26" s="93">
        <f t="shared" ref="P26" si="21">SUM(P6,P9,P18,P25)</f>
        <v>0</v>
      </c>
      <c r="Q26" s="93">
        <f t="shared" ref="Q26" si="22">SUM(Q6,Q9,Q18,Q25)</f>
        <v>0</v>
      </c>
      <c r="R26" s="98"/>
      <c r="S26" s="99"/>
    </row>
    <row r="27" spans="1:19" ht="15" customHeight="1" x14ac:dyDescent="0.55000000000000004">
      <c r="A27" s="39"/>
      <c r="B27" s="26"/>
      <c r="E27" s="60"/>
      <c r="F27" s="60"/>
      <c r="G27" s="60"/>
      <c r="H27" s="60"/>
      <c r="I27" s="60"/>
      <c r="J27" s="60"/>
      <c r="K27" s="60"/>
      <c r="M27" s="105"/>
      <c r="N27" s="106"/>
      <c r="O27" s="96"/>
      <c r="P27" s="96"/>
      <c r="Q27" s="97"/>
      <c r="R27" s="98"/>
      <c r="S27" s="99"/>
    </row>
    <row r="28" spans="1:19" ht="23.45" x14ac:dyDescent="0.55000000000000004">
      <c r="B28" s="39" t="s">
        <v>330</v>
      </c>
      <c r="E28" s="60"/>
      <c r="F28" s="60"/>
      <c r="G28" s="60"/>
      <c r="H28" s="60"/>
      <c r="I28" s="60"/>
      <c r="J28" s="60"/>
      <c r="K28" s="60"/>
    </row>
    <row r="29" spans="1:19" ht="17.100000000000001" customHeight="1" x14ac:dyDescent="0.55000000000000004">
      <c r="A29" s="39"/>
      <c r="B29" s="26"/>
      <c r="E29" s="60"/>
      <c r="F29" s="60"/>
      <c r="G29" s="60"/>
      <c r="H29" s="60"/>
      <c r="I29" s="60"/>
      <c r="J29" s="60"/>
      <c r="K29" s="60"/>
    </row>
    <row r="30" spans="1:19" ht="14.45" x14ac:dyDescent="0.35">
      <c r="B30" s="30"/>
      <c r="C30" s="30"/>
      <c r="D30" s="27"/>
      <c r="E30" s="87">
        <v>2006</v>
      </c>
      <c r="F30" s="87">
        <v>2010</v>
      </c>
      <c r="G30" s="87">
        <v>2015</v>
      </c>
      <c r="H30" s="87">
        <v>2020</v>
      </c>
      <c r="I30" s="87">
        <v>2030</v>
      </c>
      <c r="J30" s="87">
        <v>2040</v>
      </c>
      <c r="K30" s="87">
        <v>2050</v>
      </c>
      <c r="M30" s="87">
        <v>2006</v>
      </c>
      <c r="N30" s="87">
        <v>2010</v>
      </c>
      <c r="O30" s="87">
        <v>2020</v>
      </c>
      <c r="P30" s="87">
        <v>2030</v>
      </c>
      <c r="Q30" s="87">
        <v>2050</v>
      </c>
      <c r="R30" s="89"/>
      <c r="S30" s="89"/>
    </row>
    <row r="31" spans="1:19" x14ac:dyDescent="0.25">
      <c r="B31" s="160" t="s">
        <v>324</v>
      </c>
      <c r="C31" s="29" t="s">
        <v>309</v>
      </c>
      <c r="D31" s="30"/>
      <c r="E31" s="82">
        <f ca="1">SUM(E32:E33)</f>
        <v>64.599999999999994</v>
      </c>
      <c r="F31" s="82">
        <f t="shared" ref="F31:K31" ca="1" si="23">SUM(F32:F33)</f>
        <v>61.362912999999999</v>
      </c>
      <c r="G31" s="82">
        <f t="shared" ca="1" si="23"/>
        <v>60.899217999999998</v>
      </c>
      <c r="H31" s="82">
        <f t="shared" ca="1" si="23"/>
        <v>58.669373</v>
      </c>
      <c r="I31" s="82">
        <f t="shared" ca="1" si="23"/>
        <v>44.533324999999998</v>
      </c>
      <c r="J31" s="82">
        <f t="shared" ca="1" si="23"/>
        <v>33.00085</v>
      </c>
      <c r="K31" s="82">
        <f t="shared" ca="1" si="23"/>
        <v>21.582191999999999</v>
      </c>
      <c r="M31" s="91">
        <f>SUM(M32:M33)</f>
        <v>72.689999999999984</v>
      </c>
      <c r="N31" s="91">
        <f t="shared" ref="N31:Q31" si="24">SUM(N32:N33)</f>
        <v>67.940000000000012</v>
      </c>
      <c r="O31" s="91">
        <f t="shared" si="24"/>
        <v>61.792534765918191</v>
      </c>
      <c r="P31" s="91">
        <f t="shared" si="24"/>
        <v>42.225221161762398</v>
      </c>
      <c r="Q31" s="91">
        <f t="shared" si="24"/>
        <v>16.825597509294472</v>
      </c>
      <c r="R31" s="89"/>
      <c r="S31" s="89"/>
    </row>
    <row r="32" spans="1:19" x14ac:dyDescent="0.25">
      <c r="B32" s="161"/>
      <c r="C32" s="31" t="s">
        <v>325</v>
      </c>
      <c r="D32" s="31" t="s">
        <v>365</v>
      </c>
      <c r="E32" s="83">
        <f t="shared" ref="E32:K49" ca="1" si="25">Output("SCEN_ADEMEhaut",$D32,E$5)</f>
        <v>64</v>
      </c>
      <c r="F32" s="83">
        <f t="shared" ca="1" si="25"/>
        <v>59.195250000000001</v>
      </c>
      <c r="G32" s="83">
        <f t="shared" ca="1" si="25"/>
        <v>57.683599999999998</v>
      </c>
      <c r="H32" s="83">
        <f t="shared" ca="1" si="25"/>
        <v>56.295729999999999</v>
      </c>
      <c r="I32" s="83">
        <f t="shared" ca="1" si="25"/>
        <v>41.369340000000001</v>
      </c>
      <c r="J32" s="83">
        <f t="shared" ca="1" si="25"/>
        <v>19.107009999999999</v>
      </c>
      <c r="K32" s="83">
        <f t="shared" ca="1" si="25"/>
        <v>7.0470420000000003</v>
      </c>
      <c r="M32" s="83">
        <v>71.989999999999981</v>
      </c>
      <c r="N32" s="83">
        <v>65.540000000000006</v>
      </c>
      <c r="O32" s="83">
        <v>59.292534765918191</v>
      </c>
      <c r="P32" s="83">
        <v>39.225221161762398</v>
      </c>
      <c r="Q32" s="83">
        <v>5.4939139155408521</v>
      </c>
      <c r="R32" s="88"/>
      <c r="S32" s="88"/>
    </row>
    <row r="33" spans="2:19" x14ac:dyDescent="0.25">
      <c r="B33" s="162"/>
      <c r="C33" s="33" t="s">
        <v>326</v>
      </c>
      <c r="D33" s="33" t="s">
        <v>366</v>
      </c>
      <c r="E33" s="84">
        <f t="shared" ca="1" si="25"/>
        <v>0.6</v>
      </c>
      <c r="F33" s="84">
        <f t="shared" ca="1" si="25"/>
        <v>2.1676630000000001</v>
      </c>
      <c r="G33" s="84">
        <f t="shared" ca="1" si="25"/>
        <v>3.2156180000000001</v>
      </c>
      <c r="H33" s="84">
        <f t="shared" ca="1" si="25"/>
        <v>2.3736429999999999</v>
      </c>
      <c r="I33" s="84">
        <f t="shared" ca="1" si="25"/>
        <v>3.1639849999999998</v>
      </c>
      <c r="J33" s="84">
        <f t="shared" ca="1" si="25"/>
        <v>13.893840000000001</v>
      </c>
      <c r="K33" s="84">
        <f t="shared" ca="1" si="25"/>
        <v>14.53515</v>
      </c>
      <c r="M33" s="84">
        <v>0.7</v>
      </c>
      <c r="N33" s="84">
        <v>2.4</v>
      </c>
      <c r="O33" s="84">
        <v>2.5</v>
      </c>
      <c r="P33" s="84">
        <v>3</v>
      </c>
      <c r="Q33" s="84">
        <v>11.33168359375362</v>
      </c>
      <c r="R33" s="88"/>
      <c r="S33" s="88"/>
    </row>
    <row r="34" spans="2:19" x14ac:dyDescent="0.25">
      <c r="B34" s="160" t="s">
        <v>310</v>
      </c>
      <c r="C34" s="29" t="s">
        <v>309</v>
      </c>
      <c r="D34" s="30"/>
      <c r="E34" s="85">
        <f ca="1">SUM(E35:E42)</f>
        <v>37.376580999999995</v>
      </c>
      <c r="F34" s="85">
        <f t="shared" ref="F34:K34" ca="1" si="26">SUM(F35:F42)</f>
        <v>37.124383000000002</v>
      </c>
      <c r="G34" s="85">
        <f t="shared" ca="1" si="26"/>
        <v>38.036330999999997</v>
      </c>
      <c r="H34" s="85">
        <f t="shared" ca="1" si="26"/>
        <v>38.671140999999999</v>
      </c>
      <c r="I34" s="85">
        <f t="shared" ca="1" si="26"/>
        <v>37.803922999999998</v>
      </c>
      <c r="J34" s="85">
        <f t="shared" ca="1" si="26"/>
        <v>34.860602</v>
      </c>
      <c r="K34" s="85">
        <f t="shared" ca="1" si="26"/>
        <v>29.539379</v>
      </c>
      <c r="M34" s="92">
        <f>SUM(M35:M42)</f>
        <v>42.826585728935271</v>
      </c>
      <c r="N34" s="92">
        <f t="shared" ref="N34:Q34" si="27">SUM(N35:N42)</f>
        <v>45.543759081321767</v>
      </c>
      <c r="O34" s="92">
        <f t="shared" si="27"/>
        <v>31.473587339001575</v>
      </c>
      <c r="P34" s="92">
        <f t="shared" si="27"/>
        <v>36.036916318599445</v>
      </c>
      <c r="Q34" s="92">
        <f t="shared" si="27"/>
        <v>33.897428969526324</v>
      </c>
      <c r="R34" s="89"/>
      <c r="S34" s="89"/>
    </row>
    <row r="35" spans="2:19" x14ac:dyDescent="0.25">
      <c r="B35" s="161"/>
      <c r="C35" s="31" t="s">
        <v>312</v>
      </c>
      <c r="D35" s="31" t="s">
        <v>367</v>
      </c>
      <c r="E35" s="83">
        <f t="shared" ref="E35:K42" ca="1" si="28">Output("SCEN_ADEMEhaut",$D35,E$5)</f>
        <v>28.41564</v>
      </c>
      <c r="F35" s="83">
        <f t="shared" ca="1" si="28"/>
        <v>26.847280000000001</v>
      </c>
      <c r="G35" s="83">
        <f t="shared" ca="1" si="28"/>
        <v>25.88625</v>
      </c>
      <c r="H35" s="83">
        <f t="shared" ca="1" si="28"/>
        <v>24.586919999999999</v>
      </c>
      <c r="I35" s="83">
        <f t="shared" ca="1" si="28"/>
        <v>18.07124</v>
      </c>
      <c r="J35" s="83">
        <f t="shared" ca="1" si="28"/>
        <v>16.250599999999999</v>
      </c>
      <c r="K35" s="83">
        <f t="shared" ca="1" si="28"/>
        <v>15.01182</v>
      </c>
      <c r="M35" s="83">
        <v>32.559020694953546</v>
      </c>
      <c r="N35" s="83">
        <v>32.935929224279356</v>
      </c>
      <c r="O35" s="83">
        <v>20.010750850803507</v>
      </c>
      <c r="P35" s="83">
        <v>17.226566233678096</v>
      </c>
      <c r="Q35" s="83">
        <v>17.226566233678096</v>
      </c>
      <c r="R35" s="88"/>
      <c r="S35" s="88"/>
    </row>
    <row r="36" spans="2:19" x14ac:dyDescent="0.25">
      <c r="B36" s="161"/>
      <c r="C36" s="31" t="s">
        <v>313</v>
      </c>
      <c r="D36" s="31" t="s">
        <v>368</v>
      </c>
      <c r="E36" s="83">
        <f t="shared" ca="1" si="28"/>
        <v>0.54949999999999999</v>
      </c>
      <c r="F36" s="83">
        <f t="shared" ca="1" si="28"/>
        <v>0.42959000000000003</v>
      </c>
      <c r="G36" s="83">
        <f t="shared" ca="1" si="28"/>
        <v>0.21196200000000001</v>
      </c>
      <c r="H36" s="83">
        <f t="shared" ca="1" si="28"/>
        <v>5.1902999999999998E-2</v>
      </c>
      <c r="I36" s="83">
        <f t="shared" ca="1" si="28"/>
        <v>5.2451999999999999E-2</v>
      </c>
      <c r="J36" s="83">
        <f t="shared" ca="1" si="28"/>
        <v>4.1813999999999997E-2</v>
      </c>
      <c r="K36" s="83">
        <f t="shared" ca="1" si="28"/>
        <v>8.7139999999999995E-3</v>
      </c>
      <c r="M36" s="83">
        <v>0.62962491593350212</v>
      </c>
      <c r="N36" s="83">
        <v>0.52701615859337925</v>
      </c>
      <c r="O36" s="83">
        <v>4.2242484862131321E-2</v>
      </c>
      <c r="P36" s="83">
        <v>0.05</v>
      </c>
      <c r="Q36" s="83">
        <v>0.01</v>
      </c>
      <c r="R36" s="88"/>
      <c r="S36" s="88"/>
    </row>
    <row r="37" spans="2:19" x14ac:dyDescent="0.25">
      <c r="B37" s="161"/>
      <c r="C37" s="31" t="s">
        <v>314</v>
      </c>
      <c r="D37" s="31" t="s">
        <v>369</v>
      </c>
      <c r="E37" s="83">
        <f t="shared" ca="1" si="28"/>
        <v>1.434358</v>
      </c>
      <c r="F37" s="83">
        <f t="shared" ca="1" si="28"/>
        <v>1.569493</v>
      </c>
      <c r="G37" s="83">
        <f t="shared" ca="1" si="28"/>
        <v>1.706618</v>
      </c>
      <c r="H37" s="83">
        <f t="shared" ca="1" si="28"/>
        <v>1.7064950000000001</v>
      </c>
      <c r="I37" s="83">
        <f t="shared" ca="1" si="28"/>
        <v>1.716127</v>
      </c>
      <c r="J37" s="83">
        <f t="shared" ca="1" si="28"/>
        <v>1.85527</v>
      </c>
      <c r="K37" s="83">
        <f t="shared" ca="1" si="28"/>
        <v>1.7272270000000001</v>
      </c>
      <c r="M37" s="83">
        <v>1.6435062143852444</v>
      </c>
      <c r="N37" s="83">
        <v>1.9254352724847217</v>
      </c>
      <c r="O37" s="83">
        <v>1.3888784910297838</v>
      </c>
      <c r="P37" s="83">
        <v>1.6359131758640484</v>
      </c>
      <c r="Q37" s="83">
        <v>1.9820515865046444</v>
      </c>
      <c r="R37" s="88"/>
      <c r="S37" s="88"/>
    </row>
    <row r="38" spans="2:19" x14ac:dyDescent="0.25">
      <c r="B38" s="161"/>
      <c r="C38" s="31" t="s">
        <v>315</v>
      </c>
      <c r="D38" s="31" t="s">
        <v>370</v>
      </c>
      <c r="E38" s="83">
        <f t="shared" ca="1" si="28"/>
        <v>2.1091120000000001</v>
      </c>
      <c r="F38" s="83">
        <f t="shared" ca="1" si="28"/>
        <v>1.9820690000000001</v>
      </c>
      <c r="G38" s="83">
        <f t="shared" ca="1" si="28"/>
        <v>1.2177750000000001</v>
      </c>
      <c r="H38" s="83">
        <f t="shared" ca="1" si="28"/>
        <v>0.30717100000000003</v>
      </c>
      <c r="I38" s="83">
        <f t="shared" ca="1" si="28"/>
        <v>0.104903</v>
      </c>
      <c r="J38" s="83">
        <f t="shared" ca="1" si="28"/>
        <v>0.10070800000000001</v>
      </c>
      <c r="K38" s="83">
        <f t="shared" ca="1" si="28"/>
        <v>8.7139999999999995E-3</v>
      </c>
      <c r="M38" s="83">
        <v>2.4166485743918238</v>
      </c>
      <c r="N38" s="83">
        <v>2.431579504005096</v>
      </c>
      <c r="O38" s="83">
        <v>0.25</v>
      </c>
      <c r="P38" s="83">
        <v>0.1</v>
      </c>
      <c r="Q38" s="83">
        <v>0.01</v>
      </c>
      <c r="R38" s="88"/>
      <c r="S38" s="88"/>
    </row>
    <row r="39" spans="2:19" x14ac:dyDescent="0.25">
      <c r="B39" s="161"/>
      <c r="C39" s="31" t="s">
        <v>316</v>
      </c>
      <c r="D39" s="31" t="s">
        <v>371</v>
      </c>
      <c r="E39" s="83">
        <f t="shared" ca="1" si="28"/>
        <v>0.31484400000000001</v>
      </c>
      <c r="F39" s="83">
        <f t="shared" ca="1" si="28"/>
        <v>0.62582499999999996</v>
      </c>
      <c r="G39" s="83">
        <f t="shared" ca="1" si="28"/>
        <v>2.1288170000000002</v>
      </c>
      <c r="H39" s="83">
        <f t="shared" ca="1" si="28"/>
        <v>4.5461650000000002</v>
      </c>
      <c r="I39" s="83">
        <f t="shared" ca="1" si="28"/>
        <v>8.7833760000000005</v>
      </c>
      <c r="J39" s="83">
        <f t="shared" ca="1" si="28"/>
        <v>7.6001370000000001</v>
      </c>
      <c r="K39" s="83">
        <f t="shared" ca="1" si="28"/>
        <v>5.2000979999999997</v>
      </c>
      <c r="M39" s="83">
        <v>0.36075228497773609</v>
      </c>
      <c r="N39" s="83">
        <v>0.76775486290133577</v>
      </c>
      <c r="O39" s="83">
        <v>3.7000234356690882</v>
      </c>
      <c r="P39" s="83">
        <v>8.3728289631606234</v>
      </c>
      <c r="Q39" s="83">
        <v>5.9672868830761185</v>
      </c>
      <c r="R39" s="88"/>
      <c r="S39" s="88"/>
    </row>
    <row r="40" spans="2:19" x14ac:dyDescent="0.25">
      <c r="B40" s="161"/>
      <c r="C40" s="31" t="s">
        <v>317</v>
      </c>
      <c r="D40" s="31" t="s">
        <v>372</v>
      </c>
      <c r="E40" s="83">
        <f t="shared" ca="1" si="28"/>
        <v>8.0728999999999995E-2</v>
      </c>
      <c r="F40" s="83">
        <f t="shared" ca="1" si="28"/>
        <v>8.2941000000000001E-2</v>
      </c>
      <c r="G40" s="83">
        <f t="shared" ca="1" si="28"/>
        <v>3.6303000000000002E-2</v>
      </c>
      <c r="H40" s="83">
        <f t="shared" ca="1" si="28"/>
        <v>0.49147400000000002</v>
      </c>
      <c r="I40" s="83">
        <f t="shared" ca="1" si="28"/>
        <v>3.3130609999999998</v>
      </c>
      <c r="J40" s="83">
        <f t="shared" ca="1" si="28"/>
        <v>3.6721509999999999</v>
      </c>
      <c r="K40" s="83">
        <f t="shared" ca="1" si="28"/>
        <v>2.752167</v>
      </c>
      <c r="M40" s="83">
        <v>9.2500585891727216E-2</v>
      </c>
      <c r="N40" s="83">
        <v>0.10175064448089993</v>
      </c>
      <c r="O40" s="83">
        <v>0.4</v>
      </c>
      <c r="P40" s="83">
        <v>3.158203809507651</v>
      </c>
      <c r="Q40" s="83">
        <v>3.158203809507651</v>
      </c>
      <c r="R40" s="88"/>
      <c r="S40" s="88"/>
    </row>
    <row r="41" spans="2:19" x14ac:dyDescent="0.25">
      <c r="B41" s="161"/>
      <c r="C41" s="31" t="s">
        <v>318</v>
      </c>
      <c r="D41" s="31" t="s">
        <v>373</v>
      </c>
      <c r="E41" s="83">
        <f t="shared" ca="1" si="28"/>
        <v>4.0364599999999999</v>
      </c>
      <c r="F41" s="83">
        <f t="shared" ca="1" si="28"/>
        <v>4.2299740000000003</v>
      </c>
      <c r="G41" s="83">
        <f t="shared" ca="1" si="28"/>
        <v>5.4316069999999996</v>
      </c>
      <c r="H41" s="83">
        <f t="shared" ca="1" si="28"/>
        <v>6.2509769999999998</v>
      </c>
      <c r="I41" s="83">
        <f t="shared" ca="1" si="28"/>
        <v>3.9658850000000001</v>
      </c>
      <c r="J41" s="83">
        <f t="shared" ca="1" si="28"/>
        <v>3.5364529999999998</v>
      </c>
      <c r="K41" s="83">
        <f t="shared" ca="1" si="28"/>
        <v>3.647872</v>
      </c>
      <c r="M41" s="83">
        <v>4.6250292945863603</v>
      </c>
      <c r="N41" s="83">
        <v>5.1892828685258969</v>
      </c>
      <c r="O41" s="83">
        <v>5.0875322240449963</v>
      </c>
      <c r="P41" s="83">
        <v>3.7805135146992721</v>
      </c>
      <c r="Q41" s="83">
        <v>4.1860555947837765</v>
      </c>
      <c r="R41" s="88"/>
      <c r="S41" s="88"/>
    </row>
    <row r="42" spans="2:19" x14ac:dyDescent="0.25">
      <c r="B42" s="162"/>
      <c r="C42" s="33" t="s">
        <v>327</v>
      </c>
      <c r="D42" s="33" t="s">
        <v>374</v>
      </c>
      <c r="E42" s="84">
        <f t="shared" ca="1" si="28"/>
        <v>0.43593799999999999</v>
      </c>
      <c r="F42" s="84">
        <f t="shared" ca="1" si="28"/>
        <v>1.3572109999999999</v>
      </c>
      <c r="G42" s="84">
        <f t="shared" ca="1" si="28"/>
        <v>1.4169989999999999</v>
      </c>
      <c r="H42" s="84">
        <f t="shared" ca="1" si="28"/>
        <v>0.73003600000000002</v>
      </c>
      <c r="I42" s="84">
        <f t="shared" ca="1" si="28"/>
        <v>1.7968789999999999</v>
      </c>
      <c r="J42" s="84">
        <f t="shared" ca="1" si="28"/>
        <v>1.803469</v>
      </c>
      <c r="K42" s="84">
        <f t="shared" ca="1" si="28"/>
        <v>1.1827669999999999</v>
      </c>
      <c r="M42" s="84">
        <v>0.49950316381532556</v>
      </c>
      <c r="N42" s="84">
        <v>1.6650105460510898</v>
      </c>
      <c r="O42" s="84">
        <v>0.59415985259207005</v>
      </c>
      <c r="P42" s="84">
        <v>1.7128906216897588</v>
      </c>
      <c r="Q42" s="84">
        <v>1.3572648619760321</v>
      </c>
      <c r="R42" s="88"/>
      <c r="S42" s="88"/>
    </row>
    <row r="43" spans="2:19" x14ac:dyDescent="0.25">
      <c r="B43" s="160" t="s">
        <v>311</v>
      </c>
      <c r="C43" s="29" t="s">
        <v>309</v>
      </c>
      <c r="D43" s="30"/>
      <c r="E43" s="85">
        <f ca="1">SUM(E44:E49)</f>
        <v>45.718643999999998</v>
      </c>
      <c r="F43" s="85">
        <f t="shared" ref="F43:K43" ca="1" si="29">SUM(F44:F49)</f>
        <v>43.747409999999995</v>
      </c>
      <c r="G43" s="85">
        <f t="shared" ca="1" si="29"/>
        <v>43.167017000000001</v>
      </c>
      <c r="H43" s="85">
        <f t="shared" ca="1" si="29"/>
        <v>42.562299999999993</v>
      </c>
      <c r="I43" s="85">
        <f t="shared" ca="1" si="29"/>
        <v>40.910706999999995</v>
      </c>
      <c r="J43" s="85">
        <f t="shared" ca="1" si="29"/>
        <v>37.095679000000004</v>
      </c>
      <c r="K43" s="85">
        <f t="shared" ca="1" si="29"/>
        <v>31.142710000000001</v>
      </c>
      <c r="M43" s="92">
        <f>SUM(M44:M49)</f>
        <v>45.718643292682927</v>
      </c>
      <c r="N43" s="92">
        <f t="shared" ref="N43:Q43" si="30">SUM(N44:N49)</f>
        <v>47.987825203252036</v>
      </c>
      <c r="O43" s="92">
        <f t="shared" si="30"/>
        <v>43.62175658435573</v>
      </c>
      <c r="P43" s="92">
        <f t="shared" si="30"/>
        <v>43.285189059199524</v>
      </c>
      <c r="Q43" s="92">
        <f t="shared" si="30"/>
        <v>29.390039272581522</v>
      </c>
      <c r="R43" s="89"/>
      <c r="S43" s="89"/>
    </row>
    <row r="44" spans="2:19" x14ac:dyDescent="0.25">
      <c r="B44" s="161"/>
      <c r="C44" s="31" t="s">
        <v>319</v>
      </c>
      <c r="D44" s="31" t="s">
        <v>375</v>
      </c>
      <c r="E44" s="83">
        <f t="shared" ca="1" si="25"/>
        <v>34.93</v>
      </c>
      <c r="F44" s="83">
        <f t="shared" ca="1" si="25"/>
        <v>31.42408</v>
      </c>
      <c r="G44" s="83">
        <f t="shared" ca="1" si="25"/>
        <v>30.15663</v>
      </c>
      <c r="H44" s="83">
        <f t="shared" ca="1" si="25"/>
        <v>29.071629999999999</v>
      </c>
      <c r="I44" s="83">
        <f t="shared" ca="1" si="25"/>
        <v>18.745989999999999</v>
      </c>
      <c r="J44" s="83">
        <f t="shared" ca="1" si="25"/>
        <v>11.50433</v>
      </c>
      <c r="K44" s="83">
        <f t="shared" ca="1" si="25"/>
        <v>8.6943180000000009</v>
      </c>
      <c r="M44" s="83">
        <v>34.93</v>
      </c>
      <c r="N44" s="83">
        <v>34.47</v>
      </c>
      <c r="O44" s="83">
        <v>29.795280068239975</v>
      </c>
      <c r="P44" s="83">
        <v>19.834021981287478</v>
      </c>
      <c r="Q44" s="83">
        <v>8.2050129393787508</v>
      </c>
      <c r="R44" s="88"/>
      <c r="S44" s="88"/>
    </row>
    <row r="45" spans="2:19" x14ac:dyDescent="0.25">
      <c r="B45" s="161"/>
      <c r="C45" s="31" t="s">
        <v>320</v>
      </c>
      <c r="D45" s="31" t="s">
        <v>376</v>
      </c>
      <c r="E45" s="83">
        <f t="shared" ca="1" si="25"/>
        <v>9.3600100000000008</v>
      </c>
      <c r="F45" s="83">
        <f t="shared" ca="1" si="25"/>
        <v>9.0718390000000007</v>
      </c>
      <c r="G45" s="83">
        <f t="shared" ca="1" si="25"/>
        <v>8.9544219999999992</v>
      </c>
      <c r="H45" s="83">
        <f t="shared" ca="1" si="25"/>
        <v>9.3573710000000005</v>
      </c>
      <c r="I45" s="83">
        <f t="shared" ca="1" si="25"/>
        <v>12.24709</v>
      </c>
      <c r="J45" s="83">
        <f t="shared" ca="1" si="25"/>
        <v>11.13265</v>
      </c>
      <c r="K45" s="83">
        <f t="shared" ca="1" si="25"/>
        <v>8.5131429999999995</v>
      </c>
      <c r="M45" s="83">
        <v>9.3600101626016254</v>
      </c>
      <c r="N45" s="83">
        <v>9.9511686991869919</v>
      </c>
      <c r="O45" s="83">
        <v>9.5902929329588407</v>
      </c>
      <c r="P45" s="83">
        <v>12.957916455986492</v>
      </c>
      <c r="Q45" s="83">
        <v>8.0340348144931628</v>
      </c>
      <c r="R45" s="88"/>
      <c r="S45" s="88"/>
    </row>
    <row r="46" spans="2:19" x14ac:dyDescent="0.25">
      <c r="B46" s="161"/>
      <c r="C46" s="31" t="s">
        <v>321</v>
      </c>
      <c r="D46" s="31" t="s">
        <v>377</v>
      </c>
      <c r="E46" s="83">
        <f t="shared" ca="1" si="25"/>
        <v>0.14779</v>
      </c>
      <c r="F46" s="83">
        <f t="shared" ca="1" si="25"/>
        <v>0.54790300000000003</v>
      </c>
      <c r="G46" s="83">
        <f t="shared" ca="1" si="25"/>
        <v>0.59187800000000002</v>
      </c>
      <c r="H46" s="83">
        <f t="shared" ca="1" si="25"/>
        <v>0.76906799999999997</v>
      </c>
      <c r="I46" s="83">
        <f t="shared" ca="1" si="25"/>
        <v>3.6040909999999999</v>
      </c>
      <c r="J46" s="83">
        <f t="shared" ca="1" si="25"/>
        <v>4.3312099999999996</v>
      </c>
      <c r="K46" s="83">
        <f t="shared" ca="1" si="25"/>
        <v>3.5223990000000001</v>
      </c>
      <c r="M46" s="83">
        <v>0.14778963414634144</v>
      </c>
      <c r="N46" s="83">
        <v>0.60101117886178856</v>
      </c>
      <c r="O46" s="83">
        <v>0.78821138211382102</v>
      </c>
      <c r="P46" s="83">
        <v>3.8132743238537117</v>
      </c>
      <c r="Q46" s="83">
        <v>3.3241630061450191</v>
      </c>
      <c r="R46" s="88"/>
      <c r="S46" s="88"/>
    </row>
    <row r="47" spans="2:19" x14ac:dyDescent="0.25">
      <c r="B47" s="161"/>
      <c r="C47" s="31" t="s">
        <v>322</v>
      </c>
      <c r="D47" s="31" t="s">
        <v>378</v>
      </c>
      <c r="E47" s="83">
        <f t="shared" ca="1" si="25"/>
        <v>0.59115899999999999</v>
      </c>
      <c r="F47" s="83">
        <f t="shared" ca="1" si="25"/>
        <v>0.84431</v>
      </c>
      <c r="G47" s="83">
        <f t="shared" ca="1" si="25"/>
        <v>0.99002699999999999</v>
      </c>
      <c r="H47" s="83">
        <f t="shared" ca="1" si="25"/>
        <v>0.96133500000000005</v>
      </c>
      <c r="I47" s="83">
        <f t="shared" ca="1" si="25"/>
        <v>1.339178</v>
      </c>
      <c r="J47" s="83">
        <f t="shared" ca="1" si="25"/>
        <v>1.624428</v>
      </c>
      <c r="K47" s="83">
        <f t="shared" ca="1" si="25"/>
        <v>1.501328</v>
      </c>
      <c r="M47" s="83">
        <v>0.59115853658536466</v>
      </c>
      <c r="N47" s="83">
        <v>0.92614837398374061</v>
      </c>
      <c r="O47" s="83">
        <v>0.9852642276422765</v>
      </c>
      <c r="P47" s="83">
        <v>1.4169047745271137</v>
      </c>
      <c r="Q47" s="83">
        <v>1.4168355216861455</v>
      </c>
      <c r="R47" s="88"/>
      <c r="S47" s="88"/>
    </row>
    <row r="48" spans="2:19" x14ac:dyDescent="0.25">
      <c r="B48" s="161"/>
      <c r="C48" s="31" t="s">
        <v>323</v>
      </c>
      <c r="D48" s="31" t="s">
        <v>379</v>
      </c>
      <c r="E48" s="83">
        <f t="shared" ca="1" si="25"/>
        <v>0.39410600000000001</v>
      </c>
      <c r="F48" s="83">
        <f t="shared" ca="1" si="25"/>
        <v>1.5179609999999999</v>
      </c>
      <c r="G48" s="83">
        <f t="shared" ca="1" si="25"/>
        <v>2.201613</v>
      </c>
      <c r="H48" s="83">
        <f t="shared" ca="1" si="25"/>
        <v>1.8349519999999999</v>
      </c>
      <c r="I48" s="83">
        <f t="shared" ca="1" si="25"/>
        <v>2.0934710000000001</v>
      </c>
      <c r="J48" s="83">
        <f t="shared" ca="1" si="25"/>
        <v>5.3579499999999998</v>
      </c>
      <c r="K48" s="83">
        <f t="shared" ca="1" si="25"/>
        <v>6.5514950000000001</v>
      </c>
      <c r="M48" s="83">
        <v>0.39410569105691057</v>
      </c>
      <c r="N48" s="83">
        <v>1.6650965447154473</v>
      </c>
      <c r="O48" s="83">
        <v>1.8806271331102642</v>
      </c>
      <c r="P48" s="83">
        <v>2.2149768300106416</v>
      </c>
      <c r="Q48" s="83">
        <v>6.1827851847658799</v>
      </c>
      <c r="R48" s="88"/>
      <c r="S48" s="88"/>
    </row>
    <row r="49" spans="2:19" x14ac:dyDescent="0.25">
      <c r="B49" s="162"/>
      <c r="C49" s="33" t="s">
        <v>327</v>
      </c>
      <c r="D49" s="33" t="s">
        <v>380</v>
      </c>
      <c r="E49" s="84">
        <f t="shared" ca="1" si="25"/>
        <v>0.29557899999999998</v>
      </c>
      <c r="F49" s="84">
        <f t="shared" ca="1" si="25"/>
        <v>0.34131699999999998</v>
      </c>
      <c r="G49" s="84">
        <f t="shared" ca="1" si="25"/>
        <v>0.27244699999999999</v>
      </c>
      <c r="H49" s="84">
        <f t="shared" ca="1" si="25"/>
        <v>0.567944</v>
      </c>
      <c r="I49" s="84">
        <f t="shared" ca="1" si="25"/>
        <v>2.880887</v>
      </c>
      <c r="J49" s="84">
        <f t="shared" ca="1" si="25"/>
        <v>3.145111</v>
      </c>
      <c r="K49" s="84">
        <f t="shared" ca="1" si="25"/>
        <v>2.3600270000000001</v>
      </c>
      <c r="M49" s="84">
        <v>0.29557926829268288</v>
      </c>
      <c r="N49" s="84">
        <v>0.37440040650406503</v>
      </c>
      <c r="O49" s="84">
        <v>0.58208084029054874</v>
      </c>
      <c r="P49" s="84">
        <v>3.0480946935340905</v>
      </c>
      <c r="Q49" s="84">
        <v>2.2272078061125589</v>
      </c>
      <c r="R49" s="88"/>
      <c r="S49" s="88"/>
    </row>
    <row r="50" spans="2:19" x14ac:dyDescent="0.25">
      <c r="B50" s="35" t="s">
        <v>315</v>
      </c>
      <c r="C50" s="30"/>
      <c r="D50" s="36" t="s">
        <v>381</v>
      </c>
      <c r="E50" s="85">
        <f t="shared" ref="E50:K50" ca="1" si="31">Output("SCEN_ADEMEhaut",$D50,E$5)</f>
        <v>4.99</v>
      </c>
      <c r="F50" s="85">
        <f t="shared" ca="1" si="31"/>
        <v>4.4871980000000002</v>
      </c>
      <c r="G50" s="85">
        <f t="shared" ca="1" si="31"/>
        <v>4.0806750000000003</v>
      </c>
      <c r="H50" s="85">
        <f t="shared" ca="1" si="31"/>
        <v>3.1125530000000001</v>
      </c>
      <c r="I50" s="85">
        <f t="shared" ca="1" si="31"/>
        <v>2.7890950000000001</v>
      </c>
      <c r="J50" s="85">
        <f t="shared" ca="1" si="31"/>
        <v>2.7346759999999999</v>
      </c>
      <c r="K50" s="85">
        <f t="shared" ca="1" si="31"/>
        <v>2.790816</v>
      </c>
      <c r="M50" s="92">
        <v>6.99</v>
      </c>
      <c r="N50" s="92">
        <v>5.31</v>
      </c>
      <c r="O50" s="92">
        <v>5.9237288135593218</v>
      </c>
      <c r="P50" s="92">
        <v>5.0588131868202808</v>
      </c>
      <c r="Q50" s="92">
        <v>4.0201856086575631</v>
      </c>
      <c r="R50" s="89"/>
      <c r="S50" s="89"/>
    </row>
    <row r="51" spans="2:19" x14ac:dyDescent="0.25">
      <c r="B51" s="29" t="s">
        <v>309</v>
      </c>
      <c r="C51" s="30"/>
      <c r="D51" s="30"/>
      <c r="E51" s="86">
        <f ca="1">SUM(E31,E34,E43,E50)</f>
        <v>152.685225</v>
      </c>
      <c r="F51" s="86">
        <f t="shared" ref="F51:J51" ca="1" si="32">SUM(F31,F34,F43,F50)</f>
        <v>146.72190399999999</v>
      </c>
      <c r="G51" s="86">
        <f t="shared" ca="1" si="32"/>
        <v>146.18324100000001</v>
      </c>
      <c r="H51" s="86">
        <f t="shared" ca="1" si="32"/>
        <v>143.01536699999997</v>
      </c>
      <c r="I51" s="86">
        <f t="shared" ca="1" si="32"/>
        <v>126.03704999999999</v>
      </c>
      <c r="J51" s="86">
        <f t="shared" ca="1" si="32"/>
        <v>107.691807</v>
      </c>
      <c r="K51" s="86">
        <f ca="1">SUM(K31,K34,K43,K50)</f>
        <v>85.055097000000018</v>
      </c>
      <c r="M51" s="93">
        <f>SUM(M31,M34,M43,M50)</f>
        <v>168.22522902161819</v>
      </c>
      <c r="N51" s="93">
        <f t="shared" ref="N51:P51" si="33">SUM(N31,N34,N43,N50)</f>
        <v>166.78158428457382</v>
      </c>
      <c r="O51" s="93">
        <f t="shared" si="33"/>
        <v>142.81160750283482</v>
      </c>
      <c r="P51" s="93">
        <f t="shared" si="33"/>
        <v>126.60613972638166</v>
      </c>
      <c r="Q51" s="93">
        <f>SUM(Q31,Q34,Q43,Q50)</f>
        <v>84.133251360059887</v>
      </c>
      <c r="R51" s="90"/>
      <c r="S51" s="90"/>
    </row>
  </sheetData>
  <mergeCells count="6">
    <mergeCell ref="B43:B49"/>
    <mergeCell ref="B6:B8"/>
    <mergeCell ref="B9:B17"/>
    <mergeCell ref="B18:B24"/>
    <mergeCell ref="B31:B33"/>
    <mergeCell ref="B34:B4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C00000"/>
  </sheetPr>
  <dimension ref="A1:L27"/>
  <sheetViews>
    <sheetView workbookViewId="0">
      <selection activeCell="F21" sqref="F21"/>
    </sheetView>
  </sheetViews>
  <sheetFormatPr baseColWidth="10" defaultRowHeight="15" x14ac:dyDescent="0.25"/>
  <cols>
    <col min="1" max="1" width="22.85546875" customWidth="1"/>
  </cols>
  <sheetData>
    <row r="1" spans="1:12" ht="23.45" x14ac:dyDescent="0.55000000000000004">
      <c r="A1" s="53" t="s">
        <v>384</v>
      </c>
      <c r="B1" s="54"/>
      <c r="C1" s="54"/>
      <c r="D1" s="54"/>
      <c r="E1" s="54"/>
      <c r="F1" s="54"/>
      <c r="G1" s="54"/>
      <c r="H1" s="54"/>
      <c r="I1" s="54"/>
      <c r="J1" s="54"/>
      <c r="K1" s="54"/>
    </row>
    <row r="2" spans="1:12" ht="18.600000000000001" x14ac:dyDescent="0.45">
      <c r="A2" s="55"/>
      <c r="B2" s="54"/>
      <c r="C2" s="54"/>
      <c r="D2" s="54"/>
      <c r="E2" s="54"/>
      <c r="F2" s="54"/>
      <c r="G2" s="54"/>
      <c r="H2" s="54"/>
      <c r="I2" s="54"/>
      <c r="J2" s="54"/>
      <c r="K2" s="54"/>
    </row>
    <row r="3" spans="1:12" ht="18.600000000000001" x14ac:dyDescent="0.45">
      <c r="A3" s="55" t="s">
        <v>329</v>
      </c>
      <c r="B3" s="54"/>
      <c r="C3" s="54"/>
      <c r="D3" s="54"/>
      <c r="E3" s="54"/>
      <c r="F3" s="54"/>
      <c r="G3" s="54"/>
      <c r="H3" s="54"/>
      <c r="I3" s="54"/>
      <c r="J3" s="54"/>
      <c r="K3" s="54"/>
    </row>
    <row r="4" spans="1:12" ht="14.45" x14ac:dyDescent="0.35">
      <c r="A4" s="54"/>
      <c r="B4" s="163" t="s">
        <v>387</v>
      </c>
      <c r="C4" s="163"/>
      <c r="D4" s="163"/>
      <c r="E4" s="163"/>
      <c r="F4" s="163"/>
      <c r="G4" s="163"/>
      <c r="H4" s="56"/>
      <c r="I4" s="56"/>
      <c r="J4" s="163" t="s">
        <v>385</v>
      </c>
      <c r="K4" s="164"/>
    </row>
    <row r="5" spans="1:12" ht="14.45" x14ac:dyDescent="0.35">
      <c r="A5" s="54"/>
      <c r="B5" s="54">
        <v>2006</v>
      </c>
      <c r="C5" s="54">
        <v>2010</v>
      </c>
      <c r="D5" s="54">
        <v>2015</v>
      </c>
      <c r="E5" s="54">
        <v>2020</v>
      </c>
      <c r="F5" s="54">
        <v>2030</v>
      </c>
      <c r="G5" s="54">
        <v>2040</v>
      </c>
      <c r="H5" s="66">
        <v>2050</v>
      </c>
      <c r="I5" s="54"/>
      <c r="J5" s="54">
        <v>2010</v>
      </c>
      <c r="K5" s="59">
        <v>2030</v>
      </c>
      <c r="L5" s="59">
        <v>2050</v>
      </c>
    </row>
    <row r="6" spans="1:12" ht="14.45" x14ac:dyDescent="0.35">
      <c r="A6" s="61" t="s">
        <v>437</v>
      </c>
      <c r="B6" s="77">
        <f ca="1">SUM(B7:B8)</f>
        <v>44.530639999999998</v>
      </c>
      <c r="C6" s="77">
        <f t="shared" ref="C6:H6" ca="1" si="0">SUM(C7:C8)</f>
        <v>42.241023999999996</v>
      </c>
      <c r="D6" s="77">
        <f t="shared" ca="1" si="0"/>
        <v>42.065803000000002</v>
      </c>
      <c r="E6" s="77">
        <f t="shared" ca="1" si="0"/>
        <v>42.294015999999999</v>
      </c>
      <c r="F6" s="77">
        <f t="shared" ca="1" si="0"/>
        <v>38.960498999999999</v>
      </c>
      <c r="G6" s="77">
        <f t="shared" ca="1" si="0"/>
        <v>33.997344000000005</v>
      </c>
      <c r="H6" s="77">
        <f t="shared" ca="1" si="0"/>
        <v>27.334700000000002</v>
      </c>
      <c r="I6" s="54"/>
      <c r="J6" s="70"/>
      <c r="K6" s="70"/>
      <c r="L6" s="70"/>
    </row>
    <row r="7" spans="1:12" ht="14.45" x14ac:dyDescent="0.35">
      <c r="A7" s="67" t="s">
        <v>526</v>
      </c>
      <c r="B7" s="78">
        <f ca="1">'output Final energy by uses'!B22</f>
        <v>24.139399999999998</v>
      </c>
      <c r="C7" s="78">
        <f ca="1">'output Final energy by uses'!C22</f>
        <v>22.402909999999999</v>
      </c>
      <c r="D7" s="78">
        <f ca="1">'output Final energy by uses'!D22</f>
        <v>21.045719999999999</v>
      </c>
      <c r="E7" s="78">
        <f ca="1">'output Final energy by uses'!E22</f>
        <v>20.04674</v>
      </c>
      <c r="F7" s="78">
        <f ca="1">'output Final energy by uses'!F22</f>
        <v>16.499269999999999</v>
      </c>
      <c r="G7" s="78">
        <f ca="1">'output Final energy by uses'!G22</f>
        <v>13.597160000000001</v>
      </c>
      <c r="H7" s="78">
        <f ca="1">'output Final energy by uses'!H22</f>
        <v>10.685600000000001</v>
      </c>
      <c r="I7" s="54"/>
      <c r="J7" s="73"/>
      <c r="K7" s="73"/>
      <c r="L7" s="73"/>
    </row>
    <row r="8" spans="1:12" ht="14.45" x14ac:dyDescent="0.35">
      <c r="A8" s="68" t="s">
        <v>527</v>
      </c>
      <c r="B8" s="69">
        <f ca="1">SUM('output Final energy by uses'!B15:B19)</f>
        <v>20.39124</v>
      </c>
      <c r="C8" s="69">
        <f ca="1">SUM('output Final energy by uses'!C15:C19)</f>
        <v>19.838114000000001</v>
      </c>
      <c r="D8" s="69">
        <f ca="1">SUM('output Final energy by uses'!D15:D19)</f>
        <v>21.020083000000003</v>
      </c>
      <c r="E8" s="69">
        <f ca="1">SUM('output Final energy by uses'!E15:E19)</f>
        <v>22.247275999999999</v>
      </c>
      <c r="F8" s="69">
        <f ca="1">SUM('output Final energy by uses'!F15:F19)</f>
        <v>22.461229000000003</v>
      </c>
      <c r="G8" s="69">
        <f ca="1">SUM('output Final energy by uses'!G15:G19)</f>
        <v>20.400184000000003</v>
      </c>
      <c r="H8" s="69">
        <f ca="1">SUM('output Final energy by uses'!H15:H19)</f>
        <v>16.649100000000001</v>
      </c>
      <c r="J8" s="73"/>
      <c r="K8" s="73"/>
      <c r="L8" s="73"/>
    </row>
    <row r="9" spans="1:12" ht="14.45" x14ac:dyDescent="0.35">
      <c r="A9" s="57" t="s">
        <v>389</v>
      </c>
      <c r="B9" s="79">
        <f ca="1">'output Final energy by uses'!B23</f>
        <v>44.496510000000001</v>
      </c>
      <c r="C9" s="79">
        <f ca="1">'output Final energy by uses'!C23</f>
        <v>42.19088</v>
      </c>
      <c r="D9" s="79">
        <f ca="1">'output Final energy by uses'!D23</f>
        <v>40.072749999999999</v>
      </c>
      <c r="E9" s="79">
        <f ca="1">'output Final energy by uses'!E23</f>
        <v>38.757800000000003</v>
      </c>
      <c r="F9" s="79">
        <f ca="1">'output Final energy by uses'!F23</f>
        <v>36.156790000000001</v>
      </c>
      <c r="G9" s="79">
        <f ca="1">'output Final energy by uses'!G23</f>
        <v>33.135109999999997</v>
      </c>
      <c r="H9" s="79">
        <f ca="1">'output Final energy by uses'!H23</f>
        <v>30.259180000000001</v>
      </c>
      <c r="I9" s="54"/>
      <c r="J9" s="70"/>
      <c r="K9" s="70"/>
      <c r="L9" s="70"/>
    </row>
    <row r="10" spans="1:12" ht="14.45" x14ac:dyDescent="0.35">
      <c r="A10" s="57" t="s">
        <v>390</v>
      </c>
      <c r="B10" s="79">
        <f ca="1">SUM('output Final energy by uses'!B20:B21)</f>
        <v>22.680731000000002</v>
      </c>
      <c r="C10" s="79">
        <f ca="1">SUM('output Final energy by uses'!C20:C21)</f>
        <v>22.725867999999998</v>
      </c>
      <c r="D10" s="79">
        <f ca="1">SUM('output Final energy by uses'!D20:D21)</f>
        <v>23.532811000000002</v>
      </c>
      <c r="E10" s="79">
        <f ca="1">SUM('output Final energy by uses'!E20:E21)</f>
        <v>24.745854999999999</v>
      </c>
      <c r="F10" s="79">
        <f ca="1">SUM('output Final energy by uses'!F20:F21)</f>
        <v>26.516063000000003</v>
      </c>
      <c r="G10" s="79">
        <f ca="1">SUM('output Final energy by uses'!G20:G21)</f>
        <v>27.315536999999999</v>
      </c>
      <c r="H10" s="79">
        <f ca="1">SUM('output Final energy by uses'!H20:H21)</f>
        <v>25.224727999999999</v>
      </c>
      <c r="I10" s="54"/>
      <c r="J10" s="70"/>
      <c r="K10" s="70"/>
      <c r="L10" s="70"/>
    </row>
    <row r="11" spans="1:12" ht="14.45" x14ac:dyDescent="0.35">
      <c r="A11" s="57" t="s">
        <v>436</v>
      </c>
      <c r="B11" s="79">
        <f ca="1">SUM(B12:B13)</f>
        <v>40.977353000000001</v>
      </c>
      <c r="C11" s="79">
        <f t="shared" ref="C11:H11" ca="1" si="1">SUM(C12:C13)</f>
        <v>39.574399</v>
      </c>
      <c r="D11" s="79">
        <f t="shared" ca="1" si="1"/>
        <v>42.546702000000003</v>
      </c>
      <c r="E11" s="79">
        <f t="shared" ca="1" si="1"/>
        <v>46.019681999999996</v>
      </c>
      <c r="F11" s="79">
        <f t="shared" ca="1" si="1"/>
        <v>50.646225000000001</v>
      </c>
      <c r="G11" s="79">
        <f t="shared" ca="1" si="1"/>
        <v>49.922454000000002</v>
      </c>
      <c r="H11" s="79">
        <f t="shared" ca="1" si="1"/>
        <v>46.987038000000005</v>
      </c>
      <c r="I11" s="54"/>
      <c r="J11" s="71"/>
      <c r="K11" s="71"/>
      <c r="L11" s="71"/>
    </row>
    <row r="12" spans="1:12" ht="14.45" x14ac:dyDescent="0.35">
      <c r="A12" s="68" t="s">
        <v>438</v>
      </c>
      <c r="B12" s="69">
        <f ca="1">SUM('output Final energy by uses'!B3:B14)</f>
        <v>36.935887999999998</v>
      </c>
      <c r="C12" s="69">
        <f ca="1">SUM('output Final energy by uses'!C3:C14)</f>
        <v>35.695835000000002</v>
      </c>
      <c r="D12" s="69">
        <f ca="1">SUM('output Final energy by uses'!D3:D14)</f>
        <v>38.398302000000001</v>
      </c>
      <c r="E12" s="69">
        <f ca="1">SUM('output Final energy by uses'!E3:E14)</f>
        <v>41.611450999999995</v>
      </c>
      <c r="F12" s="69">
        <f ca="1">SUM('output Final energy by uses'!F3:F14)</f>
        <v>46.191952000000001</v>
      </c>
      <c r="G12" s="69">
        <f ca="1">SUM('output Final energy by uses'!G3:G14)</f>
        <v>45.908389</v>
      </c>
      <c r="H12" s="69">
        <f ca="1">SUM('output Final energy by uses'!H3:H14)</f>
        <v>43.965476000000002</v>
      </c>
      <c r="I12" s="54"/>
      <c r="J12" s="73"/>
      <c r="K12" s="73"/>
      <c r="L12" s="73"/>
    </row>
    <row r="13" spans="1:12" ht="14.45" x14ac:dyDescent="0.35">
      <c r="A13" s="68" t="s">
        <v>383</v>
      </c>
      <c r="B13" s="80">
        <f ca="1">'output Final energy by uses'!B2</f>
        <v>4.0414649999999996</v>
      </c>
      <c r="C13" s="80">
        <f ca="1">'output Final energy by uses'!C2</f>
        <v>3.8785639999999999</v>
      </c>
      <c r="D13" s="80">
        <f ca="1">'output Final energy by uses'!D2</f>
        <v>4.1483999999999996</v>
      </c>
      <c r="E13" s="80">
        <f ca="1">'output Final energy by uses'!E2</f>
        <v>4.4082309999999998</v>
      </c>
      <c r="F13" s="80">
        <f ca="1">'output Final energy by uses'!F2</f>
        <v>4.4542729999999997</v>
      </c>
      <c r="G13" s="80">
        <f ca="1">'output Final energy by uses'!G2</f>
        <v>4.0140650000000004</v>
      </c>
      <c r="H13" s="80">
        <f ca="1">'output Final energy by uses'!H2</f>
        <v>3.0215619999999999</v>
      </c>
      <c r="I13" s="54"/>
      <c r="J13" s="73"/>
      <c r="K13" s="73"/>
      <c r="L13" s="73"/>
    </row>
    <row r="14" spans="1:12" ht="14.45" x14ac:dyDescent="0.35">
      <c r="A14" s="57" t="s">
        <v>388</v>
      </c>
      <c r="B14" s="81">
        <f ca="1">SUM(B6,B9:B11)</f>
        <v>152.68523400000001</v>
      </c>
      <c r="C14" s="81">
        <f t="shared" ref="C14:H14" ca="1" si="2">SUM(C6,C9:C11)</f>
        <v>146.73217099999999</v>
      </c>
      <c r="D14" s="81">
        <f t="shared" ca="1" si="2"/>
        <v>148.21806600000002</v>
      </c>
      <c r="E14" s="81">
        <f t="shared" ca="1" si="2"/>
        <v>151.817353</v>
      </c>
      <c r="F14" s="81">
        <f t="shared" ca="1" si="2"/>
        <v>152.27957700000002</v>
      </c>
      <c r="G14" s="81">
        <f t="shared" ca="1" si="2"/>
        <v>144.37044500000002</v>
      </c>
      <c r="H14" s="81">
        <f t="shared" ca="1" si="2"/>
        <v>129.805646</v>
      </c>
      <c r="I14" s="54"/>
      <c r="J14" s="94">
        <f t="shared" ref="J14:L14" si="3">SUM(J6:J13)</f>
        <v>0</v>
      </c>
      <c r="K14" s="94">
        <f t="shared" si="3"/>
        <v>0</v>
      </c>
      <c r="L14" s="94">
        <f t="shared" si="3"/>
        <v>0</v>
      </c>
    </row>
    <row r="15" spans="1:12" ht="18.600000000000001" x14ac:dyDescent="0.45">
      <c r="A15" s="55"/>
      <c r="B15" s="54"/>
      <c r="C15" s="54"/>
      <c r="D15" s="54"/>
      <c r="E15" s="54"/>
      <c r="F15" s="54"/>
      <c r="G15" s="54"/>
      <c r="H15" s="54"/>
      <c r="I15" s="54"/>
      <c r="J15" s="54"/>
      <c r="K15" s="54"/>
    </row>
    <row r="16" spans="1:12" ht="18.600000000000001" x14ac:dyDescent="0.45">
      <c r="A16" s="55" t="s">
        <v>330</v>
      </c>
      <c r="B16" s="54"/>
      <c r="C16" s="54"/>
      <c r="D16" s="54"/>
      <c r="E16" s="54"/>
      <c r="F16" s="54"/>
      <c r="G16" s="54"/>
      <c r="H16" s="54"/>
      <c r="I16" s="54"/>
      <c r="J16" s="54"/>
      <c r="K16" s="54"/>
    </row>
    <row r="17" spans="1:12" ht="14.45" x14ac:dyDescent="0.35">
      <c r="A17" s="54"/>
      <c r="B17" s="163" t="s">
        <v>387</v>
      </c>
      <c r="C17" s="163"/>
      <c r="D17" s="163"/>
      <c r="E17" s="163"/>
      <c r="F17" s="163"/>
      <c r="G17" s="163"/>
      <c r="H17" s="56"/>
      <c r="I17" s="56"/>
      <c r="J17" s="163" t="s">
        <v>386</v>
      </c>
      <c r="K17" s="163"/>
    </row>
    <row r="18" spans="1:12" ht="14.45" x14ac:dyDescent="0.35">
      <c r="A18" s="54"/>
      <c r="B18" s="54">
        <v>2006</v>
      </c>
      <c r="C18" s="54">
        <v>2010</v>
      </c>
      <c r="D18" s="54">
        <v>2015</v>
      </c>
      <c r="E18" s="54">
        <v>2020</v>
      </c>
      <c r="F18" s="54">
        <v>2030</v>
      </c>
      <c r="G18" s="54">
        <v>2040</v>
      </c>
      <c r="H18" s="66">
        <v>2050</v>
      </c>
      <c r="I18" s="54"/>
      <c r="J18" s="54">
        <v>2010</v>
      </c>
      <c r="K18" s="59">
        <v>2030</v>
      </c>
      <c r="L18" s="59">
        <v>2050</v>
      </c>
    </row>
    <row r="19" spans="1:12" ht="14.45" x14ac:dyDescent="0.35">
      <c r="A19" s="61" t="s">
        <v>437</v>
      </c>
      <c r="B19" s="77">
        <f ca="1">SUM(B20:B21)</f>
        <v>44.530639999999998</v>
      </c>
      <c r="C19" s="77">
        <f t="shared" ref="C19:H19" ca="1" si="4">SUM(C20:C21)</f>
        <v>42.224885999999998</v>
      </c>
      <c r="D19" s="77">
        <f t="shared" ca="1" si="4"/>
        <v>41.402431999999997</v>
      </c>
      <c r="E19" s="77">
        <f t="shared" ca="1" si="4"/>
        <v>39.578343000000004</v>
      </c>
      <c r="F19" s="77">
        <f t="shared" ca="1" si="4"/>
        <v>30.054335000000002</v>
      </c>
      <c r="G19" s="77">
        <f t="shared" ca="1" si="4"/>
        <v>23.142832000000002</v>
      </c>
      <c r="H19" s="77">
        <f t="shared" ca="1" si="4"/>
        <v>16.117604</v>
      </c>
      <c r="I19" s="54"/>
      <c r="J19" s="74">
        <f>SUM(J20:J21)</f>
        <v>49</v>
      </c>
      <c r="K19" s="74">
        <f t="shared" ref="K19:L19" si="5">SUM(K20:K21)</f>
        <v>36</v>
      </c>
      <c r="L19" s="74">
        <f t="shared" si="5"/>
        <v>15</v>
      </c>
    </row>
    <row r="20" spans="1:12" ht="14.45" x14ac:dyDescent="0.35">
      <c r="A20" s="67" t="s">
        <v>526</v>
      </c>
      <c r="B20" s="78">
        <f ca="1">'output Final energy by uses'!B46</f>
        <v>24.139399999999998</v>
      </c>
      <c r="C20" s="78">
        <f ca="1">'output Final energy by uses'!C46</f>
        <v>22.38522</v>
      </c>
      <c r="D20" s="78">
        <f ca="1">'output Final energy by uses'!D46</f>
        <v>20.567399999999999</v>
      </c>
      <c r="E20" s="78">
        <f ca="1">'output Final energy by uses'!E46</f>
        <v>18.491350000000001</v>
      </c>
      <c r="F20" s="78">
        <f ca="1">'output Final energy by uses'!F46</f>
        <v>14.44004</v>
      </c>
      <c r="G20" s="78">
        <f ca="1">'output Final energy by uses'!G46</f>
        <v>12.005050000000001</v>
      </c>
      <c r="H20" s="78">
        <f ca="1">'output Final energy by uses'!H46</f>
        <v>9.1845599999999994</v>
      </c>
      <c r="I20" s="54"/>
      <c r="J20" s="72">
        <v>27</v>
      </c>
      <c r="K20" s="72">
        <v>19</v>
      </c>
      <c r="L20" s="72">
        <v>6</v>
      </c>
    </row>
    <row r="21" spans="1:12" x14ac:dyDescent="0.25">
      <c r="A21" s="68" t="s">
        <v>527</v>
      </c>
      <c r="B21" s="69">
        <f ca="1">SUM('output Final energy by uses'!B39:B43)</f>
        <v>20.39124</v>
      </c>
      <c r="C21" s="69">
        <f ca="1">SUM('output Final energy by uses'!C39:C43)</f>
        <v>19.839665999999998</v>
      </c>
      <c r="D21" s="69">
        <f ca="1">SUM('output Final energy by uses'!D39:D43)</f>
        <v>20.835031999999998</v>
      </c>
      <c r="E21" s="69">
        <f ca="1">SUM('output Final energy by uses'!E39:E43)</f>
        <v>21.086993</v>
      </c>
      <c r="F21" s="69">
        <f ca="1">SUM('output Final energy by uses'!F39:F43)</f>
        <v>15.614295</v>
      </c>
      <c r="G21" s="69">
        <f ca="1">SUM('output Final energy by uses'!G39:G43)</f>
        <v>11.137782000000001</v>
      </c>
      <c r="H21" s="69">
        <f ca="1">SUM('output Final energy by uses'!H39:H43)</f>
        <v>6.9330439999999998</v>
      </c>
      <c r="J21" s="72">
        <v>22</v>
      </c>
      <c r="K21" s="72">
        <v>17</v>
      </c>
      <c r="L21" s="72">
        <v>9</v>
      </c>
    </row>
    <row r="22" spans="1:12" x14ac:dyDescent="0.25">
      <c r="A22" s="57" t="s">
        <v>389</v>
      </c>
      <c r="B22" s="79">
        <f ca="1">'output Final energy by uses'!B47</f>
        <v>44.496510000000001</v>
      </c>
      <c r="C22" s="79">
        <f ca="1">'output Final energy by uses'!C47</f>
        <v>42.190959999999997</v>
      </c>
      <c r="D22" s="79">
        <f ca="1">'output Final energy by uses'!D47</f>
        <v>39.771700000000003</v>
      </c>
      <c r="E22" s="79">
        <f ca="1">'output Final energy by uses'!E47</f>
        <v>37.726010000000002</v>
      </c>
      <c r="F22" s="79">
        <f ca="1">'output Final energy by uses'!F47</f>
        <v>32.785730000000001</v>
      </c>
      <c r="G22" s="79">
        <f ca="1">'output Final energy by uses'!G47</f>
        <v>27.648070000000001</v>
      </c>
      <c r="H22" s="79">
        <f ca="1">'output Final energy by uses'!H47</f>
        <v>23.54401</v>
      </c>
      <c r="I22" s="54"/>
      <c r="J22" s="74">
        <v>44</v>
      </c>
      <c r="K22" s="74">
        <v>33</v>
      </c>
      <c r="L22" s="74">
        <v>22</v>
      </c>
    </row>
    <row r="23" spans="1:12" x14ac:dyDescent="0.25">
      <c r="A23" s="57" t="s">
        <v>525</v>
      </c>
      <c r="B23" s="79">
        <f ca="1">SUM('output Final energy by uses'!B44:B45)</f>
        <v>22.680731000000002</v>
      </c>
      <c r="C23" s="79">
        <f ca="1">SUM('output Final energy by uses'!C44:C45)</f>
        <v>22.728657000000002</v>
      </c>
      <c r="D23" s="79">
        <f ca="1">SUM('output Final energy by uses'!D44:D45)</f>
        <v>23.506475000000002</v>
      </c>
      <c r="E23" s="79">
        <f ca="1">SUM('output Final energy by uses'!E44:E45)</f>
        <v>24.068158999999998</v>
      </c>
      <c r="F23" s="79">
        <f ca="1">SUM('output Final energy by uses'!F44:F45)</f>
        <v>23.468211999999998</v>
      </c>
      <c r="G23" s="79">
        <f ca="1">SUM('output Final energy by uses'!G44:G45)</f>
        <v>21.499534999999998</v>
      </c>
      <c r="H23" s="79">
        <f ca="1">SUM('output Final energy by uses'!H44:H45)</f>
        <v>16.158094000000002</v>
      </c>
      <c r="I23" s="54"/>
      <c r="J23" s="74">
        <v>22.4</v>
      </c>
      <c r="K23" s="74">
        <v>19</v>
      </c>
      <c r="L23" s="74">
        <v>15</v>
      </c>
    </row>
    <row r="24" spans="1:12" x14ac:dyDescent="0.25">
      <c r="A24" s="57" t="s">
        <v>436</v>
      </c>
      <c r="B24" s="79">
        <f t="shared" ref="B24" ca="1" si="6">SUM(B25:B26)</f>
        <v>40.977353000000001</v>
      </c>
      <c r="C24" s="79">
        <f t="shared" ref="C24" ca="1" si="7">SUM(C25:C26)</f>
        <v>39.577394000000005</v>
      </c>
      <c r="D24" s="79">
        <f t="shared" ref="D24" ca="1" si="8">SUM(D25:D26)</f>
        <v>41.502632000000006</v>
      </c>
      <c r="E24" s="79">
        <f t="shared" ref="E24" ca="1" si="9">SUM(E25:E26)</f>
        <v>41.642874999999997</v>
      </c>
      <c r="F24" s="79">
        <f t="shared" ref="F24" ca="1" si="10">SUM(F25:F26)</f>
        <v>39.728777999999998</v>
      </c>
      <c r="G24" s="79">
        <f t="shared" ref="G24" ca="1" si="11">SUM(G25:G26)</f>
        <v>35.401375000000002</v>
      </c>
      <c r="H24" s="79">
        <f t="shared" ref="H24" ca="1" si="12">SUM(H25:H26)</f>
        <v>29.235388000000004</v>
      </c>
      <c r="I24" s="54"/>
      <c r="J24" s="75">
        <f>SUM(J25:J26)</f>
        <v>40.5</v>
      </c>
      <c r="K24" s="75">
        <f>SUM(K25:K26)</f>
        <v>36.200000000000003</v>
      </c>
      <c r="L24" s="75">
        <f>SUM(L25:L26)</f>
        <v>29.7</v>
      </c>
    </row>
    <row r="25" spans="1:12" x14ac:dyDescent="0.25">
      <c r="A25" s="68" t="s">
        <v>438</v>
      </c>
      <c r="B25" s="69">
        <f ca="1">SUM('output Final energy by uses'!B27:B38)</f>
        <v>36.935887999999998</v>
      </c>
      <c r="C25" s="69">
        <f ca="1">SUM('output Final energy by uses'!C27:C38)</f>
        <v>35.698405000000008</v>
      </c>
      <c r="D25" s="69">
        <f ca="1">SUM('output Final energy by uses'!D27:D38)</f>
        <v>37.385561000000003</v>
      </c>
      <c r="E25" s="69">
        <f ca="1">SUM('output Final energy by uses'!E27:E38)</f>
        <v>37.476739999999999</v>
      </c>
      <c r="F25" s="69">
        <f ca="1">SUM('output Final energy by uses'!F27:F38)</f>
        <v>36.488740999999997</v>
      </c>
      <c r="G25" s="69">
        <f ca="1">SUM('output Final energy by uses'!G27:G38)</f>
        <v>33.070196000000003</v>
      </c>
      <c r="H25" s="69">
        <f ca="1">SUM('output Final energy by uses'!H27:H38)</f>
        <v>27.960469000000003</v>
      </c>
      <c r="I25" s="54"/>
      <c r="J25" s="73">
        <v>36.5</v>
      </c>
      <c r="K25" s="73">
        <v>33.200000000000003</v>
      </c>
      <c r="L25" s="73">
        <v>26.7</v>
      </c>
    </row>
    <row r="26" spans="1:12" x14ac:dyDescent="0.25">
      <c r="A26" s="68" t="s">
        <v>383</v>
      </c>
      <c r="B26" s="80">
        <f ca="1">'output Final energy by uses'!B26</f>
        <v>4.0414649999999996</v>
      </c>
      <c r="C26" s="80">
        <f ca="1">'output Final energy by uses'!C26</f>
        <v>3.8789889999999998</v>
      </c>
      <c r="D26" s="80">
        <f ca="1">'output Final energy by uses'!D26</f>
        <v>4.1170710000000001</v>
      </c>
      <c r="E26" s="80">
        <f ca="1">'output Final energy by uses'!E26</f>
        <v>4.1661349999999997</v>
      </c>
      <c r="F26" s="80">
        <f ca="1">'output Final energy by uses'!F26</f>
        <v>3.2400370000000001</v>
      </c>
      <c r="G26" s="80">
        <f ca="1">'output Final energy by uses'!G26</f>
        <v>2.3311790000000001</v>
      </c>
      <c r="H26" s="80">
        <f ca="1">'output Final energy by uses'!H26</f>
        <v>1.2749189999999999</v>
      </c>
      <c r="I26" s="54"/>
      <c r="J26" s="73">
        <v>4</v>
      </c>
      <c r="K26" s="73">
        <v>3</v>
      </c>
      <c r="L26" s="73">
        <v>3</v>
      </c>
    </row>
    <row r="27" spans="1:12" x14ac:dyDescent="0.25">
      <c r="A27" s="57" t="s">
        <v>388</v>
      </c>
      <c r="B27" s="81">
        <f ca="1">SUM(B19,B22:B24)</f>
        <v>152.68523400000001</v>
      </c>
      <c r="C27" s="81">
        <f t="shared" ref="C27:G27" ca="1" si="13">SUM(C19,C22:C24)</f>
        <v>146.72189699999998</v>
      </c>
      <c r="D27" s="81">
        <f t="shared" ca="1" si="13"/>
        <v>146.18323900000001</v>
      </c>
      <c r="E27" s="81">
        <f t="shared" ca="1" si="13"/>
        <v>143.015387</v>
      </c>
      <c r="F27" s="81">
        <f t="shared" ca="1" si="13"/>
        <v>126.03705500000001</v>
      </c>
      <c r="G27" s="81">
        <f t="shared" ca="1" si="13"/>
        <v>107.691812</v>
      </c>
      <c r="H27" s="81">
        <f ca="1">SUM(H19,H22:H24)</f>
        <v>85.055096000000006</v>
      </c>
      <c r="I27" s="54"/>
      <c r="J27" s="94">
        <f>SUM(J19,J22:J24)</f>
        <v>155.9</v>
      </c>
      <c r="K27" s="94">
        <f t="shared" ref="K27:L27" si="14">SUM(K19,K22:K24)</f>
        <v>124.2</v>
      </c>
      <c r="L27" s="94">
        <f t="shared" si="14"/>
        <v>81.7</v>
      </c>
    </row>
  </sheetData>
  <mergeCells count="4">
    <mergeCell ref="B4:G4"/>
    <mergeCell ref="J4:K4"/>
    <mergeCell ref="B17:G17"/>
    <mergeCell ref="J17:K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/>
  </sheetPr>
  <dimension ref="A1:K41"/>
  <sheetViews>
    <sheetView workbookViewId="0">
      <selection activeCell="K26" sqref="K26"/>
    </sheetView>
  </sheetViews>
  <sheetFormatPr baseColWidth="10" defaultRowHeight="15" x14ac:dyDescent="0.25"/>
  <cols>
    <col min="2" max="2" width="34.5703125" customWidth="1"/>
    <col min="3" max="3" width="25" hidden="1" customWidth="1"/>
    <col min="4" max="4" width="4.85546875" customWidth="1"/>
    <col min="5" max="6" width="10.85546875" hidden="1" customWidth="1"/>
    <col min="7" max="11" width="12" customWidth="1"/>
  </cols>
  <sheetData>
    <row r="1" spans="1:11" ht="23.45" x14ac:dyDescent="0.55000000000000004">
      <c r="A1" s="4" t="s">
        <v>382</v>
      </c>
      <c r="B1" s="1"/>
      <c r="C1" s="1"/>
      <c r="D1" s="1"/>
    </row>
    <row r="2" spans="1:11" ht="23.45" x14ac:dyDescent="0.55000000000000004">
      <c r="A2" s="4"/>
      <c r="B2" s="1"/>
      <c r="C2" s="1"/>
      <c r="D2" s="1"/>
    </row>
    <row r="3" spans="1:11" ht="23.45" x14ac:dyDescent="0.55000000000000004">
      <c r="A3" s="4"/>
      <c r="B3" s="3" t="s">
        <v>330</v>
      </c>
      <c r="C3" s="1"/>
      <c r="D3" s="1"/>
    </row>
    <row r="4" spans="1:11" ht="14.45" x14ac:dyDescent="0.35">
      <c r="B4" s="1"/>
      <c r="C4" s="1"/>
      <c r="D4" s="1"/>
    </row>
    <row r="5" spans="1:11" ht="15.95" customHeight="1" x14ac:dyDescent="0.35">
      <c r="B5" s="50"/>
      <c r="C5" s="51"/>
      <c r="D5" s="51"/>
      <c r="E5" s="52">
        <v>2006</v>
      </c>
      <c r="F5" s="52">
        <v>2010</v>
      </c>
      <c r="G5" s="50">
        <v>2015</v>
      </c>
      <c r="H5" s="50">
        <v>2020</v>
      </c>
      <c r="I5" s="50">
        <v>2030</v>
      </c>
      <c r="J5" s="50">
        <v>2040</v>
      </c>
      <c r="K5" s="50">
        <v>2050</v>
      </c>
    </row>
    <row r="6" spans="1:11" ht="15.95" customHeight="1" x14ac:dyDescent="0.35">
      <c r="B6" s="44" t="s">
        <v>283</v>
      </c>
      <c r="C6" s="45" t="s">
        <v>267</v>
      </c>
      <c r="D6" s="44" t="s">
        <v>1065</v>
      </c>
      <c r="E6" s="48">
        <f t="shared" ref="E6:K15" ca="1" si="0">Output("SCEN_ADEMEhaut", $C6, E$5)</f>
        <v>0</v>
      </c>
      <c r="F6" s="48">
        <f t="shared" ca="1" si="0"/>
        <v>1.1790999999999999E-2</v>
      </c>
      <c r="G6" s="48">
        <f t="shared" ca="1" si="0"/>
        <v>0.45549699999999999</v>
      </c>
      <c r="H6" s="48">
        <f t="shared" ca="1" si="0"/>
        <v>0.94635800000000003</v>
      </c>
      <c r="I6" s="48">
        <f t="shared" ca="1" si="0"/>
        <v>1.757061</v>
      </c>
      <c r="J6" s="48">
        <f t="shared" ca="1" si="0"/>
        <v>1.6951430000000001</v>
      </c>
      <c r="K6" s="48">
        <f t="shared" ca="1" si="0"/>
        <v>2.6619000000000002</v>
      </c>
    </row>
    <row r="7" spans="1:11" ht="15.95" customHeight="1" x14ac:dyDescent="0.35">
      <c r="B7" s="41" t="s">
        <v>284</v>
      </c>
      <c r="C7" s="22" t="s">
        <v>71</v>
      </c>
      <c r="D7" s="41" t="s">
        <v>1065</v>
      </c>
      <c r="E7" s="42">
        <f t="shared" ca="1" si="0"/>
        <v>0</v>
      </c>
      <c r="F7" s="42">
        <f t="shared" ca="1" si="0"/>
        <v>2.1142000000000001E-2</v>
      </c>
      <c r="G7" s="42">
        <f t="shared" ca="1" si="0"/>
        <v>0.590584</v>
      </c>
      <c r="H7" s="42">
        <f t="shared" ca="1" si="0"/>
        <v>1.3706929999999999</v>
      </c>
      <c r="I7" s="42">
        <f t="shared" ca="1" si="0"/>
        <v>2.5120110000000002</v>
      </c>
      <c r="J7" s="42">
        <f t="shared" ca="1" si="0"/>
        <v>5.2826899999999997</v>
      </c>
      <c r="K7" s="42">
        <f t="shared" ca="1" si="0"/>
        <v>10.200279999999999</v>
      </c>
    </row>
    <row r="8" spans="1:11" ht="15.95" customHeight="1" x14ac:dyDescent="0.35">
      <c r="B8" s="41" t="s">
        <v>72</v>
      </c>
      <c r="C8" s="22" t="s">
        <v>72</v>
      </c>
      <c r="D8" s="41" t="s">
        <v>1065</v>
      </c>
      <c r="E8" s="42">
        <f t="shared" ca="1" si="0"/>
        <v>0</v>
      </c>
      <c r="F8" s="42">
        <f t="shared" ca="1" si="0"/>
        <v>1.03E-2</v>
      </c>
      <c r="G8" s="42">
        <f t="shared" ca="1" si="0"/>
        <v>0.70430700000000002</v>
      </c>
      <c r="H8" s="42">
        <f t="shared" ca="1" si="0"/>
        <v>2.2750659999999998</v>
      </c>
      <c r="I8" s="42">
        <f t="shared" ca="1" si="0"/>
        <v>8.4634789999999995</v>
      </c>
      <c r="J8" s="42">
        <f t="shared" ca="1" si="0"/>
        <v>12.32037</v>
      </c>
      <c r="K8" s="42">
        <f t="shared" ca="1" si="0"/>
        <v>16.12454</v>
      </c>
    </row>
    <row r="9" spans="1:11" ht="15.95" customHeight="1" x14ac:dyDescent="0.35">
      <c r="B9" s="41" t="s">
        <v>73</v>
      </c>
      <c r="C9" s="22" t="s">
        <v>73</v>
      </c>
      <c r="D9" s="41" t="s">
        <v>1065</v>
      </c>
      <c r="E9" s="42">
        <f t="shared" ca="1" si="0"/>
        <v>0</v>
      </c>
      <c r="F9" s="42">
        <f t="shared" ca="1" si="0"/>
        <v>-1.263E-3</v>
      </c>
      <c r="G9" s="42">
        <f t="shared" ca="1" si="0"/>
        <v>-3.7777999999999999E-2</v>
      </c>
      <c r="H9" s="42">
        <f t="shared" ca="1" si="0"/>
        <v>-0.51762699999999995</v>
      </c>
      <c r="I9" s="42">
        <f t="shared" ca="1" si="0"/>
        <v>-3.2024149999999998</v>
      </c>
      <c r="J9" s="42">
        <f t="shared" ca="1" si="0"/>
        <v>-9.3899989999999995</v>
      </c>
      <c r="K9" s="42">
        <f t="shared" ca="1" si="0"/>
        <v>-16.50346</v>
      </c>
    </row>
    <row r="10" spans="1:11" ht="15.95" customHeight="1" x14ac:dyDescent="0.35">
      <c r="B10" s="41" t="s">
        <v>268</v>
      </c>
      <c r="C10" s="22" t="s">
        <v>268</v>
      </c>
      <c r="D10" s="41" t="s">
        <v>1065</v>
      </c>
      <c r="E10" s="42">
        <f t="shared" ca="1" si="0"/>
        <v>0</v>
      </c>
      <c r="F10" s="42">
        <f t="shared" ca="1" si="0"/>
        <v>9.3749999999999997E-3</v>
      </c>
      <c r="G10" s="42">
        <f t="shared" ca="1" si="0"/>
        <v>-9.4249999999999994E-3</v>
      </c>
      <c r="H10" s="42">
        <f t="shared" ca="1" si="0"/>
        <v>0.29894999999999999</v>
      </c>
      <c r="I10" s="42">
        <f t="shared" ca="1" si="0"/>
        <v>0.75400400000000001</v>
      </c>
      <c r="J10" s="42">
        <f t="shared" ca="1" si="0"/>
        <v>4.4696410000000002</v>
      </c>
      <c r="K10" s="42">
        <f t="shared" ca="1" si="0"/>
        <v>9.2372650000000007</v>
      </c>
    </row>
    <row r="11" spans="1:11" ht="15.95" customHeight="1" x14ac:dyDescent="0.35">
      <c r="B11" s="41" t="s">
        <v>275</v>
      </c>
      <c r="C11" s="22" t="s">
        <v>276</v>
      </c>
      <c r="D11" s="41" t="s">
        <v>1066</v>
      </c>
      <c r="E11" s="42">
        <f t="shared" ca="1" si="0"/>
        <v>0</v>
      </c>
      <c r="F11" s="42">
        <f t="shared" ca="1" si="0"/>
        <v>-7.7140000000000004E-3</v>
      </c>
      <c r="G11" s="42">
        <f t="shared" ca="1" si="0"/>
        <v>-0.211063</v>
      </c>
      <c r="H11" s="42">
        <f t="shared" ca="1" si="0"/>
        <v>-0.88587300000000002</v>
      </c>
      <c r="I11" s="42">
        <f t="shared" ca="1" si="0"/>
        <v>-1.5679529999999999</v>
      </c>
      <c r="J11" s="42">
        <f t="shared" ca="1" si="0"/>
        <v>-1.5925560000000001</v>
      </c>
      <c r="K11" s="42">
        <f t="shared" ca="1" si="0"/>
        <v>-2.026573</v>
      </c>
    </row>
    <row r="12" spans="1:11" ht="15.95" customHeight="1" x14ac:dyDescent="0.35">
      <c r="B12" s="41" t="s">
        <v>269</v>
      </c>
      <c r="C12" s="22" t="s">
        <v>269</v>
      </c>
      <c r="D12" s="41" t="s">
        <v>1065</v>
      </c>
      <c r="E12" s="42">
        <f t="shared" ca="1" si="0"/>
        <v>0</v>
      </c>
      <c r="F12" s="42">
        <f t="shared" ca="1" si="0"/>
        <v>7.6949999999999996E-3</v>
      </c>
      <c r="G12" s="42">
        <f t="shared" ca="1" si="0"/>
        <v>0.21266499999999999</v>
      </c>
      <c r="H12" s="42">
        <f t="shared" ca="1" si="0"/>
        <v>0.789995</v>
      </c>
      <c r="I12" s="42">
        <f t="shared" ca="1" si="0"/>
        <v>1.3758159999999999</v>
      </c>
      <c r="J12" s="42">
        <f t="shared" ca="1" si="0"/>
        <v>1.3891009999999999</v>
      </c>
      <c r="K12" s="42">
        <f t="shared" ca="1" si="0"/>
        <v>1.920342</v>
      </c>
    </row>
    <row r="13" spans="1:11" ht="15.95" customHeight="1" x14ac:dyDescent="0.35">
      <c r="B13" s="41" t="s">
        <v>285</v>
      </c>
      <c r="C13" s="22" t="s">
        <v>270</v>
      </c>
      <c r="D13" s="41" t="s">
        <v>1065</v>
      </c>
      <c r="E13" s="42">
        <f t="shared" ca="1" si="0"/>
        <v>0</v>
      </c>
      <c r="F13" s="42">
        <f t="shared" ca="1" si="0"/>
        <v>4.8190000000000004E-3</v>
      </c>
      <c r="G13" s="42">
        <f t="shared" ca="1" si="0"/>
        <v>-0.27700599999999997</v>
      </c>
      <c r="H13" s="42">
        <f t="shared" ca="1" si="0"/>
        <v>0.29974800000000001</v>
      </c>
      <c r="I13" s="42">
        <f t="shared" ca="1" si="0"/>
        <v>-0.58577599999999996</v>
      </c>
      <c r="J13" s="42">
        <f t="shared" ca="1" si="0"/>
        <v>0.72158299999999997</v>
      </c>
      <c r="K13" s="42">
        <f t="shared" ca="1" si="0"/>
        <v>1.027917</v>
      </c>
    </row>
    <row r="14" spans="1:11" ht="15.95" customHeight="1" x14ac:dyDescent="0.35">
      <c r="B14" s="41" t="s">
        <v>271</v>
      </c>
      <c r="C14" s="22" t="s">
        <v>271</v>
      </c>
      <c r="D14" s="41" t="s">
        <v>1065</v>
      </c>
      <c r="E14" s="42">
        <f t="shared" ca="1" si="0"/>
        <v>0</v>
      </c>
      <c r="F14" s="42">
        <f t="shared" ca="1" si="0"/>
        <v>4.947E-3</v>
      </c>
      <c r="G14" s="42">
        <f t="shared" ca="1" si="0"/>
        <v>0.41536800000000001</v>
      </c>
      <c r="H14" s="42">
        <f t="shared" ca="1" si="0"/>
        <v>1.978437</v>
      </c>
      <c r="I14" s="42">
        <f t="shared" ca="1" si="0"/>
        <v>9.2726609999999994</v>
      </c>
      <c r="J14" s="42">
        <f t="shared" ca="1" si="0"/>
        <v>23.161079999999998</v>
      </c>
      <c r="K14" s="42">
        <f t="shared" ca="1" si="0"/>
        <v>42.623629999999999</v>
      </c>
    </row>
    <row r="15" spans="1:11" ht="15.95" customHeight="1" x14ac:dyDescent="0.35">
      <c r="B15" s="41" t="s">
        <v>286</v>
      </c>
      <c r="C15" s="22" t="s">
        <v>272</v>
      </c>
      <c r="D15" s="41" t="s">
        <v>1066</v>
      </c>
      <c r="E15" s="42">
        <f t="shared" ca="1" si="0"/>
        <v>0</v>
      </c>
      <c r="F15" s="42">
        <f t="shared" ca="1" si="0"/>
        <v>0</v>
      </c>
      <c r="G15" s="42">
        <f t="shared" ca="1" si="0"/>
        <v>0</v>
      </c>
      <c r="H15" s="42">
        <f t="shared" ca="1" si="0"/>
        <v>0</v>
      </c>
      <c r="I15" s="42">
        <f t="shared" ca="1" si="0"/>
        <v>0</v>
      </c>
      <c r="J15" s="42">
        <f t="shared" ca="1" si="0"/>
        <v>0</v>
      </c>
      <c r="K15" s="42">
        <f t="shared" ca="1" si="0"/>
        <v>0</v>
      </c>
    </row>
    <row r="16" spans="1:11" ht="15.95" customHeight="1" x14ac:dyDescent="0.35">
      <c r="B16" s="41" t="s">
        <v>1067</v>
      </c>
      <c r="C16" s="22" t="s">
        <v>273</v>
      </c>
      <c r="D16" s="41" t="s">
        <v>1068</v>
      </c>
      <c r="E16" s="42">
        <f t="shared" ref="E16:K25" ca="1" si="1">Output("SCEN_ADEMEhaut", $C16, E$5)</f>
        <v>0</v>
      </c>
      <c r="F16" s="42">
        <f t="shared" ca="1" si="1"/>
        <v>-1.2675000000000001E-2</v>
      </c>
      <c r="G16" s="42">
        <f t="shared" ca="1" si="1"/>
        <v>-0.67762800000000001</v>
      </c>
      <c r="H16" s="42">
        <f t="shared" ca="1" si="1"/>
        <v>-4.0704359999999999</v>
      </c>
      <c r="I16" s="42">
        <f t="shared" ca="1" si="1"/>
        <v>-13.29754</v>
      </c>
      <c r="J16" s="42">
        <f t="shared" ca="1" si="1"/>
        <v>-29.723569999999999</v>
      </c>
      <c r="K16" s="42">
        <f t="shared" ca="1" si="1"/>
        <v>-55.267989999999998</v>
      </c>
    </row>
    <row r="17" spans="2:11" ht="15.95" customHeight="1" x14ac:dyDescent="0.35">
      <c r="B17" s="47" t="s">
        <v>287</v>
      </c>
      <c r="C17" s="23" t="s">
        <v>274</v>
      </c>
      <c r="D17" s="41" t="s">
        <v>1068</v>
      </c>
      <c r="E17" s="49">
        <f t="shared" ca="1" si="1"/>
        <v>0</v>
      </c>
      <c r="F17" s="49">
        <f t="shared" ca="1" si="1"/>
        <v>-1.127E-3</v>
      </c>
      <c r="G17" s="49">
        <f t="shared" ca="1" si="1"/>
        <v>-0.122684</v>
      </c>
      <c r="H17" s="49">
        <f t="shared" ca="1" si="1"/>
        <v>-0.59179700000000002</v>
      </c>
      <c r="I17" s="49">
        <f t="shared" ca="1" si="1"/>
        <v>-1.226872</v>
      </c>
      <c r="J17" s="49">
        <f t="shared" ca="1" si="1"/>
        <v>-2.082379</v>
      </c>
      <c r="K17" s="49">
        <f t="shared" ca="1" si="1"/>
        <v>-3.674334</v>
      </c>
    </row>
    <row r="18" spans="2:11" ht="15.95" customHeight="1" x14ac:dyDescent="0.35">
      <c r="B18" s="44" t="s">
        <v>288</v>
      </c>
      <c r="C18" s="45" t="s">
        <v>277</v>
      </c>
      <c r="D18" s="44"/>
      <c r="E18" s="46">
        <f t="shared" ca="1" si="1"/>
        <v>100</v>
      </c>
      <c r="F18" s="46">
        <f t="shared" ca="1" si="1"/>
        <v>103.2877</v>
      </c>
      <c r="G18" s="46">
        <f t="shared" ca="1" si="1"/>
        <v>111.1549</v>
      </c>
      <c r="H18" s="46">
        <f t="shared" ca="1" si="1"/>
        <v>121.67700000000001</v>
      </c>
      <c r="I18" s="46">
        <f t="shared" ca="1" si="1"/>
        <v>143.4873</v>
      </c>
      <c r="J18" s="46">
        <f t="shared" ca="1" si="1"/>
        <v>163.81209999999999</v>
      </c>
      <c r="K18" s="46">
        <f t="shared" ca="1" si="1"/>
        <v>191.73670000000001</v>
      </c>
    </row>
    <row r="19" spans="2:11" ht="15.95" customHeight="1" x14ac:dyDescent="0.35">
      <c r="B19" s="41" t="s">
        <v>278</v>
      </c>
      <c r="C19" s="22" t="s">
        <v>278</v>
      </c>
      <c r="D19" s="41" t="s">
        <v>1065</v>
      </c>
      <c r="E19" s="43">
        <f t="shared" ca="1" si="1"/>
        <v>0</v>
      </c>
      <c r="F19" s="43">
        <f t="shared" ca="1" si="1"/>
        <v>-0.46825600000000001</v>
      </c>
      <c r="G19" s="43">
        <f t="shared" ca="1" si="1"/>
        <v>-6.9845550000000003</v>
      </c>
      <c r="H19" s="43">
        <f t="shared" ca="1" si="1"/>
        <v>-15.984859999999999</v>
      </c>
      <c r="I19" s="43">
        <f t="shared" ca="1" si="1"/>
        <v>-38.312600000000003</v>
      </c>
      <c r="J19" s="43">
        <f t="shared" ca="1" si="1"/>
        <v>-60.796190000000003</v>
      </c>
      <c r="K19" s="43">
        <f t="shared" ca="1" si="1"/>
        <v>-70.956710000000001</v>
      </c>
    </row>
    <row r="20" spans="2:11" ht="15.95" customHeight="1" x14ac:dyDescent="0.35">
      <c r="B20" s="41" t="s">
        <v>289</v>
      </c>
      <c r="C20" s="22" t="s">
        <v>279</v>
      </c>
      <c r="D20" s="41"/>
      <c r="E20" s="43">
        <f t="shared" ca="1" si="1"/>
        <v>100</v>
      </c>
      <c r="F20" s="43">
        <f t="shared" ca="1" si="1"/>
        <v>91.995840000000001</v>
      </c>
      <c r="G20" s="43">
        <f t="shared" ca="1" si="1"/>
        <v>87.188810000000004</v>
      </c>
      <c r="H20" s="43">
        <f t="shared" ca="1" si="1"/>
        <v>80.559780000000003</v>
      </c>
      <c r="I20" s="43">
        <f t="shared" ca="1" si="1"/>
        <v>58.437959999999997</v>
      </c>
      <c r="J20" s="43">
        <f t="shared" ca="1" si="1"/>
        <v>34.343769999999999</v>
      </c>
      <c r="K20" s="43">
        <f t="shared" ca="1" si="1"/>
        <v>22.374739999999999</v>
      </c>
    </row>
    <row r="21" spans="2:11" ht="15.95" customHeight="1" x14ac:dyDescent="0.35">
      <c r="B21" s="41" t="s">
        <v>1070</v>
      </c>
      <c r="C21" s="22" t="s">
        <v>280</v>
      </c>
      <c r="D21" s="41" t="s">
        <v>1069</v>
      </c>
      <c r="E21" s="43">
        <f t="shared" ca="1" si="1"/>
        <v>0</v>
      </c>
      <c r="F21" s="43">
        <f t="shared" ca="1" si="1"/>
        <v>0</v>
      </c>
      <c r="G21" s="43">
        <f t="shared" ca="1" si="1"/>
        <v>30</v>
      </c>
      <c r="H21" s="43">
        <f t="shared" ca="1" si="1"/>
        <v>56.444600000000001</v>
      </c>
      <c r="I21" s="43">
        <f t="shared" ca="1" si="1"/>
        <v>301.0102</v>
      </c>
      <c r="J21" s="43">
        <f t="shared" ca="1" si="1"/>
        <v>444.04390000000001</v>
      </c>
      <c r="K21" s="43">
        <f t="shared" ca="1" si="1"/>
        <v>541.97280000000001</v>
      </c>
    </row>
    <row r="22" spans="2:11" ht="15.95" customHeight="1" x14ac:dyDescent="0.35">
      <c r="B22" s="113" t="s">
        <v>702</v>
      </c>
      <c r="C22" s="22" t="s">
        <v>705</v>
      </c>
      <c r="D22" s="41"/>
      <c r="E22" s="43">
        <f t="shared" ca="1" si="1"/>
        <v>0</v>
      </c>
      <c r="F22" s="43">
        <f t="shared" ca="1" si="1"/>
        <v>0</v>
      </c>
      <c r="G22" s="43">
        <f t="shared" ca="1" si="1"/>
        <v>30</v>
      </c>
      <c r="H22" s="43">
        <f t="shared" ca="1" si="1"/>
        <v>50</v>
      </c>
      <c r="I22" s="43">
        <f t="shared" ca="1" si="1"/>
        <v>100</v>
      </c>
      <c r="J22" s="43">
        <f t="shared" ca="1" si="1"/>
        <v>100</v>
      </c>
      <c r="K22" s="43">
        <f t="shared" ca="1" si="1"/>
        <v>100</v>
      </c>
    </row>
    <row r="23" spans="2:11" ht="15.95" customHeight="1" x14ac:dyDescent="0.35">
      <c r="B23" s="113" t="s">
        <v>703</v>
      </c>
      <c r="C23" s="22" t="s">
        <v>706</v>
      </c>
      <c r="D23" s="41"/>
      <c r="E23" s="43">
        <f t="shared" ca="1" si="1"/>
        <v>0</v>
      </c>
      <c r="F23" s="43">
        <f t="shared" ca="1" si="1"/>
        <v>0</v>
      </c>
      <c r="G23" s="43">
        <f t="shared" ca="1" si="1"/>
        <v>30</v>
      </c>
      <c r="H23" s="43">
        <f t="shared" ca="1" si="1"/>
        <v>60</v>
      </c>
      <c r="I23" s="43">
        <f t="shared" ca="1" si="1"/>
        <v>400</v>
      </c>
      <c r="J23" s="43">
        <f t="shared" ca="1" si="1"/>
        <v>692.82029999999997</v>
      </c>
      <c r="K23" s="43">
        <f t="shared" ca="1" si="1"/>
        <v>1200</v>
      </c>
    </row>
    <row r="24" spans="2:11" ht="15.95" customHeight="1" x14ac:dyDescent="0.35">
      <c r="B24" s="113" t="s">
        <v>704</v>
      </c>
      <c r="C24" s="22" t="s">
        <v>707</v>
      </c>
      <c r="D24" s="41"/>
      <c r="E24" s="43">
        <f t="shared" ca="1" si="1"/>
        <v>0</v>
      </c>
      <c r="F24" s="43">
        <f t="shared" ca="1" si="1"/>
        <v>0</v>
      </c>
      <c r="G24" s="43">
        <f t="shared" ca="1" si="1"/>
        <v>30</v>
      </c>
      <c r="H24" s="43">
        <f t="shared" ca="1" si="1"/>
        <v>50</v>
      </c>
      <c r="I24" s="43">
        <f t="shared" ca="1" si="1"/>
        <v>120</v>
      </c>
      <c r="J24" s="43">
        <f t="shared" ca="1" si="1"/>
        <v>173.20509999999999</v>
      </c>
      <c r="K24" s="43">
        <f t="shared" ca="1" si="1"/>
        <v>250</v>
      </c>
    </row>
    <row r="25" spans="2:11" ht="15.95" customHeight="1" x14ac:dyDescent="0.35">
      <c r="B25" s="41" t="s">
        <v>291</v>
      </c>
      <c r="C25" s="22" t="s">
        <v>281</v>
      </c>
      <c r="D25" s="41" t="s">
        <v>1068</v>
      </c>
      <c r="E25" s="42">
        <f t="shared" ca="1" si="1"/>
        <v>0</v>
      </c>
      <c r="F25" s="42">
        <f t="shared" ca="1" si="1"/>
        <v>0</v>
      </c>
      <c r="G25" s="42">
        <f t="shared" ca="1" si="1"/>
        <v>0.51876199999999995</v>
      </c>
      <c r="H25" s="42">
        <f t="shared" ca="1" si="1"/>
        <v>0.82122700000000004</v>
      </c>
      <c r="I25" s="42">
        <f t="shared" ca="1" si="1"/>
        <v>2.6152350000000002</v>
      </c>
      <c r="J25" s="42">
        <f t="shared" ca="1" si="1"/>
        <v>1.8004359999999999</v>
      </c>
      <c r="K25" s="42">
        <f t="shared" ca="1" si="1"/>
        <v>1.0780270000000001</v>
      </c>
    </row>
    <row r="26" spans="2:11" ht="15.95" customHeight="1" x14ac:dyDescent="0.35">
      <c r="B26" s="47" t="s">
        <v>290</v>
      </c>
      <c r="C26" s="23" t="s">
        <v>282</v>
      </c>
      <c r="D26" s="41" t="s">
        <v>1071</v>
      </c>
      <c r="E26" s="117">
        <f ca="1">Output("SCEN_ADEMEhaut", $C26, E$5)/1000</f>
        <v>0</v>
      </c>
      <c r="F26" s="117">
        <f t="shared" ref="F26:K26" ca="1" si="2">Output("SCEN_ADEMEhaut", $C26, F$5)/1000</f>
        <v>0</v>
      </c>
      <c r="G26" s="117">
        <f t="shared" ca="1" si="2"/>
        <v>10.4223</v>
      </c>
      <c r="H26" s="117">
        <f t="shared" ca="1" si="2"/>
        <v>18.060890000000001</v>
      </c>
      <c r="I26" s="117">
        <f ca="1">Output("SCEN_ADEMEhaut", $C26, I$5)/1000</f>
        <v>67.825299999999999</v>
      </c>
      <c r="J26" s="117">
        <f t="shared" ca="1" si="2"/>
        <v>53.307830000000003</v>
      </c>
      <c r="K26" s="117">
        <f t="shared" ca="1" si="2"/>
        <v>37.359580000000001</v>
      </c>
    </row>
    <row r="27" spans="2:11" ht="14.45" x14ac:dyDescent="0.35">
      <c r="B27" s="120" t="s">
        <v>725</v>
      </c>
      <c r="C27" s="122" t="s">
        <v>713</v>
      </c>
      <c r="D27" s="44"/>
      <c r="E27" s="118">
        <f t="shared" ref="E27:K36" ca="1" si="3">Output("SCEN_ADEMEhaut", $C27, E$5)</f>
        <v>177.6079</v>
      </c>
      <c r="F27" s="118">
        <f t="shared" ref="F27:J31" ca="1" si="4">Output("SCEN_ADEMEhaut", $C27, F$5)</f>
        <v>166.9186</v>
      </c>
      <c r="G27" s="118">
        <f t="shared" ca="1" si="4"/>
        <v>224.1103</v>
      </c>
      <c r="H27" s="118">
        <f t="shared" ca="1" si="4"/>
        <v>294.60660000000001</v>
      </c>
      <c r="I27" s="118">
        <f t="shared" ca="1" si="4"/>
        <v>827.06240000000003</v>
      </c>
      <c r="J27" s="118">
        <f t="shared" ca="1" si="4"/>
        <v>1154.9079999999999</v>
      </c>
      <c r="K27" s="118">
        <f t="shared" ref="K27:K31" ca="1" si="5">Output("SCEN_ADEMEhaut", $C27, K$5)</f>
        <v>2440.5819999999999</v>
      </c>
    </row>
    <row r="28" spans="2:11" ht="14.45" x14ac:dyDescent="0.35">
      <c r="B28" s="119" t="s">
        <v>709</v>
      </c>
      <c r="C28" s="122" t="s">
        <v>714</v>
      </c>
      <c r="D28" s="41"/>
      <c r="E28" s="118">
        <f t="shared" ca="1" si="3"/>
        <v>1.2024030000000001</v>
      </c>
      <c r="F28" s="118">
        <f t="shared" ca="1" si="4"/>
        <v>1.206998</v>
      </c>
      <c r="G28" s="118">
        <f t="shared" ca="1" si="4"/>
        <v>297.97789999999998</v>
      </c>
      <c r="H28" s="118">
        <f t="shared" ca="1" si="4"/>
        <v>370.63339999999999</v>
      </c>
      <c r="I28" s="118">
        <f t="shared" ca="1" si="4"/>
        <v>634.9932</v>
      </c>
      <c r="J28" s="118">
        <f t="shared" ca="1" si="4"/>
        <v>609.62080000000003</v>
      </c>
      <c r="K28" s="118">
        <f t="shared" ca="1" si="5"/>
        <v>555.67089999999996</v>
      </c>
    </row>
    <row r="29" spans="2:11" ht="14.45" x14ac:dyDescent="0.35">
      <c r="B29" s="119" t="s">
        <v>325</v>
      </c>
      <c r="C29" s="122" t="s">
        <v>715</v>
      </c>
      <c r="D29" s="41"/>
      <c r="E29" s="118">
        <f t="shared" ca="1" si="3"/>
        <v>386.89389999999997</v>
      </c>
      <c r="F29" s="118">
        <f t="shared" ca="1" si="4"/>
        <v>366.23509999999999</v>
      </c>
      <c r="G29" s="118">
        <f t="shared" ca="1" si="4"/>
        <v>439.012</v>
      </c>
      <c r="H29" s="118">
        <f t="shared" ca="1" si="4"/>
        <v>515.58280000000002</v>
      </c>
      <c r="I29" s="118">
        <f t="shared" ca="1" si="4"/>
        <v>1555.24</v>
      </c>
      <c r="J29" s="118">
        <f t="shared" ca="1" si="4"/>
        <v>2439.6469999999999</v>
      </c>
      <c r="K29" s="118">
        <f t="shared" ca="1" si="5"/>
        <v>6898.0060000000003</v>
      </c>
    </row>
    <row r="30" spans="2:11" ht="14.45" x14ac:dyDescent="0.35">
      <c r="B30" s="119" t="s">
        <v>711</v>
      </c>
      <c r="C30" s="122" t="s">
        <v>716</v>
      </c>
      <c r="D30" s="41"/>
      <c r="E30" s="118">
        <f t="shared" ca="1" si="3"/>
        <v>50.994480000000003</v>
      </c>
      <c r="F30" s="118">
        <f t="shared" ca="1" si="4"/>
        <v>48.987029999999997</v>
      </c>
      <c r="G30" s="118">
        <f t="shared" ca="1" si="4"/>
        <v>49.034939999999999</v>
      </c>
      <c r="H30" s="118">
        <f t="shared" ca="1" si="4"/>
        <v>156.1534</v>
      </c>
      <c r="I30" s="118">
        <f t="shared" ca="1" si="4"/>
        <v>683.08789999999999</v>
      </c>
      <c r="J30" s="118">
        <f t="shared" ca="1" si="4"/>
        <v>1017.492</v>
      </c>
      <c r="K30" s="118">
        <f t="shared" ca="1" si="5"/>
        <v>1681.3230000000001</v>
      </c>
    </row>
    <row r="31" spans="2:11" x14ac:dyDescent="0.25">
      <c r="B31" s="121" t="s">
        <v>637</v>
      </c>
      <c r="C31" s="123" t="s">
        <v>712</v>
      </c>
      <c r="D31" s="41"/>
      <c r="E31" s="117">
        <f t="shared" ca="1" si="3"/>
        <v>4.6536660000000003</v>
      </c>
      <c r="F31" s="117">
        <f t="shared" ca="1" si="4"/>
        <v>4.4194019999999998</v>
      </c>
      <c r="G31" s="117">
        <f t="shared" ca="1" si="4"/>
        <v>68.214550000000003</v>
      </c>
      <c r="H31" s="117">
        <f t="shared" ca="1" si="4"/>
        <v>110.2409</v>
      </c>
      <c r="I31" s="117">
        <f t="shared" ca="1" si="4"/>
        <v>180.54069999999999</v>
      </c>
      <c r="J31" s="117">
        <f t="shared" ca="1" si="4"/>
        <v>181.32159999999999</v>
      </c>
      <c r="K31" s="117">
        <f t="shared" ca="1" si="5"/>
        <v>240.6302</v>
      </c>
    </row>
    <row r="32" spans="2:11" x14ac:dyDescent="0.25">
      <c r="B32" s="114" t="s">
        <v>708</v>
      </c>
      <c r="C32" s="122" t="s">
        <v>720</v>
      </c>
      <c r="D32" s="44"/>
      <c r="E32" s="118">
        <f t="shared" ca="1" si="3"/>
        <v>67.666250000000005</v>
      </c>
      <c r="F32" s="118">
        <f t="shared" ca="1" si="3"/>
        <v>71.082639999999998</v>
      </c>
      <c r="G32" s="118">
        <f t="shared" ca="1" si="3"/>
        <v>111.21420000000001</v>
      </c>
      <c r="H32" s="118">
        <f t="shared" ca="1" si="3"/>
        <v>175.2886</v>
      </c>
      <c r="I32" s="118">
        <f t="shared" ca="1" si="3"/>
        <v>867.34220000000005</v>
      </c>
      <c r="J32" s="118">
        <f t="shared" ca="1" si="3"/>
        <v>2709.8229999999999</v>
      </c>
      <c r="K32" s="118">
        <f t="shared" ca="1" si="3"/>
        <v>10301.1</v>
      </c>
    </row>
    <row r="33" spans="2:11" x14ac:dyDescent="0.25">
      <c r="B33" s="115" t="s">
        <v>709</v>
      </c>
      <c r="C33" s="122" t="s">
        <v>717</v>
      </c>
      <c r="D33" s="41"/>
      <c r="E33" s="118">
        <f t="shared" ca="1" si="3"/>
        <v>0.10632900000000001</v>
      </c>
      <c r="F33" s="118">
        <f t="shared" ca="1" si="3"/>
        <v>0.11193400000000001</v>
      </c>
      <c r="G33" s="118">
        <f t="shared" ca="1" si="3"/>
        <v>35.499960000000002</v>
      </c>
      <c r="H33" s="118">
        <f t="shared" ca="1" si="3"/>
        <v>66.712860000000006</v>
      </c>
      <c r="I33" s="118">
        <f t="shared" ca="1" si="3"/>
        <v>187.6747</v>
      </c>
      <c r="J33" s="118">
        <f t="shared" ca="1" si="3"/>
        <v>261.77640000000002</v>
      </c>
      <c r="K33" s="118">
        <f t="shared" ca="1" si="3"/>
        <v>342.31720000000001</v>
      </c>
    </row>
    <row r="34" spans="2:11" x14ac:dyDescent="0.25">
      <c r="B34" s="115" t="s">
        <v>325</v>
      </c>
      <c r="C34" s="122" t="s">
        <v>718</v>
      </c>
      <c r="D34" s="41"/>
      <c r="E34" s="118">
        <f t="shared" ca="1" si="3"/>
        <v>101.7229</v>
      </c>
      <c r="F34" s="118">
        <f t="shared" ca="1" si="3"/>
        <v>107.17910000000001</v>
      </c>
      <c r="G34" s="118">
        <f t="shared" ca="1" si="3"/>
        <v>146.8775</v>
      </c>
      <c r="H34" s="118">
        <f t="shared" ca="1" si="3"/>
        <v>195.273</v>
      </c>
      <c r="I34" s="118">
        <f t="shared" ca="1" si="3"/>
        <v>883.77120000000002</v>
      </c>
      <c r="J34" s="118">
        <f t="shared" ca="1" si="3"/>
        <v>3243.7260000000001</v>
      </c>
      <c r="K34" s="118">
        <f t="shared" ca="1" si="3"/>
        <v>21548.79</v>
      </c>
    </row>
    <row r="35" spans="2:11" x14ac:dyDescent="0.25">
      <c r="B35" s="115" t="s">
        <v>637</v>
      </c>
      <c r="C35" s="122" t="s">
        <v>719</v>
      </c>
      <c r="D35" s="41"/>
      <c r="E35" s="118">
        <f t="shared" ca="1" si="3"/>
        <v>2.1570670000000001</v>
      </c>
      <c r="F35" s="118">
        <f t="shared" ca="1" si="3"/>
        <v>2.235843</v>
      </c>
      <c r="G35" s="118">
        <f t="shared" ca="1" si="3"/>
        <v>37.607280000000003</v>
      </c>
      <c r="H35" s="118">
        <f t="shared" ca="1" si="3"/>
        <v>68.832459999999998</v>
      </c>
      <c r="I35" s="118">
        <f t="shared" ca="1" si="3"/>
        <v>228.1173</v>
      </c>
      <c r="J35" s="118">
        <f t="shared" ca="1" si="3"/>
        <v>457.29750000000001</v>
      </c>
      <c r="K35" s="118">
        <f t="shared" ca="1" si="3"/>
        <v>860.10929999999996</v>
      </c>
    </row>
    <row r="36" spans="2:11" x14ac:dyDescent="0.25">
      <c r="B36" s="114" t="s">
        <v>710</v>
      </c>
      <c r="C36" s="122" t="s">
        <v>721</v>
      </c>
      <c r="D36" s="41"/>
      <c r="E36" s="118">
        <f ca="1">Output("SCEN_ADEMEhaut", $C36, E$5)</f>
        <v>67.666380000000004</v>
      </c>
      <c r="F36" s="118">
        <f t="shared" ca="1" si="3"/>
        <v>66.618260000000006</v>
      </c>
      <c r="G36" s="118">
        <f t="shared" ca="1" si="3"/>
        <v>94.519959999999998</v>
      </c>
      <c r="H36" s="118">
        <f t="shared" ca="1" si="3"/>
        <v>132.59719999999999</v>
      </c>
      <c r="I36" s="118">
        <f t="shared" ca="1" si="3"/>
        <v>465.43860000000001</v>
      </c>
      <c r="J36" s="118">
        <f t="shared" ca="1" si="3"/>
        <v>1006.678</v>
      </c>
      <c r="K36" s="118">
        <f t="shared" ca="1" si="3"/>
        <v>2851.114</v>
      </c>
    </row>
    <row r="37" spans="2:11" x14ac:dyDescent="0.25">
      <c r="B37" s="115" t="s">
        <v>709</v>
      </c>
      <c r="C37" s="122" t="s">
        <v>723</v>
      </c>
      <c r="D37" s="41"/>
      <c r="E37" s="118">
        <f t="shared" ref="E37:K39" ca="1" si="6">Output("SCEN_ADEMEhaut", $C37, E$5)</f>
        <v>0.10632900000000001</v>
      </c>
      <c r="F37" s="118">
        <f t="shared" ca="1" si="6"/>
        <v>0.104904</v>
      </c>
      <c r="G37" s="118">
        <f t="shared" ca="1" si="6"/>
        <v>30.171099999999999</v>
      </c>
      <c r="H37" s="118">
        <f t="shared" ca="1" si="6"/>
        <v>50.464970000000001</v>
      </c>
      <c r="I37" s="118">
        <f t="shared" ca="1" si="6"/>
        <v>100.71120000000001</v>
      </c>
      <c r="J37" s="118">
        <f t="shared" ca="1" si="6"/>
        <v>97.247889999999998</v>
      </c>
      <c r="K37" s="118">
        <f t="shared" ca="1" si="6"/>
        <v>94.745729999999995</v>
      </c>
    </row>
    <row r="38" spans="2:11" x14ac:dyDescent="0.25">
      <c r="B38" s="115" t="s">
        <v>325</v>
      </c>
      <c r="C38" s="122" t="s">
        <v>722</v>
      </c>
      <c r="D38" s="41"/>
      <c r="E38" s="118">
        <f t="shared" ca="1" si="6"/>
        <v>101.7231</v>
      </c>
      <c r="F38" s="118">
        <f t="shared" ca="1" si="6"/>
        <v>100.4477</v>
      </c>
      <c r="G38" s="118">
        <f t="shared" ca="1" si="6"/>
        <v>124.82980000000001</v>
      </c>
      <c r="H38" s="118">
        <f t="shared" ca="1" si="6"/>
        <v>147.71430000000001</v>
      </c>
      <c r="I38" s="118">
        <f t="shared" ca="1" si="6"/>
        <v>474.25479999999999</v>
      </c>
      <c r="J38" s="118">
        <f t="shared" ca="1" si="6"/>
        <v>1205.019</v>
      </c>
      <c r="K38" s="118">
        <f t="shared" ca="1" si="6"/>
        <v>5964.223</v>
      </c>
    </row>
    <row r="39" spans="2:11" x14ac:dyDescent="0.25">
      <c r="B39" s="116" t="s">
        <v>637</v>
      </c>
      <c r="C39" s="123" t="s">
        <v>724</v>
      </c>
      <c r="D39" s="47"/>
      <c r="E39" s="117">
        <f t="shared" ca="1" si="6"/>
        <v>2.1570719999999999</v>
      </c>
      <c r="F39" s="117">
        <f t="shared" ca="1" si="6"/>
        <v>2.0954199999999998</v>
      </c>
      <c r="G39" s="117">
        <f t="shared" ca="1" si="6"/>
        <v>31.96209</v>
      </c>
      <c r="H39" s="117">
        <f t="shared" ca="1" si="6"/>
        <v>52.068339999999999</v>
      </c>
      <c r="I39" s="117">
        <f t="shared" ca="1" si="6"/>
        <v>122.41379999999999</v>
      </c>
      <c r="J39" s="117">
        <f t="shared" ca="1" si="6"/>
        <v>169.88249999999999</v>
      </c>
      <c r="K39" s="117">
        <f t="shared" ca="1" si="6"/>
        <v>238.059</v>
      </c>
    </row>
    <row r="40" spans="2:11" x14ac:dyDescent="0.25">
      <c r="B40" s="134" t="s">
        <v>1072</v>
      </c>
      <c r="C40" s="135"/>
      <c r="D40" s="135"/>
      <c r="E40" s="135"/>
      <c r="F40" s="135"/>
      <c r="G40" s="135"/>
      <c r="H40" s="135"/>
      <c r="I40" s="135"/>
      <c r="J40" s="135"/>
      <c r="K40" s="135"/>
    </row>
    <row r="41" spans="2:11" x14ac:dyDescent="0.25">
      <c r="B41" s="136" t="s">
        <v>1073</v>
      </c>
      <c r="C41" s="135"/>
      <c r="D41" s="135"/>
      <c r="E41" s="135"/>
      <c r="F41" s="135"/>
      <c r="G41" s="135"/>
      <c r="H41" s="135"/>
      <c r="I41" s="135"/>
      <c r="J41" s="135"/>
      <c r="K41" s="135"/>
    </row>
  </sheetData>
  <pageMargins left="0.7" right="0.7" top="0.75" bottom="0.75" header="0.3" footer="0.3"/>
  <ignoredErrors>
    <ignoredError sqref="E26:H26 J26:K2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92D050"/>
  </sheetPr>
  <dimension ref="A1:M42"/>
  <sheetViews>
    <sheetView workbookViewId="0">
      <selection activeCell="H36" sqref="H36"/>
    </sheetView>
  </sheetViews>
  <sheetFormatPr baseColWidth="10" defaultRowHeight="15" x14ac:dyDescent="0.25"/>
  <cols>
    <col min="3" max="3" width="48.28515625" bestFit="1" customWidth="1"/>
    <col min="4" max="4" width="17.5703125" hidden="1" customWidth="1"/>
  </cols>
  <sheetData>
    <row r="1" spans="1:13" ht="23.45" x14ac:dyDescent="0.55000000000000004">
      <c r="A1" s="4" t="s">
        <v>577</v>
      </c>
      <c r="B1" s="4"/>
      <c r="C1" s="1"/>
      <c r="D1" s="1"/>
    </row>
    <row r="2" spans="1:13" ht="23.45" x14ac:dyDescent="0.55000000000000004">
      <c r="A2" s="4"/>
      <c r="B2" s="4"/>
      <c r="C2" s="1"/>
      <c r="D2" s="1"/>
    </row>
    <row r="3" spans="1:13" ht="23.45" x14ac:dyDescent="0.55000000000000004">
      <c r="A3" s="4"/>
      <c r="B3" s="4"/>
      <c r="C3" s="3" t="s">
        <v>330</v>
      </c>
      <c r="D3" s="1"/>
    </row>
    <row r="4" spans="1:13" ht="14.45" x14ac:dyDescent="0.35">
      <c r="C4" s="1"/>
      <c r="D4" s="1"/>
    </row>
    <row r="5" spans="1:13" ht="14.45" x14ac:dyDescent="0.35">
      <c r="B5" s="51"/>
      <c r="C5" s="50" t="s">
        <v>635</v>
      </c>
      <c r="D5" s="51"/>
      <c r="E5" s="52">
        <v>2006</v>
      </c>
      <c r="F5" s="52">
        <v>2010</v>
      </c>
      <c r="G5" s="50">
        <v>2015</v>
      </c>
      <c r="H5" s="50">
        <v>2020</v>
      </c>
      <c r="I5" s="50">
        <v>2030</v>
      </c>
      <c r="J5" s="50">
        <v>2040</v>
      </c>
      <c r="K5" s="50">
        <v>2050</v>
      </c>
    </row>
    <row r="6" spans="1:13" x14ac:dyDescent="0.25">
      <c r="B6" s="169" t="s">
        <v>636</v>
      </c>
      <c r="C6" s="41" t="s">
        <v>615</v>
      </c>
      <c r="D6" t="s">
        <v>578</v>
      </c>
      <c r="E6" s="110">
        <f t="shared" ref="E6:K42" ca="1" si="0">Output("SCEN_ADEMEhaut", $D6, E$5)</f>
        <v>0</v>
      </c>
      <c r="F6" s="110">
        <f t="shared" ref="F6:K20" ca="1" si="1">Output("SCEN_ADEMEhaut", $D6, F$5)</f>
        <v>1.0596E-2</v>
      </c>
      <c r="G6" s="110">
        <f t="shared" ca="1" si="1"/>
        <v>0.40388800000000002</v>
      </c>
      <c r="H6" s="110">
        <f t="shared" ca="1" si="1"/>
        <v>1.087979</v>
      </c>
      <c r="I6" s="110">
        <f t="shared" ca="1" si="1"/>
        <v>2.814384</v>
      </c>
      <c r="J6" s="110">
        <f t="shared" ca="1" si="1"/>
        <v>1.6632960000000001</v>
      </c>
      <c r="K6" s="110">
        <f t="shared" ca="1" si="1"/>
        <v>0.57899699999999998</v>
      </c>
      <c r="M6" s="109"/>
    </row>
    <row r="7" spans="1:13" x14ac:dyDescent="0.25">
      <c r="B7" s="170"/>
      <c r="C7" s="41" t="s">
        <v>616</v>
      </c>
      <c r="D7" t="s">
        <v>579</v>
      </c>
      <c r="E7" s="110">
        <f t="shared" ca="1" si="0"/>
        <v>0</v>
      </c>
      <c r="F7" s="110">
        <f t="shared" ca="1" si="1"/>
        <v>2.3158999999999999E-2</v>
      </c>
      <c r="G7" s="110">
        <f t="shared" ca="1" si="1"/>
        <v>0.88600599999999996</v>
      </c>
      <c r="H7" s="110">
        <f t="shared" ca="1" si="1"/>
        <v>1.5882449999999999</v>
      </c>
      <c r="I7" s="110">
        <f t="shared" ca="1" si="1"/>
        <v>2.839575</v>
      </c>
      <c r="J7" s="110">
        <f t="shared" ca="1" si="1"/>
        <v>3.0391599999999999</v>
      </c>
      <c r="K7" s="110">
        <f t="shared" ca="1" si="1"/>
        <v>4.9893219999999996</v>
      </c>
    </row>
    <row r="8" spans="1:13" x14ac:dyDescent="0.25">
      <c r="B8" s="170"/>
      <c r="C8" s="41" t="s">
        <v>617</v>
      </c>
      <c r="D8" t="s">
        <v>580</v>
      </c>
      <c r="E8" s="110">
        <f t="shared" ca="1" si="0"/>
        <v>0</v>
      </c>
      <c r="F8" s="110">
        <f t="shared" ca="1" si="1"/>
        <v>1.5330000000000001E-3</v>
      </c>
      <c r="G8" s="110">
        <f t="shared" ca="1" si="1"/>
        <v>-0.37118000000000001</v>
      </c>
      <c r="H8" s="110">
        <f t="shared" ca="1" si="1"/>
        <v>-0.499973</v>
      </c>
      <c r="I8" s="110">
        <f t="shared" ca="1" si="1"/>
        <v>-4.8140780000000003</v>
      </c>
      <c r="J8" s="110">
        <f t="shared" ca="1" si="1"/>
        <v>-4.0282299999999998</v>
      </c>
      <c r="K8" s="110">
        <f t="shared" ca="1" si="1"/>
        <v>-10.60412</v>
      </c>
    </row>
    <row r="9" spans="1:13" x14ac:dyDescent="0.25">
      <c r="B9" s="170"/>
      <c r="C9" s="41" t="s">
        <v>618</v>
      </c>
      <c r="D9" t="s">
        <v>581</v>
      </c>
      <c r="E9" s="110">
        <f t="shared" ca="1" si="0"/>
        <v>0</v>
      </c>
      <c r="F9" s="110">
        <f t="shared" ca="1" si="1"/>
        <v>9.2949999999999994E-3</v>
      </c>
      <c r="G9" s="110">
        <f t="shared" ca="1" si="1"/>
        <v>0.78271100000000005</v>
      </c>
      <c r="H9" s="110">
        <f t="shared" ca="1" si="1"/>
        <v>2.558983</v>
      </c>
      <c r="I9" s="110">
        <f t="shared" ca="1" si="1"/>
        <v>5.2370650000000003</v>
      </c>
      <c r="J9" s="110">
        <f t="shared" ca="1" si="1"/>
        <v>2.503517</v>
      </c>
      <c r="K9" s="110">
        <f t="shared" ca="1" si="1"/>
        <v>-0.71259399999999995</v>
      </c>
    </row>
    <row r="10" spans="1:13" x14ac:dyDescent="0.25">
      <c r="B10" s="170"/>
      <c r="C10" s="41" t="s">
        <v>619</v>
      </c>
      <c r="D10" t="s">
        <v>582</v>
      </c>
      <c r="E10" s="110">
        <f t="shared" ca="1" si="0"/>
        <v>0</v>
      </c>
      <c r="F10" s="110">
        <f t="shared" ca="1" si="1"/>
        <v>7.4200000000000004E-3</v>
      </c>
      <c r="G10" s="110">
        <f t="shared" ca="1" si="1"/>
        <v>0.75942699999999996</v>
      </c>
      <c r="H10" s="110">
        <f t="shared" ca="1" si="1"/>
        <v>3.0799110000000001</v>
      </c>
      <c r="I10" s="110">
        <f t="shared" ca="1" si="1"/>
        <v>8.6410490000000006</v>
      </c>
      <c r="J10" s="110">
        <f t="shared" ca="1" si="1"/>
        <v>8.9065980000000007</v>
      </c>
      <c r="K10" s="110">
        <f t="shared" ca="1" si="1"/>
        <v>8.7844259999999998</v>
      </c>
    </row>
    <row r="11" spans="1:13" x14ac:dyDescent="0.25">
      <c r="B11" s="170"/>
      <c r="C11" s="41" t="s">
        <v>620</v>
      </c>
      <c r="D11" t="s">
        <v>583</v>
      </c>
      <c r="E11" s="110">
        <f t="shared" ca="1" si="0"/>
        <v>0</v>
      </c>
      <c r="F11" s="110">
        <f t="shared" ca="1" si="1"/>
        <v>9.6310000000000007E-3</v>
      </c>
      <c r="G11" s="110">
        <f t="shared" ca="1" si="1"/>
        <v>0.78413699999999997</v>
      </c>
      <c r="H11" s="110">
        <f t="shared" ca="1" si="1"/>
        <v>2.3508719999999999</v>
      </c>
      <c r="I11" s="110">
        <f t="shared" ca="1" si="1"/>
        <v>4.9734639999999999</v>
      </c>
      <c r="J11" s="110">
        <f t="shared" ca="1" si="1"/>
        <v>2.061315</v>
      </c>
      <c r="K11" s="110">
        <f t="shared" ca="1" si="1"/>
        <v>-1.1563110000000001</v>
      </c>
    </row>
    <row r="12" spans="1:13" x14ac:dyDescent="0.25">
      <c r="B12" s="170"/>
      <c r="C12" s="41" t="s">
        <v>621</v>
      </c>
      <c r="D12" t="s">
        <v>584</v>
      </c>
      <c r="E12" s="110">
        <f t="shared" ca="1" si="0"/>
        <v>0</v>
      </c>
      <c r="F12" s="110">
        <f t="shared" ca="1" si="1"/>
        <v>3.9090000000000001E-3</v>
      </c>
      <c r="G12" s="110">
        <f t="shared" ca="1" si="1"/>
        <v>1.876074</v>
      </c>
      <c r="H12" s="110">
        <f t="shared" ca="1" si="1"/>
        <v>6.6907819999999996</v>
      </c>
      <c r="I12" s="110">
        <f t="shared" ca="1" si="1"/>
        <v>11.789720000000001</v>
      </c>
      <c r="J12" s="110">
        <f t="shared" ca="1" si="1"/>
        <v>6.0516730000000001</v>
      </c>
      <c r="K12" s="110">
        <f t="shared" ca="1" si="1"/>
        <v>-0.63700000000000001</v>
      </c>
    </row>
    <row r="13" spans="1:13" x14ac:dyDescent="0.25">
      <c r="B13" s="170"/>
      <c r="C13" s="41" t="s">
        <v>622</v>
      </c>
      <c r="D13" t="s">
        <v>585</v>
      </c>
      <c r="E13" s="110">
        <f t="shared" ca="1" si="0"/>
        <v>0</v>
      </c>
      <c r="F13" s="110">
        <f t="shared" ca="1" si="1"/>
        <v>5.5000000000000003E-4</v>
      </c>
      <c r="G13" s="110">
        <f t="shared" ca="1" si="1"/>
        <v>0.310587</v>
      </c>
      <c r="H13" s="110">
        <f t="shared" ca="1" si="1"/>
        <v>0.51349800000000001</v>
      </c>
      <c r="I13" s="110">
        <f t="shared" ca="1" si="1"/>
        <v>-0.65941499999999997</v>
      </c>
      <c r="J13" s="110">
        <f t="shared" ca="1" si="1"/>
        <v>-5.9143990000000004</v>
      </c>
      <c r="K13" s="110">
        <f t="shared" ca="1" si="1"/>
        <v>-12.677020000000001</v>
      </c>
    </row>
    <row r="14" spans="1:13" x14ac:dyDescent="0.25">
      <c r="B14" s="170"/>
      <c r="C14" s="41" t="s">
        <v>623</v>
      </c>
      <c r="D14" t="s">
        <v>586</v>
      </c>
      <c r="E14" s="110">
        <f t="shared" ca="1" si="0"/>
        <v>0</v>
      </c>
      <c r="F14" s="110">
        <f t="shared" ca="1" si="1"/>
        <v>7.7070000000000003E-3</v>
      </c>
      <c r="G14" s="110">
        <f t="shared" ca="1" si="1"/>
        <v>0.62200100000000003</v>
      </c>
      <c r="H14" s="110">
        <f t="shared" ca="1" si="1"/>
        <v>1.866968</v>
      </c>
      <c r="I14" s="110">
        <f t="shared" ca="1" si="1"/>
        <v>3.8988179999999999</v>
      </c>
      <c r="J14" s="110">
        <f t="shared" ca="1" si="1"/>
        <v>2.4841440000000001</v>
      </c>
      <c r="K14" s="110">
        <f t="shared" ca="1" si="1"/>
        <v>-0.82943599999999995</v>
      </c>
    </row>
    <row r="15" spans="1:13" x14ac:dyDescent="0.25">
      <c r="B15" s="170"/>
      <c r="C15" s="41" t="s">
        <v>624</v>
      </c>
      <c r="D15" t="s">
        <v>587</v>
      </c>
      <c r="E15" s="110">
        <f t="shared" ca="1" si="0"/>
        <v>0</v>
      </c>
      <c r="F15" s="110">
        <f t="shared" ca="1" si="1"/>
        <v>2.7669999999999999E-3</v>
      </c>
      <c r="G15" s="110">
        <f t="shared" ca="1" si="1"/>
        <v>1.3705339999999999</v>
      </c>
      <c r="H15" s="110">
        <f t="shared" ca="1" si="1"/>
        <v>4.3902229999999998</v>
      </c>
      <c r="I15" s="110">
        <f t="shared" ca="1" si="1"/>
        <v>6.7140009999999997</v>
      </c>
      <c r="J15" s="110">
        <f t="shared" ca="1" si="1"/>
        <v>3.5002369999999998</v>
      </c>
      <c r="K15" s="110">
        <f t="shared" ca="1" si="1"/>
        <v>-2.4030320000000001</v>
      </c>
    </row>
    <row r="16" spans="1:13" x14ac:dyDescent="0.25">
      <c r="B16" s="170"/>
      <c r="C16" s="41" t="s">
        <v>625</v>
      </c>
      <c r="D16" t="s">
        <v>588</v>
      </c>
      <c r="E16" s="110">
        <f t="shared" ca="1" si="0"/>
        <v>0</v>
      </c>
      <c r="F16" s="110">
        <f t="shared" ca="1" si="1"/>
        <v>9.0399999999999996E-4</v>
      </c>
      <c r="G16" s="110">
        <f t="shared" ca="1" si="1"/>
        <v>0.16903899999999999</v>
      </c>
      <c r="H16" s="110">
        <f t="shared" ca="1" si="1"/>
        <v>0.453154</v>
      </c>
      <c r="I16" s="110">
        <f t="shared" ca="1" si="1"/>
        <v>-0.353715</v>
      </c>
      <c r="J16" s="110">
        <f t="shared" ca="1" si="1"/>
        <v>-4.8595470000000001</v>
      </c>
      <c r="K16" s="110">
        <f t="shared" ca="1" si="1"/>
        <v>-10.847340000000001</v>
      </c>
    </row>
    <row r="17" spans="2:11" x14ac:dyDescent="0.25">
      <c r="B17" s="170"/>
      <c r="C17" s="41" t="s">
        <v>626</v>
      </c>
      <c r="D17" t="s">
        <v>589</v>
      </c>
      <c r="E17" s="110">
        <f t="shared" ca="1" si="0"/>
        <v>0</v>
      </c>
      <c r="F17" s="110">
        <f t="shared" ca="1" si="1"/>
        <v>8.4510000000000002E-3</v>
      </c>
      <c r="G17" s="110">
        <f t="shared" ca="1" si="1"/>
        <v>0.35899799999999998</v>
      </c>
      <c r="H17" s="110">
        <f t="shared" ca="1" si="1"/>
        <v>0.63405100000000003</v>
      </c>
      <c r="I17" s="110">
        <f t="shared" ca="1" si="1"/>
        <v>0.88014499999999996</v>
      </c>
      <c r="J17" s="110">
        <f t="shared" ca="1" si="1"/>
        <v>-0.99920500000000001</v>
      </c>
      <c r="K17" s="110">
        <f t="shared" ca="1" si="1"/>
        <v>-2.6561379999999999</v>
      </c>
    </row>
    <row r="18" spans="2:11" x14ac:dyDescent="0.25">
      <c r="B18" s="171"/>
      <c r="C18" s="41" t="s">
        <v>627</v>
      </c>
      <c r="D18" t="s">
        <v>590</v>
      </c>
      <c r="E18" s="110">
        <f t="shared" ca="1" si="0"/>
        <v>0</v>
      </c>
      <c r="F18" s="110">
        <f t="shared" ca="1" si="1"/>
        <v>6.332E-3</v>
      </c>
      <c r="G18" s="110">
        <f t="shared" ca="1" si="1"/>
        <v>0.36381999999999998</v>
      </c>
      <c r="H18" s="110">
        <f t="shared" ca="1" si="1"/>
        <v>1.5697410000000001</v>
      </c>
      <c r="I18" s="110">
        <f t="shared" ca="1" si="1"/>
        <v>4.823353</v>
      </c>
      <c r="J18" s="110">
        <f t="shared" ca="1" si="1"/>
        <v>6.2237489999999998</v>
      </c>
      <c r="K18" s="110">
        <f t="shared" ca="1" si="1"/>
        <v>8.7647270000000006</v>
      </c>
    </row>
    <row r="19" spans="2:11" x14ac:dyDescent="0.25">
      <c r="B19" s="168" t="s">
        <v>437</v>
      </c>
      <c r="C19" s="44" t="s">
        <v>628</v>
      </c>
      <c r="D19" s="45" t="s">
        <v>591</v>
      </c>
      <c r="E19" s="111">
        <f t="shared" ca="1" si="0"/>
        <v>0</v>
      </c>
      <c r="F19" s="111">
        <f t="shared" ca="1" si="1"/>
        <v>2.2629999999999998E-3</v>
      </c>
      <c r="G19" s="111">
        <f t="shared" ca="1" si="1"/>
        <v>0.66728799999999999</v>
      </c>
      <c r="H19" s="111">
        <f t="shared" ca="1" si="1"/>
        <v>2.2366549999999998</v>
      </c>
      <c r="I19" s="111">
        <f t="shared" ca="1" si="1"/>
        <v>11.054679999999999</v>
      </c>
      <c r="J19" s="111">
        <f t="shared" ca="1" si="1"/>
        <v>6.514354</v>
      </c>
      <c r="K19" s="111">
        <f t="shared" ca="1" si="1"/>
        <v>0.49452800000000002</v>
      </c>
    </row>
    <row r="20" spans="2:11" x14ac:dyDescent="0.25">
      <c r="B20" s="168"/>
      <c r="C20" s="41" t="s">
        <v>629</v>
      </c>
      <c r="D20" s="22" t="s">
        <v>592</v>
      </c>
      <c r="E20" s="110">
        <f t="shared" ca="1" si="0"/>
        <v>0</v>
      </c>
      <c r="F20" s="110">
        <f t="shared" ca="1" si="1"/>
        <v>2.117E-3</v>
      </c>
      <c r="G20" s="110">
        <f t="shared" ca="1" si="1"/>
        <v>0.29927700000000002</v>
      </c>
      <c r="H20" s="110">
        <f t="shared" ca="1" si="1"/>
        <v>1.104962</v>
      </c>
      <c r="I20" s="110">
        <f t="shared" ca="1" si="1"/>
        <v>12.32596</v>
      </c>
      <c r="J20" s="110">
        <f t="shared" ca="1" si="1"/>
        <v>7.5004080000000002</v>
      </c>
      <c r="K20" s="110">
        <f t="shared" ca="1" si="1"/>
        <v>7.3667199999999999</v>
      </c>
    </row>
    <row r="21" spans="2:11" x14ac:dyDescent="0.25">
      <c r="B21" s="168"/>
      <c r="C21" s="41" t="s">
        <v>630</v>
      </c>
      <c r="D21" s="22" t="s">
        <v>593</v>
      </c>
      <c r="E21" s="110">
        <f t="shared" ca="1" si="0"/>
        <v>0</v>
      </c>
      <c r="F21" s="110">
        <f t="shared" ca="1" si="0"/>
        <v>8.7519999999999994E-3</v>
      </c>
      <c r="G21" s="110">
        <f t="shared" ca="1" si="0"/>
        <v>0.34174300000000002</v>
      </c>
      <c r="H21" s="110">
        <f t="shared" ca="1" si="0"/>
        <v>0.97372499999999995</v>
      </c>
      <c r="I21" s="110">
        <f t="shared" ca="1" si="0"/>
        <v>0.90192899999999998</v>
      </c>
      <c r="J21" s="110">
        <f t="shared" ca="1" si="0"/>
        <v>-5.0586820000000001</v>
      </c>
      <c r="K21" s="110">
        <f t="shared" ca="1" si="0"/>
        <v>-11.493399999999999</v>
      </c>
    </row>
    <row r="22" spans="2:11" x14ac:dyDescent="0.25">
      <c r="B22" s="168"/>
      <c r="C22" s="41" t="s">
        <v>631</v>
      </c>
      <c r="D22" s="22" t="s">
        <v>594</v>
      </c>
      <c r="E22" s="110">
        <f t="shared" ca="1" si="0"/>
        <v>0</v>
      </c>
      <c r="F22" s="110">
        <f t="shared" ca="1" si="0"/>
        <v>-1.6869999999999999E-3</v>
      </c>
      <c r="G22" s="110">
        <f t="shared" ca="1" si="0"/>
        <v>-1.0856680000000001</v>
      </c>
      <c r="H22" s="110">
        <f t="shared" ca="1" si="0"/>
        <v>-2.964197</v>
      </c>
      <c r="I22" s="110">
        <f t="shared" ca="1" si="0"/>
        <v>-10.952769999999999</v>
      </c>
      <c r="J22" s="110">
        <f t="shared" ca="1" si="0"/>
        <v>-20.49757</v>
      </c>
      <c r="K22" s="110">
        <f t="shared" ca="1" si="0"/>
        <v>-25.484349999999999</v>
      </c>
    </row>
    <row r="23" spans="2:11" x14ac:dyDescent="0.25">
      <c r="B23" s="168"/>
      <c r="C23" s="41" t="s">
        <v>632</v>
      </c>
      <c r="D23" s="22" t="s">
        <v>595</v>
      </c>
      <c r="E23" s="110">
        <f t="shared" ca="1" si="0"/>
        <v>0</v>
      </c>
      <c r="F23" s="110">
        <f t="shared" ca="1" si="0"/>
        <v>3.3370000000000001E-3</v>
      </c>
      <c r="G23" s="110">
        <f t="shared" ca="1" si="0"/>
        <v>0.45561600000000002</v>
      </c>
      <c r="H23" s="110">
        <f t="shared" ca="1" si="0"/>
        <v>2.1204000000000001</v>
      </c>
      <c r="I23" s="110">
        <f t="shared" ca="1" si="0"/>
        <v>3.345097</v>
      </c>
      <c r="J23" s="110">
        <f t="shared" ca="1" si="0"/>
        <v>-5.6385480000000001</v>
      </c>
      <c r="K23" s="110">
        <f t="shared" ca="1" si="0"/>
        <v>-13.131629999999999</v>
      </c>
    </row>
    <row r="24" spans="2:11" x14ac:dyDescent="0.25">
      <c r="B24" s="165" t="s">
        <v>525</v>
      </c>
      <c r="C24" s="44" t="s">
        <v>633</v>
      </c>
      <c r="D24" s="45" t="s">
        <v>596</v>
      </c>
      <c r="E24" s="111">
        <f t="shared" ca="1" si="0"/>
        <v>0</v>
      </c>
      <c r="F24" s="111">
        <f t="shared" ca="1" si="0"/>
        <v>1.6046000000000001E-2</v>
      </c>
      <c r="G24" s="111">
        <f t="shared" ca="1" si="0"/>
        <v>0.47648699999999999</v>
      </c>
      <c r="H24" s="111">
        <f t="shared" ca="1" si="0"/>
        <v>0.94906400000000002</v>
      </c>
      <c r="I24" s="111">
        <f t="shared" ca="1" si="0"/>
        <v>1.5538449999999999</v>
      </c>
      <c r="J24" s="111">
        <f t="shared" ca="1" si="0"/>
        <v>1.8662300000000001</v>
      </c>
      <c r="K24" s="111">
        <f t="shared" ca="1" si="0"/>
        <v>3.5999880000000002</v>
      </c>
    </row>
    <row r="25" spans="2:11" x14ac:dyDescent="0.25">
      <c r="B25" s="167"/>
      <c r="C25" s="47" t="s">
        <v>634</v>
      </c>
      <c r="D25" s="23" t="s">
        <v>597</v>
      </c>
      <c r="E25" s="112">
        <f t="shared" ca="1" si="0"/>
        <v>0</v>
      </c>
      <c r="F25" s="112">
        <f t="shared" ca="1" si="0"/>
        <v>2.2070000000000002E-3</v>
      </c>
      <c r="G25" s="112">
        <f t="shared" ca="1" si="0"/>
        <v>7.9370999999999997E-2</v>
      </c>
      <c r="H25" s="112">
        <f t="shared" ca="1" si="0"/>
        <v>0.20658899999999999</v>
      </c>
      <c r="I25" s="112">
        <f t="shared" ca="1" si="0"/>
        <v>0.48096299999999997</v>
      </c>
      <c r="J25" s="112">
        <f t="shared" ca="1" si="0"/>
        <v>0.64771599999999996</v>
      </c>
      <c r="K25" s="112">
        <f t="shared" ca="1" si="0"/>
        <v>1.0145599999999999</v>
      </c>
    </row>
    <row r="26" spans="2:11" ht="14.45" x14ac:dyDescent="0.35">
      <c r="B26" s="108" t="s">
        <v>315</v>
      </c>
      <c r="C26" s="47" t="s">
        <v>315</v>
      </c>
      <c r="D26" s="23" t="s">
        <v>598</v>
      </c>
      <c r="E26" s="112">
        <f t="shared" ca="1" si="0"/>
        <v>-1.7100000000000001E-7</v>
      </c>
      <c r="F26" s="112">
        <f t="shared" ca="1" si="0"/>
        <v>-0.135295</v>
      </c>
      <c r="G26" s="112">
        <f t="shared" ca="1" si="0"/>
        <v>-20.379560000000001</v>
      </c>
      <c r="H26" s="112">
        <f t="shared" ca="1" si="0"/>
        <v>-46.909590000000001</v>
      </c>
      <c r="I26" s="112">
        <f t="shared" ca="1" si="0"/>
        <v>-72.671599999999998</v>
      </c>
      <c r="J26" s="112">
        <f t="shared" ca="1" si="0"/>
        <v>-104.6001</v>
      </c>
      <c r="K26" s="112">
        <f t="shared" ca="1" si="0"/>
        <v>-119.5727</v>
      </c>
    </row>
    <row r="27" spans="2:11" x14ac:dyDescent="0.25">
      <c r="B27" s="165" t="s">
        <v>313</v>
      </c>
      <c r="C27" s="44" t="s">
        <v>325</v>
      </c>
      <c r="D27" s="45" t="s">
        <v>599</v>
      </c>
      <c r="E27" s="111">
        <f t="shared" ca="1" si="0"/>
        <v>0</v>
      </c>
      <c r="F27" s="111">
        <f t="shared" ca="1" si="0"/>
        <v>-3.9065999999999997E-2</v>
      </c>
      <c r="G27" s="111">
        <f t="shared" ca="1" si="0"/>
        <v>-4.8161589999999999</v>
      </c>
      <c r="H27" s="111">
        <f t="shared" ca="1" si="0"/>
        <v>-4.4281829999999998</v>
      </c>
      <c r="I27" s="111">
        <f t="shared" ca="1" si="0"/>
        <v>-20.83963</v>
      </c>
      <c r="J27" s="111">
        <f t="shared" ca="1" si="0"/>
        <v>-42.546559999999999</v>
      </c>
      <c r="K27" s="111">
        <f t="shared" ca="1" si="0"/>
        <v>-54.042290000000001</v>
      </c>
    </row>
    <row r="28" spans="2:11" x14ac:dyDescent="0.25">
      <c r="B28" s="167"/>
      <c r="C28" s="41" t="s">
        <v>326</v>
      </c>
      <c r="D28" t="s">
        <v>600</v>
      </c>
      <c r="E28" s="110">
        <f t="shared" ca="1" si="0"/>
        <v>0</v>
      </c>
      <c r="F28" s="110">
        <f t="shared" ca="1" si="0"/>
        <v>-0.164135</v>
      </c>
      <c r="G28" s="110">
        <f t="shared" ca="1" si="0"/>
        <v>72.486630000000005</v>
      </c>
      <c r="H28" s="110">
        <f t="shared" ca="1" si="0"/>
        <v>66.003010000000003</v>
      </c>
      <c r="I28" s="110">
        <f t="shared" ca="1" si="0"/>
        <v>-365.82859999999999</v>
      </c>
      <c r="J28" s="110">
        <f t="shared" ca="1" si="0"/>
        <v>364.4982</v>
      </c>
      <c r="K28" s="110">
        <f t="shared" ca="1" si="0"/>
        <v>1699.5440000000001</v>
      </c>
    </row>
    <row r="29" spans="2:11" x14ac:dyDescent="0.25">
      <c r="B29" s="165" t="s">
        <v>489</v>
      </c>
      <c r="C29" s="44" t="s">
        <v>312</v>
      </c>
      <c r="D29" s="45" t="s">
        <v>601</v>
      </c>
      <c r="E29" s="111">
        <f t="shared" ca="1" si="0"/>
        <v>0</v>
      </c>
      <c r="F29" s="111">
        <f t="shared" ca="1" si="0"/>
        <v>3.2146000000000001E-2</v>
      </c>
      <c r="G29" s="111">
        <f t="shared" ca="1" si="0"/>
        <v>-5.3798550000000001</v>
      </c>
      <c r="H29" s="111">
        <f t="shared" ca="1" si="0"/>
        <v>-13.35435</v>
      </c>
      <c r="I29" s="111">
        <f t="shared" ca="1" si="0"/>
        <v>-42.026769999999999</v>
      </c>
      <c r="J29" s="111">
        <f t="shared" ca="1" si="0"/>
        <v>-51.052599999999998</v>
      </c>
      <c r="K29" s="111">
        <f t="shared" ca="1" si="0"/>
        <v>-55.290869999999998</v>
      </c>
    </row>
    <row r="30" spans="2:11" x14ac:dyDescent="0.25">
      <c r="B30" s="166"/>
      <c r="C30" s="41" t="s">
        <v>313</v>
      </c>
      <c r="D30" t="s">
        <v>602</v>
      </c>
      <c r="E30" s="110">
        <f t="shared" ca="1" si="0"/>
        <v>0</v>
      </c>
      <c r="F30" s="110">
        <f t="shared" ca="1" si="0"/>
        <v>8.3929999999999994E-3</v>
      </c>
      <c r="G30" s="110">
        <f t="shared" ca="1" si="0"/>
        <v>-39.394869999999997</v>
      </c>
      <c r="H30" s="110">
        <f t="shared" ca="1" si="0"/>
        <v>-83.577740000000006</v>
      </c>
      <c r="I30" s="110">
        <f t="shared" ca="1" si="0"/>
        <v>-92.427899999999994</v>
      </c>
      <c r="J30" s="110">
        <f t="shared" ca="1" si="0"/>
        <v>-91.131929999999997</v>
      </c>
      <c r="K30" s="110">
        <f t="shared" ca="1" si="0"/>
        <v>-98.502939999999995</v>
      </c>
    </row>
    <row r="31" spans="2:11" x14ac:dyDescent="0.25">
      <c r="B31" s="166"/>
      <c r="C31" s="41" t="s">
        <v>314</v>
      </c>
      <c r="D31" t="s">
        <v>603</v>
      </c>
      <c r="E31" s="110">
        <f t="shared" ca="1" si="0"/>
        <v>0</v>
      </c>
      <c r="F31" s="110">
        <f t="shared" ca="1" si="0"/>
        <v>3.2892999999999999E-2</v>
      </c>
      <c r="G31" s="110">
        <f t="shared" ca="1" si="0"/>
        <v>6.8084239999999996</v>
      </c>
      <c r="H31" s="110">
        <f t="shared" ca="1" si="0"/>
        <v>2.8943310000000002</v>
      </c>
      <c r="I31" s="110">
        <f t="shared" ca="1" si="0"/>
        <v>-5.6362550000000002</v>
      </c>
      <c r="J31" s="110">
        <f t="shared" ca="1" si="0"/>
        <v>-4.6112739999999999</v>
      </c>
      <c r="K31" s="110">
        <f t="shared" ca="1" si="0"/>
        <v>-12.193820000000001</v>
      </c>
    </row>
    <row r="32" spans="2:11" x14ac:dyDescent="0.25">
      <c r="B32" s="166"/>
      <c r="C32" s="41" t="s">
        <v>315</v>
      </c>
      <c r="D32" t="s">
        <v>604</v>
      </c>
      <c r="E32" s="110">
        <f t="shared" ca="1" si="0"/>
        <v>0</v>
      </c>
      <c r="F32" s="110">
        <f t="shared" ca="1" si="0"/>
        <v>3.1441999999999998E-2</v>
      </c>
      <c r="G32" s="110">
        <f t="shared" ca="1" si="0"/>
        <v>-40.597059999999999</v>
      </c>
      <c r="H32" s="110">
        <f t="shared" ca="1" si="0"/>
        <v>-85.823890000000006</v>
      </c>
      <c r="I32" s="110">
        <f t="shared" ca="1" si="0"/>
        <v>-95.237799999999993</v>
      </c>
      <c r="J32" s="110">
        <f t="shared" ca="1" si="0"/>
        <v>-95.947509999999994</v>
      </c>
      <c r="K32" s="110">
        <f t="shared" ca="1" si="0"/>
        <v>-99.647750000000002</v>
      </c>
    </row>
    <row r="33" spans="2:11" x14ac:dyDescent="0.25">
      <c r="B33" s="166"/>
      <c r="C33" s="41" t="s">
        <v>316</v>
      </c>
      <c r="D33" t="s">
        <v>605</v>
      </c>
      <c r="E33" s="110">
        <f t="shared" ca="1" si="0"/>
        <v>0</v>
      </c>
      <c r="F33" s="110">
        <f t="shared" ca="1" si="0"/>
        <v>3.0238000000000001E-2</v>
      </c>
      <c r="G33" s="110">
        <f t="shared" ca="1" si="0"/>
        <v>235.66990000000001</v>
      </c>
      <c r="H33" s="110">
        <f t="shared" ca="1" si="0"/>
        <v>589.33510000000001</v>
      </c>
      <c r="I33" s="110">
        <f t="shared" ca="1" si="0"/>
        <v>1109.97</v>
      </c>
      <c r="J33" s="110">
        <f t="shared" ca="1" si="0"/>
        <v>877.36329999999998</v>
      </c>
      <c r="K33" s="110">
        <f t="shared" ca="1" si="0"/>
        <v>565.48429999999996</v>
      </c>
    </row>
    <row r="34" spans="2:11" x14ac:dyDescent="0.25">
      <c r="B34" s="166"/>
      <c r="C34" s="41" t="s">
        <v>317</v>
      </c>
      <c r="D34" t="s">
        <v>606</v>
      </c>
      <c r="E34" s="110">
        <f t="shared" ca="1" si="0"/>
        <v>0</v>
      </c>
      <c r="F34" s="110">
        <f t="shared" ca="1" si="0"/>
        <v>3.0497E-2</v>
      </c>
      <c r="G34" s="110">
        <f t="shared" ca="1" si="0"/>
        <v>-56.445360000000001</v>
      </c>
      <c r="H34" s="110">
        <f t="shared" ca="1" si="0"/>
        <v>471.97660000000002</v>
      </c>
      <c r="I34" s="110">
        <f t="shared" ca="1" si="0"/>
        <v>3339.2359999999999</v>
      </c>
      <c r="J34" s="110">
        <f t="shared" ca="1" si="0"/>
        <v>3462.0889999999999</v>
      </c>
      <c r="K34" s="110">
        <f t="shared" ca="1" si="0"/>
        <v>2559.4720000000002</v>
      </c>
    </row>
    <row r="35" spans="2:11" x14ac:dyDescent="0.25">
      <c r="B35" s="166"/>
      <c r="C35" s="41" t="s">
        <v>318</v>
      </c>
      <c r="D35" t="s">
        <v>607</v>
      </c>
      <c r="E35" s="110">
        <f t="shared" ca="1" si="0"/>
        <v>0</v>
      </c>
      <c r="F35" s="110">
        <f t="shared" ca="1" si="0"/>
        <v>3.0237E-2</v>
      </c>
      <c r="G35" s="110">
        <f t="shared" ca="1" si="0"/>
        <v>26.248650000000001</v>
      </c>
      <c r="H35" s="110">
        <f t="shared" ca="1" si="0"/>
        <v>40.10331</v>
      </c>
      <c r="I35" s="110">
        <f t="shared" ca="1" si="0"/>
        <v>-19.074960000000001</v>
      </c>
      <c r="J35" s="110">
        <f t="shared" ca="1" si="0"/>
        <v>-32.465539999999997</v>
      </c>
      <c r="K35" s="110">
        <f t="shared" ca="1" si="0"/>
        <v>-30.947569999999999</v>
      </c>
    </row>
    <row r="36" spans="2:11" x14ac:dyDescent="0.25">
      <c r="B36" s="167"/>
      <c r="C36" s="41" t="s">
        <v>327</v>
      </c>
      <c r="D36" t="s">
        <v>608</v>
      </c>
      <c r="E36" s="110">
        <f t="shared" ca="1" si="0"/>
        <v>0</v>
      </c>
      <c r="F36" s="110">
        <f t="shared" ca="1" si="0"/>
        <v>3.0303E-2</v>
      </c>
      <c r="G36" s="110">
        <f t="shared" ca="1" si="0"/>
        <v>2.0885829999999999</v>
      </c>
      <c r="H36" s="110">
        <f t="shared" ca="1" si="0"/>
        <v>-49.124510000000001</v>
      </c>
      <c r="I36" s="110">
        <f t="shared" ca="1" si="0"/>
        <v>14.67231</v>
      </c>
      <c r="J36" s="110">
        <f t="shared" ca="1" si="0"/>
        <v>6.9842259999999996</v>
      </c>
      <c r="K36" s="110">
        <f t="shared" ca="1" si="0"/>
        <v>-30.181239999999999</v>
      </c>
    </row>
    <row r="37" spans="2:11" x14ac:dyDescent="0.25">
      <c r="B37" s="165" t="s">
        <v>637</v>
      </c>
      <c r="C37" s="44" t="s">
        <v>319</v>
      </c>
      <c r="D37" s="45" t="s">
        <v>609</v>
      </c>
      <c r="E37" s="111">
        <f t="shared" ca="1" si="0"/>
        <v>0</v>
      </c>
      <c r="F37" s="111">
        <f t="shared" ca="1" si="0"/>
        <v>2.1125999999999999E-2</v>
      </c>
      <c r="G37" s="111">
        <f t="shared" ca="1" si="0"/>
        <v>-12.76375</v>
      </c>
      <c r="H37" s="111">
        <f t="shared" ca="1" si="0"/>
        <v>-18.528289999999998</v>
      </c>
      <c r="I37" s="111">
        <f t="shared" ca="1" si="0"/>
        <v>-49.181339999999999</v>
      </c>
      <c r="J37" s="111">
        <f t="shared" ca="1" si="0"/>
        <v>-55.635039999999996</v>
      </c>
      <c r="K37" s="111">
        <f t="shared" ca="1" si="0"/>
        <v>-59.20729</v>
      </c>
    </row>
    <row r="38" spans="2:11" x14ac:dyDescent="0.25">
      <c r="B38" s="166"/>
      <c r="C38" s="41" t="s">
        <v>320</v>
      </c>
      <c r="D38" t="s">
        <v>610</v>
      </c>
      <c r="E38" s="110">
        <f t="shared" ca="1" si="0"/>
        <v>0</v>
      </c>
      <c r="F38" s="110">
        <f t="shared" ca="1" si="0"/>
        <v>6.149E-3</v>
      </c>
      <c r="G38" s="110">
        <f t="shared" ca="1" si="0"/>
        <v>-2.2190029999999998</v>
      </c>
      <c r="H38" s="110">
        <f t="shared" ca="1" si="0"/>
        <v>-1.6549119999999999</v>
      </c>
      <c r="I38" s="110">
        <f t="shared" ca="1" si="0"/>
        <v>19.991810000000001</v>
      </c>
      <c r="J38" s="110">
        <f t="shared" ca="1" si="0"/>
        <v>15.05522</v>
      </c>
      <c r="K38" s="110">
        <f t="shared" ca="1" si="0"/>
        <v>1.400369</v>
      </c>
    </row>
    <row r="39" spans="2:11" x14ac:dyDescent="0.25">
      <c r="B39" s="166"/>
      <c r="C39" s="41" t="s">
        <v>321</v>
      </c>
      <c r="D39" t="s">
        <v>611</v>
      </c>
      <c r="E39" s="110">
        <f t="shared" ca="1" si="0"/>
        <v>0</v>
      </c>
      <c r="F39" s="110">
        <f t="shared" ca="1" si="0"/>
        <v>6.1050000000000002E-3</v>
      </c>
      <c r="G39" s="110">
        <f t="shared" ca="1" si="0"/>
        <v>6.7281519999999997</v>
      </c>
      <c r="H39" s="110">
        <f t="shared" ca="1" si="0"/>
        <v>33.734870000000001</v>
      </c>
      <c r="I39" s="110">
        <f t="shared" ca="1" si="0"/>
        <v>483.73970000000003</v>
      </c>
      <c r="J39" s="110">
        <f t="shared" ca="1" si="0"/>
        <v>638.17560000000003</v>
      </c>
      <c r="K39" s="110">
        <f t="shared" ca="1" si="0"/>
        <v>586.29999999999995</v>
      </c>
    </row>
    <row r="40" spans="2:11" x14ac:dyDescent="0.25">
      <c r="B40" s="166"/>
      <c r="C40" s="41" t="s">
        <v>322</v>
      </c>
      <c r="D40" t="s">
        <v>612</v>
      </c>
      <c r="E40" s="110">
        <f t="shared" ca="1" si="0"/>
        <v>0</v>
      </c>
      <c r="F40" s="110">
        <f t="shared" ca="1" si="0"/>
        <v>6.1130000000000004E-3</v>
      </c>
      <c r="G40" s="110">
        <f t="shared" ca="1" si="0"/>
        <v>15.615679999999999</v>
      </c>
      <c r="H40" s="110">
        <f t="shared" ca="1" si="0"/>
        <v>8.1760000000000002</v>
      </c>
      <c r="I40" s="110">
        <f t="shared" ca="1" si="0"/>
        <v>40.640970000000003</v>
      </c>
      <c r="J40" s="110">
        <f t="shared" ca="1" si="0"/>
        <v>78.597530000000006</v>
      </c>
      <c r="K40" s="110">
        <f t="shared" ca="1" si="0"/>
        <v>88.107219999999998</v>
      </c>
    </row>
    <row r="41" spans="2:11" x14ac:dyDescent="0.25">
      <c r="B41" s="166"/>
      <c r="C41" s="41" t="s">
        <v>323</v>
      </c>
      <c r="D41" t="s">
        <v>613</v>
      </c>
      <c r="E41" s="110">
        <f t="shared" ca="1" si="0"/>
        <v>0</v>
      </c>
      <c r="F41" s="110">
        <f t="shared" ca="1" si="0"/>
        <v>6.0870000000000004E-3</v>
      </c>
      <c r="G41" s="110">
        <f t="shared" ca="1" si="0"/>
        <v>43.074669999999998</v>
      </c>
      <c r="H41" s="110">
        <f t="shared" ca="1" si="0"/>
        <v>14.908720000000001</v>
      </c>
      <c r="I41" s="110">
        <f t="shared" ca="1" si="0"/>
        <v>23.30602</v>
      </c>
      <c r="J41" s="110">
        <f t="shared" ca="1" si="0"/>
        <v>230.1953</v>
      </c>
      <c r="K41" s="110">
        <f t="shared" ca="1" si="0"/>
        <v>360.84210000000002</v>
      </c>
    </row>
    <row r="42" spans="2:11" x14ac:dyDescent="0.25">
      <c r="B42" s="167"/>
      <c r="C42" s="47" t="s">
        <v>327</v>
      </c>
      <c r="D42" s="23" t="s">
        <v>614</v>
      </c>
      <c r="E42" s="112">
        <f t="shared" ca="1" si="0"/>
        <v>0</v>
      </c>
      <c r="F42" s="112">
        <f t="shared" ca="1" si="0"/>
        <v>6.1320000000000003E-3</v>
      </c>
      <c r="G42" s="112">
        <f t="shared" ca="1" si="0"/>
        <v>-20.31204</v>
      </c>
      <c r="H42" s="112">
        <f t="shared" ca="1" si="0"/>
        <v>56.61345</v>
      </c>
      <c r="I42" s="112">
        <f t="shared" ca="1" si="0"/>
        <v>628.95339999999999</v>
      </c>
      <c r="J42" s="112">
        <f t="shared" ca="1" si="0"/>
        <v>734.42859999999996</v>
      </c>
      <c r="K42" s="112">
        <f t="shared" ca="1" si="0"/>
        <v>611.53150000000005</v>
      </c>
    </row>
  </sheetData>
  <mergeCells count="6">
    <mergeCell ref="B37:B42"/>
    <mergeCell ref="B19:B23"/>
    <mergeCell ref="B6:B18"/>
    <mergeCell ref="B24:B25"/>
    <mergeCell ref="B27:B28"/>
    <mergeCell ref="B29:B3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92D050"/>
  </sheetPr>
  <dimension ref="A1:K42"/>
  <sheetViews>
    <sheetView workbookViewId="0">
      <selection activeCell="H36" sqref="H36"/>
    </sheetView>
  </sheetViews>
  <sheetFormatPr baseColWidth="10" defaultRowHeight="15" x14ac:dyDescent="0.25"/>
  <cols>
    <col min="3" max="3" width="51.5703125" customWidth="1"/>
    <col min="4" max="4" width="0" hidden="1" customWidth="1"/>
  </cols>
  <sheetData>
    <row r="1" spans="1:11" ht="23.45" x14ac:dyDescent="0.55000000000000004">
      <c r="A1" s="4" t="s">
        <v>577</v>
      </c>
      <c r="B1" s="4"/>
      <c r="C1" s="1"/>
      <c r="D1" s="1"/>
    </row>
    <row r="2" spans="1:11" ht="23.45" x14ac:dyDescent="0.55000000000000004">
      <c r="A2" s="4"/>
      <c r="B2" s="4"/>
      <c r="C2" s="1"/>
      <c r="D2" s="1"/>
    </row>
    <row r="3" spans="1:11" ht="23.45" x14ac:dyDescent="0.55000000000000004">
      <c r="A3" s="4"/>
      <c r="B3" s="4"/>
      <c r="C3" s="3" t="s">
        <v>330</v>
      </c>
      <c r="D3" s="1"/>
    </row>
    <row r="4" spans="1:11" ht="14.45" x14ac:dyDescent="0.35">
      <c r="C4" s="1"/>
      <c r="D4" s="1"/>
    </row>
    <row r="5" spans="1:11" ht="14.45" x14ac:dyDescent="0.35">
      <c r="B5" s="51"/>
      <c r="C5" s="50" t="s">
        <v>675</v>
      </c>
      <c r="D5" s="51"/>
      <c r="E5" s="52">
        <v>2006</v>
      </c>
      <c r="F5" s="52">
        <v>2010</v>
      </c>
      <c r="G5" s="50">
        <v>2015</v>
      </c>
      <c r="H5" s="50">
        <v>2020</v>
      </c>
      <c r="I5" s="50">
        <v>2030</v>
      </c>
      <c r="J5" s="50">
        <v>2040</v>
      </c>
      <c r="K5" s="50">
        <v>2050</v>
      </c>
    </row>
    <row r="6" spans="1:11" x14ac:dyDescent="0.25">
      <c r="B6" s="169" t="s">
        <v>636</v>
      </c>
      <c r="C6" s="41" t="s">
        <v>615</v>
      </c>
      <c r="D6" t="s">
        <v>638</v>
      </c>
      <c r="E6" s="110">
        <f t="shared" ref="E6:K42" ca="1" si="0">Output("SCEN_ADEMEhaut", $D6, E$5)</f>
        <v>0</v>
      </c>
      <c r="F6" s="110">
        <f t="shared" ca="1" si="0"/>
        <v>9.4850000000000004E-3</v>
      </c>
      <c r="G6" s="110">
        <f t="shared" ca="1" si="0"/>
        <v>0.38286900000000001</v>
      </c>
      <c r="H6" s="110">
        <f t="shared" ca="1" si="0"/>
        <v>1.886679</v>
      </c>
      <c r="I6" s="110">
        <f t="shared" ca="1" si="0"/>
        <v>10.11495</v>
      </c>
      <c r="J6" s="110">
        <f t="shared" ca="1" si="0"/>
        <v>21.340129999999998</v>
      </c>
      <c r="K6" s="110">
        <f t="shared" ca="1" si="0"/>
        <v>30.435369999999999</v>
      </c>
    </row>
    <row r="7" spans="1:11" x14ac:dyDescent="0.25">
      <c r="B7" s="170"/>
      <c r="C7" s="41" t="s">
        <v>616</v>
      </c>
      <c r="D7" t="s">
        <v>639</v>
      </c>
      <c r="E7" s="110">
        <f t="shared" ca="1" si="0"/>
        <v>0</v>
      </c>
      <c r="F7" s="110">
        <f t="shared" ca="1" si="0"/>
        <v>1.9591000000000001E-2</v>
      </c>
      <c r="G7" s="110">
        <f t="shared" ca="1" si="0"/>
        <v>0.74181900000000001</v>
      </c>
      <c r="H7" s="110">
        <f t="shared" ca="1" si="0"/>
        <v>3.2224780000000002</v>
      </c>
      <c r="I7" s="110">
        <f t="shared" ca="1" si="0"/>
        <v>9.6482460000000003</v>
      </c>
      <c r="J7" s="110">
        <f t="shared" ca="1" si="0"/>
        <v>17.701820000000001</v>
      </c>
      <c r="K7" s="110">
        <f t="shared" ca="1" si="0"/>
        <v>28.98845</v>
      </c>
    </row>
    <row r="8" spans="1:11" x14ac:dyDescent="0.25">
      <c r="B8" s="170"/>
      <c r="C8" s="41" t="s">
        <v>617</v>
      </c>
      <c r="D8" t="s">
        <v>640</v>
      </c>
      <c r="E8" s="110">
        <f t="shared" ca="1" si="0"/>
        <v>0</v>
      </c>
      <c r="F8" s="110">
        <f t="shared" ca="1" si="0"/>
        <v>1.5020000000000001E-3</v>
      </c>
      <c r="G8" s="110">
        <f t="shared" ca="1" si="0"/>
        <v>-0.15911800000000001</v>
      </c>
      <c r="H8" s="110">
        <f t="shared" ca="1" si="0"/>
        <v>-0.30732300000000001</v>
      </c>
      <c r="I8" s="110">
        <f t="shared" ca="1" si="0"/>
        <v>-5.0155989999999999</v>
      </c>
      <c r="J8" s="110">
        <f t="shared" ca="1" si="0"/>
        <v>-3.7735720000000001</v>
      </c>
      <c r="K8" s="110">
        <f t="shared" ca="1" si="0"/>
        <v>-9.7907309999999992</v>
      </c>
    </row>
    <row r="9" spans="1:11" x14ac:dyDescent="0.25">
      <c r="B9" s="170"/>
      <c r="C9" s="41" t="s">
        <v>618</v>
      </c>
      <c r="D9" t="s">
        <v>641</v>
      </c>
      <c r="E9" s="110">
        <f t="shared" ca="1" si="0"/>
        <v>0</v>
      </c>
      <c r="F9" s="110">
        <f t="shared" ca="1" si="0"/>
        <v>8.5009999999999999E-3</v>
      </c>
      <c r="G9" s="110">
        <f t="shared" ca="1" si="0"/>
        <v>0.52510800000000002</v>
      </c>
      <c r="H9" s="110">
        <f t="shared" ca="1" si="0"/>
        <v>3.2144249999999999</v>
      </c>
      <c r="I9" s="110">
        <f t="shared" ca="1" si="0"/>
        <v>14.88496</v>
      </c>
      <c r="J9" s="110">
        <f t="shared" ca="1" si="0"/>
        <v>29.118960000000001</v>
      </c>
      <c r="K9" s="110">
        <f t="shared" ca="1" si="0"/>
        <v>41.8217</v>
      </c>
    </row>
    <row r="10" spans="1:11" x14ac:dyDescent="0.25">
      <c r="B10" s="170"/>
      <c r="C10" s="41" t="s">
        <v>619</v>
      </c>
      <c r="D10" t="s">
        <v>642</v>
      </c>
      <c r="E10" s="110">
        <f t="shared" ca="1" si="0"/>
        <v>0</v>
      </c>
      <c r="F10" s="110">
        <f t="shared" ca="1" si="0"/>
        <v>6.4619999999999999E-3</v>
      </c>
      <c r="G10" s="110">
        <f t="shared" ca="1" si="0"/>
        <v>0.55317000000000005</v>
      </c>
      <c r="H10" s="110">
        <f t="shared" ca="1" si="0"/>
        <v>3.7291639999999999</v>
      </c>
      <c r="I10" s="110">
        <f t="shared" ca="1" si="0"/>
        <v>24.106400000000001</v>
      </c>
      <c r="J10" s="110">
        <f t="shared" ca="1" si="0"/>
        <v>54.917140000000003</v>
      </c>
      <c r="K10" s="110">
        <f t="shared" ca="1" si="0"/>
        <v>80.800060000000002</v>
      </c>
    </row>
    <row r="11" spans="1:11" x14ac:dyDescent="0.25">
      <c r="B11" s="170"/>
      <c r="C11" s="41" t="s">
        <v>620</v>
      </c>
      <c r="D11" t="s">
        <v>643</v>
      </c>
      <c r="E11" s="110">
        <f t="shared" ca="1" si="0"/>
        <v>0</v>
      </c>
      <c r="F11" s="110">
        <f t="shared" ca="1" si="0"/>
        <v>8.3960000000000007E-3</v>
      </c>
      <c r="G11" s="110">
        <f t="shared" ca="1" si="0"/>
        <v>0.31351800000000002</v>
      </c>
      <c r="H11" s="110">
        <f t="shared" ca="1" si="0"/>
        <v>1.7013</v>
      </c>
      <c r="I11" s="110">
        <f t="shared" ca="1" si="0"/>
        <v>8.1906920000000003</v>
      </c>
      <c r="J11" s="110">
        <f t="shared" ca="1" si="0"/>
        <v>17.10051</v>
      </c>
      <c r="K11" s="110">
        <f t="shared" ca="1" si="0"/>
        <v>28.67314</v>
      </c>
    </row>
    <row r="12" spans="1:11" x14ac:dyDescent="0.25">
      <c r="B12" s="170"/>
      <c r="C12" s="41" t="s">
        <v>621</v>
      </c>
      <c r="D12" t="s">
        <v>644</v>
      </c>
      <c r="E12" s="110">
        <f t="shared" ca="1" si="0"/>
        <v>0</v>
      </c>
      <c r="F12" s="110">
        <f t="shared" ca="1" si="0"/>
        <v>3.6480000000000002E-3</v>
      </c>
      <c r="G12" s="110">
        <f t="shared" ca="1" si="0"/>
        <v>1.9203170000000001</v>
      </c>
      <c r="H12" s="110">
        <f t="shared" ca="1" si="0"/>
        <v>10.712260000000001</v>
      </c>
      <c r="I12" s="110">
        <f t="shared" ca="1" si="0"/>
        <v>41.22954</v>
      </c>
      <c r="J12" s="110">
        <f t="shared" ca="1" si="0"/>
        <v>73.69032</v>
      </c>
      <c r="K12" s="110">
        <f t="shared" ca="1" si="0"/>
        <v>101.13079999999999</v>
      </c>
    </row>
    <row r="13" spans="1:11" x14ac:dyDescent="0.25">
      <c r="B13" s="170"/>
      <c r="C13" s="41" t="s">
        <v>622</v>
      </c>
      <c r="D13" t="s">
        <v>645</v>
      </c>
      <c r="E13" s="110">
        <f t="shared" ca="1" si="0"/>
        <v>0</v>
      </c>
      <c r="F13" s="110">
        <f t="shared" ca="1" si="0"/>
        <v>6.1899999999999998E-4</v>
      </c>
      <c r="G13" s="110">
        <f t="shared" ca="1" si="0"/>
        <v>0.19836599999999999</v>
      </c>
      <c r="H13" s="110">
        <f t="shared" ca="1" si="0"/>
        <v>0.39057500000000001</v>
      </c>
      <c r="I13" s="110">
        <f t="shared" ca="1" si="0"/>
        <v>2.5588639999999998</v>
      </c>
      <c r="J13" s="110">
        <f t="shared" ca="1" si="0"/>
        <v>8.0655439999999992</v>
      </c>
      <c r="K13" s="110">
        <f t="shared" ca="1" si="0"/>
        <v>31.318059999999999</v>
      </c>
    </row>
    <row r="14" spans="1:11" x14ac:dyDescent="0.25">
      <c r="B14" s="170"/>
      <c r="C14" s="41" t="s">
        <v>623</v>
      </c>
      <c r="D14" t="s">
        <v>646</v>
      </c>
      <c r="E14" s="110">
        <f t="shared" ca="1" si="0"/>
        <v>0</v>
      </c>
      <c r="F14" s="110">
        <f t="shared" ca="1" si="0"/>
        <v>6.9350000000000002E-3</v>
      </c>
      <c r="G14" s="110">
        <f t="shared" ca="1" si="0"/>
        <v>0.10298499999999999</v>
      </c>
      <c r="H14" s="110">
        <f t="shared" ca="1" si="0"/>
        <v>0.35800300000000002</v>
      </c>
      <c r="I14" s="110">
        <f t="shared" ca="1" si="0"/>
        <v>-0.48204799999999998</v>
      </c>
      <c r="J14" s="110">
        <f t="shared" ca="1" si="0"/>
        <v>0.15704699999999999</v>
      </c>
      <c r="K14" s="110">
        <f t="shared" ca="1" si="0"/>
        <v>3.4778889999999998</v>
      </c>
    </row>
    <row r="15" spans="1:11" x14ac:dyDescent="0.25">
      <c r="B15" s="170"/>
      <c r="C15" s="41" t="s">
        <v>624</v>
      </c>
      <c r="D15" t="s">
        <v>647</v>
      </c>
      <c r="E15" s="110">
        <f t="shared" ca="1" si="0"/>
        <v>0</v>
      </c>
      <c r="F15" s="110">
        <f t="shared" ca="1" si="0"/>
        <v>2.4459999999999998E-3</v>
      </c>
      <c r="G15" s="110">
        <f t="shared" ca="1" si="0"/>
        <v>2.1747269999999999</v>
      </c>
      <c r="H15" s="110">
        <f t="shared" ca="1" si="0"/>
        <v>10.95162</v>
      </c>
      <c r="I15" s="110">
        <f t="shared" ca="1" si="0"/>
        <v>32.469389999999997</v>
      </c>
      <c r="J15" s="110">
        <f t="shared" ca="1" si="0"/>
        <v>49.190710000000003</v>
      </c>
      <c r="K15" s="110">
        <f t="shared" ca="1" si="0"/>
        <v>56.465829999999997</v>
      </c>
    </row>
    <row r="16" spans="1:11" x14ac:dyDescent="0.25">
      <c r="B16" s="170"/>
      <c r="C16" s="41" t="s">
        <v>625</v>
      </c>
      <c r="D16" t="s">
        <v>648</v>
      </c>
      <c r="E16" s="110">
        <f t="shared" ca="1" si="0"/>
        <v>0</v>
      </c>
      <c r="F16" s="110">
        <f t="shared" ca="1" si="0"/>
        <v>1.2030000000000001E-3</v>
      </c>
      <c r="G16" s="110">
        <f t="shared" ca="1" si="0"/>
        <v>0.26843099999999998</v>
      </c>
      <c r="H16" s="110">
        <f t="shared" ca="1" si="0"/>
        <v>1.8452809999999999</v>
      </c>
      <c r="I16" s="110">
        <f t="shared" ca="1" si="0"/>
        <v>5.8749440000000002</v>
      </c>
      <c r="J16" s="110">
        <f t="shared" ca="1" si="0"/>
        <v>8.8516309999999994</v>
      </c>
      <c r="K16" s="110">
        <f t="shared" ca="1" si="0"/>
        <v>11.40673</v>
      </c>
    </row>
    <row r="17" spans="2:11" x14ac:dyDescent="0.25">
      <c r="B17" s="170"/>
      <c r="C17" s="41" t="s">
        <v>626</v>
      </c>
      <c r="D17" t="s">
        <v>649</v>
      </c>
      <c r="E17" s="110">
        <f t="shared" ca="1" si="0"/>
        <v>0</v>
      </c>
      <c r="F17" s="110">
        <f t="shared" ca="1" si="0"/>
        <v>7.4799999999999997E-3</v>
      </c>
      <c r="G17" s="110">
        <f t="shared" ca="1" si="0"/>
        <v>0.320133</v>
      </c>
      <c r="H17" s="110">
        <f t="shared" ca="1" si="0"/>
        <v>1.2835890000000001</v>
      </c>
      <c r="I17" s="110">
        <f t="shared" ca="1" si="0"/>
        <v>3.4551769999999999</v>
      </c>
      <c r="J17" s="110">
        <f t="shared" ca="1" si="0"/>
        <v>5.0321340000000001</v>
      </c>
      <c r="K17" s="110">
        <f t="shared" ca="1" si="0"/>
        <v>8.3263479999999994</v>
      </c>
    </row>
    <row r="18" spans="2:11" x14ac:dyDescent="0.25">
      <c r="B18" s="171"/>
      <c r="C18" s="41" t="s">
        <v>627</v>
      </c>
      <c r="D18" t="s">
        <v>650</v>
      </c>
      <c r="E18" s="110">
        <f t="shared" ca="1" si="0"/>
        <v>0</v>
      </c>
      <c r="F18" s="110">
        <f t="shared" ca="1" si="0"/>
        <v>5.5659999999999998E-3</v>
      </c>
      <c r="G18" s="110">
        <f t="shared" ca="1" si="0"/>
        <v>0.28059800000000001</v>
      </c>
      <c r="H18" s="110">
        <f t="shared" ca="1" si="0"/>
        <v>1.8593200000000001</v>
      </c>
      <c r="I18" s="110">
        <f t="shared" ca="1" si="0"/>
        <v>6.2481030000000004</v>
      </c>
      <c r="J18" s="110">
        <f t="shared" ca="1" si="0"/>
        <v>11.61575</v>
      </c>
      <c r="K18" s="110">
        <f t="shared" ca="1" si="0"/>
        <v>25.68938</v>
      </c>
    </row>
    <row r="19" spans="2:11" x14ac:dyDescent="0.25">
      <c r="B19" s="168" t="s">
        <v>437</v>
      </c>
      <c r="C19" s="44" t="s">
        <v>628</v>
      </c>
      <c r="D19" s="45" t="s">
        <v>651</v>
      </c>
      <c r="E19" s="111">
        <f t="shared" ca="1" si="0"/>
        <v>0</v>
      </c>
      <c r="F19" s="111">
        <f t="shared" ca="1" si="0"/>
        <v>2.47E-3</v>
      </c>
      <c r="G19" s="111">
        <f t="shared" ca="1" si="0"/>
        <v>0.44313399999999997</v>
      </c>
      <c r="H19" s="111">
        <f t="shared" ca="1" si="0"/>
        <v>2.5229710000000001</v>
      </c>
      <c r="I19" s="111">
        <f t="shared" ca="1" si="0"/>
        <v>15.238479999999999</v>
      </c>
      <c r="J19" s="111">
        <f t="shared" ca="1" si="0"/>
        <v>21.47926</v>
      </c>
      <c r="K19" s="111">
        <f t="shared" ca="1" si="0"/>
        <v>24.252800000000001</v>
      </c>
    </row>
    <row r="20" spans="2:11" x14ac:dyDescent="0.25">
      <c r="B20" s="168"/>
      <c r="C20" s="41" t="s">
        <v>629</v>
      </c>
      <c r="D20" s="22" t="s">
        <v>652</v>
      </c>
      <c r="E20" s="110">
        <f t="shared" ca="1" si="0"/>
        <v>0</v>
      </c>
      <c r="F20" s="110">
        <f t="shared" ca="1" si="0"/>
        <v>2.2009999999999998E-3</v>
      </c>
      <c r="G20" s="110">
        <f t="shared" ca="1" si="0"/>
        <v>0.254805</v>
      </c>
      <c r="H20" s="110">
        <f t="shared" ca="1" si="0"/>
        <v>1.5221880000000001</v>
      </c>
      <c r="I20" s="110">
        <f t="shared" ca="1" si="0"/>
        <v>18.773520000000001</v>
      </c>
      <c r="J20" s="110">
        <f t="shared" ca="1" si="0"/>
        <v>28.545670000000001</v>
      </c>
      <c r="K20" s="110">
        <f t="shared" ca="1" si="0"/>
        <v>45.08455</v>
      </c>
    </row>
    <row r="21" spans="2:11" x14ac:dyDescent="0.25">
      <c r="B21" s="168"/>
      <c r="C21" s="41" t="s">
        <v>630</v>
      </c>
      <c r="D21" s="22" t="s">
        <v>653</v>
      </c>
      <c r="E21" s="110">
        <f t="shared" ca="1" si="0"/>
        <v>0</v>
      </c>
      <c r="F21" s="110">
        <f t="shared" ca="1" si="0"/>
        <v>8.0370000000000007E-3</v>
      </c>
      <c r="G21" s="110">
        <f t="shared" ca="1" si="0"/>
        <v>0.39519900000000002</v>
      </c>
      <c r="H21" s="110">
        <f t="shared" ca="1" si="0"/>
        <v>2.2804679999999999</v>
      </c>
      <c r="I21" s="110">
        <f t="shared" ca="1" si="0"/>
        <v>24.619250000000001</v>
      </c>
      <c r="J21" s="110">
        <f t="shared" ca="1" si="0"/>
        <v>64.308570000000003</v>
      </c>
      <c r="K21" s="110">
        <f t="shared" ca="1" si="0"/>
        <v>89.730310000000003</v>
      </c>
    </row>
    <row r="22" spans="2:11" x14ac:dyDescent="0.25">
      <c r="B22" s="168"/>
      <c r="C22" s="41" t="s">
        <v>631</v>
      </c>
      <c r="D22" s="22" t="s">
        <v>654</v>
      </c>
      <c r="E22" s="110">
        <f t="shared" ca="1" si="0"/>
        <v>0</v>
      </c>
      <c r="F22" s="110">
        <f t="shared" ca="1" si="0"/>
        <v>-8.12E-4</v>
      </c>
      <c r="G22" s="110">
        <f t="shared" ca="1" si="0"/>
        <v>-0.51274600000000004</v>
      </c>
      <c r="H22" s="110">
        <f t="shared" ca="1" si="0"/>
        <v>-1.811115</v>
      </c>
      <c r="I22" s="110">
        <f t="shared" ca="1" si="0"/>
        <v>17.084579999999999</v>
      </c>
      <c r="J22" s="110">
        <f t="shared" ca="1" si="0"/>
        <v>51.655279999999998</v>
      </c>
      <c r="K22" s="110">
        <f t="shared" ca="1" si="0"/>
        <v>67.282269999999997</v>
      </c>
    </row>
    <row r="23" spans="2:11" x14ac:dyDescent="0.25">
      <c r="B23" s="168"/>
      <c r="C23" s="41" t="s">
        <v>632</v>
      </c>
      <c r="D23" s="22" t="s">
        <v>655</v>
      </c>
      <c r="E23" s="110">
        <f t="shared" ca="1" si="0"/>
        <v>0</v>
      </c>
      <c r="F23" s="110">
        <f t="shared" ca="1" si="0"/>
        <v>3.2200000000000002E-3</v>
      </c>
      <c r="G23" s="110">
        <f t="shared" ca="1" si="0"/>
        <v>0.19675400000000001</v>
      </c>
      <c r="H23" s="110">
        <f t="shared" ca="1" si="0"/>
        <v>2.125769</v>
      </c>
      <c r="I23" s="110">
        <f t="shared" ca="1" si="0"/>
        <v>41.220660000000002</v>
      </c>
      <c r="J23" s="110">
        <f t="shared" ca="1" si="0"/>
        <v>112.4986</v>
      </c>
      <c r="K23" s="110">
        <f t="shared" ca="1" si="0"/>
        <v>139.17429999999999</v>
      </c>
    </row>
    <row r="24" spans="2:11" x14ac:dyDescent="0.25">
      <c r="B24" s="165" t="s">
        <v>525</v>
      </c>
      <c r="C24" s="44" t="s">
        <v>633</v>
      </c>
      <c r="D24" s="45" t="s">
        <v>656</v>
      </c>
      <c r="E24" s="111">
        <f t="shared" ca="1" si="0"/>
        <v>0</v>
      </c>
      <c r="F24" s="111">
        <f t="shared" ca="1" si="0"/>
        <v>1.4585000000000001E-2</v>
      </c>
      <c r="G24" s="111">
        <f t="shared" ca="1" si="0"/>
        <v>0.35693900000000001</v>
      </c>
      <c r="H24" s="111">
        <f t="shared" ca="1" si="0"/>
        <v>1.3084690000000001</v>
      </c>
      <c r="I24" s="111">
        <f t="shared" ca="1" si="0"/>
        <v>2.6553620000000002</v>
      </c>
      <c r="J24" s="111">
        <f t="shared" ca="1" si="0"/>
        <v>4.9741790000000004</v>
      </c>
      <c r="K24" s="111">
        <f t="shared" ca="1" si="0"/>
        <v>10.186780000000001</v>
      </c>
    </row>
    <row r="25" spans="2:11" x14ac:dyDescent="0.25">
      <c r="B25" s="167"/>
      <c r="C25" s="47" t="s">
        <v>634</v>
      </c>
      <c r="D25" s="23" t="s">
        <v>657</v>
      </c>
      <c r="E25" s="112">
        <f t="shared" ca="1" si="0"/>
        <v>0</v>
      </c>
      <c r="F25" s="112">
        <f t="shared" ca="1" si="0"/>
        <v>2.3700000000000001E-3</v>
      </c>
      <c r="G25" s="112">
        <f t="shared" ca="1" si="0"/>
        <v>6.2566999999999998E-2</v>
      </c>
      <c r="H25" s="112">
        <f t="shared" ca="1" si="0"/>
        <v>0.377166</v>
      </c>
      <c r="I25" s="112">
        <f t="shared" ca="1" si="0"/>
        <v>1.1779550000000001</v>
      </c>
      <c r="J25" s="112">
        <f t="shared" ca="1" si="0"/>
        <v>2.6497039999999998</v>
      </c>
      <c r="K25" s="112">
        <f t="shared" ca="1" si="0"/>
        <v>4.8129569999999999</v>
      </c>
    </row>
    <row r="26" spans="2:11" ht="14.45" x14ac:dyDescent="0.35">
      <c r="B26" s="108" t="s">
        <v>315</v>
      </c>
      <c r="C26" s="47" t="s">
        <v>315</v>
      </c>
      <c r="D26" s="23" t="s">
        <v>658</v>
      </c>
      <c r="E26" s="112">
        <f t="shared" ca="1" si="0"/>
        <v>0</v>
      </c>
      <c r="F26" s="112">
        <f t="shared" ca="1" si="0"/>
        <v>1.1814E-2</v>
      </c>
      <c r="G26" s="112">
        <f t="shared" ca="1" si="0"/>
        <v>-16.911639999999998</v>
      </c>
      <c r="H26" s="112">
        <f t="shared" ca="1" si="0"/>
        <v>-45.674320000000002</v>
      </c>
      <c r="I26" s="112">
        <f t="shared" ca="1" si="0"/>
        <v>-63.325839999999999</v>
      </c>
      <c r="J26" s="112">
        <f t="shared" ca="1" si="0"/>
        <v>-66.032179999999997</v>
      </c>
      <c r="K26" s="112">
        <f t="shared" ca="1" si="0"/>
        <v>-64.076660000000004</v>
      </c>
    </row>
    <row r="27" spans="2:11" x14ac:dyDescent="0.25">
      <c r="B27" s="165" t="s">
        <v>313</v>
      </c>
      <c r="C27" s="44" t="s">
        <v>325</v>
      </c>
      <c r="D27" s="45" t="s">
        <v>659</v>
      </c>
      <c r="E27" s="111">
        <f t="shared" ca="1" si="0"/>
        <v>0</v>
      </c>
      <c r="F27" s="111">
        <f t="shared" ca="1" si="0"/>
        <v>-1.8152000000000001E-2</v>
      </c>
      <c r="G27" s="111">
        <f t="shared" ca="1" si="0"/>
        <v>-2.738499</v>
      </c>
      <c r="H27" s="111">
        <f t="shared" ca="1" si="0"/>
        <v>-5.7086980000000001</v>
      </c>
      <c r="I27" s="111">
        <f t="shared" ca="1" si="0"/>
        <v>-19.895859999999999</v>
      </c>
      <c r="J27" s="111">
        <f t="shared" ca="1" si="0"/>
        <v>-49.07893</v>
      </c>
      <c r="K27" s="111">
        <f t="shared" ca="1" si="0"/>
        <v>-70.072779999999995</v>
      </c>
    </row>
    <row r="28" spans="2:11" x14ac:dyDescent="0.25">
      <c r="B28" s="167"/>
      <c r="C28" s="41" t="s">
        <v>326</v>
      </c>
      <c r="D28" t="s">
        <v>660</v>
      </c>
      <c r="E28" s="110">
        <f t="shared" ca="1" si="0"/>
        <v>0</v>
      </c>
      <c r="F28" s="110">
        <f t="shared" ca="1" si="0"/>
        <v>-2.4323999999999998E-2</v>
      </c>
      <c r="G28" s="110">
        <f t="shared" ca="1" si="0"/>
        <v>52.684950000000001</v>
      </c>
      <c r="H28" s="110">
        <f t="shared" ca="1" si="0"/>
        <v>19.460059999999999</v>
      </c>
      <c r="I28" s="110">
        <f t="shared" ca="1" si="0"/>
        <v>32.42557</v>
      </c>
      <c r="J28" s="110">
        <f t="shared" ca="1" si="0"/>
        <v>1142.8900000000001</v>
      </c>
      <c r="K28" s="110">
        <f t="shared" ca="1" si="0"/>
        <v>2749.5970000000002</v>
      </c>
    </row>
    <row r="29" spans="2:11" x14ac:dyDescent="0.25">
      <c r="B29" s="165" t="s">
        <v>489</v>
      </c>
      <c r="C29" s="44" t="s">
        <v>312</v>
      </c>
      <c r="D29" s="45" t="s">
        <v>661</v>
      </c>
      <c r="E29" s="111">
        <f t="shared" ca="1" si="0"/>
        <v>0</v>
      </c>
      <c r="F29" s="111">
        <f t="shared" ca="1" si="0"/>
        <v>2.5139000000000002E-2</v>
      </c>
      <c r="G29" s="111">
        <f t="shared" ca="1" si="0"/>
        <v>-5.6587079999999998</v>
      </c>
      <c r="H29" s="111">
        <f t="shared" ca="1" si="0"/>
        <v>-13.4267</v>
      </c>
      <c r="I29" s="111">
        <f t="shared" ca="1" si="0"/>
        <v>-45.382300000000001</v>
      </c>
      <c r="J29" s="111">
        <f t="shared" ca="1" si="0"/>
        <v>-59.683819999999997</v>
      </c>
      <c r="K29" s="111">
        <f t="shared" ca="1" si="0"/>
        <v>-63.919589999999999</v>
      </c>
    </row>
    <row r="30" spans="2:11" x14ac:dyDescent="0.25">
      <c r="B30" s="166"/>
      <c r="C30" s="41" t="s">
        <v>313</v>
      </c>
      <c r="D30" t="s">
        <v>662</v>
      </c>
      <c r="E30" s="110">
        <f t="shared" ca="1" si="0"/>
        <v>0</v>
      </c>
      <c r="F30" s="110">
        <f t="shared" ca="1" si="0"/>
        <v>2.5139000000000002E-2</v>
      </c>
      <c r="G30" s="110">
        <f t="shared" ca="1" si="0"/>
        <v>-50.883099999999999</v>
      </c>
      <c r="H30" s="110">
        <f t="shared" ca="1" si="0"/>
        <v>-90.534239999999997</v>
      </c>
      <c r="I30" s="110">
        <f t="shared" ca="1" si="0"/>
        <v>-97.818939999999998</v>
      </c>
      <c r="J30" s="110">
        <f t="shared" ca="1" si="0"/>
        <v>-99.153459999999995</v>
      </c>
      <c r="K30" s="110">
        <f t="shared" ca="1" si="0"/>
        <v>-99.938760000000002</v>
      </c>
    </row>
    <row r="31" spans="2:11" x14ac:dyDescent="0.25">
      <c r="B31" s="166"/>
      <c r="C31" s="41" t="s">
        <v>314</v>
      </c>
      <c r="D31" t="s">
        <v>663</v>
      </c>
      <c r="E31" s="110">
        <f t="shared" ca="1" si="0"/>
        <v>0</v>
      </c>
      <c r="F31" s="110">
        <f t="shared" ca="1" si="0"/>
        <v>2.5156000000000001E-2</v>
      </c>
      <c r="G31" s="110">
        <f t="shared" ca="1" si="0"/>
        <v>7.1694849999999999</v>
      </c>
      <c r="H31" s="110">
        <f t="shared" ca="1" si="0"/>
        <v>5.0481939999999996</v>
      </c>
      <c r="I31" s="110">
        <f t="shared" ca="1" si="0"/>
        <v>-5.4204559999999997</v>
      </c>
      <c r="J31" s="110">
        <f t="shared" ca="1" si="0"/>
        <v>-8.1318520000000003</v>
      </c>
      <c r="K31" s="110">
        <f t="shared" ca="1" si="0"/>
        <v>-15.636799999999999</v>
      </c>
    </row>
    <row r="32" spans="2:11" x14ac:dyDescent="0.25">
      <c r="B32" s="166"/>
      <c r="C32" s="41" t="s">
        <v>315</v>
      </c>
      <c r="D32" t="s">
        <v>664</v>
      </c>
      <c r="E32" s="110">
        <f t="shared" ca="1" si="0"/>
        <v>0</v>
      </c>
      <c r="F32" s="110">
        <f t="shared" ca="1" si="0"/>
        <v>2.5193E-2</v>
      </c>
      <c r="G32" s="110">
        <f t="shared" ca="1" si="0"/>
        <v>-38.346159999999998</v>
      </c>
      <c r="H32" s="110">
        <f t="shared" ca="1" si="0"/>
        <v>-86.763409999999993</v>
      </c>
      <c r="I32" s="110">
        <f t="shared" ca="1" si="0"/>
        <v>-99.378640000000004</v>
      </c>
      <c r="J32" s="110">
        <f t="shared" ca="1" si="0"/>
        <v>-99.792150000000007</v>
      </c>
      <c r="K32" s="110">
        <f t="shared" ca="1" si="0"/>
        <v>-99.996200000000002</v>
      </c>
    </row>
    <row r="33" spans="2:11" x14ac:dyDescent="0.25">
      <c r="B33" s="166"/>
      <c r="C33" s="41" t="s">
        <v>316</v>
      </c>
      <c r="D33" t="s">
        <v>665</v>
      </c>
      <c r="E33" s="110">
        <f t="shared" ca="1" si="0"/>
        <v>0</v>
      </c>
      <c r="F33" s="110">
        <f t="shared" ca="1" si="0"/>
        <v>2.5160999999999999E-2</v>
      </c>
      <c r="G33" s="110">
        <f t="shared" ca="1" si="0"/>
        <v>238.68979999999999</v>
      </c>
      <c r="H33" s="110">
        <f t="shared" ca="1" si="0"/>
        <v>790.43629999999996</v>
      </c>
      <c r="I33" s="110">
        <f t="shared" ca="1" si="0"/>
        <v>2006.6690000000001</v>
      </c>
      <c r="J33" s="110">
        <f t="shared" ca="1" si="0"/>
        <v>1546.2429999999999</v>
      </c>
      <c r="K33" s="110">
        <f t="shared" ca="1" si="0"/>
        <v>741.1309</v>
      </c>
    </row>
    <row r="34" spans="2:11" x14ac:dyDescent="0.25">
      <c r="B34" s="166"/>
      <c r="C34" s="41" t="s">
        <v>317</v>
      </c>
      <c r="D34" t="s">
        <v>666</v>
      </c>
      <c r="E34" s="110">
        <f t="shared" ca="1" si="0"/>
        <v>0</v>
      </c>
      <c r="F34" s="110">
        <f t="shared" ca="1" si="0"/>
        <v>2.5222999999999999E-2</v>
      </c>
      <c r="G34" s="110">
        <f t="shared" ca="1" si="0"/>
        <v>-62.525700000000001</v>
      </c>
      <c r="H34" s="110">
        <f t="shared" ca="1" si="0"/>
        <v>351.1506</v>
      </c>
      <c r="I34" s="110">
        <f t="shared" ca="1" si="0"/>
        <v>6546.0649999999996</v>
      </c>
      <c r="J34" s="110">
        <f t="shared" ca="1" si="0"/>
        <v>8326.2890000000007</v>
      </c>
      <c r="K34" s="110">
        <f t="shared" ca="1" si="0"/>
        <v>5003.8100000000004</v>
      </c>
    </row>
    <row r="35" spans="2:11" x14ac:dyDescent="0.25">
      <c r="B35" s="166"/>
      <c r="C35" s="41" t="s">
        <v>318</v>
      </c>
      <c r="D35" t="s">
        <v>667</v>
      </c>
      <c r="E35" s="110">
        <f t="shared" ca="1" si="0"/>
        <v>0</v>
      </c>
      <c r="F35" s="110">
        <f t="shared" ca="1" si="0"/>
        <v>2.5232999999999998E-2</v>
      </c>
      <c r="G35" s="110">
        <f t="shared" ca="1" si="0"/>
        <v>25.726179999999999</v>
      </c>
      <c r="H35" s="110">
        <f t="shared" ca="1" si="0"/>
        <v>50.843580000000003</v>
      </c>
      <c r="I35" s="110">
        <f t="shared" ca="1" si="0"/>
        <v>-10.06316</v>
      </c>
      <c r="J35" s="110">
        <f t="shared" ca="1" si="0"/>
        <v>-42.717689999999997</v>
      </c>
      <c r="K35" s="110">
        <f t="shared" ca="1" si="0"/>
        <v>-49.175089999999997</v>
      </c>
    </row>
    <row r="36" spans="2:11" x14ac:dyDescent="0.25">
      <c r="B36" s="167"/>
      <c r="C36" s="41" t="s">
        <v>327</v>
      </c>
      <c r="D36" t="s">
        <v>668</v>
      </c>
      <c r="E36" s="110">
        <f t="shared" ca="1" si="0"/>
        <v>0</v>
      </c>
      <c r="F36" s="110">
        <f t="shared" ca="1" si="0"/>
        <v>2.5145000000000001E-2</v>
      </c>
      <c r="G36" s="110">
        <f t="shared" ca="1" si="0"/>
        <v>7.3280089999999998</v>
      </c>
      <c r="H36" s="110">
        <f t="shared" ca="1" si="0"/>
        <v>-48.973990000000001</v>
      </c>
      <c r="I36" s="110">
        <f t="shared" ca="1" si="0"/>
        <v>-2.64032</v>
      </c>
      <c r="J36" s="110">
        <f t="shared" ca="1" si="0"/>
        <v>10.45398</v>
      </c>
      <c r="K36" s="110">
        <f t="shared" ca="1" si="0"/>
        <v>-31.816770000000002</v>
      </c>
    </row>
    <row r="37" spans="2:11" x14ac:dyDescent="0.25">
      <c r="B37" s="165" t="s">
        <v>637</v>
      </c>
      <c r="C37" s="44" t="s">
        <v>319</v>
      </c>
      <c r="D37" s="45" t="s">
        <v>669</v>
      </c>
      <c r="E37" s="111">
        <f t="shared" ca="1" si="0"/>
        <v>0</v>
      </c>
      <c r="F37" s="111">
        <f t="shared" ca="1" si="0"/>
        <v>5.3429999999999997E-3</v>
      </c>
      <c r="G37" s="111">
        <f t="shared" ca="1" si="0"/>
        <v>-4.4735930000000002</v>
      </c>
      <c r="H37" s="111">
        <f t="shared" ca="1" si="0"/>
        <v>-11.971880000000001</v>
      </c>
      <c r="I37" s="111">
        <f t="shared" ca="1" si="0"/>
        <v>-48.937690000000003</v>
      </c>
      <c r="J37" s="111">
        <f t="shared" ca="1" si="0"/>
        <v>-72.989999999999995</v>
      </c>
      <c r="K37" s="111">
        <f t="shared" ca="1" si="0"/>
        <v>-81.949590000000001</v>
      </c>
    </row>
    <row r="38" spans="2:11" x14ac:dyDescent="0.25">
      <c r="B38" s="166"/>
      <c r="C38" s="41" t="s">
        <v>320</v>
      </c>
      <c r="D38" t="s">
        <v>670</v>
      </c>
      <c r="E38" s="110">
        <f t="shared" ca="1" si="0"/>
        <v>0</v>
      </c>
      <c r="F38" s="110">
        <f t="shared" ca="1" si="0"/>
        <v>5.555E-3</v>
      </c>
      <c r="G38" s="110">
        <f t="shared" ca="1" si="0"/>
        <v>-1.783201</v>
      </c>
      <c r="H38" s="110">
        <f t="shared" ca="1" si="0"/>
        <v>-3.099256</v>
      </c>
      <c r="I38" s="110">
        <f t="shared" ca="1" si="0"/>
        <v>20.812049999999999</v>
      </c>
      <c r="J38" s="110">
        <f t="shared" ca="1" si="0"/>
        <v>23.128910000000001</v>
      </c>
      <c r="K38" s="110">
        <f t="shared" ca="1" si="0"/>
        <v>6.4671240000000001</v>
      </c>
    </row>
    <row r="39" spans="2:11" x14ac:dyDescent="0.25">
      <c r="B39" s="166"/>
      <c r="C39" s="41" t="s">
        <v>321</v>
      </c>
      <c r="D39" t="s">
        <v>671</v>
      </c>
      <c r="E39" s="110">
        <f t="shared" ca="1" si="0"/>
        <v>0</v>
      </c>
      <c r="F39" s="110">
        <f t="shared" ca="1" si="0"/>
        <v>5.5100000000000001E-3</v>
      </c>
      <c r="G39" s="110">
        <f t="shared" ca="1" si="0"/>
        <v>11.265840000000001</v>
      </c>
      <c r="H39" s="110">
        <f t="shared" ca="1" si="0"/>
        <v>27.277249999999999</v>
      </c>
      <c r="I39" s="110">
        <f t="shared" ca="1" si="0"/>
        <v>662.72349999999994</v>
      </c>
      <c r="J39" s="110">
        <f t="shared" ca="1" si="0"/>
        <v>1131.8530000000001</v>
      </c>
      <c r="K39" s="110">
        <f t="shared" ca="1" si="0"/>
        <v>1044.0039999999999</v>
      </c>
    </row>
    <row r="40" spans="2:11" x14ac:dyDescent="0.25">
      <c r="B40" s="166"/>
      <c r="C40" s="41" t="s">
        <v>322</v>
      </c>
      <c r="D40" t="s">
        <v>672</v>
      </c>
      <c r="E40" s="110">
        <f t="shared" ca="1" si="0"/>
        <v>0</v>
      </c>
      <c r="F40" s="110">
        <f t="shared" ca="1" si="0"/>
        <v>5.5199999999999997E-3</v>
      </c>
      <c r="G40" s="110">
        <f t="shared" ca="1" si="0"/>
        <v>18.357060000000001</v>
      </c>
      <c r="H40" s="110">
        <f t="shared" ca="1" si="0"/>
        <v>12.145820000000001</v>
      </c>
      <c r="I40" s="110">
        <f t="shared" ca="1" si="0"/>
        <v>47.161819999999999</v>
      </c>
      <c r="J40" s="110">
        <f t="shared" ca="1" si="0"/>
        <v>109.289</v>
      </c>
      <c r="K40" s="110">
        <f t="shared" ca="1" si="0"/>
        <v>143.8646</v>
      </c>
    </row>
    <row r="41" spans="2:11" x14ac:dyDescent="0.25">
      <c r="B41" s="166"/>
      <c r="C41" s="41" t="s">
        <v>323</v>
      </c>
      <c r="D41" t="s">
        <v>673</v>
      </c>
      <c r="E41" s="110">
        <f t="shared" ca="1" si="0"/>
        <v>0</v>
      </c>
      <c r="F41" s="110">
        <f t="shared" ca="1" si="0"/>
        <v>5.4869999999999997E-3</v>
      </c>
      <c r="G41" s="110">
        <f t="shared" ca="1" si="0"/>
        <v>48.828440000000001</v>
      </c>
      <c r="H41" s="110">
        <f t="shared" ca="1" si="0"/>
        <v>24.408860000000001</v>
      </c>
      <c r="I41" s="110">
        <f t="shared" ca="1" si="0"/>
        <v>14.91343</v>
      </c>
      <c r="J41" s="110">
        <f t="shared" ca="1" si="0"/>
        <v>279.9076</v>
      </c>
      <c r="K41" s="110">
        <f t="shared" ca="1" si="0"/>
        <v>640.12779999999998</v>
      </c>
    </row>
    <row r="42" spans="2:11" x14ac:dyDescent="0.25">
      <c r="B42" s="167"/>
      <c r="C42" s="47" t="s">
        <v>327</v>
      </c>
      <c r="D42" s="23" t="s">
        <v>674</v>
      </c>
      <c r="E42" s="112">
        <f t="shared" ca="1" si="0"/>
        <v>0</v>
      </c>
      <c r="F42" s="112">
        <f t="shared" ca="1" si="0"/>
        <v>5.5110000000000003E-3</v>
      </c>
      <c r="G42" s="112">
        <f t="shared" ca="1" si="0"/>
        <v>-19.855789999999999</v>
      </c>
      <c r="H42" s="112">
        <f t="shared" ref="H42:K42" ca="1" si="1">Output("SCEN_ADEMEhaut", $D42, H$5)</f>
        <v>38.508110000000002</v>
      </c>
      <c r="I42" s="112">
        <f t="shared" ca="1" si="1"/>
        <v>976.3279</v>
      </c>
      <c r="J42" s="112">
        <f t="shared" ca="1" si="1"/>
        <v>1567.8130000000001</v>
      </c>
      <c r="K42" s="112">
        <f t="shared" ca="1" si="1"/>
        <v>1264.0740000000001</v>
      </c>
    </row>
  </sheetData>
  <mergeCells count="6">
    <mergeCell ref="B37:B42"/>
    <mergeCell ref="B6:B18"/>
    <mergeCell ref="B19:B23"/>
    <mergeCell ref="B24:B25"/>
    <mergeCell ref="B27:B28"/>
    <mergeCell ref="B29:B3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92D050"/>
  </sheetPr>
  <dimension ref="A1:K29"/>
  <sheetViews>
    <sheetView workbookViewId="0">
      <selection activeCell="H36" sqref="H36"/>
    </sheetView>
  </sheetViews>
  <sheetFormatPr baseColWidth="10" defaultRowHeight="15" x14ac:dyDescent="0.25"/>
  <cols>
    <col min="3" max="3" width="52.5703125" customWidth="1"/>
    <col min="4" max="4" width="10.85546875" hidden="1" customWidth="1"/>
  </cols>
  <sheetData>
    <row r="1" spans="1:11" ht="23.45" x14ac:dyDescent="0.55000000000000004">
      <c r="A1" s="4"/>
      <c r="B1" s="4"/>
      <c r="C1" s="1"/>
      <c r="D1" s="1"/>
    </row>
    <row r="2" spans="1:11" ht="23.45" x14ac:dyDescent="0.55000000000000004">
      <c r="A2" s="4"/>
      <c r="B2" s="4"/>
      <c r="C2" s="1"/>
      <c r="D2" s="1"/>
    </row>
    <row r="3" spans="1:11" ht="23.45" x14ac:dyDescent="0.55000000000000004">
      <c r="A3" s="4"/>
      <c r="B3" s="4"/>
      <c r="C3" s="3" t="s">
        <v>330</v>
      </c>
      <c r="D3" s="1"/>
    </row>
    <row r="4" spans="1:11" ht="14.45" x14ac:dyDescent="0.35">
      <c r="C4" s="1"/>
      <c r="D4" s="1"/>
    </row>
    <row r="5" spans="1:11" ht="14.45" x14ac:dyDescent="0.35">
      <c r="B5" s="51"/>
      <c r="C5" s="50" t="s">
        <v>676</v>
      </c>
      <c r="D5" s="51"/>
      <c r="E5" s="52">
        <v>2006</v>
      </c>
      <c r="F5" s="52">
        <v>2010</v>
      </c>
      <c r="G5" s="50">
        <v>2015</v>
      </c>
      <c r="H5" s="50">
        <v>2020</v>
      </c>
      <c r="I5" s="50">
        <v>2030</v>
      </c>
      <c r="J5" s="50">
        <v>2040</v>
      </c>
      <c r="K5" s="50">
        <v>2050</v>
      </c>
    </row>
    <row r="6" spans="1:11" x14ac:dyDescent="0.25">
      <c r="B6" s="169" t="s">
        <v>636</v>
      </c>
      <c r="C6" s="41" t="s">
        <v>615</v>
      </c>
      <c r="D6" t="s">
        <v>678</v>
      </c>
      <c r="E6" s="110">
        <f t="shared" ref="E6:K27" ca="1" si="0">Output("SCEN_ADEMEhaut", $D6, E$5)</f>
        <v>0</v>
      </c>
      <c r="F6" s="110">
        <f t="shared" ca="1" si="0"/>
        <v>3.1799999999999998E-4</v>
      </c>
      <c r="G6" s="110">
        <f t="shared" ca="1" si="0"/>
        <v>9.3699999999999999E-3</v>
      </c>
      <c r="H6" s="110">
        <f t="shared" ca="1" si="0"/>
        <v>1.8936000000000001E-2</v>
      </c>
      <c r="I6" s="110">
        <f t="shared" ca="1" si="0"/>
        <v>3.3052999999999999E-2</v>
      </c>
      <c r="J6" s="110">
        <f t="shared" ca="1" si="0"/>
        <v>7.0263000000000006E-2</v>
      </c>
      <c r="K6" s="110">
        <f t="shared" ca="1" si="0"/>
        <v>0.18545500000000001</v>
      </c>
    </row>
    <row r="7" spans="1:11" x14ac:dyDescent="0.25">
      <c r="B7" s="170"/>
      <c r="C7" s="41" t="s">
        <v>616</v>
      </c>
      <c r="D7" t="s">
        <v>679</v>
      </c>
      <c r="E7" s="110">
        <f t="shared" ca="1" si="0"/>
        <v>0</v>
      </c>
      <c r="F7" s="110">
        <f t="shared" ca="1" si="0"/>
        <v>3.1113999999999999E-2</v>
      </c>
      <c r="G7" s="110">
        <f t="shared" ca="1" si="0"/>
        <v>0.89781299999999997</v>
      </c>
      <c r="H7" s="110">
        <f t="shared" ca="1" si="0"/>
        <v>1.8021240000000001</v>
      </c>
      <c r="I7" s="110">
        <f t="shared" ca="1" si="0"/>
        <v>3.169346</v>
      </c>
      <c r="J7" s="110">
        <f t="shared" ca="1" si="0"/>
        <v>5.4408279999999998</v>
      </c>
      <c r="K7" s="110">
        <f t="shared" ca="1" si="0"/>
        <v>11.6769</v>
      </c>
    </row>
    <row r="8" spans="1:11" x14ac:dyDescent="0.25">
      <c r="B8" s="170"/>
      <c r="C8" s="41" t="s">
        <v>617</v>
      </c>
      <c r="D8" t="s">
        <v>680</v>
      </c>
      <c r="E8" s="110">
        <f t="shared" ca="1" si="0"/>
        <v>0</v>
      </c>
      <c r="F8" s="110">
        <f t="shared" ca="1" si="0"/>
        <v>4.0099999999999999E-4</v>
      </c>
      <c r="G8" s="110">
        <f t="shared" ca="1" si="0"/>
        <v>-1.2297769999999999</v>
      </c>
      <c r="H8" s="110">
        <f t="shared" ca="1" si="0"/>
        <v>-1.7027559999999999</v>
      </c>
      <c r="I8" s="110">
        <f t="shared" ca="1" si="0"/>
        <v>-19.82451</v>
      </c>
      <c r="J8" s="110">
        <f t="shared" ca="1" si="0"/>
        <v>3.103418</v>
      </c>
      <c r="K8" s="110">
        <f t="shared" ca="1" si="0"/>
        <v>-17.132950000000001</v>
      </c>
    </row>
    <row r="9" spans="1:11" x14ac:dyDescent="0.25">
      <c r="B9" s="170"/>
      <c r="C9" s="41" t="s">
        <v>618</v>
      </c>
      <c r="D9" t="s">
        <v>681</v>
      </c>
      <c r="E9" s="110">
        <f t="shared" ca="1" si="0"/>
        <v>0</v>
      </c>
      <c r="F9" s="110">
        <f t="shared" ca="1" si="0"/>
        <v>3.1535000000000001E-2</v>
      </c>
      <c r="G9" s="110">
        <f t="shared" ca="1" si="0"/>
        <v>1.1014729999999999</v>
      </c>
      <c r="H9" s="110">
        <f t="shared" ca="1" si="0"/>
        <v>2.5749650000000002</v>
      </c>
      <c r="I9" s="110">
        <f t="shared" ca="1" si="0"/>
        <v>5.0721759999999998</v>
      </c>
      <c r="J9" s="110">
        <f t="shared" ca="1" si="0"/>
        <v>6.9281420000000002</v>
      </c>
      <c r="K9" s="110">
        <f t="shared" ca="1" si="0"/>
        <v>12.83128</v>
      </c>
    </row>
    <row r="10" spans="1:11" x14ac:dyDescent="0.25">
      <c r="B10" s="170"/>
      <c r="C10" s="41" t="s">
        <v>619</v>
      </c>
      <c r="D10" t="s">
        <v>682</v>
      </c>
      <c r="E10" s="110">
        <f t="shared" ca="1" si="0"/>
        <v>0</v>
      </c>
      <c r="F10" s="110">
        <f t="shared" ca="1" si="0"/>
        <v>3.1620000000000002E-2</v>
      </c>
      <c r="G10" s="110">
        <f t="shared" ca="1" si="0"/>
        <v>1.014081</v>
      </c>
      <c r="H10" s="110">
        <f t="shared" ca="1" si="0"/>
        <v>2.255849</v>
      </c>
      <c r="I10" s="110">
        <f t="shared" ca="1" si="0"/>
        <v>3.8709470000000001</v>
      </c>
      <c r="J10" s="110">
        <f t="shared" ca="1" si="0"/>
        <v>5.8707739999999999</v>
      </c>
      <c r="K10" s="110">
        <f t="shared" ca="1" si="0"/>
        <v>12.1487</v>
      </c>
    </row>
    <row r="11" spans="1:11" x14ac:dyDescent="0.25">
      <c r="B11" s="170"/>
      <c r="C11" s="41" t="s">
        <v>620</v>
      </c>
      <c r="D11" t="s">
        <v>683</v>
      </c>
      <c r="E11" s="110">
        <f t="shared" ca="1" si="0"/>
        <v>0</v>
      </c>
      <c r="F11" s="110">
        <f t="shared" ca="1" si="0"/>
        <v>3.1731000000000002E-2</v>
      </c>
      <c r="G11" s="110">
        <f t="shared" ca="1" si="0"/>
        <v>1.0259180000000001</v>
      </c>
      <c r="H11" s="110">
        <f t="shared" ca="1" si="0"/>
        <v>2.322829</v>
      </c>
      <c r="I11" s="110">
        <f t="shared" ca="1" si="0"/>
        <v>4.3792600000000004</v>
      </c>
      <c r="J11" s="110">
        <f t="shared" ca="1" si="0"/>
        <v>6.700755</v>
      </c>
      <c r="K11" s="110">
        <f t="shared" ca="1" si="0"/>
        <v>13.058310000000001</v>
      </c>
    </row>
    <row r="12" spans="1:11" x14ac:dyDescent="0.25">
      <c r="B12" s="170"/>
      <c r="C12" s="41" t="s">
        <v>621</v>
      </c>
      <c r="D12" t="s">
        <v>684</v>
      </c>
      <c r="E12" s="110">
        <f t="shared" ca="1" si="0"/>
        <v>0</v>
      </c>
      <c r="F12" s="110">
        <f t="shared" ca="1" si="0"/>
        <v>3.1977999999999999E-2</v>
      </c>
      <c r="G12" s="110">
        <f t="shared" ca="1" si="0"/>
        <v>0.77049999999999996</v>
      </c>
      <c r="H12" s="110">
        <f t="shared" ca="1" si="0"/>
        <v>1.112398</v>
      </c>
      <c r="I12" s="110">
        <f t="shared" ca="1" si="0"/>
        <v>1.8557509999999999</v>
      </c>
      <c r="J12" s="110">
        <f t="shared" ca="1" si="0"/>
        <v>4.2574680000000003</v>
      </c>
      <c r="K12" s="110">
        <f t="shared" ca="1" si="0"/>
        <v>10.91549</v>
      </c>
    </row>
    <row r="13" spans="1:11" x14ac:dyDescent="0.25">
      <c r="B13" s="170"/>
      <c r="C13" s="41" t="s">
        <v>622</v>
      </c>
      <c r="D13" t="s">
        <v>685</v>
      </c>
      <c r="E13" s="110">
        <f t="shared" ca="1" si="0"/>
        <v>0</v>
      </c>
      <c r="F13" s="110">
        <f t="shared" ca="1" si="0"/>
        <v>3.2608999999999999E-2</v>
      </c>
      <c r="G13" s="110">
        <f t="shared" ca="1" si="0"/>
        <v>0.89500599999999997</v>
      </c>
      <c r="H13" s="110">
        <f t="shared" ca="1" si="0"/>
        <v>1.8744799999999999</v>
      </c>
      <c r="I13" s="110">
        <f t="shared" ca="1" si="0"/>
        <v>3.3900939999999999</v>
      </c>
      <c r="J13" s="110">
        <f t="shared" ca="1" si="0"/>
        <v>7.5486740000000001</v>
      </c>
      <c r="K13" s="110">
        <f t="shared" ca="1" si="0"/>
        <v>14.739319999999999</v>
      </c>
    </row>
    <row r="14" spans="1:11" x14ac:dyDescent="0.25">
      <c r="B14" s="170"/>
      <c r="C14" s="41" t="s">
        <v>623</v>
      </c>
      <c r="D14" t="s">
        <v>686</v>
      </c>
      <c r="E14" s="110">
        <f t="shared" ca="1" si="0"/>
        <v>0</v>
      </c>
      <c r="F14" s="110">
        <f t="shared" ca="1" si="0"/>
        <v>3.2169000000000003E-2</v>
      </c>
      <c r="G14" s="110">
        <f t="shared" ca="1" si="0"/>
        <v>1.1573880000000001</v>
      </c>
      <c r="H14" s="110">
        <f t="shared" ca="1" si="0"/>
        <v>3.029668</v>
      </c>
      <c r="I14" s="110">
        <f t="shared" ca="1" si="0"/>
        <v>6.8825700000000003</v>
      </c>
      <c r="J14" s="110">
        <f t="shared" ca="1" si="0"/>
        <v>10.697789999999999</v>
      </c>
      <c r="K14" s="110">
        <f t="shared" ca="1" si="0"/>
        <v>18.474810000000002</v>
      </c>
    </row>
    <row r="15" spans="1:11" x14ac:dyDescent="0.25">
      <c r="B15" s="170"/>
      <c r="C15" s="41" t="s">
        <v>624</v>
      </c>
      <c r="D15" t="s">
        <v>687</v>
      </c>
      <c r="E15" s="110">
        <f t="shared" ca="1" si="0"/>
        <v>0</v>
      </c>
      <c r="F15" s="110">
        <f t="shared" ca="1" si="0"/>
        <v>0</v>
      </c>
      <c r="G15" s="110">
        <f t="shared" ca="1" si="0"/>
        <v>0</v>
      </c>
      <c r="H15" s="110">
        <f t="shared" ca="1" si="0"/>
        <v>0</v>
      </c>
      <c r="I15" s="110">
        <f t="shared" ca="1" si="0"/>
        <v>0</v>
      </c>
      <c r="J15" s="110">
        <f t="shared" ca="1" si="0"/>
        <v>0</v>
      </c>
      <c r="K15" s="110">
        <f t="shared" ca="1" si="0"/>
        <v>0</v>
      </c>
    </row>
    <row r="16" spans="1:11" x14ac:dyDescent="0.25">
      <c r="B16" s="170"/>
      <c r="C16" s="41" t="s">
        <v>625</v>
      </c>
      <c r="D16" t="s">
        <v>688</v>
      </c>
      <c r="E16" s="110">
        <f t="shared" ca="1" si="0"/>
        <v>0</v>
      </c>
      <c r="F16" s="110">
        <f t="shared" ca="1" si="0"/>
        <v>3.2404000000000002E-2</v>
      </c>
      <c r="G16" s="110">
        <f t="shared" ca="1" si="0"/>
        <v>0.93172999999999995</v>
      </c>
      <c r="H16" s="110">
        <f t="shared" ca="1" si="0"/>
        <v>2.0690300000000001</v>
      </c>
      <c r="I16" s="110">
        <f t="shared" ca="1" si="0"/>
        <v>4.6416360000000001</v>
      </c>
      <c r="J16" s="110">
        <f t="shared" ca="1" si="0"/>
        <v>9.2559830000000005</v>
      </c>
      <c r="K16" s="110">
        <f t="shared" ca="1" si="0"/>
        <v>18.283899999999999</v>
      </c>
    </row>
    <row r="17" spans="2:11" x14ac:dyDescent="0.25">
      <c r="B17" s="170"/>
      <c r="C17" s="41" t="s">
        <v>626</v>
      </c>
      <c r="D17" t="s">
        <v>689</v>
      </c>
      <c r="E17" s="110">
        <f t="shared" ca="1" si="0"/>
        <v>0</v>
      </c>
      <c r="F17" s="110">
        <f t="shared" ca="1" si="0"/>
        <v>3.1798E-2</v>
      </c>
      <c r="G17" s="110">
        <f t="shared" ca="1" si="0"/>
        <v>0.92741799999999996</v>
      </c>
      <c r="H17" s="110">
        <f t="shared" ca="1" si="0"/>
        <v>2.0118070000000001</v>
      </c>
      <c r="I17" s="110">
        <f t="shared" ca="1" si="0"/>
        <v>4.2171950000000002</v>
      </c>
      <c r="J17" s="110">
        <f t="shared" ca="1" si="0"/>
        <v>7.6950630000000002</v>
      </c>
      <c r="K17" s="110">
        <f t="shared" ca="1" si="0"/>
        <v>15.1639</v>
      </c>
    </row>
    <row r="18" spans="2:11" x14ac:dyDescent="0.25">
      <c r="B18" s="171"/>
      <c r="C18" s="41" t="s">
        <v>627</v>
      </c>
      <c r="D18" t="s">
        <v>690</v>
      </c>
      <c r="E18" s="110">
        <f t="shared" ca="1" si="0"/>
        <v>0</v>
      </c>
      <c r="F18" s="110">
        <f t="shared" ca="1" si="0"/>
        <v>2.3029999999999999E-3</v>
      </c>
      <c r="G18" s="110">
        <f t="shared" ca="1" si="0"/>
        <v>0.30388599999999999</v>
      </c>
      <c r="H18" s="110">
        <f t="shared" ca="1" si="0"/>
        <v>2.0924659999999999</v>
      </c>
      <c r="I18" s="110">
        <f t="shared" ca="1" si="0"/>
        <v>6.0717670000000004</v>
      </c>
      <c r="J18" s="110">
        <f t="shared" ca="1" si="0"/>
        <v>6.6685910000000002</v>
      </c>
      <c r="K18" s="110">
        <f t="shared" ca="1" si="0"/>
        <v>8.4380489999999995</v>
      </c>
    </row>
    <row r="19" spans="2:11" x14ac:dyDescent="0.25">
      <c r="B19" s="168" t="s">
        <v>437</v>
      </c>
      <c r="C19" s="44" t="s">
        <v>628</v>
      </c>
      <c r="D19" s="45" t="s">
        <v>691</v>
      </c>
      <c r="E19" s="111">
        <f t="shared" ca="1" si="0"/>
        <v>0</v>
      </c>
      <c r="F19" s="111">
        <f t="shared" ca="1" si="0"/>
        <v>0</v>
      </c>
      <c r="G19" s="111">
        <f t="shared" ca="1" si="0"/>
        <v>0.17579500000000001</v>
      </c>
      <c r="H19" s="111">
        <f t="shared" ca="1" si="0"/>
        <v>0.73107699999999998</v>
      </c>
      <c r="I19" s="111">
        <f t="shared" ca="1" si="0"/>
        <v>11.03881</v>
      </c>
      <c r="J19" s="111">
        <f t="shared" ca="1" si="0"/>
        <v>6.1010410000000004</v>
      </c>
      <c r="K19" s="111">
        <f t="shared" ca="1" si="0"/>
        <v>5.7405929999999996</v>
      </c>
    </row>
    <row r="20" spans="2:11" x14ac:dyDescent="0.25">
      <c r="B20" s="168"/>
      <c r="C20" s="41" t="s">
        <v>629</v>
      </c>
      <c r="D20" s="22" t="s">
        <v>692</v>
      </c>
      <c r="E20" s="110">
        <f t="shared" ca="1" si="0"/>
        <v>0</v>
      </c>
      <c r="F20" s="110">
        <f t="shared" ca="1" si="0"/>
        <v>0</v>
      </c>
      <c r="G20" s="110">
        <f t="shared" ca="1" si="0"/>
        <v>0.31843100000000002</v>
      </c>
      <c r="H20" s="110">
        <f t="shared" ca="1" si="0"/>
        <v>1.3172280000000001</v>
      </c>
      <c r="I20" s="110">
        <f t="shared" ca="1" si="0"/>
        <v>19.00346</v>
      </c>
      <c r="J20" s="110">
        <f t="shared" ca="1" si="0"/>
        <v>9.5488079999999993</v>
      </c>
      <c r="K20" s="110">
        <f t="shared" ca="1" si="0"/>
        <v>8.0975079999999995</v>
      </c>
    </row>
    <row r="21" spans="2:11" x14ac:dyDescent="0.25">
      <c r="B21" s="168"/>
      <c r="C21" s="41" t="s">
        <v>630</v>
      </c>
      <c r="D21" s="22" t="s">
        <v>693</v>
      </c>
      <c r="E21" s="110">
        <f t="shared" ca="1" si="0"/>
        <v>0</v>
      </c>
      <c r="F21" s="110">
        <f t="shared" ca="1" si="0"/>
        <v>3.1539999999999999E-2</v>
      </c>
      <c r="G21" s="110">
        <f t="shared" ca="1" si="0"/>
        <v>0.66888599999999998</v>
      </c>
      <c r="H21" s="110">
        <f t="shared" ca="1" si="0"/>
        <v>0.50567200000000001</v>
      </c>
      <c r="I21" s="110">
        <f t="shared" ca="1" si="0"/>
        <v>-3.0369570000000001</v>
      </c>
      <c r="J21" s="110">
        <f t="shared" ca="1" si="0"/>
        <v>-3.0755020000000002</v>
      </c>
      <c r="K21" s="110">
        <f t="shared" ca="1" si="0"/>
        <v>2.1610079999999998</v>
      </c>
    </row>
    <row r="22" spans="2:11" x14ac:dyDescent="0.25">
      <c r="B22" s="168"/>
      <c r="C22" s="41" t="s">
        <v>631</v>
      </c>
      <c r="D22" s="22" t="s">
        <v>694</v>
      </c>
      <c r="E22" s="110">
        <f ca="1">Output("SCEN_ADEMEhaut", $D22, E$5)</f>
        <v>0</v>
      </c>
      <c r="F22" s="110">
        <f t="shared" ca="1" si="0"/>
        <v>3.2395E-2</v>
      </c>
      <c r="G22" s="110">
        <f t="shared" ca="1" si="0"/>
        <v>0.74673500000000004</v>
      </c>
      <c r="H22" s="110">
        <f t="shared" ca="1" si="0"/>
        <v>1.0040750000000001</v>
      </c>
      <c r="I22" s="110">
        <f t="shared" ca="1" si="0"/>
        <v>-0.47218700000000002</v>
      </c>
      <c r="J22" s="110">
        <f t="shared" ca="1" si="0"/>
        <v>1.7303539999999999</v>
      </c>
      <c r="K22" s="110">
        <f t="shared" ca="1" si="0"/>
        <v>10.76455</v>
      </c>
    </row>
    <row r="23" spans="2:11" x14ac:dyDescent="0.25">
      <c r="B23" s="168"/>
      <c r="C23" s="41" t="s">
        <v>632</v>
      </c>
      <c r="D23" s="22" t="s">
        <v>695</v>
      </c>
      <c r="E23" s="110">
        <f t="shared" ca="1" si="0"/>
        <v>0</v>
      </c>
      <c r="F23" s="110">
        <f t="shared" ca="1" si="0"/>
        <v>4.73E-4</v>
      </c>
      <c r="G23" s="110">
        <f t="shared" ca="1" si="0"/>
        <v>-0.79935299999999998</v>
      </c>
      <c r="H23" s="110">
        <f t="shared" ca="1" si="0"/>
        <v>-1.4015850000000001</v>
      </c>
      <c r="I23" s="110">
        <f t="shared" ca="1" si="0"/>
        <v>-5.56365</v>
      </c>
      <c r="J23" s="110">
        <f t="shared" ca="1" si="0"/>
        <v>-4.8363560000000003</v>
      </c>
      <c r="K23" s="110">
        <f t="shared" ca="1" si="0"/>
        <v>-5.1723910000000002</v>
      </c>
    </row>
    <row r="24" spans="2:11" x14ac:dyDescent="0.25">
      <c r="B24" s="165" t="s">
        <v>525</v>
      </c>
      <c r="C24" s="44" t="s">
        <v>633</v>
      </c>
      <c r="D24" s="45" t="s">
        <v>696</v>
      </c>
      <c r="E24" s="111">
        <f ca="1">Output("SCEN_ADEMEhaut", $D24, E$5)</f>
        <v>0</v>
      </c>
      <c r="F24" s="111">
        <f t="shared" ca="1" si="0"/>
        <v>3.0877999999999999E-2</v>
      </c>
      <c r="G24" s="111">
        <f t="shared" ca="1" si="0"/>
        <v>0.92853200000000002</v>
      </c>
      <c r="H24" s="111">
        <f t="shared" ca="1" si="0"/>
        <v>1.9133100000000001</v>
      </c>
      <c r="I24" s="111">
        <f t="shared" ca="1" si="0"/>
        <v>3.6822680000000001</v>
      </c>
      <c r="J24" s="111">
        <f t="shared" ca="1" si="0"/>
        <v>5.6184019999999997</v>
      </c>
      <c r="K24" s="111">
        <f t="shared" ca="1" si="0"/>
        <v>11.128640000000001</v>
      </c>
    </row>
    <row r="25" spans="2:11" x14ac:dyDescent="0.25">
      <c r="B25" s="167"/>
      <c r="C25" s="47" t="s">
        <v>634</v>
      </c>
      <c r="D25" s="23" t="s">
        <v>697</v>
      </c>
      <c r="E25" s="112">
        <f ca="1">Output("SCEN_ADEMEhaut", $D25, E$5)</f>
        <v>0</v>
      </c>
      <c r="F25" s="112">
        <f t="shared" ca="1" si="0"/>
        <v>3.1223999999999998E-2</v>
      </c>
      <c r="G25" s="112">
        <f t="shared" ca="1" si="0"/>
        <v>0.95019699999999996</v>
      </c>
      <c r="H25" s="112">
        <f t="shared" ca="1" si="0"/>
        <v>1.9148000000000001</v>
      </c>
      <c r="I25" s="112">
        <f t="shared" ca="1" si="0"/>
        <v>3.7887599999999999</v>
      </c>
      <c r="J25" s="112">
        <f t="shared" ca="1" si="0"/>
        <v>5.5149619999999997</v>
      </c>
      <c r="K25" s="112">
        <f t="shared" ca="1" si="0"/>
        <v>10.89982</v>
      </c>
    </row>
    <row r="26" spans="2:11" x14ac:dyDescent="0.25">
      <c r="B26" s="165" t="s">
        <v>677</v>
      </c>
      <c r="C26" s="41" t="s">
        <v>315</v>
      </c>
      <c r="D26" s="22" t="s">
        <v>698</v>
      </c>
      <c r="E26" s="110">
        <f t="shared" ca="1" si="0"/>
        <v>0</v>
      </c>
      <c r="F26" s="110">
        <f t="shared" ca="1" si="0"/>
        <v>7.7300000000000003E-4</v>
      </c>
      <c r="G26" s="110">
        <f t="shared" ca="1" si="0"/>
        <v>-9.6218070000000004</v>
      </c>
      <c r="H26" s="110">
        <f t="shared" ca="1" si="0"/>
        <v>-14.30158</v>
      </c>
      <c r="I26" s="110">
        <f t="shared" ca="1" si="0"/>
        <v>-26.730799999999999</v>
      </c>
      <c r="J26" s="110">
        <f t="shared" ca="1" si="0"/>
        <v>-35.007840000000002</v>
      </c>
      <c r="K26" s="110">
        <f t="shared" ca="1" si="0"/>
        <v>-38.183990000000001</v>
      </c>
    </row>
    <row r="27" spans="2:11" x14ac:dyDescent="0.25">
      <c r="B27" s="166"/>
      <c r="C27" s="41" t="s">
        <v>325</v>
      </c>
      <c r="D27" s="22" t="s">
        <v>699</v>
      </c>
      <c r="E27" s="110">
        <f ca="1">Output("SCEN_ADEMEhaut", $D27, E$5)</f>
        <v>0</v>
      </c>
      <c r="F27" s="110">
        <f t="shared" ca="1" si="0"/>
        <v>-8.9846999999999996E-2</v>
      </c>
      <c r="G27" s="110">
        <f t="shared" ca="1" si="0"/>
        <v>-2.330416</v>
      </c>
      <c r="H27" s="110">
        <f t="shared" ca="1" si="0"/>
        <v>-7.7661189999999998</v>
      </c>
      <c r="I27" s="110">
        <f t="shared" ca="1" si="0"/>
        <v>-16.884869999999999</v>
      </c>
      <c r="J27" s="110">
        <f t="shared" ca="1" si="0"/>
        <v>-21.32901</v>
      </c>
      <c r="K27" s="110">
        <f t="shared" ca="1" si="0"/>
        <v>-26.974689999999999</v>
      </c>
    </row>
    <row r="28" spans="2:11" x14ac:dyDescent="0.25">
      <c r="B28" s="166"/>
      <c r="C28" s="41" t="s">
        <v>489</v>
      </c>
      <c r="D28" s="22" t="s">
        <v>700</v>
      </c>
      <c r="E28" s="110">
        <f ca="1">Output("SCEN_ADEMEhaut", $D28, E$5)</f>
        <v>0</v>
      </c>
      <c r="F28" s="110">
        <f t="shared" ref="F28:K29" ca="1" si="1">Output("SCEN_ADEMEhaut", $D28, F$5)</f>
        <v>6.4823000000000006E-2</v>
      </c>
      <c r="G28" s="110">
        <f t="shared" ca="1" si="1"/>
        <v>0.810145</v>
      </c>
      <c r="H28" s="110">
        <f t="shared" ca="1" si="1"/>
        <v>-0.75472600000000001</v>
      </c>
      <c r="I28" s="110">
        <f t="shared" ca="1" si="1"/>
        <v>-7.546386</v>
      </c>
      <c r="J28" s="110">
        <f t="shared" ca="1" si="1"/>
        <v>-13.621840000000001</v>
      </c>
      <c r="K28" s="110">
        <f t="shared" ca="1" si="1"/>
        <v>-21.884340000000002</v>
      </c>
    </row>
    <row r="29" spans="2:11" x14ac:dyDescent="0.25">
      <c r="B29" s="167"/>
      <c r="C29" s="47" t="s">
        <v>637</v>
      </c>
      <c r="D29" s="23" t="s">
        <v>701</v>
      </c>
      <c r="E29" s="112">
        <f ca="1">Output("SCEN_ADEMEhaut", $D29, E$5)</f>
        <v>0</v>
      </c>
      <c r="F29" s="112">
        <f t="shared" ca="1" si="1"/>
        <v>4.15E-4</v>
      </c>
      <c r="G29" s="112">
        <f t="shared" ca="1" si="1"/>
        <v>-1.020751</v>
      </c>
      <c r="H29" s="112">
        <f t="shared" ca="1" si="1"/>
        <v>-2.2587380000000001</v>
      </c>
      <c r="I29" s="112">
        <f t="shared" ca="1" si="1"/>
        <v>-4.6427170000000002</v>
      </c>
      <c r="J29" s="112">
        <f t="shared" ca="1" si="1"/>
        <v>-9.9146380000000001</v>
      </c>
      <c r="K29" s="112">
        <f t="shared" ca="1" si="1"/>
        <v>-11.3216</v>
      </c>
    </row>
  </sheetData>
  <mergeCells count="4">
    <mergeCell ref="B6:B18"/>
    <mergeCell ref="B19:B23"/>
    <mergeCell ref="B24:B25"/>
    <mergeCell ref="B26:B2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7" tint="0.79998168889431442"/>
  </sheetPr>
  <dimension ref="A2:AW5"/>
  <sheetViews>
    <sheetView topLeftCell="L1" zoomScale="90" zoomScaleNormal="90" workbookViewId="0">
      <selection activeCell="L41" sqref="L41"/>
    </sheetView>
  </sheetViews>
  <sheetFormatPr baseColWidth="10" defaultRowHeight="15" x14ac:dyDescent="0.25"/>
  <cols>
    <col min="1" max="1" width="29" customWidth="1"/>
    <col min="2" max="2" width="17.28515625" hidden="1" customWidth="1"/>
  </cols>
  <sheetData>
    <row r="2" spans="1:49" ht="14.45" x14ac:dyDescent="0.35"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  <c r="O2">
        <v>2018</v>
      </c>
      <c r="P2">
        <v>2019</v>
      </c>
      <c r="Q2">
        <v>2020</v>
      </c>
      <c r="R2">
        <v>2021</v>
      </c>
      <c r="S2">
        <v>2022</v>
      </c>
      <c r="T2">
        <v>2023</v>
      </c>
      <c r="U2">
        <v>2024</v>
      </c>
      <c r="V2">
        <v>2025</v>
      </c>
      <c r="W2">
        <v>2026</v>
      </c>
      <c r="X2">
        <v>2027</v>
      </c>
      <c r="Y2">
        <v>2028</v>
      </c>
      <c r="Z2">
        <v>2029</v>
      </c>
      <c r="AA2">
        <v>2030</v>
      </c>
      <c r="AB2">
        <v>2031</v>
      </c>
      <c r="AC2">
        <v>2032</v>
      </c>
      <c r="AD2">
        <v>2033</v>
      </c>
      <c r="AE2">
        <v>2034</v>
      </c>
      <c r="AF2">
        <v>2035</v>
      </c>
      <c r="AG2">
        <v>2036</v>
      </c>
      <c r="AH2">
        <v>2037</v>
      </c>
      <c r="AI2">
        <v>2038</v>
      </c>
      <c r="AJ2">
        <v>2039</v>
      </c>
      <c r="AK2">
        <v>2040</v>
      </c>
      <c r="AL2">
        <v>2041</v>
      </c>
      <c r="AM2">
        <v>2042</v>
      </c>
      <c r="AN2">
        <v>2043</v>
      </c>
      <c r="AO2">
        <v>2044</v>
      </c>
      <c r="AP2">
        <v>2045</v>
      </c>
      <c r="AQ2">
        <v>2046</v>
      </c>
      <c r="AR2">
        <v>2047</v>
      </c>
      <c r="AS2">
        <v>2048</v>
      </c>
      <c r="AT2">
        <v>2049</v>
      </c>
      <c r="AU2">
        <v>2050</v>
      </c>
    </row>
    <row r="3" spans="1:49" ht="29.1" x14ac:dyDescent="0.35">
      <c r="A3" s="107" t="s">
        <v>537</v>
      </c>
      <c r="B3" t="s">
        <v>536</v>
      </c>
      <c r="C3">
        <f ca="1">Output($B3,"GDP_rel",C$2)</f>
        <v>0</v>
      </c>
      <c r="D3">
        <f t="shared" ref="D3:AU3" ca="1" si="0">Output($B3,"GDP_rel",D$2)</f>
        <v>1.201E-3</v>
      </c>
      <c r="E3">
        <f t="shared" ca="1" si="0"/>
        <v>3.9839999999999997E-3</v>
      </c>
      <c r="F3">
        <f t="shared" ca="1" si="0"/>
        <v>8.0719999999999993E-3</v>
      </c>
      <c r="G3">
        <f t="shared" ca="1" si="0"/>
        <v>1.1790999999999999E-2</v>
      </c>
      <c r="H3">
        <f t="shared" ca="1" si="0"/>
        <v>3.7956999999999998E-2</v>
      </c>
      <c r="I3">
        <f t="shared" ca="1" si="0"/>
        <v>6.6675999999999999E-2</v>
      </c>
      <c r="J3">
        <f t="shared" ca="1" si="0"/>
        <v>9.6416000000000002E-2</v>
      </c>
      <c r="K3">
        <f t="shared" ca="1" si="0"/>
        <v>0.11941300000000001</v>
      </c>
      <c r="L3">
        <f t="shared" ca="1" si="0"/>
        <v>0.45549699999999999</v>
      </c>
      <c r="M3">
        <f t="shared" ca="1" si="0"/>
        <v>0.75298399999999999</v>
      </c>
      <c r="N3">
        <f t="shared" ca="1" si="0"/>
        <v>0.93302600000000002</v>
      </c>
      <c r="O3">
        <f t="shared" ca="1" si="0"/>
        <v>0.98848199999999997</v>
      </c>
      <c r="P3">
        <f t="shared" ca="1" si="0"/>
        <v>0.97374700000000003</v>
      </c>
      <c r="Q3">
        <f t="shared" ca="1" si="0"/>
        <v>0.94635800000000003</v>
      </c>
      <c r="R3">
        <f t="shared" ca="1" si="0"/>
        <v>0.92391000000000001</v>
      </c>
      <c r="S3">
        <f t="shared" ca="1" si="0"/>
        <v>0.923844</v>
      </c>
      <c r="T3">
        <f t="shared" ca="1" si="0"/>
        <v>0.94530800000000004</v>
      </c>
      <c r="U3">
        <f t="shared" ca="1" si="0"/>
        <v>0.99211099999999997</v>
      </c>
      <c r="V3">
        <f t="shared" ca="1" si="0"/>
        <v>1.0658570000000001</v>
      </c>
      <c r="W3">
        <f t="shared" ca="1" si="0"/>
        <v>1.1660090000000001</v>
      </c>
      <c r="X3">
        <f t="shared" ca="1" si="0"/>
        <v>1.290278</v>
      </c>
      <c r="Y3">
        <f t="shared" ca="1" si="0"/>
        <v>1.4341550000000001</v>
      </c>
      <c r="Z3">
        <f t="shared" ca="1" si="0"/>
        <v>1.5920289999999999</v>
      </c>
      <c r="AA3">
        <f t="shared" ca="1" si="0"/>
        <v>1.757061</v>
      </c>
      <c r="AB3">
        <f t="shared" ca="1" si="0"/>
        <v>1.953268</v>
      </c>
      <c r="AC3">
        <f t="shared" ca="1" si="0"/>
        <v>1.994802</v>
      </c>
      <c r="AD3">
        <f t="shared" ca="1" si="0"/>
        <v>2.0104320000000002</v>
      </c>
      <c r="AE3">
        <f t="shared" ca="1" si="0"/>
        <v>1.996572</v>
      </c>
      <c r="AF3">
        <f t="shared" ca="1" si="0"/>
        <v>1.958569</v>
      </c>
      <c r="AG3">
        <f t="shared" ca="1" si="0"/>
        <v>1.9051089999999999</v>
      </c>
      <c r="AH3">
        <f t="shared" ca="1" si="0"/>
        <v>1.8447020000000001</v>
      </c>
      <c r="AI3">
        <f t="shared" ca="1" si="0"/>
        <v>1.784824</v>
      </c>
      <c r="AJ3">
        <f t="shared" ca="1" si="0"/>
        <v>1.732936</v>
      </c>
      <c r="AK3">
        <f t="shared" ca="1" si="0"/>
        <v>1.6951430000000001</v>
      </c>
      <c r="AL3">
        <f t="shared" ca="1" si="0"/>
        <v>1.6762649999999999</v>
      </c>
      <c r="AM3">
        <f t="shared" ca="1" si="0"/>
        <v>1.6794610000000001</v>
      </c>
      <c r="AN3">
        <f t="shared" ca="1" si="0"/>
        <v>1.707454</v>
      </c>
      <c r="AO3">
        <f t="shared" ca="1" si="0"/>
        <v>1.761854</v>
      </c>
      <c r="AP3">
        <f t="shared" ca="1" si="0"/>
        <v>1.8436680000000001</v>
      </c>
      <c r="AQ3">
        <f t="shared" ca="1" si="0"/>
        <v>1.9541170000000001</v>
      </c>
      <c r="AR3">
        <f t="shared" ca="1" si="0"/>
        <v>2.0922390000000002</v>
      </c>
      <c r="AS3">
        <f t="shared" ca="1" si="0"/>
        <v>2.2566739999999998</v>
      </c>
      <c r="AT3">
        <f t="shared" ca="1" si="0"/>
        <v>2.4467449999999999</v>
      </c>
      <c r="AU3">
        <f t="shared" ca="1" si="0"/>
        <v>2.6619000000000002</v>
      </c>
      <c r="AW3" s="1">
        <f ca="1">AVERAGE(L3:AU3)</f>
        <v>1.5582608333333337</v>
      </c>
    </row>
    <row r="5" spans="1:49" ht="14.45" x14ac:dyDescent="0.35">
      <c r="A5" s="107"/>
      <c r="AW5" s="137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140"/>
  <sheetViews>
    <sheetView workbookViewId="0">
      <pane xSplit="2" ySplit="1" topLeftCell="C2" activePane="bottomRight" state="frozen"/>
      <selection activeCell="L41" sqref="L41"/>
      <selection pane="topRight" activeCell="L41" sqref="L41"/>
      <selection pane="bottomLeft" activeCell="L41" sqref="L41"/>
      <selection pane="bottomRight" activeCell="L41" sqref="L41"/>
    </sheetView>
  </sheetViews>
  <sheetFormatPr baseColWidth="10" defaultRowHeight="15" x14ac:dyDescent="0.25"/>
  <cols>
    <col min="2" max="2" width="28.85546875" bestFit="1" customWidth="1"/>
  </cols>
  <sheetData>
    <row r="1" spans="2:7" ht="14.45" x14ac:dyDescent="0.35">
      <c r="C1">
        <v>2010</v>
      </c>
      <c r="D1">
        <v>2015</v>
      </c>
      <c r="E1">
        <v>2020</v>
      </c>
      <c r="F1">
        <v>2030</v>
      </c>
      <c r="G1">
        <v>2050</v>
      </c>
    </row>
    <row r="2" spans="2:7" ht="14.45" x14ac:dyDescent="0.35">
      <c r="B2" t="s">
        <v>957</v>
      </c>
      <c r="C2" s="127">
        <f ca="1">Output("SCEN_ADEMEhaut",$B2,C$1)</f>
        <v>24615.75</v>
      </c>
      <c r="D2" s="127">
        <f t="shared" ref="D2:G17" ca="1" si="0">Output("SCEN_ADEMEhaut",$B2,D$1)</f>
        <v>24756.38</v>
      </c>
      <c r="E2" s="127">
        <f t="shared" ca="1" si="0"/>
        <v>25334.77</v>
      </c>
      <c r="F2" s="127">
        <f t="shared" ca="1" si="0"/>
        <v>26383.89</v>
      </c>
      <c r="G2" s="127">
        <f t="shared" ca="1" si="0"/>
        <v>27566.28</v>
      </c>
    </row>
    <row r="3" spans="2:7" ht="14.45" x14ac:dyDescent="0.35">
      <c r="B3" t="s">
        <v>920</v>
      </c>
      <c r="C3" s="127">
        <f t="shared" ref="C3:G34" ca="1" si="1">Output("SCEN_ADEMEhaut",$B3,C$1)</f>
        <v>818.46680000000003</v>
      </c>
      <c r="D3" s="127">
        <f t="shared" ca="1" si="0"/>
        <v>810.90769999999998</v>
      </c>
      <c r="E3" s="127">
        <f t="shared" ca="1" si="0"/>
        <v>818.53219999999999</v>
      </c>
      <c r="F3" s="127">
        <f t="shared" ca="1" si="0"/>
        <v>830.16340000000002</v>
      </c>
      <c r="G3" s="127">
        <f t="shared" ca="1" si="0"/>
        <v>850.31230000000005</v>
      </c>
    </row>
    <row r="4" spans="2:7" ht="14.45" x14ac:dyDescent="0.35">
      <c r="B4" t="s">
        <v>921</v>
      </c>
      <c r="C4" s="127">
        <f t="shared" ca="1" si="1"/>
        <v>470.976</v>
      </c>
      <c r="D4" s="127">
        <f t="shared" ca="1" si="0"/>
        <v>471.69240000000002</v>
      </c>
      <c r="E4" s="127">
        <f t="shared" ca="1" si="0"/>
        <v>487.6044</v>
      </c>
      <c r="F4" s="127">
        <f t="shared" ca="1" si="0"/>
        <v>518.73090000000002</v>
      </c>
      <c r="G4" s="127">
        <f t="shared" ca="1" si="0"/>
        <v>563.89099999999996</v>
      </c>
    </row>
    <row r="5" spans="2:7" ht="14.45" x14ac:dyDescent="0.35">
      <c r="B5" t="s">
        <v>922</v>
      </c>
      <c r="C5" s="127">
        <f t="shared" ca="1" si="1"/>
        <v>215.63200000000001</v>
      </c>
      <c r="D5" s="127">
        <f t="shared" ca="1" si="0"/>
        <v>217.92439999999999</v>
      </c>
      <c r="E5" s="127">
        <f t="shared" ca="1" si="0"/>
        <v>222.3613</v>
      </c>
      <c r="F5" s="127">
        <f t="shared" ca="1" si="0"/>
        <v>220.10249999999999</v>
      </c>
      <c r="G5" s="127">
        <f t="shared" ca="1" si="0"/>
        <v>217.88390000000001</v>
      </c>
    </row>
    <row r="6" spans="2:7" ht="14.45" x14ac:dyDescent="0.35">
      <c r="B6" t="s">
        <v>923</v>
      </c>
      <c r="C6" s="127">
        <f t="shared" ca="1" si="1"/>
        <v>48.860930000000003</v>
      </c>
      <c r="D6" s="127">
        <f t="shared" ca="1" si="0"/>
        <v>49.616439999999997</v>
      </c>
      <c r="E6" s="127">
        <f t="shared" ca="1" si="0"/>
        <v>51.446919999999999</v>
      </c>
      <c r="F6" s="127">
        <f t="shared" ca="1" si="0"/>
        <v>53.389870000000002</v>
      </c>
      <c r="G6" s="127">
        <f t="shared" ca="1" si="0"/>
        <v>48.951749999999997</v>
      </c>
    </row>
    <row r="7" spans="2:7" ht="14.45" x14ac:dyDescent="0.35">
      <c r="B7" t="s">
        <v>924</v>
      </c>
      <c r="C7" s="127">
        <f t="shared" ca="1" si="1"/>
        <v>102.1657</v>
      </c>
      <c r="D7" s="127">
        <f t="shared" ca="1" si="0"/>
        <v>102.7351</v>
      </c>
      <c r="E7" s="127">
        <f t="shared" ca="1" si="0"/>
        <v>104.4387</v>
      </c>
      <c r="F7" s="127">
        <f t="shared" ca="1" si="0"/>
        <v>107.7003</v>
      </c>
      <c r="G7" s="127">
        <f t="shared" ca="1" si="0"/>
        <v>106.7719</v>
      </c>
    </row>
    <row r="8" spans="2:7" ht="14.45" x14ac:dyDescent="0.35">
      <c r="B8" t="s">
        <v>925</v>
      </c>
      <c r="C8" s="127">
        <f t="shared" ca="1" si="1"/>
        <v>82.427040000000005</v>
      </c>
      <c r="D8" s="127">
        <f t="shared" ca="1" si="0"/>
        <v>83.759630000000001</v>
      </c>
      <c r="E8" s="127">
        <f t="shared" ca="1" si="0"/>
        <v>86.973349999999996</v>
      </c>
      <c r="F8" s="127">
        <f t="shared" ca="1" si="0"/>
        <v>90.455470000000005</v>
      </c>
      <c r="G8" s="127">
        <f t="shared" ca="1" si="0"/>
        <v>81.798969999999997</v>
      </c>
    </row>
    <row r="9" spans="2:7" ht="14.45" x14ac:dyDescent="0.35">
      <c r="B9" t="s">
        <v>926</v>
      </c>
      <c r="C9" s="127">
        <f t="shared" ca="1" si="1"/>
        <v>25.272870000000001</v>
      </c>
      <c r="D9" s="127">
        <f t="shared" ca="1" si="0"/>
        <v>25.759060000000002</v>
      </c>
      <c r="E9" s="127">
        <f t="shared" ca="1" si="0"/>
        <v>26.772919999999999</v>
      </c>
      <c r="F9" s="127">
        <f t="shared" ca="1" si="0"/>
        <v>27.381399999999999</v>
      </c>
      <c r="G9" s="127">
        <f t="shared" ca="1" si="0"/>
        <v>22.855779999999999</v>
      </c>
    </row>
    <row r="10" spans="2:7" ht="14.45" x14ac:dyDescent="0.35">
      <c r="B10" t="s">
        <v>927</v>
      </c>
      <c r="C10" s="127">
        <f t="shared" ca="1" si="1"/>
        <v>29.699190000000002</v>
      </c>
      <c r="D10" s="127">
        <f t="shared" ca="1" si="0"/>
        <v>30.580369999999998</v>
      </c>
      <c r="E10" s="127">
        <f t="shared" ca="1" si="0"/>
        <v>32.179180000000002</v>
      </c>
      <c r="F10" s="127">
        <f t="shared" ca="1" si="0"/>
        <v>32.3827</v>
      </c>
      <c r="G10" s="127">
        <f t="shared" ca="1" si="0"/>
        <v>23.862100000000002</v>
      </c>
    </row>
    <row r="11" spans="2:7" ht="14.45" x14ac:dyDescent="0.35">
      <c r="B11" t="s">
        <v>928</v>
      </c>
      <c r="C11" s="127">
        <f t="shared" ca="1" si="1"/>
        <v>161.9837</v>
      </c>
      <c r="D11" s="127">
        <f t="shared" ca="1" si="0"/>
        <v>164.0317</v>
      </c>
      <c r="E11" s="127">
        <f t="shared" ca="1" si="0"/>
        <v>169.3674</v>
      </c>
      <c r="F11" s="127">
        <f t="shared" ca="1" si="0"/>
        <v>174.24639999999999</v>
      </c>
      <c r="G11" s="127">
        <f t="shared" ca="1" si="0"/>
        <v>158.32939999999999</v>
      </c>
    </row>
    <row r="12" spans="2:7" ht="14.45" x14ac:dyDescent="0.35">
      <c r="B12" t="s">
        <v>929</v>
      </c>
      <c r="C12" s="127">
        <f t="shared" ca="1" si="1"/>
        <v>42.047260000000001</v>
      </c>
      <c r="D12" s="127">
        <f t="shared" ca="1" si="0"/>
        <v>40.774140000000003</v>
      </c>
      <c r="E12" s="127">
        <f t="shared" ca="1" si="0"/>
        <v>42.420929999999998</v>
      </c>
      <c r="F12" s="127">
        <f t="shared" ca="1" si="0"/>
        <v>43.443600000000004</v>
      </c>
      <c r="G12" s="127">
        <f t="shared" ca="1" si="0"/>
        <v>35.623559999999998</v>
      </c>
    </row>
    <row r="13" spans="2:7" ht="14.45" x14ac:dyDescent="0.35">
      <c r="B13" t="s">
        <v>930</v>
      </c>
      <c r="C13" s="127">
        <f t="shared" ca="1" si="1"/>
        <v>25.392859999999999</v>
      </c>
      <c r="D13" s="127">
        <f t="shared" ca="1" si="0"/>
        <v>26.12753</v>
      </c>
      <c r="E13" s="127">
        <f t="shared" ca="1" si="0"/>
        <v>27.312850000000001</v>
      </c>
      <c r="F13" s="127">
        <f t="shared" ca="1" si="0"/>
        <v>28.14087</v>
      </c>
      <c r="G13" s="127">
        <f t="shared" ca="1" si="0"/>
        <v>23.19041</v>
      </c>
    </row>
    <row r="14" spans="2:7" ht="14.45" x14ac:dyDescent="0.35">
      <c r="B14" t="s">
        <v>931</v>
      </c>
      <c r="C14" s="127">
        <f t="shared" ca="1" si="1"/>
        <v>1960.5989999999999</v>
      </c>
      <c r="D14" s="127">
        <f t="shared" ca="1" si="0"/>
        <v>1988.8810000000001</v>
      </c>
      <c r="E14" s="127">
        <f t="shared" ca="1" si="0"/>
        <v>2057.971</v>
      </c>
      <c r="F14" s="127">
        <f t="shared" ca="1" si="0"/>
        <v>2134.9029999999998</v>
      </c>
      <c r="G14" s="127">
        <f t="shared" ca="1" si="0"/>
        <v>1964.5409999999999</v>
      </c>
    </row>
    <row r="15" spans="2:7" ht="14.45" x14ac:dyDescent="0.35">
      <c r="B15" t="s">
        <v>932</v>
      </c>
      <c r="C15" s="127">
        <f t="shared" ca="1" si="1"/>
        <v>1955.76</v>
      </c>
      <c r="D15" s="127">
        <f t="shared" ca="1" si="0"/>
        <v>1957.44</v>
      </c>
      <c r="E15" s="127">
        <f t="shared" ca="1" si="0"/>
        <v>1971.9</v>
      </c>
      <c r="F15" s="127">
        <f t="shared" ca="1" si="0"/>
        <v>2025.3610000000001</v>
      </c>
      <c r="G15" s="127">
        <f t="shared" ca="1" si="0"/>
        <v>2092.5990000000002</v>
      </c>
    </row>
    <row r="16" spans="2:7" ht="14.45" x14ac:dyDescent="0.35">
      <c r="B16" t="s">
        <v>933</v>
      </c>
      <c r="C16" s="127">
        <f t="shared" ca="1" si="1"/>
        <v>98.38109</v>
      </c>
      <c r="D16" s="127">
        <f t="shared" ca="1" si="0"/>
        <v>98.905680000000004</v>
      </c>
      <c r="E16" s="127">
        <f t="shared" ca="1" si="0"/>
        <v>99.803960000000004</v>
      </c>
      <c r="F16" s="127">
        <f t="shared" ca="1" si="0"/>
        <v>101.3404</v>
      </c>
      <c r="G16" s="127">
        <f t="shared" ca="1" si="0"/>
        <v>119.77670000000001</v>
      </c>
    </row>
    <row r="17" spans="2:7" ht="14.45" x14ac:dyDescent="0.35">
      <c r="B17" t="s">
        <v>934</v>
      </c>
      <c r="C17" s="127">
        <f t="shared" ca="1" si="1"/>
        <v>182.3005</v>
      </c>
      <c r="D17" s="127">
        <f t="shared" ca="1" si="0"/>
        <v>178.26009999999999</v>
      </c>
      <c r="E17" s="127">
        <f t="shared" ca="1" si="0"/>
        <v>176.18709999999999</v>
      </c>
      <c r="F17" s="127">
        <f t="shared" ca="1" si="0"/>
        <v>180.9922</v>
      </c>
      <c r="G17" s="127">
        <f t="shared" ca="1" si="0"/>
        <v>241.1627</v>
      </c>
    </row>
    <row r="18" spans="2:7" ht="14.45" x14ac:dyDescent="0.35">
      <c r="B18" t="s">
        <v>935</v>
      </c>
      <c r="C18" s="127">
        <f t="shared" ca="1" si="1"/>
        <v>407.99400000000003</v>
      </c>
      <c r="D18" s="127">
        <f t="shared" ca="1" si="1"/>
        <v>410.40030000000002</v>
      </c>
      <c r="E18" s="127">
        <f t="shared" ca="1" si="1"/>
        <v>422.21010000000001</v>
      </c>
      <c r="F18" s="127">
        <f t="shared" ca="1" si="1"/>
        <v>430.70420000000001</v>
      </c>
      <c r="G18" s="127">
        <f t="shared" ca="1" si="1"/>
        <v>434.01240000000001</v>
      </c>
    </row>
    <row r="19" spans="2:7" ht="14.45" x14ac:dyDescent="0.35">
      <c r="B19" t="s">
        <v>936</v>
      </c>
      <c r="C19" s="127">
        <f t="shared" ca="1" si="1"/>
        <v>41.751170000000002</v>
      </c>
      <c r="D19" s="127">
        <f t="shared" ca="1" si="1"/>
        <v>42.17821</v>
      </c>
      <c r="E19" s="127">
        <f t="shared" ca="1" si="1"/>
        <v>43.544240000000002</v>
      </c>
      <c r="F19" s="127">
        <f t="shared" ca="1" si="1"/>
        <v>43.208129999999997</v>
      </c>
      <c r="G19" s="127">
        <f t="shared" ca="1" si="1"/>
        <v>42.918280000000003</v>
      </c>
    </row>
    <row r="20" spans="2:7" ht="14.45" x14ac:dyDescent="0.35">
      <c r="B20" t="s">
        <v>937</v>
      </c>
      <c r="C20" s="127">
        <f t="shared" ca="1" si="1"/>
        <v>72.656710000000004</v>
      </c>
      <c r="D20" s="127">
        <f t="shared" ca="1" si="1"/>
        <v>73.497669999999999</v>
      </c>
      <c r="E20" s="127">
        <f t="shared" ca="1" si="1"/>
        <v>75.379559999999998</v>
      </c>
      <c r="F20" s="127">
        <f t="shared" ca="1" si="1"/>
        <v>75.358080000000001</v>
      </c>
      <c r="G20" s="127">
        <f t="shared" ca="1" si="1"/>
        <v>75.568770000000001</v>
      </c>
    </row>
    <row r="21" spans="2:7" ht="14.45" x14ac:dyDescent="0.35">
      <c r="B21" t="s">
        <v>938</v>
      </c>
      <c r="C21" s="127">
        <f t="shared" ca="1" si="1"/>
        <v>11652.42</v>
      </c>
      <c r="D21" s="127">
        <f t="shared" ca="1" si="1"/>
        <v>11668.38</v>
      </c>
      <c r="E21" s="127">
        <f t="shared" ca="1" si="1"/>
        <v>11989.29</v>
      </c>
      <c r="F21" s="127">
        <f t="shared" ca="1" si="1"/>
        <v>12601.9</v>
      </c>
      <c r="G21" s="127">
        <f t="shared" ca="1" si="1"/>
        <v>13304.76</v>
      </c>
    </row>
    <row r="22" spans="2:7" ht="14.45" x14ac:dyDescent="0.35">
      <c r="B22" t="s">
        <v>939</v>
      </c>
      <c r="C22" s="127">
        <f t="shared" ca="1" si="1"/>
        <v>6083.0550000000003</v>
      </c>
      <c r="D22" s="127">
        <f t="shared" ca="1" si="1"/>
        <v>6181.6170000000002</v>
      </c>
      <c r="E22" s="127">
        <f t="shared" ca="1" si="1"/>
        <v>6301.2129999999997</v>
      </c>
      <c r="F22" s="127">
        <f t="shared" ca="1" si="1"/>
        <v>6544.0619999999999</v>
      </c>
      <c r="G22" s="127">
        <f t="shared" ca="1" si="1"/>
        <v>7058.5550000000003</v>
      </c>
    </row>
    <row r="23" spans="2:7" ht="14.45" x14ac:dyDescent="0.35">
      <c r="B23" t="s">
        <v>940</v>
      </c>
      <c r="C23" s="127">
        <f t="shared" ca="1" si="1"/>
        <v>0.54639800000000005</v>
      </c>
      <c r="D23" s="127">
        <f t="shared" ca="1" si="1"/>
        <v>0.52712800000000004</v>
      </c>
      <c r="E23" s="127">
        <f t="shared" ca="1" si="1"/>
        <v>0.51329800000000003</v>
      </c>
      <c r="F23" s="127">
        <f t="shared" ca="1" si="1"/>
        <v>0.50631199999999998</v>
      </c>
      <c r="G23" s="127">
        <f t="shared" ca="1" si="1"/>
        <v>0.44584299999999999</v>
      </c>
    </row>
    <row r="24" spans="2:7" ht="14.45" x14ac:dyDescent="0.35">
      <c r="B24" t="s">
        <v>941</v>
      </c>
      <c r="C24" s="127">
        <f t="shared" ca="1" si="1"/>
        <v>12.179349999999999</v>
      </c>
      <c r="D24" s="127">
        <f t="shared" ca="1" si="1"/>
        <v>11.408759999999999</v>
      </c>
      <c r="E24" s="127">
        <f t="shared" ca="1" si="1"/>
        <v>11.04674</v>
      </c>
      <c r="F24" s="127">
        <f t="shared" ca="1" si="1"/>
        <v>9.455883</v>
      </c>
      <c r="G24" s="127">
        <f t="shared" ca="1" si="1"/>
        <v>5.5519910000000001</v>
      </c>
    </row>
    <row r="25" spans="2:7" ht="14.45" x14ac:dyDescent="0.35">
      <c r="B25" t="s">
        <v>942</v>
      </c>
      <c r="C25" s="127">
        <f t="shared" ca="1" si="1"/>
        <v>5.0759129999999999</v>
      </c>
      <c r="D25" s="127">
        <f t="shared" ca="1" si="1"/>
        <v>6.3969240000000003</v>
      </c>
      <c r="E25" s="127">
        <f t="shared" ca="1" si="1"/>
        <v>5.9647189999999997</v>
      </c>
      <c r="F25" s="127">
        <f t="shared" ca="1" si="1"/>
        <v>4.7573100000000004</v>
      </c>
      <c r="G25" s="127">
        <f t="shared" ca="1" si="1"/>
        <v>2.5859839999999998</v>
      </c>
    </row>
    <row r="26" spans="2:7" ht="14.45" x14ac:dyDescent="0.35">
      <c r="B26" t="s">
        <v>943</v>
      </c>
      <c r="C26" s="127">
        <f t="shared" ca="1" si="1"/>
        <v>66.174210000000002</v>
      </c>
      <c r="D26" s="127">
        <f t="shared" ca="1" si="1"/>
        <v>61.700740000000003</v>
      </c>
      <c r="E26" s="127">
        <f t="shared" ca="1" si="1"/>
        <v>59.471179999999997</v>
      </c>
      <c r="F26" s="127">
        <f t="shared" ca="1" si="1"/>
        <v>57.812339999999999</v>
      </c>
      <c r="G26" s="127">
        <f t="shared" ca="1" si="1"/>
        <v>52.99436</v>
      </c>
    </row>
    <row r="27" spans="2:7" ht="14.45" x14ac:dyDescent="0.35">
      <c r="B27" t="s">
        <v>944</v>
      </c>
      <c r="C27" s="127">
        <f t="shared" ca="1" si="1"/>
        <v>0.84847399999999995</v>
      </c>
      <c r="D27" s="127">
        <f t="shared" ca="1" si="1"/>
        <v>0.74358800000000003</v>
      </c>
      <c r="E27" s="127">
        <f t="shared" ca="1" si="1"/>
        <v>0.71848000000000001</v>
      </c>
      <c r="F27" s="127">
        <f t="shared" ca="1" si="1"/>
        <v>0.69952099999999995</v>
      </c>
      <c r="G27" s="127">
        <f t="shared" ca="1" si="1"/>
        <v>0.63958800000000005</v>
      </c>
    </row>
    <row r="28" spans="2:7" ht="14.45" x14ac:dyDescent="0.35">
      <c r="B28" t="s">
        <v>945</v>
      </c>
      <c r="C28" s="127">
        <f t="shared" ca="1" si="1"/>
        <v>2.5676649999999999</v>
      </c>
      <c r="D28" s="127">
        <f t="shared" ca="1" si="1"/>
        <v>2.4978889999999998</v>
      </c>
      <c r="E28" s="127">
        <f t="shared" ca="1" si="1"/>
        <v>2.40184</v>
      </c>
      <c r="F28" s="127">
        <f t="shared" ca="1" si="1"/>
        <v>2.324074</v>
      </c>
      <c r="G28" s="127">
        <f t="shared" ca="1" si="1"/>
        <v>2.1244109999999998</v>
      </c>
    </row>
    <row r="29" spans="2:7" ht="14.45" x14ac:dyDescent="0.35">
      <c r="B29" t="s">
        <v>946</v>
      </c>
      <c r="C29" s="127">
        <f t="shared" ca="1" si="1"/>
        <v>4.898714</v>
      </c>
      <c r="D29" s="127">
        <f t="shared" ca="1" si="1"/>
        <v>4.5351749999999997</v>
      </c>
      <c r="E29" s="127">
        <f t="shared" ca="1" si="1"/>
        <v>4.3705540000000003</v>
      </c>
      <c r="F29" s="127">
        <f t="shared" ca="1" si="1"/>
        <v>4.2449979999999998</v>
      </c>
      <c r="G29" s="127">
        <f t="shared" ca="1" si="1"/>
        <v>3.8850709999999999</v>
      </c>
    </row>
    <row r="30" spans="2:7" ht="14.45" x14ac:dyDescent="0.35">
      <c r="B30" t="s">
        <v>947</v>
      </c>
      <c r="C30" s="127">
        <f t="shared" ca="1" si="1"/>
        <v>1.48645</v>
      </c>
      <c r="D30" s="127">
        <f t="shared" ca="1" si="1"/>
        <v>1.7511730000000001</v>
      </c>
      <c r="E30" s="127">
        <f t="shared" ca="1" si="1"/>
        <v>1.668312</v>
      </c>
      <c r="F30" s="127">
        <f t="shared" ca="1" si="1"/>
        <v>1.583755</v>
      </c>
      <c r="G30" s="127">
        <f t="shared" ca="1" si="1"/>
        <v>1.4296960000000001</v>
      </c>
    </row>
    <row r="31" spans="2:7" ht="14.45" x14ac:dyDescent="0.35">
      <c r="B31" t="s">
        <v>948</v>
      </c>
      <c r="C31" s="127">
        <f t="shared" ca="1" si="1"/>
        <v>0.88627</v>
      </c>
      <c r="D31" s="127">
        <f t="shared" ca="1" si="1"/>
        <v>0.82429200000000002</v>
      </c>
      <c r="E31" s="127">
        <f t="shared" ca="1" si="1"/>
        <v>0.79261999999999999</v>
      </c>
      <c r="F31" s="127">
        <f t="shared" ca="1" si="1"/>
        <v>0.76630100000000001</v>
      </c>
      <c r="G31" s="127">
        <f t="shared" ca="1" si="1"/>
        <v>0.69785799999999998</v>
      </c>
    </row>
    <row r="32" spans="2:7" ht="14.45" x14ac:dyDescent="0.35">
      <c r="B32" t="s">
        <v>949</v>
      </c>
      <c r="C32" s="127">
        <f t="shared" ca="1" si="1"/>
        <v>11.305210000000001</v>
      </c>
      <c r="D32" s="127">
        <f t="shared" ca="1" si="1"/>
        <v>10.91056</v>
      </c>
      <c r="E32" s="127">
        <f t="shared" ca="1" si="1"/>
        <v>10.4983</v>
      </c>
      <c r="F32" s="127">
        <f t="shared" ca="1" si="1"/>
        <v>10.158670000000001</v>
      </c>
      <c r="G32" s="127">
        <f t="shared" ca="1" si="1"/>
        <v>9.2761720000000008</v>
      </c>
    </row>
    <row r="33" spans="2:7" ht="14.45" x14ac:dyDescent="0.35">
      <c r="B33" t="s">
        <v>950</v>
      </c>
      <c r="C33" s="127">
        <f t="shared" ca="1" si="1"/>
        <v>4.5695370000000004</v>
      </c>
      <c r="D33" s="127">
        <f t="shared" ca="1" si="1"/>
        <v>5.5981810000000003</v>
      </c>
      <c r="E33" s="127">
        <f t="shared" ca="1" si="1"/>
        <v>5.2839080000000003</v>
      </c>
      <c r="F33" s="127">
        <f t="shared" ca="1" si="1"/>
        <v>4.9655469999999999</v>
      </c>
      <c r="G33" s="127">
        <f t="shared" ca="1" si="1"/>
        <v>4.4656840000000004</v>
      </c>
    </row>
    <row r="34" spans="2:7" ht="14.45" x14ac:dyDescent="0.35">
      <c r="B34" t="s">
        <v>951</v>
      </c>
      <c r="C34" s="127">
        <f t="shared" ca="1" si="1"/>
        <v>17.77092</v>
      </c>
      <c r="D34" s="127">
        <f t="shared" ca="1" si="1"/>
        <v>16.354340000000001</v>
      </c>
      <c r="E34" s="127">
        <f t="shared" ca="1" si="1"/>
        <v>15.863860000000001</v>
      </c>
      <c r="F34" s="127">
        <f t="shared" ca="1" si="1"/>
        <v>14.406040000000001</v>
      </c>
      <c r="G34" s="127">
        <f t="shared" ca="1" si="1"/>
        <v>9.4918420000000001</v>
      </c>
    </row>
    <row r="35" spans="2:7" ht="14.45" x14ac:dyDescent="0.35">
      <c r="B35" t="s">
        <v>952</v>
      </c>
      <c r="C35" s="127">
        <f t="shared" ref="C35:G39" ca="1" si="2">Output("SCEN_ADEMEhaut",$B35,C$1)</f>
        <v>6.7218410000000004</v>
      </c>
      <c r="D35" s="127">
        <f t="shared" ca="1" si="2"/>
        <v>6.2843349999999996</v>
      </c>
      <c r="E35" s="127">
        <f t="shared" ca="1" si="2"/>
        <v>6.0649709999999999</v>
      </c>
      <c r="F35" s="127">
        <f t="shared" ca="1" si="2"/>
        <v>5.4534520000000004</v>
      </c>
      <c r="G35" s="127">
        <f t="shared" ca="1" si="2"/>
        <v>3.558827</v>
      </c>
    </row>
    <row r="36" spans="2:7" ht="14.45" x14ac:dyDescent="0.35">
      <c r="B36" t="s">
        <v>953</v>
      </c>
      <c r="C36" s="127">
        <f ca="1">Output("SCEN_ADEMEhaut",$B36,C$1)</f>
        <v>0.40099800000000002</v>
      </c>
      <c r="D36" s="127">
        <f t="shared" ca="1" si="2"/>
        <v>0.49715300000000001</v>
      </c>
      <c r="E36" s="127">
        <f t="shared" ca="1" si="2"/>
        <v>0.46784100000000001</v>
      </c>
      <c r="F36" s="127">
        <f t="shared" ca="1" si="2"/>
        <v>0.405279</v>
      </c>
      <c r="G36" s="127">
        <f t="shared" ca="1" si="2"/>
        <v>0.25715399999999999</v>
      </c>
    </row>
    <row r="37" spans="2:7" ht="14.45" x14ac:dyDescent="0.35">
      <c r="B37" t="s">
        <v>954</v>
      </c>
      <c r="C37" s="127">
        <f t="shared" ca="1" si="2"/>
        <v>0.51319499999999996</v>
      </c>
      <c r="D37" s="127">
        <f t="shared" ca="1" si="2"/>
        <v>0.53025999999999995</v>
      </c>
      <c r="E37" s="127">
        <f t="shared" ca="1" si="2"/>
        <v>0.50812400000000002</v>
      </c>
      <c r="F37" s="127">
        <f t="shared" ca="1" si="2"/>
        <v>0.451098</v>
      </c>
      <c r="G37" s="127">
        <f t="shared" ca="1" si="2"/>
        <v>0.290433</v>
      </c>
    </row>
    <row r="38" spans="2:7" ht="14.45" x14ac:dyDescent="0.35">
      <c r="B38" t="s">
        <v>955</v>
      </c>
      <c r="C38" s="127">
        <f t="shared" ca="1" si="2"/>
        <v>1.550581</v>
      </c>
      <c r="D38" s="127">
        <f t="shared" ca="1" si="2"/>
        <v>1.9632179999999999</v>
      </c>
      <c r="E38" s="127">
        <f t="shared" ca="1" si="2"/>
        <v>1.8466020000000001</v>
      </c>
      <c r="F38" s="127">
        <f t="shared" ca="1" si="2"/>
        <v>1.5948720000000001</v>
      </c>
      <c r="G38" s="127">
        <f t="shared" ca="1" si="2"/>
        <v>1.006502</v>
      </c>
    </row>
    <row r="39" spans="2:7" x14ac:dyDescent="0.25">
      <c r="B39" t="s">
        <v>956</v>
      </c>
      <c r="C39" s="127">
        <f t="shared" ca="1" si="2"/>
        <v>0.404169</v>
      </c>
      <c r="D39" s="127">
        <f t="shared" ca="1" si="2"/>
        <v>0.39248300000000003</v>
      </c>
      <c r="E39" s="127">
        <f t="shared" ca="1" si="2"/>
        <v>0.37746299999999999</v>
      </c>
      <c r="F39" s="127">
        <f t="shared" ca="1" si="2"/>
        <v>0.33715899999999999</v>
      </c>
      <c r="G39" s="127">
        <f t="shared" ca="1" si="2"/>
        <v>0.21815899999999999</v>
      </c>
    </row>
    <row r="40" spans="2:7" x14ac:dyDescent="0.25">
      <c r="C40" s="127"/>
      <c r="D40" s="127"/>
      <c r="E40" s="127"/>
      <c r="F40" s="127"/>
      <c r="G40" s="127"/>
    </row>
    <row r="41" spans="2:7" x14ac:dyDescent="0.25">
      <c r="B41" t="s">
        <v>958</v>
      </c>
      <c r="C41" s="127">
        <f t="shared" ref="C41:G50" ca="1" si="3">Output("SCEN_ADEMEhaut",$B41,C$1)</f>
        <v>24617.64</v>
      </c>
      <c r="D41" s="127">
        <f t="shared" ca="1" si="3"/>
        <v>24809.03</v>
      </c>
      <c r="E41" s="127">
        <f t="shared" ca="1" si="3"/>
        <v>25534.91</v>
      </c>
      <c r="F41" s="127">
        <f t="shared" ca="1" si="3"/>
        <v>26746.880000000001</v>
      </c>
      <c r="G41" s="127">
        <f t="shared" ca="1" si="3"/>
        <v>28095.65</v>
      </c>
    </row>
    <row r="42" spans="2:7" x14ac:dyDescent="0.25">
      <c r="B42" t="s">
        <v>959</v>
      </c>
      <c r="C42" s="127">
        <f t="shared" ca="1" si="3"/>
        <v>818.52949999999998</v>
      </c>
      <c r="D42" s="127">
        <f t="shared" ca="1" si="3"/>
        <v>812.21190000000001</v>
      </c>
      <c r="E42" s="127">
        <f t="shared" ca="1" si="3"/>
        <v>822.99739999999997</v>
      </c>
      <c r="F42" s="127">
        <f t="shared" ca="1" si="3"/>
        <v>833.83299999999997</v>
      </c>
      <c r="G42" s="127">
        <f t="shared" ca="1" si="3"/>
        <v>839.96270000000004</v>
      </c>
    </row>
    <row r="43" spans="2:7" x14ac:dyDescent="0.25">
      <c r="B43" t="s">
        <v>960</v>
      </c>
      <c r="C43" s="127">
        <f t="shared" ca="1" si="3"/>
        <v>471.05200000000002</v>
      </c>
      <c r="D43" s="127">
        <f t="shared" ca="1" si="3"/>
        <v>473.59059999999999</v>
      </c>
      <c r="E43" s="127">
        <f t="shared" ca="1" si="3"/>
        <v>494.2921</v>
      </c>
      <c r="F43" s="127">
        <f t="shared" ca="1" si="3"/>
        <v>527.93219999999997</v>
      </c>
      <c r="G43" s="127">
        <f t="shared" ca="1" si="3"/>
        <v>585.5729</v>
      </c>
    </row>
    <row r="44" spans="2:7" x14ac:dyDescent="0.25">
      <c r="B44" t="s">
        <v>961</v>
      </c>
      <c r="C44" s="127">
        <f t="shared" ca="1" si="3"/>
        <v>215.63399999999999</v>
      </c>
      <c r="D44" s="127">
        <f t="shared" ca="1" si="3"/>
        <v>217.67859999999999</v>
      </c>
      <c r="E44" s="127">
        <f t="shared" ca="1" si="3"/>
        <v>221.72710000000001</v>
      </c>
      <c r="F44" s="127">
        <f t="shared" ca="1" si="3"/>
        <v>210.2276</v>
      </c>
      <c r="G44" s="127">
        <f t="shared" ca="1" si="3"/>
        <v>195.78360000000001</v>
      </c>
    </row>
    <row r="45" spans="2:7" x14ac:dyDescent="0.25">
      <c r="B45" t="s">
        <v>962</v>
      </c>
      <c r="C45" s="127">
        <f t="shared" ca="1" si="3"/>
        <v>48.864229999999999</v>
      </c>
      <c r="D45" s="127">
        <f t="shared" ca="1" si="3"/>
        <v>49.811880000000002</v>
      </c>
      <c r="E45" s="127">
        <f t="shared" ca="1" si="3"/>
        <v>52.619410000000002</v>
      </c>
      <c r="F45" s="127">
        <f t="shared" ca="1" si="3"/>
        <v>56.161389999999997</v>
      </c>
      <c r="G45" s="127">
        <f t="shared" ca="1" si="3"/>
        <v>48.673720000000003</v>
      </c>
    </row>
    <row r="46" spans="2:7" x14ac:dyDescent="0.25">
      <c r="B46" t="s">
        <v>963</v>
      </c>
      <c r="C46" s="127">
        <f t="shared" ca="1" si="3"/>
        <v>102.1709</v>
      </c>
      <c r="D46" s="127">
        <f t="shared" ca="1" si="3"/>
        <v>103.2056</v>
      </c>
      <c r="E46" s="127">
        <f t="shared" ca="1" si="3"/>
        <v>107.64700000000001</v>
      </c>
      <c r="F46" s="127">
        <f t="shared" ca="1" si="3"/>
        <v>118.3742</v>
      </c>
      <c r="G46" s="127">
        <f t="shared" ca="1" si="3"/>
        <v>117.9079</v>
      </c>
    </row>
    <row r="47" spans="2:7" x14ac:dyDescent="0.25">
      <c r="B47" t="s">
        <v>964</v>
      </c>
      <c r="C47" s="127">
        <f t="shared" ca="1" si="3"/>
        <v>82.432540000000003</v>
      </c>
      <c r="D47" s="127">
        <f t="shared" ca="1" si="3"/>
        <v>84.130859999999998</v>
      </c>
      <c r="E47" s="127">
        <f t="shared" ca="1" si="3"/>
        <v>89.184600000000003</v>
      </c>
      <c r="F47" s="127">
        <f t="shared" ca="1" si="3"/>
        <v>96.204949999999997</v>
      </c>
      <c r="G47" s="127">
        <f t="shared" ca="1" si="3"/>
        <v>81.956440000000001</v>
      </c>
    </row>
    <row r="48" spans="2:7" x14ac:dyDescent="0.25">
      <c r="B48" t="s">
        <v>965</v>
      </c>
      <c r="C48" s="127">
        <f t="shared" ca="1" si="3"/>
        <v>25.273569999999999</v>
      </c>
      <c r="D48" s="127">
        <f t="shared" ca="1" si="3"/>
        <v>25.831040000000002</v>
      </c>
      <c r="E48" s="127">
        <f t="shared" ca="1" si="3"/>
        <v>27.08785</v>
      </c>
      <c r="F48" s="127">
        <f t="shared" ca="1" si="3"/>
        <v>27.839870000000001</v>
      </c>
      <c r="G48" s="127">
        <f t="shared" ca="1" si="3"/>
        <v>20.81156</v>
      </c>
    </row>
    <row r="49" spans="2:7" x14ac:dyDescent="0.25">
      <c r="B49" t="s">
        <v>966</v>
      </c>
      <c r="C49" s="127">
        <f t="shared" ca="1" si="3"/>
        <v>29.69932</v>
      </c>
      <c r="D49" s="127">
        <f t="shared" ca="1" si="3"/>
        <v>30.66093</v>
      </c>
      <c r="E49" s="127">
        <f t="shared" ca="1" si="3"/>
        <v>32.46942</v>
      </c>
      <c r="F49" s="127">
        <f t="shared" ca="1" si="3"/>
        <v>32.559480000000001</v>
      </c>
      <c r="G49" s="127">
        <f t="shared" ca="1" si="3"/>
        <v>20.849150000000002</v>
      </c>
    </row>
    <row r="50" spans="2:7" x14ac:dyDescent="0.25">
      <c r="B50" t="s">
        <v>967</v>
      </c>
      <c r="C50" s="127">
        <f t="shared" ca="1" si="3"/>
        <v>161.99250000000001</v>
      </c>
      <c r="D50" s="127">
        <f t="shared" ca="1" si="3"/>
        <v>164.72790000000001</v>
      </c>
      <c r="E50" s="127">
        <f t="shared" ca="1" si="3"/>
        <v>173.26329999999999</v>
      </c>
      <c r="F50" s="127">
        <f t="shared" ca="1" si="3"/>
        <v>183.69739999999999</v>
      </c>
      <c r="G50" s="127">
        <f t="shared" ca="1" si="3"/>
        <v>159.0155</v>
      </c>
    </row>
    <row r="51" spans="2:7" x14ac:dyDescent="0.25">
      <c r="B51" t="s">
        <v>968</v>
      </c>
      <c r="C51" s="127">
        <f t="shared" ref="C51:G60" ca="1" si="4">Output("SCEN_ADEMEhaut",$B51,C$1)</f>
        <v>42.047989999999999</v>
      </c>
      <c r="D51" s="127">
        <f t="shared" ca="1" si="4"/>
        <v>40.947600000000001</v>
      </c>
      <c r="E51" s="127">
        <f t="shared" ca="1" si="4"/>
        <v>43.401940000000003</v>
      </c>
      <c r="F51" s="127">
        <f t="shared" ca="1" si="4"/>
        <v>45.578650000000003</v>
      </c>
      <c r="G51" s="127">
        <f t="shared" ca="1" si="4"/>
        <v>33.221640000000001</v>
      </c>
    </row>
    <row r="52" spans="2:7" x14ac:dyDescent="0.25">
      <c r="B52" t="s">
        <v>969</v>
      </c>
      <c r="C52" s="127">
        <f t="shared" ca="1" si="4"/>
        <v>25.39301</v>
      </c>
      <c r="D52" s="127">
        <f t="shared" ca="1" si="4"/>
        <v>26.138259999999999</v>
      </c>
      <c r="E52" s="127">
        <f t="shared" ca="1" si="4"/>
        <v>27.28116</v>
      </c>
      <c r="F52" s="127">
        <f t="shared" ca="1" si="4"/>
        <v>27.567360000000001</v>
      </c>
      <c r="G52" s="127">
        <f t="shared" ca="1" si="4"/>
        <v>20.056740000000001</v>
      </c>
    </row>
    <row r="53" spans="2:7" x14ac:dyDescent="0.25">
      <c r="B53" t="s">
        <v>970</v>
      </c>
      <c r="C53" s="127">
        <f t="shared" ca="1" si="4"/>
        <v>1960.7159999999999</v>
      </c>
      <c r="D53" s="127">
        <f t="shared" ca="1" si="4"/>
        <v>1992.8779999999999</v>
      </c>
      <c r="E53" s="127">
        <f t="shared" ca="1" si="4"/>
        <v>2070.5630000000001</v>
      </c>
      <c r="F53" s="127">
        <f t="shared" ca="1" si="4"/>
        <v>2147.87</v>
      </c>
      <c r="G53" s="127">
        <f t="shared" ca="1" si="4"/>
        <v>1904.4829999999999</v>
      </c>
    </row>
    <row r="54" spans="2:7" x14ac:dyDescent="0.25">
      <c r="B54" t="s">
        <v>971</v>
      </c>
      <c r="C54" s="127">
        <f t="shared" ca="1" si="4"/>
        <v>1955.846</v>
      </c>
      <c r="D54" s="127">
        <f t="shared" ca="1" si="4"/>
        <v>1961.752</v>
      </c>
      <c r="E54" s="127">
        <f t="shared" ca="1" si="4"/>
        <v>2000.713</v>
      </c>
      <c r="F54" s="127">
        <f t="shared" ca="1" si="4"/>
        <v>2115.9140000000002</v>
      </c>
      <c r="G54" s="127">
        <f t="shared" ca="1" si="4"/>
        <v>2271.9679999999998</v>
      </c>
    </row>
    <row r="55" spans="2:7" x14ac:dyDescent="0.25">
      <c r="B55" t="s">
        <v>972</v>
      </c>
      <c r="C55" s="127">
        <f t="shared" ca="1" si="4"/>
        <v>98.382679999999993</v>
      </c>
      <c r="D55" s="127">
        <f t="shared" ca="1" si="4"/>
        <v>99.221879999999999</v>
      </c>
      <c r="E55" s="127">
        <f t="shared" ca="1" si="4"/>
        <v>101.6606</v>
      </c>
      <c r="F55" s="127">
        <f t="shared" ca="1" si="4"/>
        <v>110.6585</v>
      </c>
      <c r="G55" s="127">
        <f t="shared" ca="1" si="4"/>
        <v>117.0107</v>
      </c>
    </row>
    <row r="56" spans="2:7" x14ac:dyDescent="0.25">
      <c r="B56" t="s">
        <v>973</v>
      </c>
      <c r="C56" s="127">
        <f t="shared" ca="1" si="4"/>
        <v>182.3032</v>
      </c>
      <c r="D56" s="127">
        <f t="shared" ca="1" si="4"/>
        <v>178.5325</v>
      </c>
      <c r="E56" s="127">
        <f t="shared" ca="1" si="4"/>
        <v>177.7193</v>
      </c>
      <c r="F56" s="127">
        <f t="shared" ca="1" si="4"/>
        <v>200.4308</v>
      </c>
      <c r="G56" s="127">
        <f t="shared" ca="1" si="4"/>
        <v>256.13170000000002</v>
      </c>
    </row>
    <row r="57" spans="2:7" x14ac:dyDescent="0.25">
      <c r="B57" t="s">
        <v>974</v>
      </c>
      <c r="C57" s="127">
        <f t="shared" ca="1" si="4"/>
        <v>408.02019999999999</v>
      </c>
      <c r="D57" s="127">
        <f t="shared" ca="1" si="4"/>
        <v>410.95229999999998</v>
      </c>
      <c r="E57" s="127">
        <f t="shared" ca="1" si="4"/>
        <v>424.553</v>
      </c>
      <c r="F57" s="127">
        <f t="shared" ca="1" si="4"/>
        <v>427.19929999999999</v>
      </c>
      <c r="G57" s="127">
        <f t="shared" ca="1" si="4"/>
        <v>382.6354</v>
      </c>
    </row>
    <row r="58" spans="2:7" x14ac:dyDescent="0.25">
      <c r="B58" t="s">
        <v>975</v>
      </c>
      <c r="C58" s="127">
        <f t="shared" ca="1" si="4"/>
        <v>41.750799999999998</v>
      </c>
      <c r="D58" s="127">
        <f t="shared" ca="1" si="4"/>
        <v>41.905709999999999</v>
      </c>
      <c r="E58" s="127">
        <f t="shared" ca="1" si="4"/>
        <v>42.026879999999998</v>
      </c>
      <c r="F58" s="127">
        <f t="shared" ca="1" si="4"/>
        <v>38.253959999999999</v>
      </c>
      <c r="G58" s="127">
        <f t="shared" ca="1" si="4"/>
        <v>32.694569999999999</v>
      </c>
    </row>
    <row r="59" spans="2:7" x14ac:dyDescent="0.25">
      <c r="B59" t="s">
        <v>976</v>
      </c>
      <c r="C59" s="127">
        <f t="shared" ca="1" si="4"/>
        <v>72.658439999999999</v>
      </c>
      <c r="D59" s="127">
        <f t="shared" ca="1" si="4"/>
        <v>73.71902</v>
      </c>
      <c r="E59" s="127">
        <f t="shared" ca="1" si="4"/>
        <v>76.948139999999995</v>
      </c>
      <c r="F59" s="127">
        <f t="shared" ca="1" si="4"/>
        <v>79.448059999999998</v>
      </c>
      <c r="G59" s="127">
        <f t="shared" ca="1" si="4"/>
        <v>68.641900000000007</v>
      </c>
    </row>
    <row r="60" spans="2:7" x14ac:dyDescent="0.25">
      <c r="B60" t="s">
        <v>977</v>
      </c>
      <c r="C60" s="127">
        <f t="shared" ca="1" si="4"/>
        <v>11653.81</v>
      </c>
      <c r="D60" s="127">
        <f t="shared" ca="1" si="4"/>
        <v>11700.03</v>
      </c>
      <c r="E60" s="127">
        <f t="shared" ca="1" si="4"/>
        <v>12107.64</v>
      </c>
      <c r="F60" s="127">
        <f t="shared" ca="1" si="4"/>
        <v>12764.07</v>
      </c>
      <c r="G60" s="127">
        <f t="shared" ca="1" si="4"/>
        <v>13717.33</v>
      </c>
    </row>
    <row r="61" spans="2:7" x14ac:dyDescent="0.25">
      <c r="B61" t="s">
        <v>978</v>
      </c>
      <c r="C61" s="127">
        <f t="shared" ref="C61:G70" ca="1" si="5">Output("SCEN_ADEMEhaut",$B61,C$1)</f>
        <v>6083.15</v>
      </c>
      <c r="D61" s="127">
        <f t="shared" ca="1" si="5"/>
        <v>6184.2929999999997</v>
      </c>
      <c r="E61" s="127">
        <f t="shared" ca="1" si="5"/>
        <v>6310.509</v>
      </c>
      <c r="F61" s="127">
        <f t="shared" ca="1" si="5"/>
        <v>6561.6549999999997</v>
      </c>
      <c r="G61" s="127">
        <f t="shared" ca="1" si="5"/>
        <v>7099.8710000000001</v>
      </c>
    </row>
    <row r="62" spans="2:7" x14ac:dyDescent="0.25">
      <c r="B62" t="s">
        <v>979</v>
      </c>
      <c r="C62" s="127">
        <f t="shared" ca="1" si="5"/>
        <v>0.54647199999999996</v>
      </c>
      <c r="D62" s="127">
        <f t="shared" ca="1" si="5"/>
        <v>0.42952499999999999</v>
      </c>
      <c r="E62" s="127">
        <f t="shared" ca="1" si="5"/>
        <v>0.29959200000000002</v>
      </c>
      <c r="F62" s="127">
        <f t="shared" ca="1" si="5"/>
        <v>0.25202200000000002</v>
      </c>
      <c r="G62" s="127">
        <f t="shared" ca="1" si="5"/>
        <v>0.211455</v>
      </c>
    </row>
    <row r="63" spans="2:7" x14ac:dyDescent="0.25">
      <c r="B63" t="s">
        <v>980</v>
      </c>
      <c r="C63" s="127">
        <f t="shared" ca="1" si="5"/>
        <v>12.17755</v>
      </c>
      <c r="D63" s="127">
        <f t="shared" ca="1" si="5"/>
        <v>11.152200000000001</v>
      </c>
      <c r="E63" s="127">
        <f t="shared" ca="1" si="5"/>
        <v>10.54555</v>
      </c>
      <c r="F63" s="127">
        <f t="shared" ca="1" si="5"/>
        <v>8.0065880000000007</v>
      </c>
      <c r="G63" s="127">
        <f t="shared" ca="1" si="5"/>
        <v>2.4335270000000002</v>
      </c>
    </row>
    <row r="64" spans="2:7" x14ac:dyDescent="0.25">
      <c r="B64" t="s">
        <v>981</v>
      </c>
      <c r="C64" s="127">
        <f t="shared" ca="1" si="5"/>
        <v>5.074897</v>
      </c>
      <c r="D64" s="127">
        <f t="shared" ca="1" si="5"/>
        <v>9.3998410000000003</v>
      </c>
      <c r="E64" s="127">
        <f t="shared" ca="1" si="5"/>
        <v>7.1101619999999999</v>
      </c>
      <c r="F64" s="127">
        <f t="shared" ca="1" si="5"/>
        <v>6.4904929999999998</v>
      </c>
      <c r="G64" s="127">
        <f t="shared" ca="1" si="5"/>
        <v>37.120640000000002</v>
      </c>
    </row>
    <row r="65" spans="2:7" x14ac:dyDescent="0.25">
      <c r="B65" t="s">
        <v>982</v>
      </c>
      <c r="C65" s="127">
        <f t="shared" ca="1" si="5"/>
        <v>66.187650000000005</v>
      </c>
      <c r="D65" s="127">
        <f t="shared" ca="1" si="5"/>
        <v>58.667470000000002</v>
      </c>
      <c r="E65" s="127">
        <f t="shared" ca="1" si="5"/>
        <v>52.283450000000002</v>
      </c>
      <c r="F65" s="127">
        <f t="shared" ca="1" si="5"/>
        <v>34.266030000000001</v>
      </c>
      <c r="G65" s="127">
        <f t="shared" ca="1" si="5"/>
        <v>23.813020000000002</v>
      </c>
    </row>
    <row r="66" spans="2:7" x14ac:dyDescent="0.25">
      <c r="B66" t="s">
        <v>983</v>
      </c>
      <c r="C66" s="127">
        <f t="shared" ca="1" si="5"/>
        <v>0.84864399999999995</v>
      </c>
      <c r="D66" s="127">
        <f t="shared" ca="1" si="5"/>
        <v>0.40837299999999999</v>
      </c>
      <c r="E66" s="127">
        <f t="shared" ca="1" si="5"/>
        <v>0.103454</v>
      </c>
      <c r="F66" s="127">
        <f t="shared" ca="1" si="5"/>
        <v>6.5199999999999994E-2</v>
      </c>
      <c r="G66" s="127">
        <f t="shared" ca="1" si="5"/>
        <v>1.1089999999999999E-2</v>
      </c>
    </row>
    <row r="67" spans="2:7" x14ac:dyDescent="0.25">
      <c r="B67" t="s">
        <v>984</v>
      </c>
      <c r="C67" s="127">
        <f t="shared" ca="1" si="5"/>
        <v>2.5681850000000002</v>
      </c>
      <c r="D67" s="127">
        <f t="shared" ca="1" si="5"/>
        <v>2.6557590000000002</v>
      </c>
      <c r="E67" s="127">
        <f t="shared" ca="1" si="5"/>
        <v>2.5089830000000002</v>
      </c>
      <c r="F67" s="127">
        <f t="shared" ca="1" si="5"/>
        <v>2.2252640000000001</v>
      </c>
      <c r="G67" s="127">
        <f t="shared" ca="1" si="5"/>
        <v>1.908731</v>
      </c>
    </row>
    <row r="68" spans="2:7" x14ac:dyDescent="0.25">
      <c r="B68" t="s">
        <v>985</v>
      </c>
      <c r="C68" s="127">
        <f t="shared" ca="1" si="5"/>
        <v>4.899705</v>
      </c>
      <c r="D68" s="127">
        <f t="shared" ca="1" si="5"/>
        <v>3.0242900000000001</v>
      </c>
      <c r="E68" s="127">
        <f t="shared" ca="1" si="5"/>
        <v>0.81732499999999997</v>
      </c>
      <c r="F68" s="127">
        <f t="shared" ca="1" si="5"/>
        <v>0.135439</v>
      </c>
      <c r="G68" s="127">
        <f t="shared" ca="1" si="5"/>
        <v>1.5332E-2</v>
      </c>
    </row>
    <row r="69" spans="2:7" x14ac:dyDescent="0.25">
      <c r="B69" t="s">
        <v>986</v>
      </c>
      <c r="C69" s="127">
        <f t="shared" ca="1" si="5"/>
        <v>1.486748</v>
      </c>
      <c r="D69" s="127">
        <f t="shared" ca="1" si="5"/>
        <v>5.07646</v>
      </c>
      <c r="E69" s="127">
        <f t="shared" ca="1" si="5"/>
        <v>11.42061</v>
      </c>
      <c r="F69" s="127">
        <f t="shared" ca="1" si="5"/>
        <v>21.359649999999998</v>
      </c>
      <c r="G69" s="127">
        <f t="shared" ca="1" si="5"/>
        <v>9.7712669999999999</v>
      </c>
    </row>
    <row r="70" spans="2:7" x14ac:dyDescent="0.25">
      <c r="B70" t="s">
        <v>987</v>
      </c>
      <c r="C70" s="127">
        <f t="shared" ca="1" si="5"/>
        <v>0.88644800000000001</v>
      </c>
      <c r="D70" s="127">
        <f t="shared" ca="1" si="5"/>
        <v>0.34592699999999998</v>
      </c>
      <c r="E70" s="127">
        <f t="shared" ca="1" si="5"/>
        <v>3.2183670000000002</v>
      </c>
      <c r="F70" s="127">
        <f t="shared" ca="1" si="5"/>
        <v>30.716010000000001</v>
      </c>
      <c r="G70" s="127">
        <f t="shared" ca="1" si="5"/>
        <v>19.587599999999998</v>
      </c>
    </row>
    <row r="71" spans="2:7" x14ac:dyDescent="0.25">
      <c r="B71" t="s">
        <v>988</v>
      </c>
      <c r="C71" s="127">
        <f t="shared" ref="C71:G78" ca="1" si="6">Output("SCEN_ADEMEhaut",$B71,C$1)</f>
        <v>11.30749</v>
      </c>
      <c r="D71" s="127">
        <f t="shared" ca="1" si="6"/>
        <v>13.290179999999999</v>
      </c>
      <c r="E71" s="127">
        <f t="shared" ca="1" si="6"/>
        <v>14.98221</v>
      </c>
      <c r="F71" s="127">
        <f t="shared" ca="1" si="6"/>
        <v>8.8739790000000003</v>
      </c>
      <c r="G71" s="127">
        <f t="shared" ca="1" si="6"/>
        <v>6.5417319999999997</v>
      </c>
    </row>
    <row r="72" spans="2:7" x14ac:dyDescent="0.25">
      <c r="B72" t="s">
        <v>989</v>
      </c>
      <c r="C72" s="127">
        <f t="shared" ca="1" si="6"/>
        <v>4.5704560000000001</v>
      </c>
      <c r="D72" s="127">
        <f t="shared" ca="1" si="6"/>
        <v>6.0682590000000003</v>
      </c>
      <c r="E72" s="127">
        <f t="shared" ca="1" si="6"/>
        <v>2.9933420000000002</v>
      </c>
      <c r="F72" s="127">
        <f t="shared" ca="1" si="6"/>
        <v>5.6835300000000002</v>
      </c>
      <c r="G72" s="127">
        <f t="shared" ca="1" si="6"/>
        <v>3.2438920000000002</v>
      </c>
    </row>
    <row r="73" spans="2:7" x14ac:dyDescent="0.25">
      <c r="B73" t="s">
        <v>990</v>
      </c>
      <c r="C73" s="127">
        <f t="shared" ca="1" si="6"/>
        <v>17.77169</v>
      </c>
      <c r="D73" s="127">
        <f t="shared" ca="1" si="6"/>
        <v>15.744160000000001</v>
      </c>
      <c r="E73" s="127">
        <f t="shared" ca="1" si="6"/>
        <v>14.326370000000001</v>
      </c>
      <c r="F73" s="127">
        <f t="shared" ca="1" si="6"/>
        <v>8.5463989999999992</v>
      </c>
      <c r="G73" s="127">
        <f t="shared" ca="1" si="6"/>
        <v>3.4841850000000001</v>
      </c>
    </row>
    <row r="74" spans="2:7" x14ac:dyDescent="0.25">
      <c r="B74" t="s">
        <v>991</v>
      </c>
      <c r="C74" s="127">
        <f t="shared" ca="1" si="6"/>
        <v>6.7221250000000001</v>
      </c>
      <c r="D74" s="127">
        <f t="shared" ca="1" si="6"/>
        <v>6.2207340000000002</v>
      </c>
      <c r="E74" s="127">
        <f t="shared" ca="1" si="6"/>
        <v>6.0414500000000002</v>
      </c>
      <c r="F74" s="127">
        <f t="shared" ca="1" si="6"/>
        <v>6.939559</v>
      </c>
      <c r="G74" s="127">
        <f t="shared" ca="1" si="6"/>
        <v>3.7671030000000001</v>
      </c>
    </row>
    <row r="75" spans="2:7" x14ac:dyDescent="0.25">
      <c r="B75" t="s">
        <v>992</v>
      </c>
      <c r="C75" s="127">
        <f t="shared" ca="1" si="6"/>
        <v>0.40101500000000001</v>
      </c>
      <c r="D75" s="127">
        <f t="shared" ca="1" si="6"/>
        <v>0.55518299999999998</v>
      </c>
      <c r="E75" s="127">
        <f t="shared" ca="1" si="6"/>
        <v>0.57549700000000004</v>
      </c>
      <c r="F75" s="127">
        <f t="shared" ca="1" si="6"/>
        <v>2.4927139999999999</v>
      </c>
      <c r="G75" s="127">
        <f t="shared" ca="1" si="6"/>
        <v>1.852036</v>
      </c>
    </row>
    <row r="76" spans="2:7" x14ac:dyDescent="0.25">
      <c r="B76" t="s">
        <v>993</v>
      </c>
      <c r="C76" s="127">
        <f t="shared" ca="1" si="6"/>
        <v>0.51321600000000001</v>
      </c>
      <c r="D76" s="127">
        <f t="shared" ca="1" si="6"/>
        <v>0.61934800000000001</v>
      </c>
      <c r="E76" s="127">
        <f t="shared" ca="1" si="6"/>
        <v>0.56960299999999997</v>
      </c>
      <c r="F76" s="127">
        <f t="shared" ca="1" si="6"/>
        <v>0.66905700000000001</v>
      </c>
      <c r="G76" s="127">
        <f t="shared" ca="1" si="6"/>
        <v>0.58074800000000004</v>
      </c>
    </row>
    <row r="77" spans="2:7" x14ac:dyDescent="0.25">
      <c r="B77" t="s">
        <v>994</v>
      </c>
      <c r="C77" s="127">
        <f t="shared" ca="1" si="6"/>
        <v>1.5506450000000001</v>
      </c>
      <c r="D77" s="127">
        <f t="shared" ca="1" si="6"/>
        <v>2.8275049999999999</v>
      </c>
      <c r="E77" s="127">
        <f t="shared" ca="1" si="6"/>
        <v>2.2960750000000001</v>
      </c>
      <c r="F77" s="127">
        <f t="shared" ca="1" si="6"/>
        <v>1.9601820000000001</v>
      </c>
      <c r="G77" s="127">
        <f t="shared" ca="1" si="6"/>
        <v>5.0701080000000003</v>
      </c>
    </row>
    <row r="78" spans="2:7" x14ac:dyDescent="0.25">
      <c r="B78" t="s">
        <v>995</v>
      </c>
      <c r="C78" s="127">
        <f t="shared" ca="1" si="6"/>
        <v>0.40418599999999999</v>
      </c>
      <c r="D78" s="127">
        <f t="shared" ca="1" si="6"/>
        <v>0.32659700000000003</v>
      </c>
      <c r="E78" s="127">
        <f t="shared" ca="1" si="6"/>
        <v>0.50908699999999996</v>
      </c>
      <c r="F78" s="127">
        <f t="shared" ca="1" si="6"/>
        <v>2.7231709999999998</v>
      </c>
      <c r="G78" s="127">
        <f t="shared" ca="1" si="6"/>
        <v>1.6564319999999999</v>
      </c>
    </row>
    <row r="80" spans="2:7" x14ac:dyDescent="0.25">
      <c r="B80" t="s">
        <v>1008</v>
      </c>
      <c r="C80">
        <v>2010</v>
      </c>
      <c r="D80">
        <v>2015</v>
      </c>
      <c r="E80">
        <v>2020</v>
      </c>
      <c r="F80">
        <v>2030</v>
      </c>
      <c r="G80">
        <v>2050</v>
      </c>
    </row>
    <row r="81" spans="1:7" x14ac:dyDescent="0.25">
      <c r="B81" t="s">
        <v>996</v>
      </c>
      <c r="C81" s="128">
        <f ca="1">C41-C2</f>
        <v>1.8899999999994179</v>
      </c>
      <c r="D81" s="128">
        <f t="shared" ref="D81:G81" ca="1" si="7">D41-D2</f>
        <v>52.649999999997817</v>
      </c>
      <c r="E81" s="128">
        <f t="shared" ca="1" si="7"/>
        <v>200.13999999999942</v>
      </c>
      <c r="F81" s="128">
        <f t="shared" ca="1" si="7"/>
        <v>362.9900000000016</v>
      </c>
      <c r="G81" s="128">
        <f t="shared" ca="1" si="7"/>
        <v>529.37000000000262</v>
      </c>
    </row>
    <row r="82" spans="1:7" x14ac:dyDescent="0.25">
      <c r="A82" t="s">
        <v>1024</v>
      </c>
      <c r="B82" t="s">
        <v>383</v>
      </c>
      <c r="C82" s="128">
        <f ca="1">C42-C3</f>
        <v>6.2699999999949796E-2</v>
      </c>
      <c r="D82" s="128">
        <f t="shared" ref="D82:G82" ca="1" si="8">D42-D3</f>
        <v>1.3042000000000371</v>
      </c>
      <c r="E82" s="128">
        <f t="shared" ca="1" si="8"/>
        <v>4.4651999999999816</v>
      </c>
      <c r="F82" s="128">
        <f t="shared" ca="1" si="8"/>
        <v>3.6695999999999458</v>
      </c>
      <c r="G82" s="128">
        <f t="shared" ca="1" si="8"/>
        <v>-10.349600000000009</v>
      </c>
    </row>
    <row r="83" spans="1:7" x14ac:dyDescent="0.25">
      <c r="A83" t="s">
        <v>1025</v>
      </c>
      <c r="B83" t="s">
        <v>997</v>
      </c>
      <c r="C83" s="128">
        <f ca="1">C43-C4</f>
        <v>7.6000000000021828E-2</v>
      </c>
      <c r="D83" s="128">
        <f t="shared" ref="D83:G83" ca="1" si="9">D43-D4</f>
        <v>1.8981999999999744</v>
      </c>
      <c r="E83" s="128">
        <f t="shared" ca="1" si="9"/>
        <v>6.6877000000000066</v>
      </c>
      <c r="F83" s="128">
        <f t="shared" ca="1" si="9"/>
        <v>9.2012999999999465</v>
      </c>
      <c r="G83" s="128">
        <f t="shared" ca="1" si="9"/>
        <v>21.681900000000041</v>
      </c>
    </row>
    <row r="84" spans="1:7" x14ac:dyDescent="0.25">
      <c r="A84" t="s">
        <v>1026</v>
      </c>
      <c r="B84" t="s">
        <v>998</v>
      </c>
      <c r="C84" s="128">
        <f ca="1">C44-C5</f>
        <v>1.999999999981128E-3</v>
      </c>
      <c r="D84" s="128">
        <f t="shared" ref="D84:G84" ca="1" si="10">D44-D5</f>
        <v>-0.24580000000000268</v>
      </c>
      <c r="E84" s="128">
        <f t="shared" ca="1" si="10"/>
        <v>-0.63419999999999277</v>
      </c>
      <c r="F84" s="128">
        <f t="shared" ca="1" si="10"/>
        <v>-9.8748999999999967</v>
      </c>
      <c r="G84" s="128">
        <f t="shared" ca="1" si="10"/>
        <v>-22.100300000000004</v>
      </c>
    </row>
    <row r="85" spans="1:7" x14ac:dyDescent="0.25">
      <c r="A85" t="s">
        <v>1027</v>
      </c>
      <c r="B85" t="s">
        <v>999</v>
      </c>
      <c r="C85" s="128">
        <f ca="1">C54-C15</f>
        <v>8.6000000000012733E-2</v>
      </c>
      <c r="D85" s="128">
        <f t="shared" ref="D85:G85" ca="1" si="11">D54-D15</f>
        <v>4.3119999999998981</v>
      </c>
      <c r="E85" s="128">
        <f t="shared" ca="1" si="11"/>
        <v>28.812999999999874</v>
      </c>
      <c r="F85" s="128">
        <f t="shared" ca="1" si="11"/>
        <v>90.553000000000111</v>
      </c>
      <c r="G85" s="128">
        <f t="shared" ca="1" si="11"/>
        <v>179.36899999999969</v>
      </c>
    </row>
    <row r="86" spans="1:7" x14ac:dyDescent="0.25">
      <c r="A86" t="s">
        <v>1028</v>
      </c>
      <c r="B86" t="s">
        <v>1009</v>
      </c>
      <c r="C86" s="128">
        <f ca="1">C55-C16</f>
        <v>1.5899999999930969E-3</v>
      </c>
      <c r="D86" s="128">
        <f t="shared" ref="D86:G86" ca="1" si="12">D55-D16</f>
        <v>0.31619999999999493</v>
      </c>
      <c r="E86" s="128">
        <f t="shared" ca="1" si="12"/>
        <v>1.8566399999999987</v>
      </c>
      <c r="F86" s="128">
        <f t="shared" ca="1" si="12"/>
        <v>9.3181000000000012</v>
      </c>
      <c r="G86" s="128">
        <f t="shared" ca="1" si="12"/>
        <v>-2.7660000000000053</v>
      </c>
    </row>
    <row r="87" spans="1:7" x14ac:dyDescent="0.25">
      <c r="A87" t="s">
        <v>1029</v>
      </c>
      <c r="B87" t="s">
        <v>1001</v>
      </c>
      <c r="C87" s="128">
        <f ca="1">C56-C17</f>
        <v>2.7000000000043656E-3</v>
      </c>
      <c r="D87" s="128">
        <f t="shared" ref="D87:G87" ca="1" si="13">D56-D17</f>
        <v>0.27240000000000464</v>
      </c>
      <c r="E87" s="128">
        <f t="shared" ca="1" si="13"/>
        <v>1.5322000000000173</v>
      </c>
      <c r="F87" s="128">
        <f t="shared" ca="1" si="13"/>
        <v>19.438600000000008</v>
      </c>
      <c r="G87" s="128">
        <f t="shared" ca="1" si="13"/>
        <v>14.969000000000023</v>
      </c>
    </row>
    <row r="88" spans="1:7" x14ac:dyDescent="0.25">
      <c r="A88" t="s">
        <v>1030</v>
      </c>
      <c r="B88" t="s">
        <v>1000</v>
      </c>
      <c r="C88" s="128">
        <f ca="1">C57-C18</f>
        <v>2.6199999999960255E-2</v>
      </c>
      <c r="D88" s="128">
        <f t="shared" ref="D88:G88" ca="1" si="14">D57-D18</f>
        <v>0.55199999999996407</v>
      </c>
      <c r="E88" s="128">
        <f t="shared" ca="1" si="14"/>
        <v>2.342899999999986</v>
      </c>
      <c r="F88" s="128">
        <f t="shared" ca="1" si="14"/>
        <v>-3.5049000000000206</v>
      </c>
      <c r="G88" s="128">
        <f t="shared" ca="1" si="14"/>
        <v>-51.37700000000001</v>
      </c>
    </row>
    <row r="89" spans="1:7" x14ac:dyDescent="0.25">
      <c r="A89" t="s">
        <v>1031</v>
      </c>
      <c r="B89" t="s">
        <v>1003</v>
      </c>
      <c r="C89" s="128">
        <f t="shared" ref="C89:C94" ca="1" si="15">C63-C24</f>
        <v>-1.7999999999993577E-3</v>
      </c>
      <c r="D89" s="128">
        <f t="shared" ref="D89:G89" ca="1" si="16">D63-D24</f>
        <v>-0.25655999999999857</v>
      </c>
      <c r="E89" s="128">
        <f t="shared" ca="1" si="16"/>
        <v>-0.50118999999999936</v>
      </c>
      <c r="F89" s="128">
        <f t="shared" ca="1" si="16"/>
        <v>-1.4492949999999993</v>
      </c>
      <c r="G89" s="128">
        <f t="shared" ca="1" si="16"/>
        <v>-3.1184639999999999</v>
      </c>
    </row>
    <row r="90" spans="1:7" x14ac:dyDescent="0.25">
      <c r="A90" t="s">
        <v>1032</v>
      </c>
      <c r="B90" t="s">
        <v>1004</v>
      </c>
      <c r="C90" s="128">
        <f t="shared" ca="1" si="15"/>
        <v>-1.0159999999999059E-3</v>
      </c>
      <c r="D90" s="128">
        <f t="shared" ref="D90:G90" ca="1" si="17">D64-D25</f>
        <v>3.0029170000000001</v>
      </c>
      <c r="E90" s="128">
        <f t="shared" ca="1" si="17"/>
        <v>1.1454430000000002</v>
      </c>
      <c r="F90" s="128">
        <f t="shared" ca="1" si="17"/>
        <v>1.7331829999999995</v>
      </c>
      <c r="G90" s="128">
        <f t="shared" ca="1" si="17"/>
        <v>34.534655999999998</v>
      </c>
    </row>
    <row r="91" spans="1:7" x14ac:dyDescent="0.25">
      <c r="A91" t="s">
        <v>1033</v>
      </c>
      <c r="B91" t="s">
        <v>878</v>
      </c>
      <c r="C91" s="128">
        <f t="shared" ca="1" si="15"/>
        <v>1.3440000000002783E-2</v>
      </c>
      <c r="D91" s="128">
        <f t="shared" ref="D91:G91" ca="1" si="18">D65-D26</f>
        <v>-3.0332700000000017</v>
      </c>
      <c r="E91" s="128">
        <f t="shared" ca="1" si="18"/>
        <v>-7.1877299999999948</v>
      </c>
      <c r="F91" s="128">
        <f t="shared" ca="1" si="18"/>
        <v>-23.546309999999998</v>
      </c>
      <c r="G91" s="128">
        <f t="shared" ca="1" si="18"/>
        <v>-29.181339999999999</v>
      </c>
    </row>
    <row r="92" spans="1:7" x14ac:dyDescent="0.25">
      <c r="B92" t="s">
        <v>1010</v>
      </c>
      <c r="C92" s="128">
        <f t="shared" ca="1" si="15"/>
        <v>1.7000000000000348E-4</v>
      </c>
      <c r="D92" s="128">
        <f t="shared" ref="D92:G92" ca="1" si="19">D66-D27</f>
        <v>-0.33521500000000004</v>
      </c>
      <c r="E92" s="128">
        <f t="shared" ca="1" si="19"/>
        <v>-0.61502599999999996</v>
      </c>
      <c r="F92" s="128">
        <f t="shared" ca="1" si="19"/>
        <v>-0.63432099999999991</v>
      </c>
      <c r="G92" s="128">
        <f t="shared" ca="1" si="19"/>
        <v>-0.628498</v>
      </c>
    </row>
    <row r="93" spans="1:7" x14ac:dyDescent="0.25">
      <c r="B93" t="s">
        <v>1011</v>
      </c>
      <c r="C93" s="128">
        <f t="shared" ca="1" si="15"/>
        <v>5.20000000000298E-4</v>
      </c>
      <c r="D93" s="128">
        <f t="shared" ref="D93:G93" ca="1" si="20">D67-D28</f>
        <v>0.1578700000000004</v>
      </c>
      <c r="E93" s="128">
        <f t="shared" ca="1" si="20"/>
        <v>0.10714300000000021</v>
      </c>
      <c r="F93" s="128">
        <f t="shared" ca="1" si="20"/>
        <v>-9.8809999999999842E-2</v>
      </c>
      <c r="G93" s="128">
        <f t="shared" ca="1" si="20"/>
        <v>-0.21567999999999987</v>
      </c>
    </row>
    <row r="94" spans="1:7" x14ac:dyDescent="0.25">
      <c r="B94" t="s">
        <v>1012</v>
      </c>
      <c r="C94" s="128">
        <f t="shared" ca="1" si="15"/>
        <v>9.9099999999996413E-4</v>
      </c>
      <c r="D94" s="128">
        <f t="shared" ref="D94:G94" ca="1" si="21">D68-D29</f>
        <v>-1.5108849999999996</v>
      </c>
      <c r="E94" s="128">
        <f t="shared" ca="1" si="21"/>
        <v>-3.5532290000000004</v>
      </c>
      <c r="F94" s="128">
        <f t="shared" ca="1" si="21"/>
        <v>-4.109559</v>
      </c>
      <c r="G94" s="128">
        <f t="shared" ca="1" si="21"/>
        <v>-3.869739</v>
      </c>
    </row>
    <row r="95" spans="1:7" x14ac:dyDescent="0.25">
      <c r="B95" t="s">
        <v>727</v>
      </c>
      <c r="C95" s="128">
        <f ca="1">SUM(C92:C94)</f>
        <v>1.6810000000002656E-3</v>
      </c>
      <c r="D95" s="128">
        <f t="shared" ref="D95:G95" ca="1" si="22">SUM(D92:D94)</f>
        <v>-1.6882299999999992</v>
      </c>
      <c r="E95" s="128">
        <f t="shared" ca="1" si="22"/>
        <v>-4.0611120000000005</v>
      </c>
      <c r="F95" s="128">
        <f t="shared" ca="1" si="22"/>
        <v>-4.8426899999999993</v>
      </c>
      <c r="G95" s="128">
        <f t="shared" ca="1" si="22"/>
        <v>-4.7139170000000004</v>
      </c>
    </row>
    <row r="96" spans="1:7" x14ac:dyDescent="0.25">
      <c r="B96" t="s">
        <v>1013</v>
      </c>
      <c r="C96" s="128">
        <f ca="1">C69-C30</f>
        <v>2.9799999999990945E-4</v>
      </c>
      <c r="D96" s="128">
        <f t="shared" ref="D96:G96" ca="1" si="23">D69-D30</f>
        <v>3.3252869999999999</v>
      </c>
      <c r="E96" s="128">
        <f t="shared" ca="1" si="23"/>
        <v>9.7522979999999997</v>
      </c>
      <c r="F96" s="128">
        <f t="shared" ca="1" si="23"/>
        <v>19.775894999999998</v>
      </c>
      <c r="G96" s="128">
        <f t="shared" ca="1" si="23"/>
        <v>8.3415710000000001</v>
      </c>
    </row>
    <row r="97" spans="1:7" x14ac:dyDescent="0.25">
      <c r="B97" t="s">
        <v>1014</v>
      </c>
      <c r="C97" s="128">
        <f t="shared" ref="C97:G99" ca="1" si="24">C70-C31</f>
        <v>1.7800000000001148E-4</v>
      </c>
      <c r="D97" s="128">
        <f t="shared" ca="1" si="24"/>
        <v>-0.47836500000000004</v>
      </c>
      <c r="E97" s="128">
        <f t="shared" ca="1" si="24"/>
        <v>2.4257470000000003</v>
      </c>
      <c r="F97" s="128">
        <f t="shared" ca="1" si="24"/>
        <v>29.949709000000002</v>
      </c>
      <c r="G97" s="128">
        <f t="shared" ca="1" si="24"/>
        <v>18.889741999999998</v>
      </c>
    </row>
    <row r="98" spans="1:7" x14ac:dyDescent="0.25">
      <c r="B98" t="s">
        <v>1015</v>
      </c>
      <c r="C98" s="128">
        <f t="shared" ca="1" si="24"/>
        <v>2.2799999999989495E-3</v>
      </c>
      <c r="D98" s="128">
        <f t="shared" ca="1" si="24"/>
        <v>2.3796199999999992</v>
      </c>
      <c r="E98" s="128">
        <f t="shared" ca="1" si="24"/>
        <v>4.4839099999999998</v>
      </c>
      <c r="F98" s="128">
        <f t="shared" ca="1" si="24"/>
        <v>-1.2846910000000005</v>
      </c>
      <c r="G98" s="128">
        <f t="shared" ca="1" si="24"/>
        <v>-2.7344400000000011</v>
      </c>
    </row>
    <row r="99" spans="1:7" x14ac:dyDescent="0.25">
      <c r="B99" t="s">
        <v>1016</v>
      </c>
      <c r="C99" s="128">
        <f t="shared" ca="1" si="24"/>
        <v>9.1899999999967008E-4</v>
      </c>
      <c r="D99" s="128">
        <f t="shared" ca="1" si="24"/>
        <v>0.470078</v>
      </c>
      <c r="E99" s="128">
        <f t="shared" ca="1" si="24"/>
        <v>-2.2905660000000001</v>
      </c>
      <c r="F99" s="128">
        <f t="shared" ca="1" si="24"/>
        <v>0.71798300000000026</v>
      </c>
      <c r="G99" s="128">
        <f t="shared" ca="1" si="24"/>
        <v>-1.2217920000000002</v>
      </c>
    </row>
    <row r="100" spans="1:7" x14ac:dyDescent="0.25">
      <c r="B100" t="s">
        <v>1007</v>
      </c>
      <c r="C100" s="128">
        <f ca="1">SUM(C96:C99)</f>
        <v>3.6749999999985405E-3</v>
      </c>
      <c r="D100" s="128">
        <f t="shared" ref="D100:G100" ca="1" si="25">SUM(D96:D99)</f>
        <v>5.6966199999999985</v>
      </c>
      <c r="E100" s="128">
        <f t="shared" ca="1" si="25"/>
        <v>14.371388999999999</v>
      </c>
      <c r="F100" s="128">
        <f t="shared" ca="1" si="25"/>
        <v>49.158895999999999</v>
      </c>
      <c r="G100" s="128">
        <f t="shared" ca="1" si="25"/>
        <v>23.275081</v>
      </c>
    </row>
    <row r="101" spans="1:7" x14ac:dyDescent="0.25">
      <c r="A101" t="s">
        <v>1034</v>
      </c>
      <c r="B101" t="s">
        <v>319</v>
      </c>
      <c r="C101" s="128">
        <f ca="1">C73-C34</f>
        <v>7.6999999999927127E-4</v>
      </c>
      <c r="D101" s="128">
        <f t="shared" ref="D101:G101" ca="1" si="26">D73-D34</f>
        <v>-0.61017999999999972</v>
      </c>
      <c r="E101" s="128">
        <f t="shared" ca="1" si="26"/>
        <v>-1.53749</v>
      </c>
      <c r="F101" s="128">
        <f t="shared" ca="1" si="26"/>
        <v>-5.8596410000000017</v>
      </c>
      <c r="G101" s="128">
        <f t="shared" ca="1" si="26"/>
        <v>-6.007657</v>
      </c>
    </row>
    <row r="102" spans="1:7" x14ac:dyDescent="0.25">
      <c r="B102" t="s">
        <v>1017</v>
      </c>
      <c r="C102" s="128">
        <f t="shared" ref="C102:G106" ca="1" si="27">C74-C35</f>
        <v>2.8399999999972891E-4</v>
      </c>
      <c r="D102" s="128">
        <f t="shared" ca="1" si="27"/>
        <v>-6.3600999999999352E-2</v>
      </c>
      <c r="E102" s="128">
        <f t="shared" ca="1" si="27"/>
        <v>-2.3520999999999681E-2</v>
      </c>
      <c r="F102" s="128">
        <f t="shared" ca="1" si="27"/>
        <v>1.4861069999999996</v>
      </c>
      <c r="G102" s="128">
        <f t="shared" ca="1" si="27"/>
        <v>0.20827600000000013</v>
      </c>
    </row>
    <row r="103" spans="1:7" x14ac:dyDescent="0.25">
      <c r="B103" t="s">
        <v>1018</v>
      </c>
      <c r="C103" s="128">
        <f t="shared" ca="1" si="27"/>
        <v>1.6999999999989246E-5</v>
      </c>
      <c r="D103" s="128">
        <f t="shared" ca="1" si="27"/>
        <v>5.802999999999997E-2</v>
      </c>
      <c r="E103" s="128">
        <f t="shared" ca="1" si="27"/>
        <v>0.10765600000000003</v>
      </c>
      <c r="F103" s="128">
        <f t="shared" ca="1" si="27"/>
        <v>2.0874349999999997</v>
      </c>
      <c r="G103" s="128">
        <f t="shared" ca="1" si="27"/>
        <v>1.5948820000000001</v>
      </c>
    </row>
    <row r="104" spans="1:7" x14ac:dyDescent="0.25">
      <c r="B104" t="s">
        <v>1019</v>
      </c>
      <c r="C104" s="128">
        <f t="shared" ca="1" si="27"/>
        <v>2.1000000000048757E-5</v>
      </c>
      <c r="D104" s="128">
        <f t="shared" ca="1" si="27"/>
        <v>8.9088000000000056E-2</v>
      </c>
      <c r="E104" s="128">
        <f t="shared" ca="1" si="27"/>
        <v>6.147899999999995E-2</v>
      </c>
      <c r="F104" s="128">
        <f t="shared" ca="1" si="27"/>
        <v>0.21795900000000001</v>
      </c>
      <c r="G104" s="128">
        <f t="shared" ca="1" si="27"/>
        <v>0.29031500000000005</v>
      </c>
    </row>
    <row r="105" spans="1:7" x14ac:dyDescent="0.25">
      <c r="B105" t="s">
        <v>1020</v>
      </c>
      <c r="C105" s="128">
        <f t="shared" ca="1" si="27"/>
        <v>6.4000000000064006E-5</v>
      </c>
      <c r="D105" s="128">
        <f t="shared" ca="1" si="27"/>
        <v>0.86428700000000003</v>
      </c>
      <c r="E105" s="128">
        <f t="shared" ca="1" si="27"/>
        <v>0.44947300000000001</v>
      </c>
      <c r="F105" s="128">
        <f t="shared" ca="1" si="27"/>
        <v>0.36531000000000002</v>
      </c>
      <c r="G105" s="128">
        <f t="shared" ca="1" si="27"/>
        <v>4.0636060000000001</v>
      </c>
    </row>
    <row r="106" spans="1:7" x14ac:dyDescent="0.25">
      <c r="B106" t="s">
        <v>1021</v>
      </c>
      <c r="C106" s="128">
        <f t="shared" ca="1" si="27"/>
        <v>1.6999999999989246E-5</v>
      </c>
      <c r="D106" s="128">
        <f t="shared" ca="1" si="27"/>
        <v>-6.5886E-2</v>
      </c>
      <c r="E106" s="128">
        <f t="shared" ca="1" si="27"/>
        <v>0.13162399999999996</v>
      </c>
      <c r="F106" s="128">
        <f t="shared" ca="1" si="27"/>
        <v>2.386012</v>
      </c>
      <c r="G106" s="128">
        <f t="shared" ca="1" si="27"/>
        <v>1.4382729999999999</v>
      </c>
    </row>
    <row r="107" spans="1:7" x14ac:dyDescent="0.25">
      <c r="B107" t="s">
        <v>1006</v>
      </c>
      <c r="C107" s="128">
        <f ca="1">SUM(C102:C106)</f>
        <v>4.0299999999982017E-4</v>
      </c>
      <c r="D107" s="128">
        <f t="shared" ref="D107:G107" ca="1" si="28">SUM(D102:D106)</f>
        <v>0.88191800000000076</v>
      </c>
      <c r="E107" s="128">
        <f t="shared" ca="1" si="28"/>
        <v>0.72671100000000033</v>
      </c>
      <c r="F107" s="128">
        <f t="shared" ca="1" si="28"/>
        <v>6.5428229999999994</v>
      </c>
      <c r="G107" s="128">
        <f t="shared" ca="1" si="28"/>
        <v>7.5953520000000001</v>
      </c>
    </row>
    <row r="108" spans="1:7" x14ac:dyDescent="0.25">
      <c r="B108" t="s">
        <v>1022</v>
      </c>
      <c r="C108" s="128">
        <f ca="1">C60-C21</f>
        <v>1.3899999999994179</v>
      </c>
      <c r="D108" s="128">
        <f t="shared" ref="D108:G108" ca="1" si="29">D60-D21</f>
        <v>31.650000000001455</v>
      </c>
      <c r="E108" s="128">
        <f t="shared" ca="1" si="29"/>
        <v>118.34999999999854</v>
      </c>
      <c r="F108" s="128">
        <f t="shared" ca="1" si="29"/>
        <v>162.17000000000007</v>
      </c>
      <c r="G108" s="128">
        <f t="shared" ca="1" si="29"/>
        <v>412.56999999999971</v>
      </c>
    </row>
    <row r="109" spans="1:7" x14ac:dyDescent="0.25">
      <c r="B109" t="s">
        <v>1023</v>
      </c>
      <c r="C109" s="128">
        <f ca="1">C61-C22</f>
        <v>9.4999999999345164E-2</v>
      </c>
      <c r="D109" s="128">
        <f t="shared" ref="D109:G109" ca="1" si="30">D61-D22</f>
        <v>2.6759999999994761</v>
      </c>
      <c r="E109" s="128">
        <f t="shared" ca="1" si="30"/>
        <v>9.2960000000002765</v>
      </c>
      <c r="F109" s="128">
        <f t="shared" ca="1" si="30"/>
        <v>17.592999999999847</v>
      </c>
      <c r="G109" s="128">
        <f t="shared" ca="1" si="30"/>
        <v>41.315999999999804</v>
      </c>
    </row>
    <row r="110" spans="1:7" x14ac:dyDescent="0.25">
      <c r="B110" t="s">
        <v>1035</v>
      </c>
      <c r="C110" s="128">
        <f ca="1">SUM(C108:C109)</f>
        <v>1.4849999999987631</v>
      </c>
      <c r="D110" s="128">
        <f t="shared" ref="D110:G110" ca="1" si="31">SUM(D108:D109)</f>
        <v>34.326000000000931</v>
      </c>
      <c r="E110" s="128">
        <f t="shared" ca="1" si="31"/>
        <v>127.64599999999882</v>
      </c>
      <c r="F110" s="128">
        <f t="shared" ca="1" si="31"/>
        <v>179.76299999999992</v>
      </c>
      <c r="G110" s="128">
        <f t="shared" ca="1" si="31"/>
        <v>453.88599999999951</v>
      </c>
    </row>
    <row r="111" spans="1:7" x14ac:dyDescent="0.25">
      <c r="B111" t="s">
        <v>1040</v>
      </c>
      <c r="C111" s="128">
        <f ca="1">C45-C6</f>
        <v>3.2999999999958618E-3</v>
      </c>
      <c r="D111" s="128">
        <f t="shared" ref="D111:G111" ca="1" si="32">D45-D6</f>
        <v>0.19544000000000494</v>
      </c>
      <c r="E111" s="128">
        <f t="shared" ca="1" si="32"/>
        <v>1.1724900000000034</v>
      </c>
      <c r="F111" s="128">
        <f t="shared" ca="1" si="32"/>
        <v>2.7715199999999953</v>
      </c>
      <c r="G111" s="128">
        <f t="shared" ca="1" si="32"/>
        <v>-0.278029999999994</v>
      </c>
    </row>
    <row r="112" spans="1:7" x14ac:dyDescent="0.25">
      <c r="B112" t="s">
        <v>1041</v>
      </c>
      <c r="C112" s="128">
        <f t="shared" ref="C112:G119" ca="1" si="33">C46-C7</f>
        <v>5.2000000000020918E-3</v>
      </c>
      <c r="D112" s="128">
        <f t="shared" ca="1" si="33"/>
        <v>0.47050000000000125</v>
      </c>
      <c r="E112" s="128">
        <f t="shared" ca="1" si="33"/>
        <v>3.2083000000000084</v>
      </c>
      <c r="F112" s="128">
        <f t="shared" ca="1" si="33"/>
        <v>10.673900000000003</v>
      </c>
      <c r="G112" s="128">
        <f t="shared" ca="1" si="33"/>
        <v>11.135999999999996</v>
      </c>
    </row>
    <row r="113" spans="2:7" x14ac:dyDescent="0.25">
      <c r="B113" t="s">
        <v>1042</v>
      </c>
      <c r="C113" s="128">
        <f t="shared" ca="1" si="33"/>
        <v>5.49999999999784E-3</v>
      </c>
      <c r="D113" s="128">
        <f t="shared" ca="1" si="33"/>
        <v>0.37122999999999706</v>
      </c>
      <c r="E113" s="128">
        <f t="shared" ca="1" si="33"/>
        <v>2.2112500000000068</v>
      </c>
      <c r="F113" s="128">
        <f t="shared" ca="1" si="33"/>
        <v>5.7494799999999913</v>
      </c>
      <c r="G113" s="128">
        <f t="shared" ca="1" si="33"/>
        <v>0.15747000000000355</v>
      </c>
    </row>
    <row r="114" spans="2:7" x14ac:dyDescent="0.25">
      <c r="B114" t="s">
        <v>1043</v>
      </c>
      <c r="C114" s="128">
        <f t="shared" ca="1" si="33"/>
        <v>6.9999999999836859E-4</v>
      </c>
      <c r="D114" s="128">
        <f t="shared" ca="1" si="33"/>
        <v>7.1979999999999933E-2</v>
      </c>
      <c r="E114" s="128">
        <f t="shared" ca="1" si="33"/>
        <v>0.31493000000000038</v>
      </c>
      <c r="F114" s="128">
        <f t="shared" ca="1" si="33"/>
        <v>0.45847000000000193</v>
      </c>
      <c r="G114" s="128">
        <f t="shared" ca="1" si="33"/>
        <v>-2.0442199999999993</v>
      </c>
    </row>
    <row r="115" spans="2:7" x14ac:dyDescent="0.25">
      <c r="B115" t="s">
        <v>1044</v>
      </c>
      <c r="C115" s="128">
        <f t="shared" ca="1" si="33"/>
        <v>1.2999999999863121E-4</v>
      </c>
      <c r="D115" s="128">
        <f t="shared" ca="1" si="33"/>
        <v>8.0560000000001963E-2</v>
      </c>
      <c r="E115" s="128">
        <f t="shared" ca="1" si="33"/>
        <v>0.29023999999999717</v>
      </c>
      <c r="F115" s="128">
        <f t="shared" ca="1" si="33"/>
        <v>0.17678000000000083</v>
      </c>
      <c r="G115" s="128">
        <f t="shared" ca="1" si="33"/>
        <v>-3.01295</v>
      </c>
    </row>
    <row r="116" spans="2:7" x14ac:dyDescent="0.25">
      <c r="B116" t="s">
        <v>1036</v>
      </c>
      <c r="C116" s="128">
        <f t="shared" ca="1" si="33"/>
        <v>8.8000000000079126E-3</v>
      </c>
      <c r="D116" s="128">
        <f t="shared" ca="1" si="33"/>
        <v>0.69620000000000459</v>
      </c>
      <c r="E116" s="128">
        <f t="shared" ca="1" si="33"/>
        <v>3.8958999999999833</v>
      </c>
      <c r="F116" s="128">
        <f t="shared" ca="1" si="33"/>
        <v>9.4509999999999934</v>
      </c>
      <c r="G116" s="128">
        <f t="shared" ca="1" si="33"/>
        <v>0.68610000000001037</v>
      </c>
    </row>
    <row r="117" spans="2:7" x14ac:dyDescent="0.25">
      <c r="B117" t="s">
        <v>1037</v>
      </c>
      <c r="C117" s="128">
        <f t="shared" ca="1" si="33"/>
        <v>7.2999999999723286E-4</v>
      </c>
      <c r="D117" s="128">
        <f t="shared" ca="1" si="33"/>
        <v>0.17345999999999862</v>
      </c>
      <c r="E117" s="128">
        <f t="shared" ca="1" si="33"/>
        <v>0.98101000000000482</v>
      </c>
      <c r="F117" s="128">
        <f t="shared" ca="1" si="33"/>
        <v>2.1350499999999997</v>
      </c>
      <c r="G117" s="128">
        <f t="shared" ca="1" si="33"/>
        <v>-2.4019199999999969</v>
      </c>
    </row>
    <row r="118" spans="2:7" x14ac:dyDescent="0.25">
      <c r="B118" t="s">
        <v>1038</v>
      </c>
      <c r="C118" s="128">
        <f t="shared" ca="1" si="33"/>
        <v>1.5000000000142677E-4</v>
      </c>
      <c r="D118" s="128">
        <f t="shared" ca="1" si="33"/>
        <v>1.0729999999998796E-2</v>
      </c>
      <c r="E118" s="128">
        <f t="shared" ca="1" si="33"/>
        <v>-3.1690000000001106E-2</v>
      </c>
      <c r="F118" s="128">
        <f t="shared" ca="1" si="33"/>
        <v>-0.57350999999999885</v>
      </c>
      <c r="G118" s="128">
        <f t="shared" ca="1" si="33"/>
        <v>-3.1336699999999986</v>
      </c>
    </row>
    <row r="119" spans="2:7" x14ac:dyDescent="0.25">
      <c r="B119" t="s">
        <v>1039</v>
      </c>
      <c r="C119" s="128">
        <f t="shared" ca="1" si="33"/>
        <v>0.1169999999999618</v>
      </c>
      <c r="D119" s="128">
        <f t="shared" ca="1" si="33"/>
        <v>3.9969999999998436</v>
      </c>
      <c r="E119" s="128">
        <f t="shared" ca="1" si="33"/>
        <v>12.592000000000098</v>
      </c>
      <c r="F119" s="128">
        <f t="shared" ca="1" si="33"/>
        <v>12.967000000000098</v>
      </c>
      <c r="G119" s="128">
        <f t="shared" ca="1" si="33"/>
        <v>-60.057999999999993</v>
      </c>
    </row>
    <row r="120" spans="2:7" x14ac:dyDescent="0.25">
      <c r="B120" t="s">
        <v>1045</v>
      </c>
      <c r="C120" s="128">
        <f ca="1">C58-C19</f>
        <v>-3.7000000000375621E-4</v>
      </c>
      <c r="D120" s="128">
        <f t="shared" ref="D120:G120" ca="1" si="34">D58-D19</f>
        <v>-0.27250000000000085</v>
      </c>
      <c r="E120" s="128">
        <f t="shared" ca="1" si="34"/>
        <v>-1.5173600000000036</v>
      </c>
      <c r="F120" s="128">
        <f t="shared" ca="1" si="34"/>
        <v>-4.9541699999999977</v>
      </c>
      <c r="G120" s="128">
        <f t="shared" ca="1" si="34"/>
        <v>-10.223710000000004</v>
      </c>
    </row>
    <row r="121" spans="2:7" x14ac:dyDescent="0.25">
      <c r="B121" t="s">
        <v>1046</v>
      </c>
      <c r="C121" s="128">
        <f ca="1">C59-C20</f>
        <v>1.7299999999949023E-3</v>
      </c>
      <c r="D121" s="128">
        <f t="shared" ref="D121:G121" ca="1" si="35">D59-D20</f>
        <v>0.22135000000000105</v>
      </c>
      <c r="E121" s="128">
        <f t="shared" ca="1" si="35"/>
        <v>1.5685799999999972</v>
      </c>
      <c r="F121" s="128">
        <f t="shared" ca="1" si="35"/>
        <v>4.0899799999999971</v>
      </c>
      <c r="G121" s="128">
        <f t="shared" ca="1" si="35"/>
        <v>-6.9268699999999939</v>
      </c>
    </row>
    <row r="122" spans="2:7" x14ac:dyDescent="0.25">
      <c r="B122" t="s">
        <v>626</v>
      </c>
      <c r="C122" s="128">
        <f ca="1">SUM(C111:C121)</f>
        <v>0.14286999999995231</v>
      </c>
      <c r="D122" s="128">
        <f t="shared" ref="D122:G122" ca="1" si="36">SUM(D111:D121)</f>
        <v>6.0159499999998509</v>
      </c>
      <c r="E122" s="128">
        <f t="shared" ca="1" si="36"/>
        <v>24.685650000000095</v>
      </c>
      <c r="F122" s="128">
        <f t="shared" ca="1" si="36"/>
        <v>42.945500000000088</v>
      </c>
      <c r="G122" s="128">
        <f t="shared" ca="1" si="36"/>
        <v>-76.099799999999973</v>
      </c>
    </row>
    <row r="123" spans="2:7" x14ac:dyDescent="0.25">
      <c r="B123" s="1" t="s">
        <v>309</v>
      </c>
      <c r="C123" s="132">
        <f ca="1">SUM(C82:C91)+C95+C100+C101+C107+C110+C122</f>
        <v>1.9022129999986399</v>
      </c>
      <c r="D123" s="132">
        <f t="shared" ref="D123:G123" ca="1" si="37">SUM(D82:D91)+D95+D100+D101+D107+D110+D122</f>
        <v>52.744365000000656</v>
      </c>
      <c r="E123" s="132">
        <f t="shared" ca="1" si="37"/>
        <v>200.35111099999878</v>
      </c>
      <c r="F123" s="132">
        <f t="shared" ca="1" si="37"/>
        <v>363.24626599999999</v>
      </c>
      <c r="G123" s="132">
        <f t="shared" ca="1" si="37"/>
        <v>529.59691099999918</v>
      </c>
    </row>
    <row r="124" spans="2:7" x14ac:dyDescent="0.25">
      <c r="B124" s="131" t="s">
        <v>1047</v>
      </c>
      <c r="C124" s="130">
        <f ca="1">C123-C81</f>
        <v>1.2212999999221985E-2</v>
      </c>
      <c r="D124" s="130">
        <f t="shared" ref="D124:G124" ca="1" si="38">D123-D81</f>
        <v>9.4365000002838428E-2</v>
      </c>
      <c r="E124" s="130">
        <f t="shared" ca="1" si="38"/>
        <v>0.211110999999363</v>
      </c>
      <c r="F124" s="130">
        <f t="shared" ca="1" si="38"/>
        <v>0.25626599999839073</v>
      </c>
      <c r="G124" s="130">
        <f t="shared" ca="1" si="38"/>
        <v>0.22691099999656217</v>
      </c>
    </row>
    <row r="126" spans="2:7" x14ac:dyDescent="0.25">
      <c r="B126" t="s">
        <v>1048</v>
      </c>
      <c r="C126" s="128">
        <f ca="1">C82+C83</f>
        <v>0.13869999999997162</v>
      </c>
      <c r="D126" s="128">
        <f ca="1">D82+D83</f>
        <v>3.2024000000000115</v>
      </c>
      <c r="E126" s="128">
        <f ca="1">E82+E83</f>
        <v>11.152899999999988</v>
      </c>
      <c r="F126" s="128">
        <f ca="1">F82+F83</f>
        <v>12.870899999999892</v>
      </c>
      <c r="G126" s="128">
        <f ca="1">G82+G83</f>
        <v>11.332300000000032</v>
      </c>
    </row>
    <row r="127" spans="2:7" x14ac:dyDescent="0.25">
      <c r="B127" t="s">
        <v>998</v>
      </c>
      <c r="C127" s="128">
        <f t="shared" ref="C127:G128" ca="1" si="39">C84</f>
        <v>1.999999999981128E-3</v>
      </c>
      <c r="D127" s="128">
        <f t="shared" ca="1" si="39"/>
        <v>-0.24580000000000268</v>
      </c>
      <c r="E127" s="128">
        <f t="shared" ca="1" si="39"/>
        <v>-0.63419999999999277</v>
      </c>
      <c r="F127" s="128">
        <f t="shared" ca="1" si="39"/>
        <v>-9.8748999999999967</v>
      </c>
      <c r="G127" s="128">
        <f t="shared" ca="1" si="39"/>
        <v>-22.100300000000004</v>
      </c>
    </row>
    <row r="128" spans="2:7" x14ac:dyDescent="0.25">
      <c r="B128" t="s">
        <v>999</v>
      </c>
      <c r="C128" s="128">
        <f t="shared" ca="1" si="39"/>
        <v>8.6000000000012733E-2</v>
      </c>
      <c r="D128" s="128">
        <f t="shared" ca="1" si="39"/>
        <v>4.3119999999998981</v>
      </c>
      <c r="E128" s="128">
        <f t="shared" ca="1" si="39"/>
        <v>28.812999999999874</v>
      </c>
      <c r="F128" s="128">
        <f t="shared" ca="1" si="39"/>
        <v>90.553000000000111</v>
      </c>
      <c r="G128" s="128">
        <f t="shared" ca="1" si="39"/>
        <v>179.36899999999969</v>
      </c>
    </row>
    <row r="129" spans="2:8" x14ac:dyDescent="0.25">
      <c r="B129" t="s">
        <v>875</v>
      </c>
      <c r="C129" s="128">
        <f ca="1">C86+C87</f>
        <v>4.2899999999974625E-3</v>
      </c>
      <c r="D129" s="128">
        <f ca="1">D86+D87</f>
        <v>0.58859999999999957</v>
      </c>
      <c r="E129" s="128">
        <f ca="1">E86+E87</f>
        <v>3.3888400000000161</v>
      </c>
      <c r="F129" s="128">
        <f ca="1">F86+F87</f>
        <v>28.756700000000009</v>
      </c>
      <c r="G129" s="128">
        <f ca="1">G86+G87</f>
        <v>12.203000000000017</v>
      </c>
    </row>
    <row r="130" spans="2:8" x14ac:dyDescent="0.25">
      <c r="B130" t="s">
        <v>1000</v>
      </c>
      <c r="C130" s="128">
        <f ca="1">C88</f>
        <v>2.6199999999960255E-2</v>
      </c>
      <c r="D130" s="128">
        <f ca="1">D88</f>
        <v>0.55199999999996407</v>
      </c>
      <c r="E130" s="128">
        <f ca="1">E88</f>
        <v>2.342899999999986</v>
      </c>
      <c r="F130" s="128">
        <f ca="1">F88</f>
        <v>-3.5049000000000206</v>
      </c>
      <c r="G130" s="128">
        <f ca="1">G88</f>
        <v>-51.37700000000001</v>
      </c>
    </row>
    <row r="131" spans="2:8" x14ac:dyDescent="0.25">
      <c r="B131" t="s">
        <v>1002</v>
      </c>
      <c r="C131" s="128">
        <f ca="1">C89+C101</f>
        <v>-1.0300000000000864E-3</v>
      </c>
      <c r="D131" s="128">
        <f ca="1">D89+D101</f>
        <v>-0.86673999999999829</v>
      </c>
      <c r="E131" s="128">
        <f ca="1">E89+E101</f>
        <v>-2.0386799999999994</v>
      </c>
      <c r="F131" s="128">
        <f ca="1">F89+F101</f>
        <v>-7.308936000000001</v>
      </c>
      <c r="G131" s="128">
        <f ca="1">G89+G101</f>
        <v>-9.1261209999999995</v>
      </c>
    </row>
    <row r="132" spans="2:8" x14ac:dyDescent="0.25">
      <c r="B132" t="s">
        <v>326</v>
      </c>
      <c r="C132" s="128">
        <f t="shared" ref="C132:G133" ca="1" si="40">C90</f>
        <v>-1.0159999999999059E-3</v>
      </c>
      <c r="D132" s="128">
        <f t="shared" ca="1" si="40"/>
        <v>3.0029170000000001</v>
      </c>
      <c r="E132" s="128">
        <f t="shared" ca="1" si="40"/>
        <v>1.1454430000000002</v>
      </c>
      <c r="F132" s="128">
        <f t="shared" ca="1" si="40"/>
        <v>1.7331829999999995</v>
      </c>
      <c r="G132" s="128">
        <f t="shared" ca="1" si="40"/>
        <v>34.534655999999998</v>
      </c>
    </row>
    <row r="133" spans="2:8" x14ac:dyDescent="0.25">
      <c r="B133" t="s">
        <v>726</v>
      </c>
      <c r="C133" s="128">
        <f t="shared" ca="1" si="40"/>
        <v>1.3440000000002783E-2</v>
      </c>
      <c r="D133" s="128">
        <f t="shared" ca="1" si="40"/>
        <v>-3.0332700000000017</v>
      </c>
      <c r="E133" s="128">
        <f t="shared" ca="1" si="40"/>
        <v>-7.1877299999999948</v>
      </c>
      <c r="F133" s="128">
        <f t="shared" ca="1" si="40"/>
        <v>-23.546309999999998</v>
      </c>
      <c r="G133" s="128">
        <f t="shared" ca="1" si="40"/>
        <v>-29.181339999999999</v>
      </c>
    </row>
    <row r="134" spans="2:8" x14ac:dyDescent="0.25">
      <c r="B134" t="s">
        <v>727</v>
      </c>
      <c r="C134" s="128">
        <f ca="1">C95</f>
        <v>1.6810000000002656E-3</v>
      </c>
      <c r="D134" s="128">
        <f ca="1">D95</f>
        <v>-1.6882299999999992</v>
      </c>
      <c r="E134" s="128">
        <f ca="1">E95</f>
        <v>-4.0611120000000005</v>
      </c>
      <c r="F134" s="128">
        <f ca="1">F95</f>
        <v>-4.8426899999999993</v>
      </c>
      <c r="G134" s="128">
        <f ca="1">G95</f>
        <v>-4.7139170000000004</v>
      </c>
    </row>
    <row r="135" spans="2:8" x14ac:dyDescent="0.25">
      <c r="B135" t="s">
        <v>1005</v>
      </c>
      <c r="C135" s="128">
        <f ca="1">C100</f>
        <v>3.6749999999985405E-3</v>
      </c>
      <c r="D135" s="128">
        <f ca="1">D100</f>
        <v>5.6966199999999985</v>
      </c>
      <c r="E135" s="128">
        <f ca="1">E100</f>
        <v>14.371388999999999</v>
      </c>
      <c r="F135" s="128">
        <f ca="1">F100</f>
        <v>49.158895999999999</v>
      </c>
      <c r="G135" s="128">
        <f ca="1">G100</f>
        <v>23.275081</v>
      </c>
    </row>
    <row r="136" spans="2:8" x14ac:dyDescent="0.25">
      <c r="B136" t="s">
        <v>1006</v>
      </c>
      <c r="C136" s="128">
        <f ca="1">C107</f>
        <v>4.0299999999982017E-4</v>
      </c>
      <c r="D136" s="128">
        <f ca="1">D107</f>
        <v>0.88191800000000076</v>
      </c>
      <c r="E136" s="128">
        <f ca="1">E107</f>
        <v>0.72671100000000033</v>
      </c>
      <c r="F136" s="128">
        <f ca="1">F107</f>
        <v>6.5428229999999994</v>
      </c>
      <c r="G136" s="128">
        <f ca="1">G107</f>
        <v>7.5953520000000001</v>
      </c>
    </row>
    <row r="137" spans="2:8" x14ac:dyDescent="0.25">
      <c r="B137" t="s">
        <v>1035</v>
      </c>
      <c r="C137" s="128">
        <f ca="1">C110</f>
        <v>1.4849999999987631</v>
      </c>
      <c r="D137" s="128">
        <f ca="1">D110</f>
        <v>34.326000000000931</v>
      </c>
      <c r="E137" s="128">
        <f ca="1">E110</f>
        <v>127.64599999999882</v>
      </c>
      <c r="F137" s="128">
        <f ca="1">F110</f>
        <v>179.76299999999992</v>
      </c>
      <c r="G137" s="128">
        <f ca="1">G110</f>
        <v>453.88599999999951</v>
      </c>
    </row>
    <row r="138" spans="2:8" x14ac:dyDescent="0.25">
      <c r="B138" t="s">
        <v>626</v>
      </c>
      <c r="C138" s="128">
        <f t="shared" ref="C138:D138" ca="1" si="41">C122</f>
        <v>0.14286999999995231</v>
      </c>
      <c r="D138" s="128">
        <f t="shared" ca="1" si="41"/>
        <v>6.0159499999998509</v>
      </c>
      <c r="E138" s="128">
        <f ca="1">E122</f>
        <v>24.685650000000095</v>
      </c>
      <c r="F138" s="128">
        <f t="shared" ref="F138:G138" ca="1" si="42">F122</f>
        <v>42.945500000000088</v>
      </c>
      <c r="G138" s="128">
        <f t="shared" ca="1" si="42"/>
        <v>-76.099799999999973</v>
      </c>
    </row>
    <row r="139" spans="2:8" x14ac:dyDescent="0.25">
      <c r="B139" s="1" t="s">
        <v>309</v>
      </c>
      <c r="C139" s="132">
        <f t="shared" ref="C139:D139" ca="1" si="43">SUM(C126:C138)</f>
        <v>1.9022129999986399</v>
      </c>
      <c r="D139" s="132">
        <f t="shared" ca="1" si="43"/>
        <v>52.744365000000656</v>
      </c>
      <c r="E139" s="132">
        <f ca="1">SUM(E126:E138)</f>
        <v>200.35111099999878</v>
      </c>
      <c r="F139" s="132">
        <f t="shared" ref="F139" ca="1" si="44">SUM(F126:F138)</f>
        <v>363.24626599999999</v>
      </c>
      <c r="G139" s="132">
        <f t="shared" ref="G139" ca="1" si="45">SUM(G126:G138)</f>
        <v>529.5969109999993</v>
      </c>
      <c r="H139" s="1"/>
    </row>
    <row r="140" spans="2:8" x14ac:dyDescent="0.25">
      <c r="B140" s="131" t="s">
        <v>1047</v>
      </c>
      <c r="C140" s="130">
        <f ca="1">C139-C123</f>
        <v>0</v>
      </c>
      <c r="D140" s="130">
        <f t="shared" ref="D140:G140" ca="1" si="46">D139-D123</f>
        <v>0</v>
      </c>
      <c r="E140" s="130">
        <f t="shared" ca="1" si="46"/>
        <v>0</v>
      </c>
      <c r="F140" s="130">
        <f t="shared" ca="1" si="46"/>
        <v>0</v>
      </c>
      <c r="G140" s="130">
        <f t="shared" ca="1" si="46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7" tint="0.79998168889431442"/>
  </sheetPr>
  <dimension ref="A2:AU3"/>
  <sheetViews>
    <sheetView zoomScale="90" zoomScaleNormal="90" workbookViewId="0">
      <selection activeCell="L41" sqref="L41"/>
    </sheetView>
  </sheetViews>
  <sheetFormatPr baseColWidth="10" defaultRowHeight="15" x14ac:dyDescent="0.25"/>
  <cols>
    <col min="1" max="1" width="29" customWidth="1"/>
    <col min="2" max="2" width="17.28515625" hidden="1" customWidth="1"/>
    <col min="3" max="3" width="12" bestFit="1" customWidth="1"/>
  </cols>
  <sheetData>
    <row r="2" spans="1:47" ht="14.45" x14ac:dyDescent="0.35"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  <c r="O2">
        <v>2018</v>
      </c>
      <c r="P2">
        <v>2019</v>
      </c>
      <c r="Q2">
        <v>2020</v>
      </c>
      <c r="R2">
        <v>2021</v>
      </c>
      <c r="S2">
        <v>2022</v>
      </c>
      <c r="T2">
        <v>2023</v>
      </c>
      <c r="U2">
        <v>2024</v>
      </c>
      <c r="V2">
        <v>2025</v>
      </c>
      <c r="W2">
        <v>2026</v>
      </c>
      <c r="X2">
        <v>2027</v>
      </c>
      <c r="Y2">
        <v>2028</v>
      </c>
      <c r="Z2">
        <v>2029</v>
      </c>
      <c r="AA2">
        <v>2030</v>
      </c>
      <c r="AB2">
        <v>2031</v>
      </c>
      <c r="AC2">
        <v>2032</v>
      </c>
      <c r="AD2">
        <v>2033</v>
      </c>
      <c r="AE2">
        <v>2034</v>
      </c>
      <c r="AF2">
        <v>2035</v>
      </c>
      <c r="AG2">
        <v>2036</v>
      </c>
      <c r="AH2">
        <v>2037</v>
      </c>
      <c r="AI2">
        <v>2038</v>
      </c>
      <c r="AJ2">
        <v>2039</v>
      </c>
      <c r="AK2">
        <v>2040</v>
      </c>
      <c r="AL2">
        <v>2041</v>
      </c>
      <c r="AM2">
        <v>2042</v>
      </c>
      <c r="AN2">
        <v>2043</v>
      </c>
      <c r="AO2">
        <v>2044</v>
      </c>
      <c r="AP2">
        <v>2045</v>
      </c>
      <c r="AQ2">
        <v>2046</v>
      </c>
      <c r="AR2">
        <v>2047</v>
      </c>
      <c r="AS2">
        <v>2048</v>
      </c>
      <c r="AT2">
        <v>2049</v>
      </c>
      <c r="AU2">
        <v>2050</v>
      </c>
    </row>
    <row r="3" spans="1:47" ht="29.1" x14ac:dyDescent="0.35">
      <c r="A3" s="107" t="s">
        <v>538</v>
      </c>
      <c r="B3" t="s">
        <v>536</v>
      </c>
      <c r="C3">
        <f ca="1">Output($B3,"emissions",C$2)</f>
        <v>0</v>
      </c>
      <c r="D3">
        <f t="shared" ref="D3:AU3" ca="1" si="0">Output($B3,"emissions",D$2)</f>
        <v>-0.44826300000000002</v>
      </c>
      <c r="E3">
        <f t="shared" ca="1" si="0"/>
        <v>-0.45168999999999998</v>
      </c>
      <c r="F3">
        <f t="shared" ca="1" si="0"/>
        <v>-0.458262</v>
      </c>
      <c r="G3">
        <f t="shared" ca="1" si="0"/>
        <v>-0.46825600000000001</v>
      </c>
      <c r="H3">
        <f t="shared" ca="1" si="0"/>
        <v>-1.4499519999999999</v>
      </c>
      <c r="I3">
        <f t="shared" ca="1" si="0"/>
        <v>-2.3257289999999999</v>
      </c>
      <c r="J3">
        <f t="shared" ca="1" si="0"/>
        <v>-3.0992479999999998</v>
      </c>
      <c r="K3">
        <f t="shared" ca="1" si="0"/>
        <v>-3.7831890000000001</v>
      </c>
      <c r="L3">
        <f t="shared" ca="1" si="0"/>
        <v>-6.9845550000000003</v>
      </c>
      <c r="M3">
        <f t="shared" ca="1" si="0"/>
        <v>-9.4287539999999996</v>
      </c>
      <c r="N3">
        <f t="shared" ca="1" si="0"/>
        <v>-11.423170000000001</v>
      </c>
      <c r="O3">
        <f t="shared" ca="1" si="0"/>
        <v>-13.084720000000001</v>
      </c>
      <c r="P3">
        <f t="shared" ca="1" si="0"/>
        <v>-14.551539999999999</v>
      </c>
      <c r="Q3">
        <f t="shared" ca="1" si="0"/>
        <v>-15.984859999999999</v>
      </c>
      <c r="R3">
        <f t="shared" ca="1" si="0"/>
        <v>-17.44895</v>
      </c>
      <c r="S3">
        <f t="shared" ca="1" si="0"/>
        <v>-19.020849999999999</v>
      </c>
      <c r="T3">
        <f t="shared" ca="1" si="0"/>
        <v>-20.742080000000001</v>
      </c>
      <c r="U3">
        <f t="shared" ca="1" si="0"/>
        <v>-22.64143</v>
      </c>
      <c r="V3">
        <f t="shared" ca="1" si="0"/>
        <v>-24.738939999999999</v>
      </c>
      <c r="W3">
        <f t="shared" ca="1" si="0"/>
        <v>-27.048120000000001</v>
      </c>
      <c r="X3">
        <f t="shared" ca="1" si="0"/>
        <v>-29.573270000000001</v>
      </c>
      <c r="Y3">
        <f t="shared" ca="1" si="0"/>
        <v>-32.307600000000001</v>
      </c>
      <c r="Z3">
        <f t="shared" ca="1" si="0"/>
        <v>-35.237760000000002</v>
      </c>
      <c r="AA3">
        <f t="shared" ca="1" si="0"/>
        <v>-38.312600000000003</v>
      </c>
      <c r="AB3">
        <f t="shared" ca="1" si="0"/>
        <v>-41.075629999999997</v>
      </c>
      <c r="AC3">
        <f t="shared" ca="1" si="0"/>
        <v>-43.69361</v>
      </c>
      <c r="AD3">
        <f t="shared" ca="1" si="0"/>
        <v>-46.187399999999997</v>
      </c>
      <c r="AE3">
        <f t="shared" ca="1" si="0"/>
        <v>-48.575069999999997</v>
      </c>
      <c r="AF3">
        <f t="shared" ca="1" si="0"/>
        <v>-50.86506</v>
      </c>
      <c r="AG3">
        <f t="shared" ca="1" si="0"/>
        <v>-53.05883</v>
      </c>
      <c r="AH3">
        <f t="shared" ca="1" si="0"/>
        <v>-55.153829999999999</v>
      </c>
      <c r="AI3">
        <f t="shared" ca="1" si="0"/>
        <v>-57.145530000000001</v>
      </c>
      <c r="AJ3">
        <f t="shared" ca="1" si="0"/>
        <v>-59.028300000000002</v>
      </c>
      <c r="AK3">
        <f t="shared" ca="1" si="0"/>
        <v>-60.796190000000003</v>
      </c>
      <c r="AL3">
        <f t="shared" ca="1" si="0"/>
        <v>-62.44323</v>
      </c>
      <c r="AM3">
        <f t="shared" ca="1" si="0"/>
        <v>-63.963639999999998</v>
      </c>
      <c r="AN3">
        <f t="shared" ca="1" si="0"/>
        <v>-65.351709999999997</v>
      </c>
      <c r="AO3">
        <f t="shared" ca="1" si="0"/>
        <v>-66.602040000000002</v>
      </c>
      <c r="AP3">
        <f t="shared" ca="1" si="0"/>
        <v>-67.709580000000003</v>
      </c>
      <c r="AQ3">
        <f t="shared" ca="1" si="0"/>
        <v>-68.67004</v>
      </c>
      <c r="AR3">
        <f t="shared" ca="1" si="0"/>
        <v>-69.459729999999993</v>
      </c>
      <c r="AS3">
        <f t="shared" ca="1" si="0"/>
        <v>-70.102770000000007</v>
      </c>
      <c r="AT3">
        <f t="shared" ca="1" si="0"/>
        <v>-70.600260000000006</v>
      </c>
      <c r="AU3">
        <f t="shared" ca="1" si="0"/>
        <v>-70.956710000000001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0.79998168889431442"/>
  </sheetPr>
  <dimension ref="A1:AV60"/>
  <sheetViews>
    <sheetView workbookViewId="0">
      <pane xSplit="3" ySplit="1" topLeftCell="D35" activePane="bottomRight" state="frozen"/>
      <selection activeCell="L41" sqref="L41"/>
      <selection pane="topRight" activeCell="L41" sqref="L41"/>
      <selection pane="bottomLeft" activeCell="L41" sqref="L41"/>
      <selection pane="bottomRight" activeCell="L41" sqref="L41"/>
    </sheetView>
  </sheetViews>
  <sheetFormatPr baseColWidth="10" defaultRowHeight="15" x14ac:dyDescent="0.25"/>
  <cols>
    <col min="1" max="1" width="16.5703125" bestFit="1" customWidth="1"/>
    <col min="2" max="2" width="30.85546875" customWidth="1"/>
    <col min="3" max="3" width="0" hidden="1" customWidth="1"/>
  </cols>
  <sheetData>
    <row r="1" spans="2:48" ht="14.45" x14ac:dyDescent="0.35">
      <c r="D1">
        <v>2006</v>
      </c>
      <c r="E1">
        <v>2007</v>
      </c>
      <c r="F1">
        <v>2008</v>
      </c>
      <c r="G1">
        <v>2009</v>
      </c>
      <c r="H1">
        <v>2010</v>
      </c>
      <c r="I1">
        <v>2011</v>
      </c>
      <c r="J1">
        <v>2012</v>
      </c>
      <c r="K1">
        <v>2013</v>
      </c>
      <c r="L1">
        <v>2014</v>
      </c>
      <c r="M1">
        <v>2015</v>
      </c>
      <c r="N1">
        <v>2016</v>
      </c>
      <c r="O1">
        <v>2017</v>
      </c>
      <c r="P1">
        <v>2018</v>
      </c>
      <c r="Q1">
        <v>2019</v>
      </c>
      <c r="R1">
        <v>2020</v>
      </c>
      <c r="S1">
        <v>2021</v>
      </c>
      <c r="T1">
        <v>2022</v>
      </c>
      <c r="U1">
        <v>2023</v>
      </c>
      <c r="V1">
        <v>2024</v>
      </c>
      <c r="W1">
        <v>2025</v>
      </c>
      <c r="X1">
        <v>2026</v>
      </c>
      <c r="Y1">
        <v>2027</v>
      </c>
      <c r="Z1">
        <v>2028</v>
      </c>
      <c r="AA1">
        <v>2029</v>
      </c>
      <c r="AB1">
        <v>2030</v>
      </c>
      <c r="AC1">
        <v>2031</v>
      </c>
      <c r="AD1">
        <v>2032</v>
      </c>
      <c r="AE1">
        <v>2033</v>
      </c>
      <c r="AF1">
        <v>2034</v>
      </c>
      <c r="AG1">
        <v>2035</v>
      </c>
      <c r="AH1">
        <v>2036</v>
      </c>
      <c r="AI1">
        <v>2037</v>
      </c>
      <c r="AJ1">
        <v>2038</v>
      </c>
      <c r="AK1">
        <v>2039</v>
      </c>
      <c r="AL1">
        <v>2040</v>
      </c>
      <c r="AM1">
        <v>2041</v>
      </c>
      <c r="AN1">
        <v>2042</v>
      </c>
      <c r="AO1">
        <v>2043</v>
      </c>
      <c r="AP1">
        <v>2044</v>
      </c>
      <c r="AQ1">
        <v>2045</v>
      </c>
      <c r="AR1">
        <v>2046</v>
      </c>
      <c r="AS1">
        <v>2047</v>
      </c>
      <c r="AT1">
        <v>2048</v>
      </c>
      <c r="AU1">
        <v>2049</v>
      </c>
      <c r="AV1">
        <v>2050</v>
      </c>
    </row>
    <row r="2" spans="2:48" ht="14.45" x14ac:dyDescent="0.35">
      <c r="B2" t="s">
        <v>886</v>
      </c>
      <c r="C2">
        <v>38578.743395415098</v>
      </c>
      <c r="D2" s="32">
        <f ca="1">Output("SCEN_ADEMEhaut",$B2,D$1)</f>
        <v>38578.730000000003</v>
      </c>
      <c r="E2" s="32">
        <f t="shared" ref="E2:AV10" ca="1" si="0">Output("SCEN_ADEMEhaut",$B2,E$1)</f>
        <v>38197.68</v>
      </c>
      <c r="F2" s="32">
        <f ca="1">Output("SCEN_ADEMEhaut",$B2,F$1)</f>
        <v>37796.07</v>
      </c>
      <c r="G2" s="32">
        <f t="shared" ca="1" si="0"/>
        <v>37384.14</v>
      </c>
      <c r="H2" s="32">
        <f t="shared" ca="1" si="0"/>
        <v>36974.36</v>
      </c>
      <c r="I2" s="32">
        <f t="shared" ca="1" si="0"/>
        <v>36645.040000000001</v>
      </c>
      <c r="J2" s="32">
        <f t="shared" ca="1" si="0"/>
        <v>36345.629999999997</v>
      </c>
      <c r="K2" s="32">
        <f t="shared" ca="1" si="0"/>
        <v>35950.53</v>
      </c>
      <c r="L2" s="32">
        <f t="shared" ca="1" si="0"/>
        <v>35633.46</v>
      </c>
      <c r="M2" s="32">
        <f t="shared" ca="1" si="0"/>
        <v>35381.550000000003</v>
      </c>
      <c r="N2" s="32">
        <f t="shared" ca="1" si="0"/>
        <v>35161.85</v>
      </c>
      <c r="O2" s="32">
        <f t="shared" ca="1" si="0"/>
        <v>34956.879999999997</v>
      </c>
      <c r="P2" s="32">
        <f t="shared" ca="1" si="0"/>
        <v>34760.629999999997</v>
      </c>
      <c r="Q2" s="32">
        <f t="shared" ca="1" si="0"/>
        <v>34571.14</v>
      </c>
      <c r="R2" s="32">
        <f t="shared" ca="1" si="0"/>
        <v>34414.800000000003</v>
      </c>
      <c r="S2" s="32">
        <f t="shared" ca="1" si="0"/>
        <v>34242.230000000003</v>
      </c>
      <c r="T2" s="32">
        <f t="shared" ca="1" si="0"/>
        <v>34071.43</v>
      </c>
      <c r="U2" s="32">
        <f t="shared" ca="1" si="0"/>
        <v>33903.43</v>
      </c>
      <c r="V2" s="32">
        <f t="shared" ca="1" si="0"/>
        <v>33738.83</v>
      </c>
      <c r="W2" s="32">
        <f t="shared" ca="1" si="0"/>
        <v>33578.080000000002</v>
      </c>
      <c r="X2" s="32">
        <f t="shared" ca="1" si="0"/>
        <v>33421.620000000003</v>
      </c>
      <c r="Y2" s="32">
        <f t="shared" ca="1" si="0"/>
        <v>33251.96</v>
      </c>
      <c r="Z2" s="32">
        <f t="shared" ca="1" si="0"/>
        <v>33072.14</v>
      </c>
      <c r="AA2" s="32">
        <f t="shared" ca="1" si="0"/>
        <v>32884.6</v>
      </c>
      <c r="AB2" s="32">
        <f t="shared" ca="1" si="0"/>
        <v>32691.34</v>
      </c>
      <c r="AC2" s="32">
        <f t="shared" ca="1" si="0"/>
        <v>32495.119999999999</v>
      </c>
      <c r="AD2" s="32">
        <f t="shared" ca="1" si="0"/>
        <v>32305.87</v>
      </c>
      <c r="AE2" s="32">
        <f t="shared" ca="1" si="0"/>
        <v>32124.31</v>
      </c>
      <c r="AF2" s="32">
        <f t="shared" ca="1" si="0"/>
        <v>31949.25</v>
      </c>
      <c r="AG2" s="32">
        <f t="shared" ca="1" si="0"/>
        <v>31779.040000000001</v>
      </c>
      <c r="AH2" s="32">
        <f t="shared" ca="1" si="0"/>
        <v>31612.28</v>
      </c>
      <c r="AI2" s="32">
        <f t="shared" ca="1" si="0"/>
        <v>31447.96</v>
      </c>
      <c r="AJ2" s="32">
        <f t="shared" ca="1" si="0"/>
        <v>31285.49</v>
      </c>
      <c r="AK2" s="32">
        <f t="shared" ca="1" si="0"/>
        <v>31124.65</v>
      </c>
      <c r="AL2" s="32">
        <f t="shared" ca="1" si="0"/>
        <v>30965.42</v>
      </c>
      <c r="AM2" s="32">
        <f t="shared" ca="1" si="0"/>
        <v>30807.9</v>
      </c>
      <c r="AN2" s="32">
        <f t="shared" ca="1" si="0"/>
        <v>30652.28</v>
      </c>
      <c r="AO2" s="32">
        <f t="shared" ca="1" si="0"/>
        <v>30498.7</v>
      </c>
      <c r="AP2" s="32">
        <f t="shared" ca="1" si="0"/>
        <v>30347.279999999999</v>
      </c>
      <c r="AQ2" s="32">
        <f t="shared" ca="1" si="0"/>
        <v>30198.06</v>
      </c>
      <c r="AR2" s="32">
        <f t="shared" ca="1" si="0"/>
        <v>30051.02</v>
      </c>
      <c r="AS2" s="32">
        <f t="shared" ca="1" si="0"/>
        <v>29906.21</v>
      </c>
      <c r="AT2" s="32">
        <f t="shared" ca="1" si="0"/>
        <v>29763.360000000001</v>
      </c>
      <c r="AU2" s="32">
        <f t="shared" ca="1" si="0"/>
        <v>29622.23</v>
      </c>
      <c r="AV2" s="32">
        <f t="shared" ca="1" si="0"/>
        <v>29482.560000000001</v>
      </c>
    </row>
    <row r="3" spans="2:48" ht="14.45" x14ac:dyDescent="0.35">
      <c r="B3" t="s">
        <v>887</v>
      </c>
      <c r="C3">
        <v>65</v>
      </c>
      <c r="D3" s="32">
        <f t="shared" ref="D3:S13" ca="1" si="1">Output("SCEN_ADEMEhaut",$B3,D$1)</f>
        <v>64.999979999999994</v>
      </c>
      <c r="E3" s="32">
        <f t="shared" ca="1" si="1"/>
        <v>63.47851</v>
      </c>
      <c r="F3" s="32">
        <f t="shared" ca="1" si="1"/>
        <v>62.000529999999998</v>
      </c>
      <c r="G3" s="32">
        <f t="shared" ca="1" si="1"/>
        <v>60.577730000000003</v>
      </c>
      <c r="H3" s="32">
        <f t="shared" ca="1" si="1"/>
        <v>59.219810000000003</v>
      </c>
      <c r="I3" s="32">
        <f t="shared" ca="1" si="1"/>
        <v>57.929279999999999</v>
      </c>
      <c r="J3" s="32">
        <f t="shared" ca="1" si="1"/>
        <v>56.75273</v>
      </c>
      <c r="K3" s="32">
        <f t="shared" ca="1" si="1"/>
        <v>55.71396</v>
      </c>
      <c r="L3" s="32">
        <f t="shared" ca="1" si="1"/>
        <v>54.675310000000003</v>
      </c>
      <c r="M3" s="32">
        <f t="shared" ca="1" si="1"/>
        <v>53.77176</v>
      </c>
      <c r="N3" s="32">
        <f t="shared" ca="1" si="1"/>
        <v>52.99785</v>
      </c>
      <c r="O3" s="32">
        <f t="shared" ca="1" si="1"/>
        <v>52.3095</v>
      </c>
      <c r="P3" s="32">
        <f t="shared" ca="1" si="1"/>
        <v>51.681319999999999</v>
      </c>
      <c r="Q3" s="32">
        <f t="shared" ca="1" si="1"/>
        <v>51.094839999999998</v>
      </c>
      <c r="R3" s="32">
        <f t="shared" ca="1" si="1"/>
        <v>50.534039999999997</v>
      </c>
      <c r="S3" s="32">
        <f t="shared" ca="1" si="1"/>
        <v>50.138260000000002</v>
      </c>
      <c r="T3" s="32">
        <f t="shared" ca="1" si="0"/>
        <v>49.760829999999999</v>
      </c>
      <c r="U3" s="32">
        <f t="shared" ca="1" si="0"/>
        <v>49.395000000000003</v>
      </c>
      <c r="V3" s="32">
        <f t="shared" ca="1" si="0"/>
        <v>49.030650000000001</v>
      </c>
      <c r="W3" s="32">
        <f t="shared" ca="1" si="0"/>
        <v>48.66263</v>
      </c>
      <c r="X3" s="32">
        <f t="shared" ca="1" si="0"/>
        <v>48.289670000000001</v>
      </c>
      <c r="Y3" s="32">
        <f t="shared" ca="1" si="0"/>
        <v>47.837350000000001</v>
      </c>
      <c r="Z3" s="32">
        <f t="shared" ca="1" si="0"/>
        <v>47.322470000000003</v>
      </c>
      <c r="AA3" s="32">
        <f t="shared" ca="1" si="0"/>
        <v>46.758499999999998</v>
      </c>
      <c r="AB3" s="32">
        <f t="shared" ca="1" si="0"/>
        <v>46.156289999999998</v>
      </c>
      <c r="AC3" s="32">
        <f t="shared" ca="1" si="0"/>
        <v>45.526910000000001</v>
      </c>
      <c r="AD3" s="32">
        <f t="shared" ca="1" si="0"/>
        <v>44.885809999999999</v>
      </c>
      <c r="AE3" s="32">
        <f t="shared" ca="1" si="0"/>
        <v>44.240090000000002</v>
      </c>
      <c r="AF3" s="32">
        <f t="shared" ca="1" si="0"/>
        <v>43.592480000000002</v>
      </c>
      <c r="AG3" s="32">
        <f t="shared" ca="1" si="0"/>
        <v>42.935079999999999</v>
      </c>
      <c r="AH3" s="32">
        <f t="shared" ca="1" si="0"/>
        <v>42.26887</v>
      </c>
      <c r="AI3" s="32">
        <f t="shared" ca="1" si="0"/>
        <v>41.594999999999999</v>
      </c>
      <c r="AJ3" s="32">
        <f t="shared" ca="1" si="0"/>
        <v>40.914850000000001</v>
      </c>
      <c r="AK3" s="32">
        <f t="shared" ca="1" si="0"/>
        <v>40.229959999999998</v>
      </c>
      <c r="AL3" s="32">
        <f t="shared" ca="1" si="0"/>
        <v>39.541899999999998</v>
      </c>
      <c r="AM3" s="32">
        <f t="shared" ca="1" si="0"/>
        <v>38.852209999999999</v>
      </c>
      <c r="AN3" s="32">
        <f t="shared" ca="1" si="0"/>
        <v>38.162309999999998</v>
      </c>
      <c r="AO3" s="32">
        <f t="shared" ca="1" si="0"/>
        <v>37.47343</v>
      </c>
      <c r="AP3" s="32">
        <f t="shared" ca="1" si="0"/>
        <v>36.786630000000002</v>
      </c>
      <c r="AQ3" s="32">
        <f t="shared" ca="1" si="0"/>
        <v>36.102789999999999</v>
      </c>
      <c r="AR3" s="32">
        <f t="shared" ca="1" si="0"/>
        <v>35.422640000000001</v>
      </c>
      <c r="AS3" s="32">
        <f t="shared" ca="1" si="0"/>
        <v>34.747120000000002</v>
      </c>
      <c r="AT3" s="32">
        <f t="shared" ca="1" si="0"/>
        <v>34.076250000000002</v>
      </c>
      <c r="AU3" s="32">
        <f t="shared" ca="1" si="0"/>
        <v>33.410350000000001</v>
      </c>
      <c r="AV3" s="32">
        <f t="shared" ca="1" si="0"/>
        <v>32.749670000000002</v>
      </c>
    </row>
    <row r="4" spans="2:48" ht="14.45" x14ac:dyDescent="0.35">
      <c r="B4" t="s">
        <v>888</v>
      </c>
      <c r="C4">
        <v>10202.774712957</v>
      </c>
      <c r="D4" s="32">
        <f t="shared" ca="1" si="1"/>
        <v>10202.77</v>
      </c>
      <c r="E4" s="32">
        <f t="shared" ca="1" si="0"/>
        <v>10012.16</v>
      </c>
      <c r="F4" s="32">
        <f t="shared" ca="1" si="0"/>
        <v>9810.3989999999994</v>
      </c>
      <c r="G4" s="32">
        <f t="shared" ca="1" si="0"/>
        <v>9603.2819999999992</v>
      </c>
      <c r="H4" s="32">
        <f t="shared" ca="1" si="0"/>
        <v>9395.07</v>
      </c>
      <c r="I4" s="32">
        <f t="shared" ca="1" si="0"/>
        <v>9265.73</v>
      </c>
      <c r="J4" s="32">
        <f t="shared" ca="1" si="0"/>
        <v>9146.24</v>
      </c>
      <c r="K4" s="32">
        <f t="shared" ca="1" si="0"/>
        <v>9051.3809999999994</v>
      </c>
      <c r="L4" s="32">
        <f t="shared" ca="1" si="0"/>
        <v>8963.1239999999998</v>
      </c>
      <c r="M4" s="32">
        <f t="shared" ca="1" si="0"/>
        <v>8883.1769999999997</v>
      </c>
      <c r="N4" s="32">
        <f t="shared" ca="1" si="0"/>
        <v>8769.4240000000009</v>
      </c>
      <c r="O4" s="32">
        <f t="shared" ca="1" si="0"/>
        <v>8648.7790000000005</v>
      </c>
      <c r="P4" s="32">
        <f t="shared" ca="1" si="0"/>
        <v>8525.3770000000004</v>
      </c>
      <c r="Q4" s="32">
        <f t="shared" ca="1" si="0"/>
        <v>8400.7890000000007</v>
      </c>
      <c r="R4" s="32">
        <f t="shared" ca="1" si="0"/>
        <v>8306.1450000000004</v>
      </c>
      <c r="S4" s="32">
        <f t="shared" ca="1" si="0"/>
        <v>8185.558</v>
      </c>
      <c r="T4" s="32">
        <f t="shared" ca="1" si="0"/>
        <v>8063.7910000000002</v>
      </c>
      <c r="U4" s="32">
        <f t="shared" ca="1" si="0"/>
        <v>7941.7340000000004</v>
      </c>
      <c r="V4" s="32">
        <f t="shared" ca="1" si="0"/>
        <v>7819.8720000000003</v>
      </c>
      <c r="W4" s="32">
        <f t="shared" ca="1" si="0"/>
        <v>7698.51</v>
      </c>
      <c r="X4" s="32">
        <f t="shared" ca="1" si="0"/>
        <v>7577.8860000000004</v>
      </c>
      <c r="Y4" s="32">
        <f t="shared" ca="1" si="0"/>
        <v>7452.1049999999996</v>
      </c>
      <c r="Z4" s="32">
        <f t="shared" ca="1" si="0"/>
        <v>7322.509</v>
      </c>
      <c r="AA4" s="32">
        <f t="shared" ca="1" si="0"/>
        <v>7190.1409999999996</v>
      </c>
      <c r="AB4" s="32">
        <f t="shared" ca="1" si="0"/>
        <v>7055.8339999999998</v>
      </c>
      <c r="AC4" s="32">
        <f t="shared" ca="1" si="0"/>
        <v>6908.0510000000004</v>
      </c>
      <c r="AD4" s="32">
        <f t="shared" ca="1" si="0"/>
        <v>6765.4769999999999</v>
      </c>
      <c r="AE4" s="32">
        <f t="shared" ca="1" si="0"/>
        <v>6626.4709999999995</v>
      </c>
      <c r="AF4" s="32">
        <f t="shared" ca="1" si="0"/>
        <v>6489.7780000000002</v>
      </c>
      <c r="AG4" s="32">
        <f t="shared" ca="1" si="0"/>
        <v>6354.5349999999999</v>
      </c>
      <c r="AH4" s="32">
        <f t="shared" ca="1" si="0"/>
        <v>6220.2179999999998</v>
      </c>
      <c r="AI4" s="32">
        <f t="shared" ca="1" si="0"/>
        <v>6086.567</v>
      </c>
      <c r="AJ4" s="32">
        <f t="shared" ca="1" si="0"/>
        <v>5953.5119999999997</v>
      </c>
      <c r="AK4" s="32">
        <f t="shared" ca="1" si="0"/>
        <v>5821.1080000000002</v>
      </c>
      <c r="AL4" s="32">
        <f t="shared" ca="1" si="0"/>
        <v>5689.4889999999996</v>
      </c>
      <c r="AM4" s="32">
        <f t="shared" ca="1" si="0"/>
        <v>5558.8289999999997</v>
      </c>
      <c r="AN4" s="32">
        <f t="shared" ca="1" si="0"/>
        <v>5429.3119999999999</v>
      </c>
      <c r="AO4" s="32">
        <f t="shared" ca="1" si="0"/>
        <v>5301.1189999999997</v>
      </c>
      <c r="AP4" s="32">
        <f t="shared" ca="1" si="0"/>
        <v>5174.4139999999998</v>
      </c>
      <c r="AQ4" s="32">
        <f t="shared" ca="1" si="0"/>
        <v>5049.335</v>
      </c>
      <c r="AR4" s="32">
        <f t="shared" ca="1" si="0"/>
        <v>4926.0060000000003</v>
      </c>
      <c r="AS4" s="32">
        <f t="shared" ca="1" si="0"/>
        <v>4804.5249999999996</v>
      </c>
      <c r="AT4" s="32">
        <f t="shared" ca="1" si="0"/>
        <v>4684.9620000000004</v>
      </c>
      <c r="AU4" s="32">
        <f t="shared" ca="1" si="0"/>
        <v>4567.3850000000002</v>
      </c>
      <c r="AV4" s="32">
        <f t="shared" ca="1" si="0"/>
        <v>4451.835</v>
      </c>
    </row>
    <row r="5" spans="2:48" ht="14.45" x14ac:dyDescent="0.35">
      <c r="B5" t="s">
        <v>889</v>
      </c>
      <c r="C5">
        <v>17843.968682457999</v>
      </c>
      <c r="D5" s="32">
        <f t="shared" ca="1" si="1"/>
        <v>17843.97</v>
      </c>
      <c r="E5" s="32">
        <f t="shared" ca="1" si="0"/>
        <v>17823.03</v>
      </c>
      <c r="F5" s="32">
        <f t="shared" ca="1" si="0"/>
        <v>17803.41</v>
      </c>
      <c r="G5" s="32">
        <f t="shared" ca="1" si="0"/>
        <v>17783.23</v>
      </c>
      <c r="H5" s="32">
        <f t="shared" ca="1" si="0"/>
        <v>17764.52</v>
      </c>
      <c r="I5" s="32">
        <f t="shared" ca="1" si="0"/>
        <v>17724.48</v>
      </c>
      <c r="J5" s="32">
        <f t="shared" ca="1" si="0"/>
        <v>17685.52</v>
      </c>
      <c r="K5" s="32">
        <f t="shared" ca="1" si="0"/>
        <v>17497.38</v>
      </c>
      <c r="L5" s="32">
        <f t="shared" ca="1" si="0"/>
        <v>17370.61</v>
      </c>
      <c r="M5" s="32">
        <f t="shared" ca="1" si="0"/>
        <v>17289.330000000002</v>
      </c>
      <c r="N5" s="32">
        <f t="shared" ca="1" si="0"/>
        <v>17258.79</v>
      </c>
      <c r="O5" s="32">
        <f t="shared" ca="1" si="0"/>
        <v>17250.32</v>
      </c>
      <c r="P5" s="32">
        <f t="shared" ca="1" si="0"/>
        <v>17255.87</v>
      </c>
      <c r="Q5" s="32">
        <f t="shared" ca="1" si="0"/>
        <v>17270.72</v>
      </c>
      <c r="R5" s="32">
        <f t="shared" ca="1" si="0"/>
        <v>17285</v>
      </c>
      <c r="S5" s="32">
        <f t="shared" ca="1" si="0"/>
        <v>17308.72</v>
      </c>
      <c r="T5" s="32">
        <f t="shared" ca="1" si="0"/>
        <v>17336.900000000001</v>
      </c>
      <c r="U5" s="32">
        <f t="shared" ca="1" si="0"/>
        <v>17369.080000000002</v>
      </c>
      <c r="V5" s="32">
        <f t="shared" ca="1" si="0"/>
        <v>17405.05</v>
      </c>
      <c r="W5" s="32">
        <f t="shared" ca="1" si="0"/>
        <v>17444.75</v>
      </c>
      <c r="X5" s="32">
        <f t="shared" ca="1" si="0"/>
        <v>17488.259999999998</v>
      </c>
      <c r="Y5" s="32">
        <f t="shared" ca="1" si="0"/>
        <v>17531.939999999999</v>
      </c>
      <c r="Z5" s="32">
        <f t="shared" ca="1" si="0"/>
        <v>17575.73</v>
      </c>
      <c r="AA5" s="32">
        <f t="shared" ca="1" si="0"/>
        <v>17619.669999999998</v>
      </c>
      <c r="AB5" s="32">
        <f t="shared" ca="1" si="0"/>
        <v>17663.830000000002</v>
      </c>
      <c r="AC5" s="32">
        <f t="shared" ca="1" si="0"/>
        <v>17735.080000000002</v>
      </c>
      <c r="AD5" s="32">
        <f t="shared" ca="1" si="0"/>
        <v>17802.77</v>
      </c>
      <c r="AE5" s="32">
        <f t="shared" ca="1" si="0"/>
        <v>17871.28</v>
      </c>
      <c r="AF5" s="32">
        <f t="shared" ca="1" si="0"/>
        <v>17942.189999999999</v>
      </c>
      <c r="AG5" s="32">
        <f t="shared" ca="1" si="0"/>
        <v>18015.8</v>
      </c>
      <c r="AH5" s="32">
        <f t="shared" ca="1" si="0"/>
        <v>18091.900000000001</v>
      </c>
      <c r="AI5" s="32">
        <f t="shared" ca="1" si="0"/>
        <v>18170.189999999999</v>
      </c>
      <c r="AJ5" s="32">
        <f t="shared" ca="1" si="0"/>
        <v>18250.349999999999</v>
      </c>
      <c r="AK5" s="32">
        <f t="shared" ca="1" si="0"/>
        <v>18332.169999999998</v>
      </c>
      <c r="AL5" s="32">
        <f t="shared" ca="1" si="0"/>
        <v>18415.5</v>
      </c>
      <c r="AM5" s="32">
        <f t="shared" ca="1" si="0"/>
        <v>18500.22</v>
      </c>
      <c r="AN5" s="32">
        <f t="shared" ca="1" si="0"/>
        <v>18586.23</v>
      </c>
      <c r="AO5" s="32">
        <f t="shared" ca="1" si="0"/>
        <v>18673.400000000001</v>
      </c>
      <c r="AP5" s="32">
        <f t="shared" ca="1" si="0"/>
        <v>18761.599999999999</v>
      </c>
      <c r="AQ5" s="32">
        <f t="shared" ca="1" si="0"/>
        <v>18850.63</v>
      </c>
      <c r="AR5" s="32">
        <f t="shared" ca="1" si="0"/>
        <v>18940.259999999998</v>
      </c>
      <c r="AS5" s="32">
        <f t="shared" ca="1" si="0"/>
        <v>19030.3</v>
      </c>
      <c r="AT5" s="32">
        <f t="shared" ca="1" si="0"/>
        <v>19120.38</v>
      </c>
      <c r="AU5" s="32">
        <f t="shared" ca="1" si="0"/>
        <v>19210.13</v>
      </c>
      <c r="AV5" s="32">
        <f t="shared" ca="1" si="0"/>
        <v>19299.18</v>
      </c>
    </row>
    <row r="6" spans="2:48" ht="14.45" x14ac:dyDescent="0.35">
      <c r="B6" t="s">
        <v>890</v>
      </c>
      <c r="C6">
        <v>10467</v>
      </c>
      <c r="D6" s="32">
        <f t="shared" ca="1" si="1"/>
        <v>10467</v>
      </c>
      <c r="E6" s="32">
        <f t="shared" ca="1" si="0"/>
        <v>10299.02</v>
      </c>
      <c r="F6" s="32">
        <f t="shared" ca="1" si="0"/>
        <v>10120.26</v>
      </c>
      <c r="G6" s="32">
        <f t="shared" ca="1" si="0"/>
        <v>9937.0540000000001</v>
      </c>
      <c r="H6" s="32">
        <f t="shared" ca="1" si="0"/>
        <v>9755.5499999999993</v>
      </c>
      <c r="I6" s="32">
        <f t="shared" ca="1" si="0"/>
        <v>9596.902</v>
      </c>
      <c r="J6" s="32">
        <f t="shared" ca="1" si="0"/>
        <v>9457.1139999999996</v>
      </c>
      <c r="K6" s="32">
        <f t="shared" ca="1" si="0"/>
        <v>9346.0650000000005</v>
      </c>
      <c r="L6" s="32">
        <f t="shared" ca="1" si="0"/>
        <v>9245.0509999999995</v>
      </c>
      <c r="M6" s="32">
        <f t="shared" ca="1" si="0"/>
        <v>9155.2749999999996</v>
      </c>
      <c r="N6" s="32">
        <f t="shared" ca="1" si="0"/>
        <v>9080.634</v>
      </c>
      <c r="O6" s="32">
        <f t="shared" ca="1" si="0"/>
        <v>9005.4740000000002</v>
      </c>
      <c r="P6" s="32">
        <f t="shared" ca="1" si="0"/>
        <v>8927.6970000000001</v>
      </c>
      <c r="Q6" s="32">
        <f t="shared" ca="1" si="0"/>
        <v>8848.5339999999997</v>
      </c>
      <c r="R6" s="32">
        <f t="shared" ca="1" si="0"/>
        <v>8773.1149999999998</v>
      </c>
      <c r="S6" s="32">
        <f t="shared" ca="1" si="0"/>
        <v>8697.8140000000003</v>
      </c>
      <c r="T6" s="32">
        <f t="shared" ca="1" si="0"/>
        <v>8620.9719999999998</v>
      </c>
      <c r="U6" s="32">
        <f t="shared" ca="1" si="0"/>
        <v>8543.2180000000008</v>
      </c>
      <c r="V6" s="32">
        <f t="shared" ca="1" si="0"/>
        <v>8464.8790000000008</v>
      </c>
      <c r="W6" s="32">
        <f t="shared" ca="1" si="0"/>
        <v>8386.1509999999998</v>
      </c>
      <c r="X6" s="32">
        <f t="shared" ca="1" si="0"/>
        <v>8307.1849999999995</v>
      </c>
      <c r="Y6" s="32">
        <f t="shared" ca="1" si="0"/>
        <v>8220.0759999999991</v>
      </c>
      <c r="Z6" s="32">
        <f t="shared" ca="1" si="0"/>
        <v>8126.5770000000002</v>
      </c>
      <c r="AA6" s="32">
        <f t="shared" ca="1" si="0"/>
        <v>8028.0339999999997</v>
      </c>
      <c r="AB6" s="32">
        <f t="shared" ca="1" si="0"/>
        <v>7925.5129999999999</v>
      </c>
      <c r="AC6" s="32">
        <f t="shared" ca="1" si="0"/>
        <v>7806.4650000000001</v>
      </c>
      <c r="AD6" s="32">
        <f t="shared" ca="1" si="0"/>
        <v>7692.741</v>
      </c>
      <c r="AE6" s="32">
        <f t="shared" ca="1" si="0"/>
        <v>7582.3220000000001</v>
      </c>
      <c r="AF6" s="32">
        <f t="shared" ca="1" si="0"/>
        <v>7473.6890000000003</v>
      </c>
      <c r="AG6" s="32">
        <f t="shared" ca="1" si="0"/>
        <v>7365.777</v>
      </c>
      <c r="AH6" s="32">
        <f t="shared" ca="1" si="0"/>
        <v>7257.8879999999999</v>
      </c>
      <c r="AI6" s="32">
        <f t="shared" ca="1" si="0"/>
        <v>7149.607</v>
      </c>
      <c r="AJ6" s="32">
        <f t="shared" ca="1" si="0"/>
        <v>7040.7179999999998</v>
      </c>
      <c r="AK6" s="32">
        <f t="shared" ca="1" si="0"/>
        <v>6931.1419999999998</v>
      </c>
      <c r="AL6" s="32">
        <f t="shared" ca="1" si="0"/>
        <v>6820.8850000000002</v>
      </c>
      <c r="AM6" s="32">
        <f t="shared" ca="1" si="0"/>
        <v>6710.0029999999997</v>
      </c>
      <c r="AN6" s="32">
        <f t="shared" ca="1" si="0"/>
        <v>6598.58</v>
      </c>
      <c r="AO6" s="32">
        <f t="shared" ca="1" si="0"/>
        <v>6486.7089999999998</v>
      </c>
      <c r="AP6" s="32">
        <f t="shared" ca="1" si="0"/>
        <v>6374.482</v>
      </c>
      <c r="AQ6" s="32">
        <f t="shared" ca="1" si="0"/>
        <v>6261.9920000000002</v>
      </c>
      <c r="AR6" s="32">
        <f t="shared" ca="1" si="0"/>
        <v>6149.3289999999997</v>
      </c>
      <c r="AS6" s="32">
        <f t="shared" ca="1" si="0"/>
        <v>6036.6390000000001</v>
      </c>
      <c r="AT6" s="32">
        <f t="shared" ca="1" si="0"/>
        <v>5923.9359999999997</v>
      </c>
      <c r="AU6" s="32">
        <f t="shared" ca="1" si="0"/>
        <v>5811.299</v>
      </c>
      <c r="AV6" s="32">
        <f t="shared" ca="1" si="0"/>
        <v>5698.8</v>
      </c>
    </row>
    <row r="7" spans="2:48" ht="14.45" x14ac:dyDescent="0.35">
      <c r="B7" t="s">
        <v>768</v>
      </c>
      <c r="D7" s="32">
        <f ca="1">SUM(D3:D6)</f>
        <v>38578.739979999998</v>
      </c>
      <c r="E7" s="32">
        <f t="shared" ref="E7:AV7" ca="1" si="2">SUM(E3:E6)</f>
        <v>38197.68851</v>
      </c>
      <c r="F7" s="32">
        <f t="shared" ca="1" si="2"/>
        <v>37796.069530000001</v>
      </c>
      <c r="G7" s="32">
        <f t="shared" ca="1" si="2"/>
        <v>37384.143729999996</v>
      </c>
      <c r="H7" s="32">
        <f t="shared" ca="1" si="2"/>
        <v>36974.359809999994</v>
      </c>
      <c r="I7" s="32">
        <f t="shared" ca="1" si="2"/>
        <v>36645.041279999998</v>
      </c>
      <c r="J7" s="32">
        <f t="shared" ca="1" si="2"/>
        <v>36345.626730000004</v>
      </c>
      <c r="K7" s="32">
        <f t="shared" ca="1" si="2"/>
        <v>35950.539960000002</v>
      </c>
      <c r="L7" s="32">
        <f t="shared" ca="1" si="2"/>
        <v>35633.460310000002</v>
      </c>
      <c r="M7" s="32">
        <f t="shared" ca="1" si="2"/>
        <v>35381.553760000003</v>
      </c>
      <c r="N7" s="32">
        <f t="shared" ca="1" si="2"/>
        <v>35161.845849999998</v>
      </c>
      <c r="O7" s="32">
        <f t="shared" ca="1" si="2"/>
        <v>34956.8825</v>
      </c>
      <c r="P7" s="32">
        <f t="shared" ca="1" si="2"/>
        <v>34760.625319999999</v>
      </c>
      <c r="Q7" s="32">
        <f t="shared" ca="1" si="2"/>
        <v>34571.137840000003</v>
      </c>
      <c r="R7" s="32">
        <f t="shared" ca="1" si="2"/>
        <v>34414.794040000001</v>
      </c>
      <c r="S7" s="32">
        <f t="shared" ca="1" si="2"/>
        <v>34242.230260000004</v>
      </c>
      <c r="T7" s="32">
        <f t="shared" ca="1" si="2"/>
        <v>34071.42383</v>
      </c>
      <c r="U7" s="32">
        <f t="shared" ca="1" si="2"/>
        <v>33903.427000000003</v>
      </c>
      <c r="V7" s="32">
        <f t="shared" ca="1" si="2"/>
        <v>33738.83165</v>
      </c>
      <c r="W7" s="32">
        <f t="shared" ca="1" si="2"/>
        <v>33578.073629999999</v>
      </c>
      <c r="X7" s="32">
        <f t="shared" ca="1" si="2"/>
        <v>33421.620669999997</v>
      </c>
      <c r="Y7" s="32">
        <f t="shared" ca="1" si="2"/>
        <v>33251.958350000001</v>
      </c>
      <c r="Z7" s="32">
        <f t="shared" ca="1" si="2"/>
        <v>33072.138469999998</v>
      </c>
      <c r="AA7" s="32">
        <f t="shared" ca="1" si="2"/>
        <v>32884.603499999997</v>
      </c>
      <c r="AB7" s="32">
        <f t="shared" ca="1" si="2"/>
        <v>32691.333290000002</v>
      </c>
      <c r="AC7" s="32">
        <f t="shared" ca="1" si="2"/>
        <v>32495.122910000002</v>
      </c>
      <c r="AD7" s="32">
        <f t="shared" ca="1" si="2"/>
        <v>32305.873809999997</v>
      </c>
      <c r="AE7" s="32">
        <f t="shared" ca="1" si="2"/>
        <v>32124.31309</v>
      </c>
      <c r="AF7" s="32">
        <f t="shared" ca="1" si="2"/>
        <v>31949.249479999999</v>
      </c>
      <c r="AG7" s="32">
        <f t="shared" ca="1" si="2"/>
        <v>31779.047079999997</v>
      </c>
      <c r="AH7" s="32">
        <f t="shared" ca="1" si="2"/>
        <v>31612.274870000001</v>
      </c>
      <c r="AI7" s="32">
        <f t="shared" ca="1" si="2"/>
        <v>31447.958999999999</v>
      </c>
      <c r="AJ7" s="32">
        <f t="shared" ca="1" si="2"/>
        <v>31285.494849999999</v>
      </c>
      <c r="AK7" s="32">
        <f t="shared" ca="1" si="2"/>
        <v>31124.649959999999</v>
      </c>
      <c r="AL7" s="32">
        <f t="shared" ca="1" si="2"/>
        <v>30965.4159</v>
      </c>
      <c r="AM7" s="32">
        <f t="shared" ca="1" si="2"/>
        <v>30807.904210000001</v>
      </c>
      <c r="AN7" s="32">
        <f t="shared" ca="1" si="2"/>
        <v>30652.284310000003</v>
      </c>
      <c r="AO7" s="32">
        <f t="shared" ca="1" si="2"/>
        <v>30498.701430000001</v>
      </c>
      <c r="AP7" s="32">
        <f t="shared" ca="1" si="2"/>
        <v>30347.282629999998</v>
      </c>
      <c r="AQ7" s="32">
        <f t="shared" ca="1" si="2"/>
        <v>30198.059789999999</v>
      </c>
      <c r="AR7" s="32">
        <f t="shared" ca="1" si="2"/>
        <v>30051.017639999998</v>
      </c>
      <c r="AS7" s="32">
        <f t="shared" ca="1" si="2"/>
        <v>29906.211119999996</v>
      </c>
      <c r="AT7" s="32">
        <f t="shared" ca="1" si="2"/>
        <v>29763.354250000004</v>
      </c>
      <c r="AU7" s="32">
        <f t="shared" ca="1" si="2"/>
        <v>29622.22435</v>
      </c>
      <c r="AV7" s="32">
        <f t="shared" ca="1" si="2"/>
        <v>29482.56467</v>
      </c>
    </row>
    <row r="8" spans="2:48" ht="14.45" x14ac:dyDescent="0.35"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</row>
    <row r="9" spans="2:48" ht="14.45" x14ac:dyDescent="0.35">
      <c r="B9" t="s">
        <v>891</v>
      </c>
      <c r="D9" s="32">
        <f t="shared" ca="1" si="1"/>
        <v>38578.730000000003</v>
      </c>
      <c r="E9" s="32">
        <f t="shared" ca="1" si="0"/>
        <v>38197.69</v>
      </c>
      <c r="F9" s="32">
        <f t="shared" ca="1" si="0"/>
        <v>37796.080000000002</v>
      </c>
      <c r="G9" s="32">
        <f t="shared" ca="1" si="0"/>
        <v>37384.17</v>
      </c>
      <c r="H9" s="32">
        <f t="shared" ca="1" si="0"/>
        <v>36974.379999999997</v>
      </c>
      <c r="I9" s="32">
        <f t="shared" ca="1" si="0"/>
        <v>36640.85</v>
      </c>
      <c r="J9" s="32">
        <f t="shared" ca="1" si="0"/>
        <v>36338.32</v>
      </c>
      <c r="K9" s="32">
        <f t="shared" ca="1" si="0"/>
        <v>35946.51</v>
      </c>
      <c r="L9" s="32">
        <f t="shared" ca="1" si="0"/>
        <v>35632.839999999997</v>
      </c>
      <c r="M9" s="32">
        <f t="shared" ca="1" si="0"/>
        <v>35206.300000000003</v>
      </c>
      <c r="N9" s="32">
        <f t="shared" ca="1" si="0"/>
        <v>34789.800000000003</v>
      </c>
      <c r="O9" s="32">
        <f t="shared" ca="1" si="0"/>
        <v>34465.379999999997</v>
      </c>
      <c r="P9" s="32">
        <f t="shared" ca="1" si="0"/>
        <v>34133.31</v>
      </c>
      <c r="Q9" s="32">
        <f t="shared" ca="1" si="0"/>
        <v>33792.629999999997</v>
      </c>
      <c r="R9" s="32">
        <f t="shared" ca="1" si="0"/>
        <v>33464.879999999997</v>
      </c>
      <c r="S9" s="32">
        <f t="shared" ca="1" si="0"/>
        <v>33110.019999999997</v>
      </c>
      <c r="T9" s="32">
        <f t="shared" ca="1" si="0"/>
        <v>32742.57</v>
      </c>
      <c r="U9" s="32">
        <f t="shared" ca="1" si="0"/>
        <v>32360.29</v>
      </c>
      <c r="V9" s="32">
        <f t="shared" ca="1" si="0"/>
        <v>31960.6</v>
      </c>
      <c r="W9" s="32">
        <f t="shared" ca="1" si="0"/>
        <v>31540.86</v>
      </c>
      <c r="X9" s="32">
        <f t="shared" ca="1" si="0"/>
        <v>31098.22</v>
      </c>
      <c r="Y9" s="32">
        <f t="shared" ca="1" si="0"/>
        <v>30612</v>
      </c>
      <c r="Z9" s="32">
        <f t="shared" ca="1" si="0"/>
        <v>30081.84</v>
      </c>
      <c r="AA9" s="32">
        <f t="shared" ca="1" si="0"/>
        <v>29507.21</v>
      </c>
      <c r="AB9" s="32">
        <f t="shared" ca="1" si="0"/>
        <v>28887.45</v>
      </c>
      <c r="AC9" s="32">
        <f t="shared" ca="1" si="0"/>
        <v>28468.16</v>
      </c>
      <c r="AD9" s="32">
        <f t="shared" ca="1" si="0"/>
        <v>28031.68</v>
      </c>
      <c r="AE9" s="32">
        <f t="shared" ca="1" si="0"/>
        <v>27594.77</v>
      </c>
      <c r="AF9" s="32">
        <f t="shared" ca="1" si="0"/>
        <v>27167.15</v>
      </c>
      <c r="AG9" s="32">
        <f t="shared" ca="1" si="0"/>
        <v>26753.11</v>
      </c>
      <c r="AH9" s="32">
        <f t="shared" ca="1" si="0"/>
        <v>26353.98</v>
      </c>
      <c r="AI9" s="32">
        <f t="shared" ca="1" si="0"/>
        <v>25969.56</v>
      </c>
      <c r="AJ9" s="32">
        <f t="shared" ca="1" si="0"/>
        <v>25598.84</v>
      </c>
      <c r="AK9" s="32">
        <f t="shared" ca="1" si="0"/>
        <v>25240.43</v>
      </c>
      <c r="AL9" s="32">
        <f t="shared" ca="1" si="0"/>
        <v>24892.66</v>
      </c>
      <c r="AM9" s="32">
        <f t="shared" ca="1" si="0"/>
        <v>24553.78</v>
      </c>
      <c r="AN9" s="32">
        <f t="shared" ca="1" si="0"/>
        <v>24221.94</v>
      </c>
      <c r="AO9" s="32">
        <f t="shared" ca="1" si="0"/>
        <v>23895.25</v>
      </c>
      <c r="AP9" s="32">
        <f t="shared" ca="1" si="0"/>
        <v>23571.82</v>
      </c>
      <c r="AQ9" s="32">
        <f t="shared" ca="1" si="0"/>
        <v>23249.759999999998</v>
      </c>
      <c r="AR9" s="32">
        <f t="shared" ca="1" si="0"/>
        <v>22927.360000000001</v>
      </c>
      <c r="AS9" s="32">
        <f t="shared" ca="1" si="0"/>
        <v>22604.03</v>
      </c>
      <c r="AT9" s="32">
        <f t="shared" ca="1" si="0"/>
        <v>22277.48</v>
      </c>
      <c r="AU9" s="32">
        <f t="shared" ca="1" si="0"/>
        <v>21946.45</v>
      </c>
      <c r="AV9" s="32">
        <f t="shared" ca="1" si="0"/>
        <v>21610.01</v>
      </c>
    </row>
    <row r="10" spans="2:48" ht="14.45" x14ac:dyDescent="0.35">
      <c r="B10" t="s">
        <v>892</v>
      </c>
      <c r="D10" s="32">
        <f t="shared" ca="1" si="1"/>
        <v>64.999979999999994</v>
      </c>
      <c r="E10" s="32">
        <f t="shared" ca="1" si="0"/>
        <v>63.478529999999999</v>
      </c>
      <c r="F10" s="32">
        <f t="shared" ca="1" si="0"/>
        <v>62.000630000000001</v>
      </c>
      <c r="G10" s="32">
        <f t="shared" ca="1" si="0"/>
        <v>60.577970000000001</v>
      </c>
      <c r="H10" s="32">
        <f t="shared" ca="1" si="0"/>
        <v>59.220269999999999</v>
      </c>
      <c r="I10" s="32">
        <f t="shared" ca="1" si="0"/>
        <v>57.930489999999999</v>
      </c>
      <c r="J10" s="32">
        <f t="shared" ca="1" si="0"/>
        <v>56.754770000000001</v>
      </c>
      <c r="K10" s="32">
        <f t="shared" ref="E10:AV13" ca="1" si="3">Output("SCEN_ADEMEhaut",$B10,K$1)</f>
        <v>55.71696</v>
      </c>
      <c r="L10" s="32">
        <f t="shared" ca="1" si="3"/>
        <v>54.679960000000001</v>
      </c>
      <c r="M10" s="32">
        <f t="shared" ca="1" si="3"/>
        <v>48.597949999999997</v>
      </c>
      <c r="N10" s="32">
        <f t="shared" ca="1" si="3"/>
        <v>47.500549999999997</v>
      </c>
      <c r="O10" s="32">
        <f t="shared" ca="1" si="3"/>
        <v>46.430050000000001</v>
      </c>
      <c r="P10" s="32">
        <f t="shared" ca="1" si="3"/>
        <v>45.379809999999999</v>
      </c>
      <c r="Q10" s="32">
        <f t="shared" ca="1" si="3"/>
        <v>44.341180000000001</v>
      </c>
      <c r="R10" s="32">
        <f t="shared" ca="1" si="3"/>
        <v>43.30688</v>
      </c>
      <c r="S10" s="32">
        <f t="shared" ca="1" si="3"/>
        <v>42.479149999999997</v>
      </c>
      <c r="T10" s="32">
        <f t="shared" ca="1" si="3"/>
        <v>41.646839999999997</v>
      </c>
      <c r="U10" s="32">
        <f t="shared" ca="1" si="3"/>
        <v>40.803420000000003</v>
      </c>
      <c r="V10" s="32">
        <f t="shared" ca="1" si="3"/>
        <v>39.943779999999997</v>
      </c>
      <c r="W10" s="32">
        <f t="shared" ca="1" si="3"/>
        <v>39.063989999999997</v>
      </c>
      <c r="X10" s="32">
        <f t="shared" ca="1" si="3"/>
        <v>38.161029999999997</v>
      </c>
      <c r="Y10" s="32">
        <f t="shared" ca="1" si="3"/>
        <v>37.173139999999997</v>
      </c>
      <c r="Z10" s="32">
        <f t="shared" ca="1" si="3"/>
        <v>36.113689999999998</v>
      </c>
      <c r="AA10" s="32">
        <f t="shared" ca="1" si="3"/>
        <v>34.992829999999998</v>
      </c>
      <c r="AB10" s="32">
        <f t="shared" ca="1" si="3"/>
        <v>33.818339999999999</v>
      </c>
      <c r="AC10" s="32">
        <f t="shared" ca="1" si="3"/>
        <v>32.897640000000003</v>
      </c>
      <c r="AD10" s="32">
        <f t="shared" ca="1" si="3"/>
        <v>31.970089999999999</v>
      </c>
      <c r="AE10" s="32">
        <f t="shared" ca="1" si="3"/>
        <v>31.059249999999999</v>
      </c>
      <c r="AF10" s="32">
        <f t="shared" ca="1" si="3"/>
        <v>30.178180000000001</v>
      </c>
      <c r="AG10" s="32">
        <f t="shared" ca="1" si="3"/>
        <v>29.333639999999999</v>
      </c>
      <c r="AH10" s="32">
        <f t="shared" ca="1" si="3"/>
        <v>28.528670000000002</v>
      </c>
      <c r="AI10" s="32">
        <f t="shared" ca="1" si="3"/>
        <v>27.763960000000001</v>
      </c>
      <c r="AJ10" s="32">
        <f t="shared" ca="1" si="3"/>
        <v>27.03876</v>
      </c>
      <c r="AK10" s="32">
        <f t="shared" ca="1" si="3"/>
        <v>26.351310000000002</v>
      </c>
      <c r="AL10" s="32">
        <f t="shared" ca="1" si="3"/>
        <v>25.69913</v>
      </c>
      <c r="AM10" s="32">
        <f t="shared" ca="1" si="3"/>
        <v>25.079160000000002</v>
      </c>
      <c r="AN10" s="32">
        <f t="shared" ca="1" si="3"/>
        <v>24.487839999999998</v>
      </c>
      <c r="AO10" s="32">
        <f t="shared" ca="1" si="3"/>
        <v>23.921220000000002</v>
      </c>
      <c r="AP10" s="32">
        <f t="shared" ca="1" si="3"/>
        <v>23.374929999999999</v>
      </c>
      <c r="AQ10" s="32">
        <f t="shared" ca="1" si="3"/>
        <v>22.8443</v>
      </c>
      <c r="AR10" s="32">
        <f t="shared" ca="1" si="3"/>
        <v>22.324359999999999</v>
      </c>
      <c r="AS10" s="32">
        <f t="shared" ca="1" si="3"/>
        <v>21.809899999999999</v>
      </c>
      <c r="AT10" s="32">
        <f t="shared" ca="1" si="3"/>
        <v>21.295500000000001</v>
      </c>
      <c r="AU10" s="32">
        <f t="shared" ca="1" si="3"/>
        <v>20.77562</v>
      </c>
      <c r="AV10" s="32">
        <f t="shared" ca="1" si="3"/>
        <v>20.244540000000001</v>
      </c>
    </row>
    <row r="11" spans="2:48" ht="14.45" x14ac:dyDescent="0.35">
      <c r="B11" t="s">
        <v>893</v>
      </c>
      <c r="D11" s="32">
        <f t="shared" ca="1" si="1"/>
        <v>10202.77</v>
      </c>
      <c r="E11" s="32">
        <f t="shared" ca="1" si="3"/>
        <v>10012.16</v>
      </c>
      <c r="F11" s="32">
        <f t="shared" ca="1" si="3"/>
        <v>9810.4220000000005</v>
      </c>
      <c r="G11" s="32">
        <f t="shared" ca="1" si="3"/>
        <v>9603.3439999999991</v>
      </c>
      <c r="H11" s="32">
        <f t="shared" ca="1" si="3"/>
        <v>9395.1880000000001</v>
      </c>
      <c r="I11" s="32">
        <f t="shared" ca="1" si="3"/>
        <v>9266.2919999999995</v>
      </c>
      <c r="J11" s="32">
        <f t="shared" ca="1" si="3"/>
        <v>9147.0390000000007</v>
      </c>
      <c r="K11" s="32">
        <f t="shared" ca="1" si="3"/>
        <v>9051.7360000000008</v>
      </c>
      <c r="L11" s="32">
        <f t="shared" ca="1" si="3"/>
        <v>8963.0679999999993</v>
      </c>
      <c r="M11" s="32">
        <f t="shared" ca="1" si="3"/>
        <v>8759.7829999999994</v>
      </c>
      <c r="N11" s="32">
        <f t="shared" ca="1" si="3"/>
        <v>8626.9660000000003</v>
      </c>
      <c r="O11" s="32">
        <f t="shared" ca="1" si="3"/>
        <v>8468.3019999999997</v>
      </c>
      <c r="P11" s="32">
        <f t="shared" ca="1" si="3"/>
        <v>8300.9380000000001</v>
      </c>
      <c r="Q11" s="32">
        <f t="shared" ca="1" si="3"/>
        <v>8127.6319999999996</v>
      </c>
      <c r="R11" s="32">
        <f t="shared" ca="1" si="3"/>
        <v>7974.7939999999999</v>
      </c>
      <c r="S11" s="32">
        <f t="shared" ca="1" si="3"/>
        <v>7777.973</v>
      </c>
      <c r="T11" s="32">
        <f t="shared" ca="1" si="3"/>
        <v>7572.451</v>
      </c>
      <c r="U11" s="32">
        <f t="shared" ca="1" si="3"/>
        <v>7359.1639999999998</v>
      </c>
      <c r="V11" s="32">
        <f t="shared" ca="1" si="3"/>
        <v>7138.8469999999998</v>
      </c>
      <c r="W11" s="32">
        <f t="shared" ca="1" si="3"/>
        <v>6912.2929999999997</v>
      </c>
      <c r="X11" s="32">
        <f t="shared" ca="1" si="3"/>
        <v>6680.46</v>
      </c>
      <c r="Y11" s="32">
        <f t="shared" ca="1" si="3"/>
        <v>6438.9489999999996</v>
      </c>
      <c r="Z11" s="32">
        <f t="shared" ca="1" si="3"/>
        <v>6190.3249999999998</v>
      </c>
      <c r="AA11" s="32">
        <f t="shared" ca="1" si="3"/>
        <v>5937</v>
      </c>
      <c r="AB11" s="32">
        <f t="shared" ca="1" si="3"/>
        <v>5681.1880000000001</v>
      </c>
      <c r="AC11" s="32">
        <f t="shared" ca="1" si="3"/>
        <v>5491.5559999999996</v>
      </c>
      <c r="AD11" s="32">
        <f t="shared" ca="1" si="3"/>
        <v>5310.7330000000002</v>
      </c>
      <c r="AE11" s="32">
        <f t="shared" ca="1" si="3"/>
        <v>5140.1440000000002</v>
      </c>
      <c r="AF11" s="32">
        <f t="shared" ca="1" si="3"/>
        <v>4980.125</v>
      </c>
      <c r="AG11" s="32">
        <f t="shared" ca="1" si="3"/>
        <v>4830.3119999999999</v>
      </c>
      <c r="AH11" s="32">
        <f t="shared" ca="1" si="3"/>
        <v>4689.96</v>
      </c>
      <c r="AI11" s="32">
        <f t="shared" ca="1" si="3"/>
        <v>4558.1030000000001</v>
      </c>
      <c r="AJ11" s="32">
        <f t="shared" ca="1" si="3"/>
        <v>4433.6440000000002</v>
      </c>
      <c r="AK11" s="32">
        <f t="shared" ca="1" si="3"/>
        <v>4315.4070000000002</v>
      </c>
      <c r="AL11" s="32">
        <f t="shared" ca="1" si="3"/>
        <v>4202.1549999999997</v>
      </c>
      <c r="AM11" s="32">
        <f t="shared" ca="1" si="3"/>
        <v>4092.614</v>
      </c>
      <c r="AN11" s="32">
        <f t="shared" ca="1" si="3"/>
        <v>3985.4859999999999</v>
      </c>
      <c r="AO11" s="32">
        <f t="shared" ca="1" si="3"/>
        <v>3879.471</v>
      </c>
      <c r="AP11" s="32">
        <f t="shared" ca="1" si="3"/>
        <v>3773.308</v>
      </c>
      <c r="AQ11" s="32">
        <f t="shared" ca="1" si="3"/>
        <v>3665.81</v>
      </c>
      <c r="AR11" s="32">
        <f t="shared" ca="1" si="3"/>
        <v>3555.9279999999999</v>
      </c>
      <c r="AS11" s="32">
        <f t="shared" ca="1" si="3"/>
        <v>3442.8960000000002</v>
      </c>
      <c r="AT11" s="32">
        <f t="shared" ca="1" si="3"/>
        <v>3325.9830000000002</v>
      </c>
      <c r="AU11" s="32">
        <f t="shared" ca="1" si="3"/>
        <v>3204.8270000000002</v>
      </c>
      <c r="AV11" s="32">
        <f t="shared" ca="1" si="3"/>
        <v>3079.3330000000001</v>
      </c>
    </row>
    <row r="12" spans="2:48" ht="14.45" x14ac:dyDescent="0.35">
      <c r="B12" t="s">
        <v>894</v>
      </c>
      <c r="D12" s="32">
        <f t="shared" ca="1" si="1"/>
        <v>17843.97</v>
      </c>
      <c r="E12" s="32">
        <f t="shared" ca="1" si="3"/>
        <v>17823.03</v>
      </c>
      <c r="F12" s="32">
        <f t="shared" ca="1" si="3"/>
        <v>17803.39</v>
      </c>
      <c r="G12" s="32">
        <f t="shared" ca="1" si="3"/>
        <v>17783.169999999998</v>
      </c>
      <c r="H12" s="32">
        <f t="shared" ca="1" si="3"/>
        <v>17764.38</v>
      </c>
      <c r="I12" s="32">
        <f t="shared" ca="1" si="3"/>
        <v>17719.560000000001</v>
      </c>
      <c r="J12" s="32">
        <f t="shared" ca="1" si="3"/>
        <v>17676.900000000001</v>
      </c>
      <c r="K12" s="32">
        <f t="shared" ca="1" si="3"/>
        <v>17492.8</v>
      </c>
      <c r="L12" s="32">
        <f t="shared" ca="1" si="3"/>
        <v>17370.21</v>
      </c>
      <c r="M12" s="32">
        <f t="shared" ca="1" si="3"/>
        <v>17336.099999999999</v>
      </c>
      <c r="N12" s="32">
        <f t="shared" ca="1" si="3"/>
        <v>17122.580000000002</v>
      </c>
      <c r="O12" s="32">
        <f t="shared" ca="1" si="3"/>
        <v>17053.47</v>
      </c>
      <c r="P12" s="32">
        <f t="shared" ca="1" si="3"/>
        <v>16994.73</v>
      </c>
      <c r="Q12" s="32">
        <f t="shared" ca="1" si="3"/>
        <v>16938.12</v>
      </c>
      <c r="R12" s="32">
        <f t="shared" ca="1" si="3"/>
        <v>16871.82</v>
      </c>
      <c r="S12" s="32">
        <f t="shared" ca="1" si="3"/>
        <v>16816.82</v>
      </c>
      <c r="T12" s="32">
        <f t="shared" ca="1" si="3"/>
        <v>16757.36</v>
      </c>
      <c r="U12" s="32">
        <f t="shared" ca="1" si="3"/>
        <v>16689.05</v>
      </c>
      <c r="V12" s="32">
        <f t="shared" ca="1" si="3"/>
        <v>16607.98</v>
      </c>
      <c r="W12" s="32">
        <f t="shared" ca="1" si="3"/>
        <v>16510.48</v>
      </c>
      <c r="X12" s="32">
        <f t="shared" ca="1" si="3"/>
        <v>16392.97</v>
      </c>
      <c r="Y12" s="32">
        <f t="shared" ca="1" si="3"/>
        <v>16247.76</v>
      </c>
      <c r="Z12" s="32">
        <f t="shared" ca="1" si="3"/>
        <v>16071.36</v>
      </c>
      <c r="AA12" s="32">
        <f t="shared" ca="1" si="3"/>
        <v>15861.03</v>
      </c>
      <c r="AB12" s="32">
        <f t="shared" ca="1" si="3"/>
        <v>15614.88</v>
      </c>
      <c r="AC12" s="32">
        <f t="shared" ca="1" si="3"/>
        <v>15541.68</v>
      </c>
      <c r="AD12" s="32">
        <f t="shared" ca="1" si="3"/>
        <v>15443.69</v>
      </c>
      <c r="AE12" s="32">
        <f t="shared" ca="1" si="3"/>
        <v>15333.67</v>
      </c>
      <c r="AF12" s="32">
        <f t="shared" ca="1" si="3"/>
        <v>15218.42</v>
      </c>
      <c r="AG12" s="32">
        <f t="shared" ca="1" si="3"/>
        <v>15101.33</v>
      </c>
      <c r="AH12" s="32">
        <f t="shared" ca="1" si="3"/>
        <v>14983.93</v>
      </c>
      <c r="AI12" s="32">
        <f t="shared" ca="1" si="3"/>
        <v>14866.9</v>
      </c>
      <c r="AJ12" s="32">
        <f t="shared" ca="1" si="3"/>
        <v>14750.52</v>
      </c>
      <c r="AK12" s="32">
        <f t="shared" ca="1" si="3"/>
        <v>14634.92</v>
      </c>
      <c r="AL12" s="32">
        <f t="shared" ca="1" si="3"/>
        <v>14520.19</v>
      </c>
      <c r="AM12" s="32">
        <f t="shared" ca="1" si="3"/>
        <v>14406.42</v>
      </c>
      <c r="AN12" s="32">
        <f t="shared" ca="1" si="3"/>
        <v>14293.75</v>
      </c>
      <c r="AO12" s="32">
        <f t="shared" ca="1" si="3"/>
        <v>14182.33</v>
      </c>
      <c r="AP12" s="32">
        <f t="shared" ca="1" si="3"/>
        <v>14072.34</v>
      </c>
      <c r="AQ12" s="32">
        <f t="shared" ca="1" si="3"/>
        <v>13963.94</v>
      </c>
      <c r="AR12" s="32">
        <f t="shared" ca="1" si="3"/>
        <v>13857.38</v>
      </c>
      <c r="AS12" s="32">
        <f t="shared" ca="1" si="3"/>
        <v>13753.66</v>
      </c>
      <c r="AT12" s="32">
        <f t="shared" ca="1" si="3"/>
        <v>13652.27</v>
      </c>
      <c r="AU12" s="32">
        <f t="shared" ca="1" si="3"/>
        <v>13553.29</v>
      </c>
      <c r="AV12" s="32">
        <f t="shared" ca="1" si="3"/>
        <v>13456.83</v>
      </c>
    </row>
    <row r="13" spans="2:48" ht="14.45" x14ac:dyDescent="0.35">
      <c r="B13" t="s">
        <v>895</v>
      </c>
      <c r="D13" s="32">
        <f t="shared" ca="1" si="1"/>
        <v>10467</v>
      </c>
      <c r="E13" s="32">
        <f t="shared" ca="1" si="3"/>
        <v>10299.02</v>
      </c>
      <c r="F13" s="32">
        <f t="shared" ca="1" si="3"/>
        <v>10120.27</v>
      </c>
      <c r="G13" s="32">
        <f t="shared" ca="1" si="3"/>
        <v>9937.0750000000007</v>
      </c>
      <c r="H13" s="32">
        <f t="shared" ca="1" si="3"/>
        <v>9755.59</v>
      </c>
      <c r="I13" s="32">
        <f t="shared" ca="1" si="3"/>
        <v>9597.0709999999999</v>
      </c>
      <c r="J13" s="32">
        <f t="shared" ca="1" si="3"/>
        <v>9457.625</v>
      </c>
      <c r="K13" s="32">
        <f t="shared" ca="1" si="3"/>
        <v>9346.2549999999992</v>
      </c>
      <c r="L13" s="32">
        <f t="shared" ca="1" si="3"/>
        <v>9244.8770000000004</v>
      </c>
      <c r="M13" s="32">
        <f t="shared" ca="1" si="3"/>
        <v>9061.8230000000003</v>
      </c>
      <c r="N13" s="32">
        <f t="shared" ca="1" si="3"/>
        <v>8992.7520000000004</v>
      </c>
      <c r="O13" s="32">
        <f t="shared" ca="1" si="3"/>
        <v>8897.18</v>
      </c>
      <c r="P13" s="32">
        <f t="shared" ca="1" si="3"/>
        <v>8792.2620000000006</v>
      </c>
      <c r="Q13" s="32">
        <f t="shared" ca="1" si="3"/>
        <v>8682.5439999999999</v>
      </c>
      <c r="R13" s="32">
        <f t="shared" ca="1" si="3"/>
        <v>8574.9529999999995</v>
      </c>
      <c r="S13" s="32">
        <f t="shared" ca="1" si="3"/>
        <v>8472.7459999999992</v>
      </c>
      <c r="T13" s="32">
        <f t="shared" ca="1" si="3"/>
        <v>8371.1180000000004</v>
      </c>
      <c r="U13" s="32">
        <f t="shared" ca="1" si="3"/>
        <v>8271.2639999999992</v>
      </c>
      <c r="V13" s="32">
        <f t="shared" ca="1" si="3"/>
        <v>8173.8339999999998</v>
      </c>
      <c r="W13" s="32">
        <f t="shared" ca="1" si="3"/>
        <v>8079.0219999999999</v>
      </c>
      <c r="X13" s="32">
        <f t="shared" ca="1" si="3"/>
        <v>7986.634</v>
      </c>
      <c r="Y13" s="32">
        <f t="shared" ca="1" si="3"/>
        <v>7888.1139999999996</v>
      </c>
      <c r="Z13" s="32">
        <f t="shared" ca="1" si="3"/>
        <v>7784.0439999999999</v>
      </c>
      <c r="AA13" s="32">
        <f t="shared" ca="1" si="3"/>
        <v>7674.1819999999998</v>
      </c>
      <c r="AB13" s="32">
        <f t="shared" ca="1" si="3"/>
        <v>7557.5540000000001</v>
      </c>
      <c r="AC13" s="32">
        <f t="shared" ca="1" si="3"/>
        <v>7402.0259999999998</v>
      </c>
      <c r="AD13" s="32">
        <f t="shared" ca="1" si="3"/>
        <v>7245.2870000000003</v>
      </c>
      <c r="AE13" s="32">
        <f t="shared" ca="1" si="3"/>
        <v>7089.9</v>
      </c>
      <c r="AF13" s="32">
        <f t="shared" ca="1" si="3"/>
        <v>6938.4219999999996</v>
      </c>
      <c r="AG13" s="32">
        <f t="shared" ca="1" si="3"/>
        <v>6792.1310000000003</v>
      </c>
      <c r="AH13" s="32">
        <f t="shared" ca="1" si="3"/>
        <v>6651.5590000000002</v>
      </c>
      <c r="AI13" s="32">
        <f t="shared" ca="1" si="3"/>
        <v>6516.7929999999997</v>
      </c>
      <c r="AJ13" s="32">
        <f t="shared" ca="1" si="3"/>
        <v>6387.6450000000004</v>
      </c>
      <c r="AK13" s="32">
        <f t="shared" ca="1" si="3"/>
        <v>6263.75</v>
      </c>
      <c r="AL13" s="32">
        <f t="shared" ca="1" si="3"/>
        <v>6144.6189999999997</v>
      </c>
      <c r="AM13" s="32">
        <f t="shared" ca="1" si="3"/>
        <v>6029.6629999999996</v>
      </c>
      <c r="AN13" s="32">
        <f t="shared" ca="1" si="3"/>
        <v>5918.2139999999999</v>
      </c>
      <c r="AO13" s="32">
        <f t="shared" ca="1" si="3"/>
        <v>5809.5290000000005</v>
      </c>
      <c r="AP13" s="32">
        <f t="shared" ca="1" si="3"/>
        <v>5702.8029999999999</v>
      </c>
      <c r="AQ13" s="32">
        <f t="shared" ca="1" si="3"/>
        <v>5597.1660000000002</v>
      </c>
      <c r="AR13" s="32">
        <f t="shared" ca="1" si="3"/>
        <v>5491.73</v>
      </c>
      <c r="AS13" s="32">
        <f t="shared" ca="1" si="3"/>
        <v>5385.6670000000004</v>
      </c>
      <c r="AT13" s="32">
        <f t="shared" ca="1" si="3"/>
        <v>5277.93</v>
      </c>
      <c r="AU13" s="32">
        <f t="shared" ca="1" si="3"/>
        <v>5167.5619999999999</v>
      </c>
      <c r="AV13" s="32">
        <f t="shared" ca="1" si="3"/>
        <v>5053.6040000000003</v>
      </c>
    </row>
    <row r="14" spans="2:48" ht="14.45" x14ac:dyDescent="0.35">
      <c r="B14" t="s">
        <v>769</v>
      </c>
      <c r="D14" s="32">
        <f ca="1">SUM(D10:D13)</f>
        <v>38578.739979999998</v>
      </c>
      <c r="E14" s="32">
        <f t="shared" ref="E14:AV14" ca="1" si="4">SUM(E10:E13)</f>
        <v>38197.688529999999</v>
      </c>
      <c r="F14" s="32">
        <f t="shared" ca="1" si="4"/>
        <v>37796.082630000004</v>
      </c>
      <c r="G14" s="32">
        <f t="shared" ca="1" si="4"/>
        <v>37384.166969999998</v>
      </c>
      <c r="H14" s="32">
        <f t="shared" ca="1" si="4"/>
        <v>36974.378270000001</v>
      </c>
      <c r="I14" s="32">
        <f t="shared" ca="1" si="4"/>
        <v>36640.853490000001</v>
      </c>
      <c r="J14" s="32">
        <f t="shared" ca="1" si="4"/>
        <v>36338.318769999998</v>
      </c>
      <c r="K14" s="32">
        <f t="shared" ca="1" si="4"/>
        <v>35946.507959999995</v>
      </c>
      <c r="L14" s="32">
        <f t="shared" ca="1" si="4"/>
        <v>35632.83496</v>
      </c>
      <c r="M14" s="32">
        <f t="shared" ca="1" si="4"/>
        <v>35206.303950000001</v>
      </c>
      <c r="N14" s="32">
        <f t="shared" ca="1" si="4"/>
        <v>34789.798550000007</v>
      </c>
      <c r="O14" s="32">
        <f t="shared" ca="1" si="4"/>
        <v>34465.38205</v>
      </c>
      <c r="P14" s="32">
        <f t="shared" ca="1" si="4"/>
        <v>34133.309809999999</v>
      </c>
      <c r="Q14" s="32">
        <f t="shared" ca="1" si="4"/>
        <v>33792.637179999998</v>
      </c>
      <c r="R14" s="32">
        <f t="shared" ca="1" si="4"/>
        <v>33464.873879999999</v>
      </c>
      <c r="S14" s="32">
        <f t="shared" ca="1" si="4"/>
        <v>33110.018150000004</v>
      </c>
      <c r="T14" s="32">
        <f t="shared" ca="1" si="4"/>
        <v>32742.575840000005</v>
      </c>
      <c r="U14" s="32">
        <f t="shared" ca="1" si="4"/>
        <v>32360.281419999999</v>
      </c>
      <c r="V14" s="32">
        <f t="shared" ca="1" si="4"/>
        <v>31960.604779999998</v>
      </c>
      <c r="W14" s="32">
        <f t="shared" ca="1" si="4"/>
        <v>31540.858990000001</v>
      </c>
      <c r="X14" s="32">
        <f t="shared" ca="1" si="4"/>
        <v>31098.225030000001</v>
      </c>
      <c r="Y14" s="32">
        <f t="shared" ca="1" si="4"/>
        <v>30611.996140000003</v>
      </c>
      <c r="Z14" s="32">
        <f t="shared" ca="1" si="4"/>
        <v>30081.842689999998</v>
      </c>
      <c r="AA14" s="32">
        <f t="shared" ca="1" si="4"/>
        <v>29507.204830000002</v>
      </c>
      <c r="AB14" s="32">
        <f t="shared" ca="1" si="4"/>
        <v>28887.440339999997</v>
      </c>
      <c r="AC14" s="32">
        <f t="shared" ca="1" si="4"/>
        <v>28468.159639999998</v>
      </c>
      <c r="AD14" s="32">
        <f t="shared" ca="1" si="4"/>
        <v>28031.680090000002</v>
      </c>
      <c r="AE14" s="32">
        <f t="shared" ca="1" si="4"/>
        <v>27594.773249999998</v>
      </c>
      <c r="AF14" s="32">
        <f t="shared" ca="1" si="4"/>
        <v>27167.14518</v>
      </c>
      <c r="AG14" s="32">
        <f t="shared" ca="1" si="4"/>
        <v>26753.106640000002</v>
      </c>
      <c r="AH14" s="32">
        <f t="shared" ca="1" si="4"/>
        <v>26353.97767</v>
      </c>
      <c r="AI14" s="32">
        <f t="shared" ca="1" si="4"/>
        <v>25969.559959999999</v>
      </c>
      <c r="AJ14" s="32">
        <f t="shared" ca="1" si="4"/>
        <v>25598.847760000001</v>
      </c>
      <c r="AK14" s="32">
        <f t="shared" ca="1" si="4"/>
        <v>25240.428309999999</v>
      </c>
      <c r="AL14" s="32">
        <f t="shared" ca="1" si="4"/>
        <v>24892.663130000001</v>
      </c>
      <c r="AM14" s="32">
        <f t="shared" ca="1" si="4"/>
        <v>24553.776160000001</v>
      </c>
      <c r="AN14" s="32">
        <f t="shared" ca="1" si="4"/>
        <v>24221.937839999999</v>
      </c>
      <c r="AO14" s="32">
        <f t="shared" ca="1" si="4"/>
        <v>23895.251219999998</v>
      </c>
      <c r="AP14" s="32">
        <f t="shared" ca="1" si="4"/>
        <v>23571.825929999999</v>
      </c>
      <c r="AQ14" s="32">
        <f t="shared" ca="1" si="4"/>
        <v>23249.760300000002</v>
      </c>
      <c r="AR14" s="32">
        <f t="shared" ca="1" si="4"/>
        <v>22927.362359999999</v>
      </c>
      <c r="AS14" s="32">
        <f t="shared" ca="1" si="4"/>
        <v>22604.032900000002</v>
      </c>
      <c r="AT14" s="32">
        <f t="shared" ca="1" si="4"/>
        <v>22277.478500000001</v>
      </c>
      <c r="AU14" s="32">
        <f t="shared" ca="1" si="4"/>
        <v>21946.454620000004</v>
      </c>
      <c r="AV14" s="32">
        <f t="shared" ca="1" si="4"/>
        <v>21610.01154</v>
      </c>
    </row>
    <row r="16" spans="2:48" ht="14.45" x14ac:dyDescent="0.35">
      <c r="B16" t="s">
        <v>900</v>
      </c>
      <c r="D16" s="32">
        <f ca="1">Output("SCEN_ADEMEhaut",$B16,D$1)</f>
        <v>44.496510000000001</v>
      </c>
      <c r="E16" s="32">
        <f t="shared" ref="E16:AV24" ca="1" si="5">Output("SCEN_ADEMEhaut",$B16,E$1)</f>
        <v>43.949689999999997</v>
      </c>
      <c r="F16" s="32">
        <f t="shared" ca="1" si="5"/>
        <v>43.37133</v>
      </c>
      <c r="G16" s="32">
        <f t="shared" ca="1" si="5"/>
        <v>42.778820000000003</v>
      </c>
      <c r="H16" s="32">
        <f t="shared" ca="1" si="5"/>
        <v>42.19088</v>
      </c>
      <c r="I16" s="32">
        <f t="shared" ca="1" si="5"/>
        <v>41.697339999999997</v>
      </c>
      <c r="J16" s="32">
        <f t="shared" ca="1" si="5"/>
        <v>41.25562</v>
      </c>
      <c r="K16" s="32">
        <f t="shared" ca="1" si="5"/>
        <v>40.791910000000001</v>
      </c>
      <c r="L16" s="32">
        <f t="shared" ca="1" si="5"/>
        <v>40.399799999999999</v>
      </c>
      <c r="M16" s="32">
        <f t="shared" ca="1" si="5"/>
        <v>40.072749999999999</v>
      </c>
      <c r="N16" s="32">
        <f t="shared" ca="1" si="5"/>
        <v>39.793109999999999</v>
      </c>
      <c r="O16" s="32">
        <f t="shared" ca="1" si="5"/>
        <v>39.523600000000002</v>
      </c>
      <c r="P16" s="32">
        <f t="shared" ca="1" si="5"/>
        <v>39.256459999999997</v>
      </c>
      <c r="Q16" s="32">
        <f t="shared" ca="1" si="5"/>
        <v>38.992179999999998</v>
      </c>
      <c r="R16" s="32">
        <f t="shared" ca="1" si="5"/>
        <v>38.757800000000003</v>
      </c>
      <c r="S16" s="32">
        <f t="shared" ca="1" si="5"/>
        <v>38.512740000000001</v>
      </c>
      <c r="T16" s="32">
        <f t="shared" ca="1" si="5"/>
        <v>38.266599999999997</v>
      </c>
      <c r="U16" s="32">
        <f t="shared" ca="1" si="5"/>
        <v>38.021079999999998</v>
      </c>
      <c r="V16" s="32">
        <f t="shared" ca="1" si="5"/>
        <v>37.777070000000002</v>
      </c>
      <c r="W16" s="32">
        <f t="shared" ca="1" si="5"/>
        <v>37.535179999999997</v>
      </c>
      <c r="X16" s="32">
        <f t="shared" ca="1" si="5"/>
        <v>37.295949999999998</v>
      </c>
      <c r="Y16" s="32">
        <f t="shared" ca="1" si="5"/>
        <v>37.033969999999997</v>
      </c>
      <c r="Z16" s="32">
        <f t="shared" ca="1" si="5"/>
        <v>36.754280000000001</v>
      </c>
      <c r="AA16" s="32">
        <f t="shared" ca="1" si="5"/>
        <v>36.460830000000001</v>
      </c>
      <c r="AB16" s="32">
        <f t="shared" ca="1" si="5"/>
        <v>36.156790000000001</v>
      </c>
      <c r="AC16" s="32">
        <f t="shared" ca="1" si="5"/>
        <v>35.824280000000002</v>
      </c>
      <c r="AD16" s="32">
        <f t="shared" ca="1" si="5"/>
        <v>35.50515</v>
      </c>
      <c r="AE16" s="32">
        <f t="shared" ca="1" si="5"/>
        <v>35.196710000000003</v>
      </c>
      <c r="AF16" s="32">
        <f t="shared" ca="1" si="5"/>
        <v>34.89575</v>
      </c>
      <c r="AG16" s="32">
        <f t="shared" ca="1" si="5"/>
        <v>34.599350000000001</v>
      </c>
      <c r="AH16" s="32">
        <f t="shared" ca="1" si="5"/>
        <v>34.305399999999999</v>
      </c>
      <c r="AI16" s="32">
        <f t="shared" ca="1" si="5"/>
        <v>34.012540000000001</v>
      </c>
      <c r="AJ16" s="32">
        <f t="shared" ca="1" si="5"/>
        <v>33.720010000000002</v>
      </c>
      <c r="AK16" s="32">
        <f t="shared" ca="1" si="5"/>
        <v>33.427529999999997</v>
      </c>
      <c r="AL16" s="32">
        <f t="shared" ca="1" si="5"/>
        <v>33.135109999999997</v>
      </c>
      <c r="AM16" s="32">
        <f t="shared" ca="1" si="5"/>
        <v>32.842939999999999</v>
      </c>
      <c r="AN16" s="32">
        <f t="shared" ca="1" si="5"/>
        <v>32.551259999999999</v>
      </c>
      <c r="AO16" s="32">
        <f t="shared" ca="1" si="5"/>
        <v>32.260339999999999</v>
      </c>
      <c r="AP16" s="32">
        <f t="shared" ca="1" si="5"/>
        <v>31.97043</v>
      </c>
      <c r="AQ16" s="32">
        <f t="shared" ca="1" si="5"/>
        <v>31.68169</v>
      </c>
      <c r="AR16" s="32">
        <f t="shared" ca="1" si="5"/>
        <v>31.394259999999999</v>
      </c>
      <c r="AS16" s="32">
        <f t="shared" ca="1" si="5"/>
        <v>31.108419999999999</v>
      </c>
      <c r="AT16" s="32">
        <f t="shared" ca="1" si="5"/>
        <v>30.823989999999998</v>
      </c>
      <c r="AU16" s="32">
        <f t="shared" ca="1" si="5"/>
        <v>30.540939999999999</v>
      </c>
      <c r="AV16" s="32">
        <f t="shared" ca="1" si="5"/>
        <v>30.259180000000001</v>
      </c>
    </row>
    <row r="17" spans="2:48" ht="14.45" x14ac:dyDescent="0.35">
      <c r="B17" t="s">
        <v>901</v>
      </c>
      <c r="D17" s="32">
        <f t="shared" ref="D17:S27" ca="1" si="6">Output("SCEN_ADEMEhaut",$B17,D$1)</f>
        <v>0.39149600000000001</v>
      </c>
      <c r="E17" s="32">
        <f ca="1">Output("SCEN_ADEMEhaut",$B17,E$1)</f>
        <v>0.38233200000000001</v>
      </c>
      <c r="F17" s="32">
        <f t="shared" ca="1" si="6"/>
        <v>0.37342999999999998</v>
      </c>
      <c r="G17" s="32">
        <f t="shared" ca="1" si="6"/>
        <v>0.36486099999999999</v>
      </c>
      <c r="H17" s="32">
        <f t="shared" ca="1" si="6"/>
        <v>0.356682</v>
      </c>
      <c r="I17" s="32">
        <f t="shared" ca="1" si="6"/>
        <v>0.34890900000000002</v>
      </c>
      <c r="J17" s="32">
        <f t="shared" ca="1" si="6"/>
        <v>0.34182299999999999</v>
      </c>
      <c r="K17" s="32">
        <f t="shared" ca="1" si="6"/>
        <v>0.33556599999999998</v>
      </c>
      <c r="L17" s="32">
        <f t="shared" ca="1" si="6"/>
        <v>0.32930999999999999</v>
      </c>
      <c r="M17" s="32">
        <f t="shared" ca="1" si="6"/>
        <v>0.32386799999999999</v>
      </c>
      <c r="N17" s="32">
        <f t="shared" ca="1" si="6"/>
        <v>0.31920700000000002</v>
      </c>
      <c r="O17" s="32">
        <f t="shared" ca="1" si="6"/>
        <v>0.31506099999999998</v>
      </c>
      <c r="P17" s="32">
        <f t="shared" ca="1" si="6"/>
        <v>0.31127700000000003</v>
      </c>
      <c r="Q17" s="32">
        <f t="shared" ca="1" si="6"/>
        <v>0.30774499999999999</v>
      </c>
      <c r="R17" s="32">
        <f t="shared" ca="1" si="6"/>
        <v>0.304367</v>
      </c>
      <c r="S17" s="32">
        <f t="shared" ca="1" si="6"/>
        <v>0.30198399999999997</v>
      </c>
      <c r="T17" s="32">
        <f t="shared" ca="1" si="5"/>
        <v>0.29970999999999998</v>
      </c>
      <c r="U17" s="32">
        <f t="shared" ca="1" si="5"/>
        <v>0.29750700000000002</v>
      </c>
      <c r="V17" s="32">
        <f t="shared" ca="1" si="5"/>
        <v>0.29531200000000002</v>
      </c>
      <c r="W17" s="32">
        <f t="shared" ca="1" si="5"/>
        <v>0.29309600000000002</v>
      </c>
      <c r="X17" s="32">
        <f t="shared" ca="1" si="5"/>
        <v>0.29085</v>
      </c>
      <c r="Y17" s="32">
        <f t="shared" ca="1" si="5"/>
        <v>0.28812500000000002</v>
      </c>
      <c r="Z17" s="32">
        <f t="shared" ca="1" si="5"/>
        <v>0.285024</v>
      </c>
      <c r="AA17" s="32">
        <f t="shared" ca="1" si="5"/>
        <v>0.28162700000000002</v>
      </c>
      <c r="AB17" s="32">
        <f t="shared" ca="1" si="5"/>
        <v>0.27800000000000002</v>
      </c>
      <c r="AC17" s="32">
        <f t="shared" ca="1" si="5"/>
        <v>0.27420899999999998</v>
      </c>
      <c r="AD17" s="32">
        <f t="shared" ca="1" si="5"/>
        <v>0.27034799999999998</v>
      </c>
      <c r="AE17" s="32">
        <f t="shared" ca="1" si="5"/>
        <v>0.266459</v>
      </c>
      <c r="AF17" s="32">
        <f t="shared" ca="1" si="5"/>
        <v>0.26255800000000001</v>
      </c>
      <c r="AG17" s="32">
        <f t="shared" ca="1" si="5"/>
        <v>0.25859900000000002</v>
      </c>
      <c r="AH17" s="32">
        <f t="shared" ca="1" si="5"/>
        <v>0.25458599999999998</v>
      </c>
      <c r="AI17" s="32">
        <f t="shared" ca="1" si="5"/>
        <v>0.250527</v>
      </c>
      <c r="AJ17" s="32">
        <f t="shared" ca="1" si="5"/>
        <v>0.24643100000000001</v>
      </c>
      <c r="AK17" s="32">
        <f t="shared" ca="1" si="5"/>
        <v>0.24230599999999999</v>
      </c>
      <c r="AL17" s="32">
        <f t="shared" ca="1" si="5"/>
        <v>0.23816200000000001</v>
      </c>
      <c r="AM17" s="32">
        <f t="shared" ca="1" si="5"/>
        <v>0.23400799999999999</v>
      </c>
      <c r="AN17" s="32">
        <f t="shared" ca="1" si="5"/>
        <v>0.229852</v>
      </c>
      <c r="AO17" s="32">
        <f t="shared" ca="1" si="5"/>
        <v>0.22570299999999999</v>
      </c>
      <c r="AP17" s="32">
        <f t="shared" ca="1" si="5"/>
        <v>0.22156600000000001</v>
      </c>
      <c r="AQ17" s="32">
        <f t="shared" ca="1" si="5"/>
        <v>0.217448</v>
      </c>
      <c r="AR17" s="32">
        <f t="shared" ca="1" si="5"/>
        <v>0.21335100000000001</v>
      </c>
      <c r="AS17" s="32">
        <f t="shared" ca="1" si="5"/>
        <v>0.209283</v>
      </c>
      <c r="AT17" s="32">
        <f t="shared" ca="1" si="5"/>
        <v>0.20524200000000001</v>
      </c>
      <c r="AU17" s="32">
        <f t="shared" ca="1" si="5"/>
        <v>0.20123099999999999</v>
      </c>
      <c r="AV17" s="32">
        <f t="shared" ca="1" si="5"/>
        <v>0.19725200000000001</v>
      </c>
    </row>
    <row r="18" spans="2:48" ht="14.45" x14ac:dyDescent="0.35">
      <c r="B18" t="s">
        <v>902</v>
      </c>
      <c r="D18" s="32">
        <f t="shared" ca="1" si="6"/>
        <v>7.3433000000000002</v>
      </c>
      <c r="E18" s="32">
        <f t="shared" ca="1" si="5"/>
        <v>7.2061089999999997</v>
      </c>
      <c r="F18" s="32">
        <f t="shared" ca="1" si="5"/>
        <v>7.0608959999999996</v>
      </c>
      <c r="G18" s="32">
        <f t="shared" ca="1" si="5"/>
        <v>6.9118269999999997</v>
      </c>
      <c r="H18" s="32">
        <f t="shared" ca="1" si="5"/>
        <v>6.7619689999999997</v>
      </c>
      <c r="I18" s="32">
        <f t="shared" ca="1" si="5"/>
        <v>6.6688789999999996</v>
      </c>
      <c r="J18" s="32">
        <f t="shared" ca="1" si="5"/>
        <v>6.5828769999999999</v>
      </c>
      <c r="K18" s="32">
        <f t="shared" ca="1" si="5"/>
        <v>6.5146030000000001</v>
      </c>
      <c r="L18" s="32">
        <f t="shared" ca="1" si="5"/>
        <v>6.4510820000000004</v>
      </c>
      <c r="M18" s="32">
        <f t="shared" ca="1" si="5"/>
        <v>6.3935409999999999</v>
      </c>
      <c r="N18" s="32">
        <f t="shared" ca="1" si="5"/>
        <v>6.3116690000000002</v>
      </c>
      <c r="O18" s="32">
        <f t="shared" ca="1" si="5"/>
        <v>6.224837</v>
      </c>
      <c r="P18" s="32">
        <f t="shared" ca="1" si="5"/>
        <v>6.1360200000000003</v>
      </c>
      <c r="Q18" s="32">
        <f t="shared" ca="1" si="5"/>
        <v>6.0463490000000002</v>
      </c>
      <c r="R18" s="32">
        <f t="shared" ca="1" si="5"/>
        <v>5.9782299999999999</v>
      </c>
      <c r="S18" s="32">
        <f t="shared" ca="1" si="5"/>
        <v>5.8914400000000002</v>
      </c>
      <c r="T18" s="32">
        <f t="shared" ca="1" si="5"/>
        <v>5.8037989999999997</v>
      </c>
      <c r="U18" s="32">
        <f t="shared" ca="1" si="5"/>
        <v>5.7159509999999996</v>
      </c>
      <c r="V18" s="32">
        <f t="shared" ca="1" si="5"/>
        <v>5.6282420000000002</v>
      </c>
      <c r="W18" s="32">
        <f t="shared" ca="1" si="5"/>
        <v>5.5408939999999998</v>
      </c>
      <c r="X18" s="32">
        <f t="shared" ca="1" si="5"/>
        <v>5.4540769999999998</v>
      </c>
      <c r="Y18" s="32">
        <f t="shared" ca="1" si="5"/>
        <v>5.3635469999999996</v>
      </c>
      <c r="Z18" s="32">
        <f t="shared" ca="1" si="5"/>
        <v>5.2702720000000003</v>
      </c>
      <c r="AA18" s="32">
        <f t="shared" ca="1" si="5"/>
        <v>5.1750030000000002</v>
      </c>
      <c r="AB18" s="32">
        <f t="shared" ca="1" si="5"/>
        <v>5.0783370000000003</v>
      </c>
      <c r="AC18" s="32">
        <f t="shared" ca="1" si="5"/>
        <v>4.9719720000000001</v>
      </c>
      <c r="AD18" s="32">
        <f t="shared" ca="1" si="5"/>
        <v>4.8693569999999999</v>
      </c>
      <c r="AE18" s="32">
        <f t="shared" ca="1" si="5"/>
        <v>4.7693089999999998</v>
      </c>
      <c r="AF18" s="32">
        <f t="shared" ca="1" si="5"/>
        <v>4.6709259999999997</v>
      </c>
      <c r="AG18" s="32">
        <f t="shared" ca="1" si="5"/>
        <v>4.5735869999999998</v>
      </c>
      <c r="AH18" s="32">
        <f t="shared" ca="1" si="5"/>
        <v>4.4769139999999998</v>
      </c>
      <c r="AI18" s="32">
        <f t="shared" ca="1" si="5"/>
        <v>4.3807210000000003</v>
      </c>
      <c r="AJ18" s="32">
        <f t="shared" ca="1" si="5"/>
        <v>4.2849560000000002</v>
      </c>
      <c r="AK18" s="32">
        <f t="shared" ca="1" si="5"/>
        <v>4.1896599999999999</v>
      </c>
      <c r="AL18" s="32">
        <f t="shared" ca="1" si="5"/>
        <v>4.0949289999999996</v>
      </c>
      <c r="AM18" s="32">
        <f t="shared" ca="1" si="5"/>
        <v>4.0008879999999998</v>
      </c>
      <c r="AN18" s="32">
        <f t="shared" ca="1" si="5"/>
        <v>3.9076710000000001</v>
      </c>
      <c r="AO18" s="32">
        <f t="shared" ca="1" si="5"/>
        <v>3.8154059999999999</v>
      </c>
      <c r="AP18" s="32">
        <f t="shared" ca="1" si="5"/>
        <v>3.7242109999999999</v>
      </c>
      <c r="AQ18" s="32">
        <f t="shared" ca="1" si="5"/>
        <v>3.634188</v>
      </c>
      <c r="AR18" s="32">
        <f t="shared" ca="1" si="5"/>
        <v>3.545423</v>
      </c>
      <c r="AS18" s="32">
        <f t="shared" ca="1" si="5"/>
        <v>3.457989</v>
      </c>
      <c r="AT18" s="32">
        <f t="shared" ca="1" si="5"/>
        <v>3.3719350000000001</v>
      </c>
      <c r="AU18" s="32">
        <f t="shared" ca="1" si="5"/>
        <v>3.2873109999999999</v>
      </c>
      <c r="AV18" s="32">
        <f t="shared" ca="1" si="5"/>
        <v>3.204145</v>
      </c>
    </row>
    <row r="19" spans="2:48" ht="14.45" x14ac:dyDescent="0.35">
      <c r="B19" t="s">
        <v>903</v>
      </c>
      <c r="D19" s="32">
        <f t="shared" ca="1" si="6"/>
        <v>12.740180000000001</v>
      </c>
      <c r="E19" s="32">
        <f t="shared" ca="1" si="5"/>
        <v>12.72523</v>
      </c>
      <c r="F19" s="32">
        <f t="shared" ca="1" si="5"/>
        <v>12.711220000000001</v>
      </c>
      <c r="G19" s="32">
        <f t="shared" ca="1" si="5"/>
        <v>12.696809999999999</v>
      </c>
      <c r="H19" s="32">
        <f t="shared" ca="1" si="5"/>
        <v>12.68346</v>
      </c>
      <c r="I19" s="32">
        <f t="shared" ca="1" si="5"/>
        <v>12.654870000000001</v>
      </c>
      <c r="J19" s="32">
        <f t="shared" ca="1" si="5"/>
        <v>12.627050000000001</v>
      </c>
      <c r="K19" s="32">
        <f t="shared" ca="1" si="5"/>
        <v>12.49272</v>
      </c>
      <c r="L19" s="32">
        <f t="shared" ca="1" si="5"/>
        <v>12.40221</v>
      </c>
      <c r="M19" s="32">
        <f t="shared" ca="1" si="5"/>
        <v>12.34418</v>
      </c>
      <c r="N19" s="32">
        <f t="shared" ca="1" si="5"/>
        <v>12.322380000000001</v>
      </c>
      <c r="O19" s="32">
        <f t="shared" ca="1" si="5"/>
        <v>12.316330000000001</v>
      </c>
      <c r="P19" s="32">
        <f t="shared" ca="1" si="5"/>
        <v>12.32029</v>
      </c>
      <c r="Q19" s="32">
        <f t="shared" ca="1" si="5"/>
        <v>12.33089</v>
      </c>
      <c r="R19" s="32">
        <f t="shared" ca="1" si="5"/>
        <v>12.341089999999999</v>
      </c>
      <c r="S19" s="32">
        <f t="shared" ca="1" si="5"/>
        <v>12.35802</v>
      </c>
      <c r="T19" s="32">
        <f t="shared" ca="1" si="5"/>
        <v>12.37815</v>
      </c>
      <c r="U19" s="32">
        <f t="shared" ca="1" si="5"/>
        <v>12.40113</v>
      </c>
      <c r="V19" s="32">
        <f t="shared" ca="1" si="5"/>
        <v>12.4268</v>
      </c>
      <c r="W19" s="32">
        <f t="shared" ca="1" si="5"/>
        <v>12.45515</v>
      </c>
      <c r="X19" s="32">
        <f t="shared" ca="1" si="5"/>
        <v>12.486219999999999</v>
      </c>
      <c r="Y19" s="32">
        <f t="shared" ca="1" si="5"/>
        <v>12.5174</v>
      </c>
      <c r="Z19" s="32">
        <f t="shared" ca="1" si="5"/>
        <v>12.54867</v>
      </c>
      <c r="AA19" s="32">
        <f t="shared" ca="1" si="5"/>
        <v>12.58004</v>
      </c>
      <c r="AB19" s="32">
        <f t="shared" ca="1" si="5"/>
        <v>12.61157</v>
      </c>
      <c r="AC19" s="32">
        <f t="shared" ca="1" si="5"/>
        <v>12.66244</v>
      </c>
      <c r="AD19" s="32">
        <f t="shared" ca="1" si="5"/>
        <v>12.71077</v>
      </c>
      <c r="AE19" s="32">
        <f t="shared" ca="1" si="5"/>
        <v>12.759679999999999</v>
      </c>
      <c r="AF19" s="32">
        <f t="shared" ca="1" si="5"/>
        <v>12.810309999999999</v>
      </c>
      <c r="AG19" s="32">
        <f t="shared" ca="1" si="5"/>
        <v>12.86286</v>
      </c>
      <c r="AH19" s="32">
        <f t="shared" ca="1" si="5"/>
        <v>12.917199999999999</v>
      </c>
      <c r="AI19" s="32">
        <f t="shared" ca="1" si="5"/>
        <v>12.973089999999999</v>
      </c>
      <c r="AJ19" s="32">
        <f t="shared" ca="1" si="5"/>
        <v>13.030329999999999</v>
      </c>
      <c r="AK19" s="32">
        <f t="shared" ca="1" si="5"/>
        <v>13.088749999999999</v>
      </c>
      <c r="AL19" s="32">
        <f t="shared" ca="1" si="5"/>
        <v>13.148239999999999</v>
      </c>
      <c r="AM19" s="32">
        <f t="shared" ca="1" si="5"/>
        <v>13.208729999999999</v>
      </c>
      <c r="AN19" s="32">
        <f t="shared" ca="1" si="5"/>
        <v>13.27014</v>
      </c>
      <c r="AO19" s="32">
        <f t="shared" ca="1" si="5"/>
        <v>13.332380000000001</v>
      </c>
      <c r="AP19" s="32">
        <f t="shared" ca="1" si="5"/>
        <v>13.395350000000001</v>
      </c>
      <c r="AQ19" s="32">
        <f t="shared" ca="1" si="5"/>
        <v>13.458920000000001</v>
      </c>
      <c r="AR19" s="32">
        <f t="shared" ca="1" si="5"/>
        <v>13.52291</v>
      </c>
      <c r="AS19" s="32">
        <f t="shared" ca="1" si="5"/>
        <v>13.587199999999999</v>
      </c>
      <c r="AT19" s="32">
        <f t="shared" ca="1" si="5"/>
        <v>13.65151</v>
      </c>
      <c r="AU19" s="32">
        <f t="shared" ca="1" si="5"/>
        <v>13.715590000000001</v>
      </c>
      <c r="AV19" s="32">
        <f t="shared" ca="1" si="5"/>
        <v>13.779170000000001</v>
      </c>
    </row>
    <row r="20" spans="2:48" ht="14.45" x14ac:dyDescent="0.35">
      <c r="B20" t="s">
        <v>904</v>
      </c>
      <c r="D20" s="32">
        <f t="shared" ca="1" si="6"/>
        <v>24.021529999999998</v>
      </c>
      <c r="E20" s="32">
        <f t="shared" ca="1" si="5"/>
        <v>23.636019999999998</v>
      </c>
      <c r="F20" s="32">
        <f t="shared" ca="1" si="5"/>
        <v>23.22578</v>
      </c>
      <c r="G20" s="32">
        <f t="shared" ca="1" si="5"/>
        <v>22.805319999999998</v>
      </c>
      <c r="H20" s="32">
        <f t="shared" ca="1" si="5"/>
        <v>22.388770000000001</v>
      </c>
      <c r="I20" s="32">
        <f t="shared" ca="1" si="5"/>
        <v>22.02468</v>
      </c>
      <c r="J20" s="32">
        <f t="shared" ca="1" si="5"/>
        <v>21.703869999999998</v>
      </c>
      <c r="K20" s="32">
        <f t="shared" ca="1" si="5"/>
        <v>21.449010000000001</v>
      </c>
      <c r="L20" s="32">
        <f t="shared" ca="1" si="5"/>
        <v>21.217189999999999</v>
      </c>
      <c r="M20" s="32">
        <f t="shared" ca="1" si="5"/>
        <v>21.01116</v>
      </c>
      <c r="N20" s="32">
        <f t="shared" ca="1" si="5"/>
        <v>20.839860000000002</v>
      </c>
      <c r="O20" s="32">
        <f t="shared" ca="1" si="5"/>
        <v>20.667369999999998</v>
      </c>
      <c r="P20" s="32">
        <f t="shared" ca="1" si="5"/>
        <v>20.488869999999999</v>
      </c>
      <c r="Q20" s="32">
        <f t="shared" ca="1" si="5"/>
        <v>20.307189999999999</v>
      </c>
      <c r="R20" s="32">
        <f t="shared" ca="1" si="5"/>
        <v>20.13411</v>
      </c>
      <c r="S20" s="32">
        <f t="shared" ca="1" si="5"/>
        <v>19.961290000000002</v>
      </c>
      <c r="T20" s="32">
        <f t="shared" ca="1" si="5"/>
        <v>19.784939999999999</v>
      </c>
      <c r="U20" s="32">
        <f t="shared" ca="1" si="5"/>
        <v>19.6065</v>
      </c>
      <c r="V20" s="32">
        <f t="shared" ca="1" si="5"/>
        <v>19.42671</v>
      </c>
      <c r="W20" s="32">
        <f t="shared" ca="1" si="5"/>
        <v>19.246030000000001</v>
      </c>
      <c r="X20" s="32">
        <f t="shared" ca="1" si="5"/>
        <v>19.064810000000001</v>
      </c>
      <c r="Y20" s="32">
        <f t="shared" ca="1" si="5"/>
        <v>18.864889999999999</v>
      </c>
      <c r="Z20" s="32">
        <f t="shared" ca="1" si="5"/>
        <v>18.650320000000001</v>
      </c>
      <c r="AA20" s="32">
        <f t="shared" ca="1" si="5"/>
        <v>18.424160000000001</v>
      </c>
      <c r="AB20" s="32">
        <f t="shared" ca="1" si="5"/>
        <v>18.188880000000001</v>
      </c>
      <c r="AC20" s="32">
        <f t="shared" ca="1" si="5"/>
        <v>17.915669999999999</v>
      </c>
      <c r="AD20" s="32">
        <f t="shared" ca="1" si="5"/>
        <v>17.654669999999999</v>
      </c>
      <c r="AE20" s="32">
        <f t="shared" ca="1" si="5"/>
        <v>17.401260000000001</v>
      </c>
      <c r="AF20" s="32">
        <f t="shared" ca="1" si="5"/>
        <v>17.151949999999999</v>
      </c>
      <c r="AG20" s="32">
        <f t="shared" ca="1" si="5"/>
        <v>16.904299999999999</v>
      </c>
      <c r="AH20" s="32">
        <f t="shared" ca="1" si="5"/>
        <v>16.656690000000001</v>
      </c>
      <c r="AI20" s="32">
        <f t="shared" ca="1" si="5"/>
        <v>16.408190000000001</v>
      </c>
      <c r="AJ20" s="32">
        <f t="shared" ca="1" si="5"/>
        <v>16.158290000000001</v>
      </c>
      <c r="AK20" s="32">
        <f t="shared" ca="1" si="5"/>
        <v>15.90682</v>
      </c>
      <c r="AL20" s="32">
        <f t="shared" ca="1" si="5"/>
        <v>15.653779999999999</v>
      </c>
      <c r="AM20" s="32">
        <f t="shared" ca="1" si="5"/>
        <v>15.39931</v>
      </c>
      <c r="AN20" s="32">
        <f t="shared" ca="1" si="5"/>
        <v>15.143599999999999</v>
      </c>
      <c r="AO20" s="32">
        <f t="shared" ca="1" si="5"/>
        <v>14.88686</v>
      </c>
      <c r="AP20" s="32">
        <f t="shared" ca="1" si="5"/>
        <v>14.629300000000001</v>
      </c>
      <c r="AQ20" s="32">
        <f t="shared" ca="1" si="5"/>
        <v>14.37114</v>
      </c>
      <c r="AR20" s="32">
        <f t="shared" ca="1" si="5"/>
        <v>14.112579999999999</v>
      </c>
      <c r="AS20" s="32">
        <f t="shared" ca="1" si="5"/>
        <v>13.853949999999999</v>
      </c>
      <c r="AT20" s="32">
        <f t="shared" ca="1" si="5"/>
        <v>13.5953</v>
      </c>
      <c r="AU20" s="32">
        <f t="shared" ca="1" si="5"/>
        <v>13.3368</v>
      </c>
      <c r="AV20" s="32">
        <f t="shared" ca="1" si="5"/>
        <v>13.078620000000001</v>
      </c>
    </row>
    <row r="21" spans="2:48" ht="14.45" x14ac:dyDescent="0.35">
      <c r="B21" t="s">
        <v>768</v>
      </c>
      <c r="D21" s="32">
        <f ca="1">SUM(D17:D20)</f>
        <v>44.496505999999997</v>
      </c>
      <c r="E21" s="32">
        <f ca="1">SUM(E17:E20)</f>
        <v>43.949691000000001</v>
      </c>
      <c r="F21" s="32">
        <f t="shared" ref="F21:AV21" ca="1" si="7">SUM(F17:F20)</f>
        <v>43.371325999999996</v>
      </c>
      <c r="G21" s="32">
        <f t="shared" ca="1" si="7"/>
        <v>42.778818000000001</v>
      </c>
      <c r="H21" s="32">
        <f t="shared" ca="1" si="7"/>
        <v>42.190881000000005</v>
      </c>
      <c r="I21" s="32">
        <f t="shared" ca="1" si="7"/>
        <v>41.697338000000002</v>
      </c>
      <c r="J21" s="32">
        <f t="shared" ca="1" si="7"/>
        <v>41.255619999999993</v>
      </c>
      <c r="K21" s="32">
        <f t="shared" ca="1" si="7"/>
        <v>40.791899000000001</v>
      </c>
      <c r="L21" s="32">
        <f t="shared" ca="1" si="7"/>
        <v>40.399792000000005</v>
      </c>
      <c r="M21" s="32">
        <f t="shared" ca="1" si="7"/>
        <v>40.072749000000002</v>
      </c>
      <c r="N21" s="32">
        <f t="shared" ca="1" si="7"/>
        <v>39.793116000000005</v>
      </c>
      <c r="O21" s="32">
        <f t="shared" ca="1" si="7"/>
        <v>39.523598</v>
      </c>
      <c r="P21" s="32">
        <f t="shared" ca="1" si="7"/>
        <v>39.256456999999997</v>
      </c>
      <c r="Q21" s="32">
        <f t="shared" ca="1" si="7"/>
        <v>38.992173999999999</v>
      </c>
      <c r="R21" s="32">
        <f t="shared" ca="1" si="7"/>
        <v>38.757796999999997</v>
      </c>
      <c r="S21" s="32">
        <f t="shared" ca="1" si="7"/>
        <v>38.512734000000002</v>
      </c>
      <c r="T21" s="32">
        <f t="shared" ca="1" si="7"/>
        <v>38.266598999999999</v>
      </c>
      <c r="U21" s="32">
        <f t="shared" ca="1" si="7"/>
        <v>38.021088000000006</v>
      </c>
      <c r="V21" s="32">
        <f t="shared" ca="1" si="7"/>
        <v>37.777063999999996</v>
      </c>
      <c r="W21" s="32">
        <f t="shared" ca="1" si="7"/>
        <v>37.535170000000001</v>
      </c>
      <c r="X21" s="32">
        <f t="shared" ca="1" si="7"/>
        <v>37.295957000000001</v>
      </c>
      <c r="Y21" s="32">
        <f t="shared" ca="1" si="7"/>
        <v>37.033962000000002</v>
      </c>
      <c r="Z21" s="32">
        <f t="shared" ca="1" si="7"/>
        <v>36.754286</v>
      </c>
      <c r="AA21" s="32">
        <f t="shared" ca="1" si="7"/>
        <v>36.460830000000001</v>
      </c>
      <c r="AB21" s="32">
        <f t="shared" ca="1" si="7"/>
        <v>36.156787000000001</v>
      </c>
      <c r="AC21" s="32">
        <f t="shared" ca="1" si="7"/>
        <v>35.824291000000002</v>
      </c>
      <c r="AD21" s="32">
        <f t="shared" ca="1" si="7"/>
        <v>35.505144999999999</v>
      </c>
      <c r="AE21" s="32">
        <f t="shared" ca="1" si="7"/>
        <v>35.196708000000001</v>
      </c>
      <c r="AF21" s="32">
        <f t="shared" ca="1" si="7"/>
        <v>34.895744000000001</v>
      </c>
      <c r="AG21" s="32">
        <f t="shared" ca="1" si="7"/>
        <v>34.599345999999997</v>
      </c>
      <c r="AH21" s="32">
        <f t="shared" ca="1" si="7"/>
        <v>34.305390000000003</v>
      </c>
      <c r="AI21" s="32">
        <f t="shared" ca="1" si="7"/>
        <v>34.012528000000003</v>
      </c>
      <c r="AJ21" s="32">
        <f t="shared" ca="1" si="7"/>
        <v>33.720007000000003</v>
      </c>
      <c r="AK21" s="32">
        <f t="shared" ca="1" si="7"/>
        <v>33.427536000000003</v>
      </c>
      <c r="AL21" s="32">
        <f t="shared" ca="1" si="7"/>
        <v>33.135110999999995</v>
      </c>
      <c r="AM21" s="32">
        <f t="shared" ca="1" si="7"/>
        <v>32.842935999999995</v>
      </c>
      <c r="AN21" s="32">
        <f t="shared" ca="1" si="7"/>
        <v>32.551262999999999</v>
      </c>
      <c r="AO21" s="32">
        <f t="shared" ca="1" si="7"/>
        <v>32.260348999999998</v>
      </c>
      <c r="AP21" s="32">
        <f t="shared" ca="1" si="7"/>
        <v>31.970427000000001</v>
      </c>
      <c r="AQ21" s="32">
        <f t="shared" ca="1" si="7"/>
        <v>31.681696000000002</v>
      </c>
      <c r="AR21" s="32">
        <f t="shared" ca="1" si="7"/>
        <v>31.394264</v>
      </c>
      <c r="AS21" s="32">
        <f t="shared" ca="1" si="7"/>
        <v>31.108421999999997</v>
      </c>
      <c r="AT21" s="32">
        <f t="shared" ca="1" si="7"/>
        <v>30.823987000000002</v>
      </c>
      <c r="AU21" s="32">
        <f t="shared" ca="1" si="7"/>
        <v>30.540932000000002</v>
      </c>
      <c r="AV21" s="32">
        <f t="shared" ca="1" si="7"/>
        <v>30.259187000000001</v>
      </c>
    </row>
    <row r="22" spans="2:48" ht="14.45" x14ac:dyDescent="0.35"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</row>
    <row r="23" spans="2:48" ht="14.45" x14ac:dyDescent="0.35">
      <c r="B23" t="s">
        <v>905</v>
      </c>
      <c r="D23" s="32">
        <f t="shared" ca="1" si="6"/>
        <v>44.496510000000001</v>
      </c>
      <c r="E23" s="32">
        <f t="shared" ca="1" si="5"/>
        <v>43.9497</v>
      </c>
      <c r="F23" s="32">
        <f t="shared" ca="1" si="5"/>
        <v>43.37135</v>
      </c>
      <c r="G23" s="32">
        <f t="shared" ca="1" si="5"/>
        <v>42.778880000000001</v>
      </c>
      <c r="H23" s="32">
        <f t="shared" ca="1" si="5"/>
        <v>42.190959999999997</v>
      </c>
      <c r="I23" s="32">
        <f t="shared" ca="1" si="5"/>
        <v>41.69462</v>
      </c>
      <c r="J23" s="32">
        <f t="shared" ca="1" si="5"/>
        <v>41.25123</v>
      </c>
      <c r="K23" s="32">
        <f t="shared" ca="1" si="5"/>
        <v>40.789349999999999</v>
      </c>
      <c r="L23" s="32">
        <f t="shared" ca="1" si="5"/>
        <v>40.399099999999997</v>
      </c>
      <c r="M23" s="32">
        <f t="shared" ca="1" si="5"/>
        <v>39.771700000000003</v>
      </c>
      <c r="N23" s="32">
        <f t="shared" ca="1" si="5"/>
        <v>39.358530000000002</v>
      </c>
      <c r="O23" s="32">
        <f t="shared" ca="1" si="5"/>
        <v>38.969209999999997</v>
      </c>
      <c r="P23" s="32">
        <f t="shared" ca="1" si="5"/>
        <v>38.559699999999999</v>
      </c>
      <c r="Q23" s="32">
        <f t="shared" ca="1" si="5"/>
        <v>38.136490000000002</v>
      </c>
      <c r="R23" s="32">
        <f t="shared" ca="1" si="5"/>
        <v>37.726010000000002</v>
      </c>
      <c r="S23" s="32">
        <f t="shared" ca="1" si="5"/>
        <v>37.305529999999997</v>
      </c>
      <c r="T23" s="32">
        <f t="shared" ca="1" si="5"/>
        <v>36.876899999999999</v>
      </c>
      <c r="U23" s="32">
        <f t="shared" ca="1" si="5"/>
        <v>36.440379999999998</v>
      </c>
      <c r="V23" s="32">
        <f t="shared" ca="1" si="5"/>
        <v>35.995150000000002</v>
      </c>
      <c r="W23" s="32">
        <f t="shared" ca="1" si="5"/>
        <v>35.539589999999997</v>
      </c>
      <c r="X23" s="32">
        <f t="shared" ca="1" si="5"/>
        <v>35.071359999999999</v>
      </c>
      <c r="Y23" s="32">
        <f t="shared" ca="1" si="5"/>
        <v>34.561810000000001</v>
      </c>
      <c r="Z23" s="32">
        <f t="shared" ca="1" si="5"/>
        <v>34.011699999999998</v>
      </c>
      <c r="AA23" s="32">
        <f t="shared" ca="1" si="5"/>
        <v>33.420319999999997</v>
      </c>
      <c r="AB23" s="32">
        <f t="shared" ca="1" si="5"/>
        <v>32.785730000000001</v>
      </c>
      <c r="AC23" s="32">
        <f t="shared" ca="1" si="5"/>
        <v>32.234499999999997</v>
      </c>
      <c r="AD23" s="32">
        <f t="shared" ca="1" si="5"/>
        <v>31.6691</v>
      </c>
      <c r="AE23" s="32">
        <f t="shared" ca="1" si="5"/>
        <v>31.10567</v>
      </c>
      <c r="AF23" s="32">
        <f t="shared" ca="1" si="5"/>
        <v>30.55527</v>
      </c>
      <c r="AG23" s="32">
        <f t="shared" ca="1" si="5"/>
        <v>30.023019999999999</v>
      </c>
      <c r="AH23" s="32">
        <f t="shared" ca="1" si="5"/>
        <v>29.510719999999999</v>
      </c>
      <c r="AI23" s="32">
        <f t="shared" ca="1" si="5"/>
        <v>29.018370000000001</v>
      </c>
      <c r="AJ23" s="32">
        <f t="shared" ca="1" si="5"/>
        <v>28.54494</v>
      </c>
      <c r="AK23" s="32">
        <f t="shared" ca="1" si="5"/>
        <v>28.088830000000002</v>
      </c>
      <c r="AL23" s="32">
        <f t="shared" ca="1" si="5"/>
        <v>27.648070000000001</v>
      </c>
      <c r="AM23" s="32">
        <f t="shared" ca="1" si="5"/>
        <v>27.22045</v>
      </c>
      <c r="AN23" s="32">
        <f t="shared" ca="1" si="5"/>
        <v>26.803570000000001</v>
      </c>
      <c r="AO23" s="32">
        <f t="shared" ca="1" si="5"/>
        <v>26.394870000000001</v>
      </c>
      <c r="AP23" s="32">
        <f t="shared" ca="1" si="5"/>
        <v>25.991700000000002</v>
      </c>
      <c r="AQ23" s="32">
        <f t="shared" ca="1" si="5"/>
        <v>25.59131</v>
      </c>
      <c r="AR23" s="32">
        <f t="shared" ca="1" si="5"/>
        <v>25.191040000000001</v>
      </c>
      <c r="AS23" s="32">
        <f t="shared" ca="1" si="5"/>
        <v>24.78912</v>
      </c>
      <c r="AT23" s="32">
        <f t="shared" ca="1" si="5"/>
        <v>24.38223</v>
      </c>
      <c r="AU23" s="32">
        <f t="shared" ca="1" si="5"/>
        <v>23.967939999999999</v>
      </c>
      <c r="AV23" s="32">
        <f t="shared" ca="1" si="5"/>
        <v>23.54401</v>
      </c>
    </row>
    <row r="24" spans="2:48" x14ac:dyDescent="0.25">
      <c r="B24" t="s">
        <v>906</v>
      </c>
      <c r="D24" s="32">
        <f t="shared" ca="1" si="6"/>
        <v>0.39149600000000001</v>
      </c>
      <c r="E24" s="32">
        <f t="shared" ca="1" si="5"/>
        <v>0.38233200000000001</v>
      </c>
      <c r="F24" s="32">
        <f t="shared" ca="1" si="5"/>
        <v>0.37343100000000001</v>
      </c>
      <c r="G24" s="32">
        <f t="shared" ca="1" si="5"/>
        <v>0.36486200000000002</v>
      </c>
      <c r="H24" s="32">
        <f t="shared" ca="1" si="5"/>
        <v>0.35668499999999997</v>
      </c>
      <c r="I24" s="32">
        <f t="shared" ca="1" si="5"/>
        <v>0.348916</v>
      </c>
      <c r="J24" s="32">
        <f t="shared" ca="1" si="5"/>
        <v>0.341835</v>
      </c>
      <c r="K24" s="32">
        <f t="shared" ref="E24:AV27" ca="1" si="8">Output("SCEN_ADEMEhaut",$B24,K$1)</f>
        <v>0.33558399999999999</v>
      </c>
      <c r="L24" s="32">
        <f t="shared" ca="1" si="8"/>
        <v>0.32933800000000002</v>
      </c>
      <c r="M24" s="32">
        <f t="shared" ca="1" si="8"/>
        <v>0.29270600000000002</v>
      </c>
      <c r="N24" s="32">
        <f t="shared" ca="1" si="8"/>
        <v>0.28609699999999999</v>
      </c>
      <c r="O24" s="32">
        <f t="shared" ca="1" si="8"/>
        <v>0.27964899999999998</v>
      </c>
      <c r="P24" s="32">
        <f t="shared" ca="1" si="8"/>
        <v>0.27332299999999998</v>
      </c>
      <c r="Q24" s="32">
        <f t="shared" ca="1" si="8"/>
        <v>0.26706800000000003</v>
      </c>
      <c r="R24" s="32">
        <f t="shared" ca="1" si="8"/>
        <v>0.26083800000000001</v>
      </c>
      <c r="S24" s="32">
        <f t="shared" ca="1" si="8"/>
        <v>0.255853</v>
      </c>
      <c r="T24" s="32">
        <f t="shared" ca="1" si="8"/>
        <v>0.25084000000000001</v>
      </c>
      <c r="U24" s="32">
        <f t="shared" ca="1" si="8"/>
        <v>0.24576000000000001</v>
      </c>
      <c r="V24" s="32">
        <f t="shared" ca="1" si="8"/>
        <v>0.24058199999999999</v>
      </c>
      <c r="W24" s="32">
        <f t="shared" ca="1" si="8"/>
        <v>0.23528299999999999</v>
      </c>
      <c r="X24" s="32">
        <f t="shared" ca="1" si="8"/>
        <v>0.22984499999999999</v>
      </c>
      <c r="Y24" s="32">
        <f t="shared" ca="1" si="8"/>
        <v>0.22389400000000001</v>
      </c>
      <c r="Z24" s="32">
        <f t="shared" ca="1" si="8"/>
        <v>0.21751300000000001</v>
      </c>
      <c r="AA24" s="32">
        <f t="shared" ca="1" si="8"/>
        <v>0.210762</v>
      </c>
      <c r="AB24" s="32">
        <f t="shared" ca="1" si="8"/>
        <v>0.20368800000000001</v>
      </c>
      <c r="AC24" s="32">
        <f t="shared" ca="1" si="8"/>
        <v>0.19814300000000001</v>
      </c>
      <c r="AD24" s="32">
        <f t="shared" ca="1" si="8"/>
        <v>0.192556</v>
      </c>
      <c r="AE24" s="32">
        <f t="shared" ca="1" si="8"/>
        <v>0.18706999999999999</v>
      </c>
      <c r="AF24" s="32">
        <f t="shared" ca="1" si="8"/>
        <v>0.18176400000000001</v>
      </c>
      <c r="AG24" s="32">
        <f t="shared" ca="1" si="8"/>
        <v>0.176677</v>
      </c>
      <c r="AH24" s="32">
        <f t="shared" ca="1" si="8"/>
        <v>0.17182900000000001</v>
      </c>
      <c r="AI24" s="32">
        <f t="shared" ca="1" si="8"/>
        <v>0.16722300000000001</v>
      </c>
      <c r="AJ24" s="32">
        <f t="shared" ca="1" si="8"/>
        <v>0.162855</v>
      </c>
      <c r="AK24" s="32">
        <f t="shared" ca="1" si="8"/>
        <v>0.15871399999999999</v>
      </c>
      <c r="AL24" s="32">
        <f t="shared" ca="1" si="8"/>
        <v>0.15478600000000001</v>
      </c>
      <c r="AM24" s="32">
        <f t="shared" ca="1" si="8"/>
        <v>0.15105199999999999</v>
      </c>
      <c r="AN24" s="32">
        <f t="shared" ca="1" si="8"/>
        <v>0.14749100000000001</v>
      </c>
      <c r="AO24" s="32">
        <f t="shared" ca="1" si="8"/>
        <v>0.14407800000000001</v>
      </c>
      <c r="AP24" s="32">
        <f t="shared" ca="1" si="8"/>
        <v>0.140788</v>
      </c>
      <c r="AQ24" s="32">
        <f t="shared" ca="1" si="8"/>
        <v>0.13759199999999999</v>
      </c>
      <c r="AR24" s="32">
        <f t="shared" ca="1" si="8"/>
        <v>0.13446</v>
      </c>
      <c r="AS24" s="32">
        <f t="shared" ca="1" si="8"/>
        <v>0.13136100000000001</v>
      </c>
      <c r="AT24" s="32">
        <f t="shared" ca="1" si="8"/>
        <v>0.12826299999999999</v>
      </c>
      <c r="AU24" s="32">
        <f t="shared" ca="1" si="8"/>
        <v>0.12513199999999999</v>
      </c>
      <c r="AV24" s="32">
        <f t="shared" ca="1" si="8"/>
        <v>0.121933</v>
      </c>
    </row>
    <row r="25" spans="2:48" x14ac:dyDescent="0.25">
      <c r="B25" t="s">
        <v>907</v>
      </c>
      <c r="D25" s="32">
        <f t="shared" ca="1" si="6"/>
        <v>7.3433000000000002</v>
      </c>
      <c r="E25" s="32">
        <f t="shared" ca="1" si="8"/>
        <v>7.2061130000000002</v>
      </c>
      <c r="F25" s="32">
        <f t="shared" ca="1" si="8"/>
        <v>7.0609130000000002</v>
      </c>
      <c r="G25" s="32">
        <f t="shared" ca="1" si="8"/>
        <v>6.9118709999999997</v>
      </c>
      <c r="H25" s="32">
        <f t="shared" ca="1" si="8"/>
        <v>6.762054</v>
      </c>
      <c r="I25" s="32">
        <f t="shared" ca="1" si="8"/>
        <v>6.6692830000000001</v>
      </c>
      <c r="J25" s="32">
        <f t="shared" ca="1" si="8"/>
        <v>6.5834520000000003</v>
      </c>
      <c r="K25" s="32">
        <f t="shared" ca="1" si="8"/>
        <v>6.5148590000000004</v>
      </c>
      <c r="L25" s="32">
        <f t="shared" ca="1" si="8"/>
        <v>6.4510420000000002</v>
      </c>
      <c r="M25" s="32">
        <f t="shared" ca="1" si="8"/>
        <v>6.3047300000000002</v>
      </c>
      <c r="N25" s="32">
        <f t="shared" ca="1" si="8"/>
        <v>6.2091370000000001</v>
      </c>
      <c r="O25" s="32">
        <f t="shared" ca="1" si="8"/>
        <v>6.0949410000000004</v>
      </c>
      <c r="P25" s="32">
        <f t="shared" ca="1" si="8"/>
        <v>5.9744830000000002</v>
      </c>
      <c r="Q25" s="32">
        <f t="shared" ca="1" si="8"/>
        <v>5.8497479999999999</v>
      </c>
      <c r="R25" s="32">
        <f t="shared" ca="1" si="8"/>
        <v>5.7397460000000002</v>
      </c>
      <c r="S25" s="32">
        <f t="shared" ca="1" si="8"/>
        <v>5.5980860000000003</v>
      </c>
      <c r="T25" s="32">
        <f t="shared" ca="1" si="8"/>
        <v>5.4501650000000001</v>
      </c>
      <c r="U25" s="32">
        <f t="shared" ca="1" si="8"/>
        <v>5.2966540000000002</v>
      </c>
      <c r="V25" s="32">
        <f t="shared" ca="1" si="8"/>
        <v>5.1380840000000001</v>
      </c>
      <c r="W25" s="32">
        <f t="shared" ca="1" si="8"/>
        <v>4.9750249999999996</v>
      </c>
      <c r="X25" s="32">
        <f t="shared" ca="1" si="8"/>
        <v>4.8081670000000001</v>
      </c>
      <c r="Y25" s="32">
        <f t="shared" ca="1" si="8"/>
        <v>4.6343420000000002</v>
      </c>
      <c r="Z25" s="32">
        <f t="shared" ca="1" si="8"/>
        <v>4.4553989999999999</v>
      </c>
      <c r="AA25" s="32">
        <f t="shared" ca="1" si="8"/>
        <v>4.273072</v>
      </c>
      <c r="AB25" s="32">
        <f t="shared" ca="1" si="8"/>
        <v>4.0889550000000003</v>
      </c>
      <c r="AC25" s="32">
        <f t="shared" ca="1" si="8"/>
        <v>3.9524699999999999</v>
      </c>
      <c r="AD25" s="32">
        <f t="shared" ca="1" si="8"/>
        <v>3.8223250000000002</v>
      </c>
      <c r="AE25" s="32">
        <f t="shared" ca="1" si="8"/>
        <v>3.6995459999999998</v>
      </c>
      <c r="AF25" s="32">
        <f t="shared" ca="1" si="8"/>
        <v>3.5843739999999999</v>
      </c>
      <c r="AG25" s="32">
        <f t="shared" ca="1" si="8"/>
        <v>3.4765489999999999</v>
      </c>
      <c r="AH25" s="32">
        <f t="shared" ca="1" si="8"/>
        <v>3.3755329999999999</v>
      </c>
      <c r="AI25" s="32">
        <f t="shared" ca="1" si="8"/>
        <v>3.2806299999999999</v>
      </c>
      <c r="AJ25" s="32">
        <f t="shared" ca="1" si="8"/>
        <v>3.1910530000000001</v>
      </c>
      <c r="AK25" s="32">
        <f t="shared" ca="1" si="8"/>
        <v>3.105953</v>
      </c>
      <c r="AL25" s="32">
        <f t="shared" ca="1" si="8"/>
        <v>3.0244420000000001</v>
      </c>
      <c r="AM25" s="32">
        <f t="shared" ca="1" si="8"/>
        <v>2.9456009999999999</v>
      </c>
      <c r="AN25" s="32">
        <f t="shared" ca="1" si="8"/>
        <v>2.8684970000000001</v>
      </c>
      <c r="AO25" s="32">
        <f t="shared" ca="1" si="8"/>
        <v>2.7921939999999998</v>
      </c>
      <c r="AP25" s="32">
        <f t="shared" ca="1" si="8"/>
        <v>2.7157849999999999</v>
      </c>
      <c r="AQ25" s="32">
        <f t="shared" ca="1" si="8"/>
        <v>2.6384150000000002</v>
      </c>
      <c r="AR25" s="32">
        <f t="shared" ca="1" si="8"/>
        <v>2.559329</v>
      </c>
      <c r="AS25" s="32">
        <f t="shared" ca="1" si="8"/>
        <v>2.4779749999999998</v>
      </c>
      <c r="AT25" s="32">
        <f t="shared" ca="1" si="8"/>
        <v>2.3938290000000002</v>
      </c>
      <c r="AU25" s="32">
        <f t="shared" ca="1" si="8"/>
        <v>2.306629</v>
      </c>
      <c r="AV25" s="32">
        <f t="shared" ca="1" si="8"/>
        <v>2.2163059999999999</v>
      </c>
    </row>
    <row r="26" spans="2:48" x14ac:dyDescent="0.25">
      <c r="B26" t="s">
        <v>908</v>
      </c>
      <c r="D26" s="32">
        <f t="shared" ca="1" si="6"/>
        <v>12.740180000000001</v>
      </c>
      <c r="E26" s="32">
        <f t="shared" ca="1" si="8"/>
        <v>12.72523</v>
      </c>
      <c r="F26" s="32">
        <f t="shared" ca="1" si="8"/>
        <v>12.711209999999999</v>
      </c>
      <c r="G26" s="32">
        <f t="shared" ca="1" si="8"/>
        <v>12.696770000000001</v>
      </c>
      <c r="H26" s="32">
        <f t="shared" ca="1" si="8"/>
        <v>12.68336</v>
      </c>
      <c r="I26" s="32">
        <f t="shared" ca="1" si="8"/>
        <v>12.65136</v>
      </c>
      <c r="J26" s="32">
        <f t="shared" ca="1" si="8"/>
        <v>12.620900000000001</v>
      </c>
      <c r="K26" s="32">
        <f t="shared" ca="1" si="8"/>
        <v>12.489459999999999</v>
      </c>
      <c r="L26" s="32">
        <f t="shared" ca="1" si="8"/>
        <v>12.40193</v>
      </c>
      <c r="M26" s="32">
        <f t="shared" ca="1" si="8"/>
        <v>12.37758</v>
      </c>
      <c r="N26" s="32">
        <f t="shared" ca="1" si="8"/>
        <v>12.22513</v>
      </c>
      <c r="O26" s="32">
        <f t="shared" ca="1" si="8"/>
        <v>12.17578</v>
      </c>
      <c r="P26" s="32">
        <f t="shared" ca="1" si="8"/>
        <v>12.133839999999999</v>
      </c>
      <c r="Q26" s="32">
        <f t="shared" ca="1" si="8"/>
        <v>12.09342</v>
      </c>
      <c r="R26" s="32">
        <f t="shared" ca="1" si="8"/>
        <v>12.04609</v>
      </c>
      <c r="S26" s="32">
        <f t="shared" ca="1" si="8"/>
        <v>12.006819999999999</v>
      </c>
      <c r="T26" s="32">
        <f t="shared" ca="1" si="8"/>
        <v>11.964359999999999</v>
      </c>
      <c r="U26" s="32">
        <f t="shared" ca="1" si="8"/>
        <v>11.9156</v>
      </c>
      <c r="V26" s="32">
        <f t="shared" ca="1" si="8"/>
        <v>11.857710000000001</v>
      </c>
      <c r="W26" s="32">
        <f t="shared" ca="1" si="8"/>
        <v>11.7881</v>
      </c>
      <c r="X26" s="32">
        <f t="shared" ca="1" si="8"/>
        <v>11.7042</v>
      </c>
      <c r="Y26" s="32">
        <f t="shared" ca="1" si="8"/>
        <v>11.600529999999999</v>
      </c>
      <c r="Z26" s="32">
        <f t="shared" ca="1" si="8"/>
        <v>11.47458</v>
      </c>
      <c r="AA26" s="32">
        <f t="shared" ca="1" si="8"/>
        <v>11.32441</v>
      </c>
      <c r="AB26" s="32">
        <f t="shared" ca="1" si="8"/>
        <v>11.148669999999999</v>
      </c>
      <c r="AC26" s="32">
        <f t="shared" ca="1" si="8"/>
        <v>11.096399999999999</v>
      </c>
      <c r="AD26" s="32">
        <f t="shared" ca="1" si="8"/>
        <v>11.026439999999999</v>
      </c>
      <c r="AE26" s="32">
        <f t="shared" ca="1" si="8"/>
        <v>10.947889999999999</v>
      </c>
      <c r="AF26" s="32">
        <f t="shared" ca="1" si="8"/>
        <v>10.865600000000001</v>
      </c>
      <c r="AG26" s="32">
        <f t="shared" ca="1" si="8"/>
        <v>10.782</v>
      </c>
      <c r="AH26" s="32">
        <f t="shared" ca="1" si="8"/>
        <v>10.698180000000001</v>
      </c>
      <c r="AI26" s="32">
        <f t="shared" ca="1" si="8"/>
        <v>10.61462</v>
      </c>
      <c r="AJ26" s="32">
        <f t="shared" ca="1" si="8"/>
        <v>10.53153</v>
      </c>
      <c r="AK26" s="32">
        <f t="shared" ca="1" si="8"/>
        <v>10.44899</v>
      </c>
      <c r="AL26" s="32">
        <f t="shared" ca="1" si="8"/>
        <v>10.36708</v>
      </c>
      <c r="AM26" s="32">
        <f t="shared" ca="1" si="8"/>
        <v>10.28585</v>
      </c>
      <c r="AN26" s="32">
        <f t="shared" ca="1" si="8"/>
        <v>10.205410000000001</v>
      </c>
      <c r="AO26" s="32">
        <f t="shared" ca="1" si="8"/>
        <v>10.12585</v>
      </c>
      <c r="AP26" s="32">
        <f t="shared" ca="1" si="8"/>
        <v>10.047319999999999</v>
      </c>
      <c r="AQ26" s="32">
        <f t="shared" ca="1" si="8"/>
        <v>9.9699290000000005</v>
      </c>
      <c r="AR26" s="32">
        <f t="shared" ca="1" si="8"/>
        <v>9.8938500000000005</v>
      </c>
      <c r="AS26" s="32">
        <f t="shared" ca="1" si="8"/>
        <v>9.8197939999999999</v>
      </c>
      <c r="AT26" s="32">
        <f t="shared" ca="1" si="8"/>
        <v>9.7474059999999998</v>
      </c>
      <c r="AU26" s="32">
        <f t="shared" ca="1" si="8"/>
        <v>9.6767330000000005</v>
      </c>
      <c r="AV26" s="32">
        <f t="shared" ca="1" si="8"/>
        <v>9.607863</v>
      </c>
    </row>
    <row r="27" spans="2:48" x14ac:dyDescent="0.25">
      <c r="B27" t="s">
        <v>909</v>
      </c>
      <c r="D27" s="32">
        <f t="shared" ca="1" si="6"/>
        <v>24.021529999999998</v>
      </c>
      <c r="E27" s="32">
        <f t="shared" ca="1" si="8"/>
        <v>23.636030000000002</v>
      </c>
      <c r="F27" s="32">
        <f t="shared" ca="1" si="8"/>
        <v>23.2258</v>
      </c>
      <c r="G27" s="32">
        <f t="shared" ca="1" si="8"/>
        <v>22.80537</v>
      </c>
      <c r="H27" s="32">
        <f t="shared" ca="1" si="8"/>
        <v>22.388870000000001</v>
      </c>
      <c r="I27" s="32">
        <f t="shared" ca="1" si="8"/>
        <v>22.025069999999999</v>
      </c>
      <c r="J27" s="32">
        <f t="shared" ca="1" si="8"/>
        <v>21.70504</v>
      </c>
      <c r="K27" s="32">
        <f t="shared" ca="1" si="8"/>
        <v>21.449449999999999</v>
      </c>
      <c r="L27" s="32">
        <f t="shared" ca="1" si="8"/>
        <v>21.21679</v>
      </c>
      <c r="M27" s="32">
        <f t="shared" ca="1" si="8"/>
        <v>20.796690000000002</v>
      </c>
      <c r="N27" s="32">
        <f t="shared" ca="1" si="8"/>
        <v>20.638169999999999</v>
      </c>
      <c r="O27" s="32">
        <f t="shared" ca="1" si="8"/>
        <v>20.41883</v>
      </c>
      <c r="P27" s="32">
        <f t="shared" ca="1" si="8"/>
        <v>20.178049999999999</v>
      </c>
      <c r="Q27" s="32">
        <f t="shared" ca="1" si="8"/>
        <v>19.92625</v>
      </c>
      <c r="R27" s="32">
        <f t="shared" ca="1" si="8"/>
        <v>19.67933</v>
      </c>
      <c r="S27" s="32">
        <f t="shared" ca="1" si="8"/>
        <v>19.444769999999998</v>
      </c>
      <c r="T27" s="32">
        <f t="shared" ca="1" si="8"/>
        <v>19.21153</v>
      </c>
      <c r="U27" s="32">
        <f t="shared" ca="1" si="8"/>
        <v>18.98237</v>
      </c>
      <c r="V27" s="32">
        <f t="shared" ca="1" si="8"/>
        <v>18.758769999999998</v>
      </c>
      <c r="W27" s="32">
        <f t="shared" ca="1" si="8"/>
        <v>18.541180000000001</v>
      </c>
      <c r="X27" s="32">
        <f t="shared" ca="1" si="8"/>
        <v>18.329149999999998</v>
      </c>
      <c r="Y27" s="32">
        <f t="shared" ca="1" si="8"/>
        <v>18.10305</v>
      </c>
      <c r="Z27" s="32">
        <f t="shared" ca="1" si="8"/>
        <v>17.86421</v>
      </c>
      <c r="AA27" s="32">
        <f t="shared" ca="1" si="8"/>
        <v>17.612079999999999</v>
      </c>
      <c r="AB27" s="32">
        <f t="shared" ca="1" si="8"/>
        <v>17.34442</v>
      </c>
      <c r="AC27" s="32">
        <f t="shared" ca="1" si="8"/>
        <v>16.987490000000001</v>
      </c>
      <c r="AD27" s="32">
        <f t="shared" ca="1" si="8"/>
        <v>16.627780000000001</v>
      </c>
      <c r="AE27" s="32">
        <f t="shared" ca="1" si="8"/>
        <v>16.271170000000001</v>
      </c>
      <c r="AF27" s="32">
        <f t="shared" ca="1" si="8"/>
        <v>15.92353</v>
      </c>
      <c r="AG27" s="32">
        <f t="shared" ca="1" si="8"/>
        <v>15.58779</v>
      </c>
      <c r="AH27" s="32">
        <f t="shared" ca="1" si="8"/>
        <v>15.265180000000001</v>
      </c>
      <c r="AI27" s="32">
        <f t="shared" ca="1" si="8"/>
        <v>14.9559</v>
      </c>
      <c r="AJ27" s="32">
        <f t="shared" ca="1" si="8"/>
        <v>14.6595</v>
      </c>
      <c r="AK27" s="32">
        <f t="shared" ca="1" si="8"/>
        <v>14.375170000000001</v>
      </c>
      <c r="AL27" s="32">
        <f t="shared" ca="1" si="8"/>
        <v>14.10177</v>
      </c>
      <c r="AM27" s="32">
        <f t="shared" ca="1" si="8"/>
        <v>13.837949999999999</v>
      </c>
      <c r="AN27" s="32">
        <f t="shared" ca="1" si="8"/>
        <v>13.58217</v>
      </c>
      <c r="AO27" s="32">
        <f t="shared" ca="1" si="8"/>
        <v>13.332739999999999</v>
      </c>
      <c r="AP27" s="32">
        <f t="shared" ca="1" si="8"/>
        <v>13.087809999999999</v>
      </c>
      <c r="AQ27" s="32">
        <f t="shared" ca="1" si="8"/>
        <v>12.845370000000001</v>
      </c>
      <c r="AR27" s="32">
        <f t="shared" ca="1" si="8"/>
        <v>12.603400000000001</v>
      </c>
      <c r="AS27" s="32">
        <f t="shared" ca="1" si="8"/>
        <v>12.35999</v>
      </c>
      <c r="AT27" s="32">
        <f t="shared" ca="1" si="8"/>
        <v>12.112730000000001</v>
      </c>
      <c r="AU27" s="32">
        <f t="shared" ca="1" si="8"/>
        <v>11.859439999999999</v>
      </c>
      <c r="AV27" s="32">
        <f t="shared" ca="1" si="8"/>
        <v>11.597910000000001</v>
      </c>
    </row>
    <row r="28" spans="2:48" x14ac:dyDescent="0.25">
      <c r="B28" t="s">
        <v>769</v>
      </c>
      <c r="D28" s="32">
        <f ca="1">SUM(D24:D27)</f>
        <v>44.496505999999997</v>
      </c>
      <c r="E28" s="32">
        <f t="shared" ref="E28:AV28" ca="1" si="9">SUM(E24:E27)</f>
        <v>43.949705000000002</v>
      </c>
      <c r="F28" s="32">
        <f t="shared" ca="1" si="9"/>
        <v>43.371353999999997</v>
      </c>
      <c r="G28" s="32">
        <f t="shared" ca="1" si="9"/>
        <v>42.778873000000004</v>
      </c>
      <c r="H28" s="32">
        <f t="shared" ca="1" si="9"/>
        <v>42.190968999999996</v>
      </c>
      <c r="I28" s="32">
        <f t="shared" ca="1" si="9"/>
        <v>41.694628999999999</v>
      </c>
      <c r="J28" s="32">
        <f t="shared" ca="1" si="9"/>
        <v>41.251227</v>
      </c>
      <c r="K28" s="32">
        <f t="shared" ca="1" si="9"/>
        <v>40.789352999999998</v>
      </c>
      <c r="L28" s="32">
        <f t="shared" ca="1" si="9"/>
        <v>40.399100000000004</v>
      </c>
      <c r="M28" s="32">
        <f t="shared" ca="1" si="9"/>
        <v>39.771706000000002</v>
      </c>
      <c r="N28" s="32">
        <f t="shared" ca="1" si="9"/>
        <v>39.358533999999999</v>
      </c>
      <c r="O28" s="32">
        <f t="shared" ca="1" si="9"/>
        <v>38.969200000000001</v>
      </c>
      <c r="P28" s="32">
        <f t="shared" ca="1" si="9"/>
        <v>38.559696000000002</v>
      </c>
      <c r="Q28" s="32">
        <f t="shared" ca="1" si="9"/>
        <v>38.136486000000005</v>
      </c>
      <c r="R28" s="32">
        <f t="shared" ca="1" si="9"/>
        <v>37.726004000000003</v>
      </c>
      <c r="S28" s="32">
        <f t="shared" ca="1" si="9"/>
        <v>37.305529</v>
      </c>
      <c r="T28" s="32">
        <f t="shared" ca="1" si="9"/>
        <v>36.876895000000005</v>
      </c>
      <c r="U28" s="32">
        <f t="shared" ca="1" si="9"/>
        <v>36.440383999999995</v>
      </c>
      <c r="V28" s="32">
        <f t="shared" ca="1" si="9"/>
        <v>35.995145999999998</v>
      </c>
      <c r="W28" s="32">
        <f t="shared" ca="1" si="9"/>
        <v>35.539587999999995</v>
      </c>
      <c r="X28" s="32">
        <f t="shared" ca="1" si="9"/>
        <v>35.071362000000001</v>
      </c>
      <c r="Y28" s="32">
        <f t="shared" ca="1" si="9"/>
        <v>34.561815999999993</v>
      </c>
      <c r="Z28" s="32">
        <f t="shared" ca="1" si="9"/>
        <v>34.011702</v>
      </c>
      <c r="AA28" s="32">
        <f t="shared" ca="1" si="9"/>
        <v>33.420324000000001</v>
      </c>
      <c r="AB28" s="32">
        <f t="shared" ca="1" si="9"/>
        <v>32.785733</v>
      </c>
      <c r="AC28" s="32">
        <f t="shared" ca="1" si="9"/>
        <v>32.234503000000004</v>
      </c>
      <c r="AD28" s="32">
        <f t="shared" ca="1" si="9"/>
        <v>31.669101000000001</v>
      </c>
      <c r="AE28" s="32">
        <f t="shared" ca="1" si="9"/>
        <v>31.105676000000003</v>
      </c>
      <c r="AF28" s="32">
        <f t="shared" ca="1" si="9"/>
        <v>30.555267999999998</v>
      </c>
      <c r="AG28" s="32">
        <f t="shared" ca="1" si="9"/>
        <v>30.023015999999998</v>
      </c>
      <c r="AH28" s="32">
        <f t="shared" ca="1" si="9"/>
        <v>29.510722000000001</v>
      </c>
      <c r="AI28" s="32">
        <f t="shared" ca="1" si="9"/>
        <v>29.018373</v>
      </c>
      <c r="AJ28" s="32">
        <f t="shared" ca="1" si="9"/>
        <v>28.544938000000002</v>
      </c>
      <c r="AK28" s="32">
        <f t="shared" ca="1" si="9"/>
        <v>28.088827000000002</v>
      </c>
      <c r="AL28" s="32">
        <f t="shared" ca="1" si="9"/>
        <v>27.648077999999998</v>
      </c>
      <c r="AM28" s="32">
        <f t="shared" ca="1" si="9"/>
        <v>27.220452999999999</v>
      </c>
      <c r="AN28" s="32">
        <f t="shared" ca="1" si="9"/>
        <v>26.803567999999999</v>
      </c>
      <c r="AO28" s="32">
        <f t="shared" ca="1" si="9"/>
        <v>26.394861999999996</v>
      </c>
      <c r="AP28" s="32">
        <f t="shared" ca="1" si="9"/>
        <v>25.991703000000001</v>
      </c>
      <c r="AQ28" s="32">
        <f t="shared" ca="1" si="9"/>
        <v>25.591306000000003</v>
      </c>
      <c r="AR28" s="32">
        <f t="shared" ca="1" si="9"/>
        <v>25.191039</v>
      </c>
      <c r="AS28" s="32">
        <f t="shared" ca="1" si="9"/>
        <v>24.78912</v>
      </c>
      <c r="AT28" s="32">
        <f t="shared" ca="1" si="9"/>
        <v>24.382228000000001</v>
      </c>
      <c r="AU28" s="32">
        <f t="shared" ca="1" si="9"/>
        <v>23.967934</v>
      </c>
      <c r="AV28" s="32">
        <f t="shared" ca="1" si="9"/>
        <v>23.544012000000002</v>
      </c>
    </row>
    <row r="30" spans="2:48" x14ac:dyDescent="0.25">
      <c r="C30" s="28">
        <v>2006</v>
      </c>
      <c r="D30" s="28">
        <v>2010</v>
      </c>
      <c r="E30" s="28">
        <v>2020</v>
      </c>
      <c r="F30" s="28">
        <v>2030</v>
      </c>
      <c r="G30" s="28">
        <v>2050</v>
      </c>
    </row>
    <row r="31" spans="2:48" x14ac:dyDescent="0.25">
      <c r="B31" t="s">
        <v>770</v>
      </c>
      <c r="C31" s="32">
        <f ca="1">Output("SCEN_ADEMEhaut",$B31,C$30)</f>
        <v>65</v>
      </c>
      <c r="D31" s="127">
        <f t="shared" ref="D31:G40" ca="1" si="10">Output("SCEN_ADEMEhaut",$B31,D$30)</f>
        <v>59.219810000000003</v>
      </c>
      <c r="E31" s="127">
        <f t="shared" ca="1" si="10"/>
        <v>50.534039999999997</v>
      </c>
      <c r="F31" s="127">
        <f t="shared" ca="1" si="10"/>
        <v>46.156289999999998</v>
      </c>
      <c r="G31" s="127">
        <f ca="1">Output("SCEN_ADEMEhaut",$B31,G$30)</f>
        <v>32.749670000000002</v>
      </c>
    </row>
    <row r="32" spans="2:48" x14ac:dyDescent="0.25">
      <c r="B32" t="s">
        <v>771</v>
      </c>
      <c r="C32" s="32">
        <f t="shared" ref="C32:C40" ca="1" si="11">Output("SCEN_ADEMEhaut",$B32,C$30)</f>
        <v>43742</v>
      </c>
      <c r="D32" s="127">
        <f ca="1">Output("SCEN_ADEMEhaut",$B32,D$30)</f>
        <v>40490.53</v>
      </c>
      <c r="E32" s="127">
        <f t="shared" ca="1" si="10"/>
        <v>35772.57</v>
      </c>
      <c r="F32" s="127">
        <f t="shared" ca="1" si="10"/>
        <v>28958.51</v>
      </c>
      <c r="G32" s="127">
        <f t="shared" ca="1" si="10"/>
        <v>17433.86</v>
      </c>
    </row>
    <row r="33" spans="2:7" x14ac:dyDescent="0.25">
      <c r="B33" t="s">
        <v>772</v>
      </c>
      <c r="C33" s="32">
        <f t="shared" ca="1" si="11"/>
        <v>17844</v>
      </c>
      <c r="D33" s="127">
        <f t="shared" ca="1" si="10"/>
        <v>17795.009999999998</v>
      </c>
      <c r="E33" s="127">
        <f t="shared" ca="1" si="10"/>
        <v>17663.580000000002</v>
      </c>
      <c r="F33" s="127">
        <f t="shared" ca="1" si="10"/>
        <v>18664.3</v>
      </c>
      <c r="G33" s="127">
        <f t="shared" ca="1" si="10"/>
        <v>21125.51</v>
      </c>
    </row>
    <row r="34" spans="2:7" x14ac:dyDescent="0.25">
      <c r="B34" t="s">
        <v>773</v>
      </c>
      <c r="C34" s="32">
        <f t="shared" ca="1" si="11"/>
        <v>10467</v>
      </c>
      <c r="D34" s="127">
        <f t="shared" ca="1" si="10"/>
        <v>9755.5499999999993</v>
      </c>
      <c r="E34" s="127">
        <f t="shared" ca="1" si="10"/>
        <v>8773.1149999999998</v>
      </c>
      <c r="F34" s="127">
        <f t="shared" ca="1" si="10"/>
        <v>7925.5129999999999</v>
      </c>
      <c r="G34" s="127">
        <f t="shared" ca="1" si="10"/>
        <v>5698.8</v>
      </c>
    </row>
    <row r="35" spans="2:7" x14ac:dyDescent="0.25">
      <c r="B35" t="s">
        <v>768</v>
      </c>
      <c r="C35" s="32">
        <f ca="1">SUM(C31:C34)</f>
        <v>72118</v>
      </c>
      <c r="D35" s="127">
        <f t="shared" ref="D35:G35" ca="1" si="12">SUM(D31:D34)</f>
        <v>68100.309810000006</v>
      </c>
      <c r="E35" s="127">
        <f t="shared" ca="1" si="12"/>
        <v>62259.799039999998</v>
      </c>
      <c r="F35" s="127">
        <f t="shared" ca="1" si="12"/>
        <v>55594.479289999996</v>
      </c>
      <c r="G35" s="127">
        <f t="shared" ca="1" si="12"/>
        <v>44290.919670000003</v>
      </c>
    </row>
    <row r="36" spans="2:7" x14ac:dyDescent="0.25">
      <c r="C36" s="32"/>
      <c r="D36" s="127"/>
      <c r="E36" s="127"/>
      <c r="F36" s="127"/>
      <c r="G36" s="127"/>
    </row>
    <row r="37" spans="2:7" x14ac:dyDescent="0.25">
      <c r="B37" t="s">
        <v>774</v>
      </c>
      <c r="C37" s="32">
        <f t="shared" ca="1" si="11"/>
        <v>65</v>
      </c>
      <c r="D37" s="127">
        <f t="shared" ca="1" si="10"/>
        <v>59.220269999999999</v>
      </c>
      <c r="E37" s="127">
        <f t="shared" ca="1" si="10"/>
        <v>43.30688</v>
      </c>
      <c r="F37" s="127">
        <f t="shared" ca="1" si="10"/>
        <v>33.818339999999999</v>
      </c>
      <c r="G37" s="127">
        <f t="shared" ca="1" si="10"/>
        <v>20.244540000000001</v>
      </c>
    </row>
    <row r="38" spans="2:7" x14ac:dyDescent="0.25">
      <c r="B38" t="s">
        <v>775</v>
      </c>
      <c r="C38" s="32">
        <f t="shared" ca="1" si="11"/>
        <v>43742</v>
      </c>
      <c r="D38" s="127">
        <f t="shared" ca="1" si="10"/>
        <v>40454.15</v>
      </c>
      <c r="E38" s="127">
        <f t="shared" ca="1" si="10"/>
        <v>32994.43</v>
      </c>
      <c r="F38" s="127">
        <f t="shared" ca="1" si="10"/>
        <v>24068.9</v>
      </c>
      <c r="G38" s="127">
        <f t="shared" ca="1" si="10"/>
        <v>12731.13</v>
      </c>
    </row>
    <row r="39" spans="2:7" x14ac:dyDescent="0.25">
      <c r="B39" t="s">
        <v>776</v>
      </c>
      <c r="C39" s="32">
        <f t="shared" ca="1" si="11"/>
        <v>17844</v>
      </c>
      <c r="D39" s="127">
        <f t="shared" ca="1" si="10"/>
        <v>17806.55</v>
      </c>
      <c r="E39" s="127">
        <f t="shared" ca="1" si="10"/>
        <v>17530.27</v>
      </c>
      <c r="F39" s="127">
        <f t="shared" ca="1" si="10"/>
        <v>17255.82</v>
      </c>
      <c r="G39" s="127">
        <f t="shared" ca="1" si="10"/>
        <v>16502.330000000002</v>
      </c>
    </row>
    <row r="40" spans="2:7" x14ac:dyDescent="0.25">
      <c r="B40" t="s">
        <v>777</v>
      </c>
      <c r="C40" s="32">
        <f t="shared" ca="1" si="11"/>
        <v>10467</v>
      </c>
      <c r="D40" s="127">
        <f t="shared" ca="1" si="10"/>
        <v>9755.59</v>
      </c>
      <c r="E40" s="127">
        <f t="shared" ca="1" si="10"/>
        <v>8574.9529999999995</v>
      </c>
      <c r="F40" s="127">
        <f t="shared" ca="1" si="10"/>
        <v>7557.5540000000001</v>
      </c>
      <c r="G40" s="127">
        <f t="shared" ca="1" si="10"/>
        <v>5053.6040000000003</v>
      </c>
    </row>
    <row r="41" spans="2:7" x14ac:dyDescent="0.25">
      <c r="B41" t="s">
        <v>769</v>
      </c>
      <c r="C41" s="32">
        <f ca="1">SUM(C37:C40)</f>
        <v>72118</v>
      </c>
      <c r="D41" s="127">
        <f t="shared" ref="D41:G41" ca="1" si="13">SUM(D37:D40)</f>
        <v>68075.510269999999</v>
      </c>
      <c r="E41" s="127">
        <f t="shared" ca="1" si="13"/>
        <v>59142.959880000002</v>
      </c>
      <c r="F41" s="127">
        <f t="shared" ca="1" si="13"/>
        <v>48916.092340000003</v>
      </c>
      <c r="G41" s="127">
        <f t="shared" ca="1" si="13"/>
        <v>34307.308539999998</v>
      </c>
    </row>
    <row r="42" spans="2:7" x14ac:dyDescent="0.25">
      <c r="D42" s="128"/>
      <c r="E42" s="128"/>
      <c r="F42" s="128"/>
      <c r="G42" s="128"/>
    </row>
    <row r="43" spans="2:7" x14ac:dyDescent="0.25">
      <c r="B43" t="s">
        <v>896</v>
      </c>
      <c r="C43" s="32">
        <v>76983.483112875299</v>
      </c>
      <c r="D43" s="127">
        <f t="shared" ref="D43:G44" ca="1" si="14">Output("SCEN_ADEMEhaut",$B43,D$30)</f>
        <v>95986.73</v>
      </c>
      <c r="E43" s="127">
        <f t="shared" ca="1" si="14"/>
        <v>112214.3</v>
      </c>
      <c r="F43" s="127">
        <f t="shared" ca="1" si="14"/>
        <v>124151.7</v>
      </c>
      <c r="G43" s="127">
        <f t="shared" ca="1" si="14"/>
        <v>157139.6</v>
      </c>
    </row>
    <row r="44" spans="2:7" x14ac:dyDescent="0.25">
      <c r="B44" t="s">
        <v>897</v>
      </c>
      <c r="C44">
        <v>83963.308846731597</v>
      </c>
      <c r="D44" s="127">
        <f t="shared" ca="1" si="14"/>
        <v>82840.98</v>
      </c>
      <c r="E44" s="127">
        <f t="shared" ca="1" si="14"/>
        <v>73000.36</v>
      </c>
      <c r="F44" s="127">
        <f t="shared" ca="1" si="14"/>
        <v>65966.28</v>
      </c>
      <c r="G44" s="127">
        <f t="shared" ca="1" si="14"/>
        <v>65560.92</v>
      </c>
    </row>
    <row r="45" spans="2:7" x14ac:dyDescent="0.25">
      <c r="B45" t="s">
        <v>768</v>
      </c>
      <c r="D45" s="127">
        <f ca="1">SUM(D43:D44)</f>
        <v>178827.71</v>
      </c>
      <c r="E45" s="127">
        <f t="shared" ref="E45:G45" ca="1" si="15">SUM(E43:E44)</f>
        <v>185214.66</v>
      </c>
      <c r="F45" s="127">
        <f t="shared" ca="1" si="15"/>
        <v>190117.97999999998</v>
      </c>
      <c r="G45" s="127">
        <f t="shared" ca="1" si="15"/>
        <v>222700.52000000002</v>
      </c>
    </row>
    <row r="46" spans="2:7" x14ac:dyDescent="0.25">
      <c r="D46" s="127"/>
      <c r="E46" s="127"/>
      <c r="F46" s="128"/>
      <c r="G46" s="128"/>
    </row>
    <row r="47" spans="2:7" x14ac:dyDescent="0.25">
      <c r="B47" t="s">
        <v>898</v>
      </c>
      <c r="D47" s="127">
        <f t="shared" ref="D47:G48" ca="1" si="16">Output("SCEN_ADEMEhaut",$B47,D$30)</f>
        <v>95984.74</v>
      </c>
      <c r="E47" s="127">
        <f t="shared" ca="1" si="16"/>
        <v>114803.7</v>
      </c>
      <c r="F47" s="127">
        <f t="shared" ca="1" si="16"/>
        <v>132612.70000000001</v>
      </c>
      <c r="G47" s="127">
        <f t="shared" ca="1" si="16"/>
        <v>163132.79999999999</v>
      </c>
    </row>
    <row r="48" spans="2:7" x14ac:dyDescent="0.25">
      <c r="B48" t="s">
        <v>899</v>
      </c>
      <c r="D48" s="127">
        <f t="shared" ca="1" si="16"/>
        <v>82590.62</v>
      </c>
      <c r="E48" s="127">
        <f t="shared" ca="1" si="16"/>
        <v>69577.36</v>
      </c>
      <c r="F48" s="127">
        <f t="shared" ca="1" si="16"/>
        <v>71218.990000000005</v>
      </c>
      <c r="G48" s="127">
        <f t="shared" ca="1" si="16"/>
        <v>74722.17</v>
      </c>
    </row>
    <row r="49" spans="1:7" x14ac:dyDescent="0.25">
      <c r="B49" t="s">
        <v>882</v>
      </c>
      <c r="D49" s="127">
        <f ca="1">SUM(D47:D48)</f>
        <v>178575.35999999999</v>
      </c>
      <c r="E49" s="127">
        <f t="shared" ref="E49:G49" ca="1" si="17">SUM(E47:E48)</f>
        <v>184381.06</v>
      </c>
      <c r="F49" s="127">
        <f t="shared" ca="1" si="17"/>
        <v>203831.69</v>
      </c>
      <c r="G49" s="127">
        <f t="shared" ca="1" si="17"/>
        <v>237854.96999999997</v>
      </c>
    </row>
    <row r="50" spans="1:7" x14ac:dyDescent="0.25">
      <c r="D50" s="127"/>
      <c r="E50" s="127"/>
      <c r="F50" s="127"/>
      <c r="G50" s="127"/>
    </row>
    <row r="51" spans="1:7" x14ac:dyDescent="0.25">
      <c r="B51" t="s">
        <v>733</v>
      </c>
      <c r="C51" s="32">
        <f t="shared" ref="C51:G52" ca="1" si="18">Output("SCEN_ADEMEhaut",$B51,C$30)</f>
        <v>1159380</v>
      </c>
      <c r="D51" s="127">
        <f t="shared" ca="1" si="18"/>
        <v>1178434</v>
      </c>
      <c r="E51" s="127">
        <f t="shared" ca="1" si="18"/>
        <v>1358556</v>
      </c>
      <c r="F51" s="127">
        <f t="shared" ca="1" si="18"/>
        <v>1587709</v>
      </c>
      <c r="G51" s="127">
        <f t="shared" ca="1" si="18"/>
        <v>2150931</v>
      </c>
    </row>
    <row r="52" spans="1:7" x14ac:dyDescent="0.25">
      <c r="B52" t="s">
        <v>734</v>
      </c>
      <c r="C52" s="32">
        <f ca="1">Output("SCEN_ADEMEhaut",$B52,C$30)</f>
        <v>1159380</v>
      </c>
      <c r="D52" s="127">
        <f ca="1">Output("SCEN_ADEMEhaut",$B52,D$30)</f>
        <v>1178501</v>
      </c>
      <c r="E52" s="127">
        <f t="shared" ca="1" si="18"/>
        <v>1370888</v>
      </c>
      <c r="F52" s="127">
        <f t="shared" ca="1" si="18"/>
        <v>1627735</v>
      </c>
      <c r="G52" s="127">
        <f t="shared" ca="1" si="18"/>
        <v>2358961</v>
      </c>
    </row>
    <row r="53" spans="1:7" x14ac:dyDescent="0.25">
      <c r="C53" s="32"/>
      <c r="D53" s="127"/>
      <c r="E53" s="127"/>
      <c r="F53" s="127"/>
      <c r="G53" s="127"/>
    </row>
    <row r="54" spans="1:7" ht="60" x14ac:dyDescent="0.25">
      <c r="A54" s="107" t="s">
        <v>767</v>
      </c>
      <c r="D54" s="128"/>
      <c r="E54" s="128"/>
      <c r="F54" s="128"/>
      <c r="G54" s="128"/>
    </row>
    <row r="55" spans="1:7" x14ac:dyDescent="0.25">
      <c r="B55" t="s">
        <v>768</v>
      </c>
      <c r="D55" s="128">
        <f ca="1">D51-D35</f>
        <v>1110333.69019</v>
      </c>
      <c r="E55" s="128">
        <f t="shared" ref="E55:G55" ca="1" si="19">E51-E35</f>
        <v>1296296.20096</v>
      </c>
      <c r="F55" s="128">
        <f t="shared" ca="1" si="19"/>
        <v>1532114.5207100001</v>
      </c>
      <c r="G55" s="128">
        <f t="shared" ca="1" si="19"/>
        <v>2106640.0803299998</v>
      </c>
    </row>
    <row r="56" spans="1:7" x14ac:dyDescent="0.25">
      <c r="B56" t="s">
        <v>769</v>
      </c>
      <c r="D56" s="128">
        <f ca="1">D52-D41</f>
        <v>1110425.48973</v>
      </c>
      <c r="E56" s="128">
        <f t="shared" ref="E56:G56" ca="1" si="20">E52-E41</f>
        <v>1311745.04012</v>
      </c>
      <c r="F56" s="128">
        <f t="shared" ca="1" si="20"/>
        <v>1578818.90766</v>
      </c>
      <c r="G56" s="128">
        <f t="shared" ca="1" si="20"/>
        <v>2324653.6914599999</v>
      </c>
    </row>
    <row r="57" spans="1:7" x14ac:dyDescent="0.25">
      <c r="D57" s="128"/>
      <c r="E57" s="128"/>
      <c r="F57" s="128"/>
      <c r="G57" s="128"/>
    </row>
    <row r="58" spans="1:7" ht="75" x14ac:dyDescent="0.25">
      <c r="A58" s="107" t="s">
        <v>885</v>
      </c>
      <c r="D58" s="128"/>
      <c r="E58" s="128"/>
      <c r="F58" s="128"/>
      <c r="G58" s="128"/>
    </row>
    <row r="59" spans="1:7" x14ac:dyDescent="0.25">
      <c r="B59" t="s">
        <v>768</v>
      </c>
      <c r="D59" s="128">
        <f ca="1">D51-D35-D45</f>
        <v>931505.98019000003</v>
      </c>
      <c r="E59" s="128">
        <f t="shared" ref="E59:G59" ca="1" si="21">E51-E35-E45</f>
        <v>1111081.5409600001</v>
      </c>
      <c r="F59" s="128">
        <f t="shared" ca="1" si="21"/>
        <v>1341996.5407100001</v>
      </c>
      <c r="G59" s="128">
        <f t="shared" ca="1" si="21"/>
        <v>1883939.5603299998</v>
      </c>
    </row>
    <row r="60" spans="1:7" x14ac:dyDescent="0.25">
      <c r="B60" t="s">
        <v>769</v>
      </c>
      <c r="D60" s="128">
        <f ca="1">D52-D41-D49</f>
        <v>931850.12973000004</v>
      </c>
      <c r="E60" s="128">
        <f t="shared" ref="E60:F60" ca="1" si="22">E52-E41-E49</f>
        <v>1127363.98012</v>
      </c>
      <c r="F60" s="128">
        <f t="shared" ca="1" si="22"/>
        <v>1374987.2176600001</v>
      </c>
      <c r="G60" s="128">
        <f ca="1">G52-G41-G49</f>
        <v>2086798.7214599999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0.79998168889431442"/>
  </sheetPr>
  <dimension ref="A1:R26"/>
  <sheetViews>
    <sheetView workbookViewId="0">
      <selection activeCell="L41" sqref="L41"/>
    </sheetView>
  </sheetViews>
  <sheetFormatPr baseColWidth="10" defaultRowHeight="15" x14ac:dyDescent="0.25"/>
  <sheetData>
    <row r="1" spans="1:18" ht="14.45" x14ac:dyDescent="0.35">
      <c r="A1" s="1" t="s">
        <v>729</v>
      </c>
      <c r="B1" s="1"/>
    </row>
    <row r="3" spans="1:18" ht="14.45" x14ac:dyDescent="0.35">
      <c r="A3" s="1" t="s">
        <v>730</v>
      </c>
      <c r="K3" s="1" t="s">
        <v>731</v>
      </c>
    </row>
    <row r="4" spans="1:18" ht="14.45" x14ac:dyDescent="0.35">
      <c r="A4" s="1"/>
    </row>
    <row r="5" spans="1:18" ht="14.45" x14ac:dyDescent="0.35">
      <c r="B5" s="28">
        <v>2006</v>
      </c>
      <c r="C5" s="28">
        <v>2010</v>
      </c>
      <c r="D5" s="28">
        <v>2015</v>
      </c>
      <c r="E5" s="28">
        <v>2020</v>
      </c>
      <c r="F5" s="28">
        <v>2030</v>
      </c>
      <c r="G5" s="28">
        <v>2040</v>
      </c>
      <c r="H5" s="28">
        <v>2050</v>
      </c>
      <c r="L5" s="28">
        <v>2006</v>
      </c>
      <c r="M5" s="28">
        <v>2010</v>
      </c>
      <c r="N5" s="28">
        <v>2015</v>
      </c>
      <c r="O5" s="28">
        <v>2020</v>
      </c>
      <c r="P5" s="28">
        <v>2030</v>
      </c>
      <c r="Q5" s="28">
        <v>2040</v>
      </c>
      <c r="R5" s="28">
        <v>2050</v>
      </c>
    </row>
    <row r="6" spans="1:18" x14ac:dyDescent="0.35">
      <c r="A6" s="24" t="s">
        <v>325</v>
      </c>
      <c r="B6" s="124">
        <f ca="1">'Primary energy'!E7</f>
        <v>68.790000000000006</v>
      </c>
      <c r="C6" s="124">
        <f ca="1">'Primary energy'!F7</f>
        <v>63.64967</v>
      </c>
      <c r="D6" s="124">
        <f ca="1">'Primary energy'!G7</f>
        <v>64.166870000000003</v>
      </c>
      <c r="E6" s="124">
        <f ca="1">'Primary energy'!H7</f>
        <v>64.950729999999993</v>
      </c>
      <c r="F6" s="124">
        <f ca="1">'Primary energy'!I7</f>
        <v>60.166870000000003</v>
      </c>
      <c r="G6" s="124">
        <f ca="1">'Primary energy'!J7</f>
        <v>51.022790000000001</v>
      </c>
      <c r="H6" s="124">
        <f ca="1">'Primary energy'!K7</f>
        <v>39.180959999999999</v>
      </c>
      <c r="K6" s="24" t="s">
        <v>325</v>
      </c>
      <c r="L6" s="124">
        <f ca="1">'Final energy'!E7</f>
        <v>64</v>
      </c>
      <c r="M6" s="124">
        <f ca="1">'Final energy'!F7</f>
        <v>59.217599999999997</v>
      </c>
      <c r="N6" s="124">
        <f ca="1">'Final energy'!G7</f>
        <v>59.698790000000002</v>
      </c>
      <c r="O6" s="124">
        <f ca="1">'Final energy'!H7</f>
        <v>60.428069999999998</v>
      </c>
      <c r="P6" s="124">
        <f ca="1">'Final energy'!I7</f>
        <v>55.977310000000003</v>
      </c>
      <c r="Q6" s="124">
        <f ca="1">'Final energy'!J7</f>
        <v>47.46996</v>
      </c>
      <c r="R6" s="124">
        <f ca="1">'Final energy'!K7</f>
        <v>36.452710000000003</v>
      </c>
    </row>
    <row r="7" spans="1:18" x14ac:dyDescent="0.35">
      <c r="A7" s="24" t="s">
        <v>315</v>
      </c>
      <c r="B7" s="124">
        <f ca="1">'Primary energy'!E25</f>
        <v>5.08</v>
      </c>
      <c r="C7" s="124">
        <f ca="1">'Primary energy'!F25</f>
        <v>4.5678979999999996</v>
      </c>
      <c r="D7" s="124">
        <f ca="1">'Primary energy'!G25</f>
        <v>4.8429279999999997</v>
      </c>
      <c r="E7" s="124">
        <f ca="1">'Primary energy'!H25</f>
        <v>5.109947</v>
      </c>
      <c r="F7" s="124">
        <f ca="1">'Primary energy'!I25</f>
        <v>5.9340000000000002</v>
      </c>
      <c r="G7" s="124">
        <f ca="1">'Primary energy'!J25</f>
        <v>6.2461929999999999</v>
      </c>
      <c r="H7" s="124">
        <f ca="1">'Primary energy'!K25</f>
        <v>6.465001</v>
      </c>
      <c r="K7" s="24" t="s">
        <v>315</v>
      </c>
      <c r="L7" s="124">
        <f ca="1">'Final energy'!E25</f>
        <v>4.99</v>
      </c>
      <c r="M7" s="124">
        <f ca="1">'Final energy'!F25</f>
        <v>4.4869709999999996</v>
      </c>
      <c r="N7" s="124">
        <f ca="1">'Final energy'!G25</f>
        <v>4.7571279999999998</v>
      </c>
      <c r="O7" s="124">
        <f ca="1">'Final energy'!H25</f>
        <v>5.0194159999999997</v>
      </c>
      <c r="P7" s="124">
        <f ca="1">'Final energy'!I25</f>
        <v>5.8288700000000002</v>
      </c>
      <c r="Q7" s="124">
        <f ca="1">'Final energy'!J25</f>
        <v>6.1355320000000004</v>
      </c>
      <c r="R7" s="124">
        <f ca="1">'Final energy'!K25</f>
        <v>6.3504630000000004</v>
      </c>
    </row>
    <row r="8" spans="1:18" x14ac:dyDescent="0.35">
      <c r="A8" s="24" t="s">
        <v>726</v>
      </c>
      <c r="B8" s="124">
        <f ca="1">'Primary energy'!E10</f>
        <v>117.54</v>
      </c>
      <c r="C8" s="124">
        <f ca="1">'Primary energy'!F10</f>
        <v>111.1211</v>
      </c>
      <c r="D8" s="124">
        <f ca="1">'Primary energy'!G10</f>
        <v>112.88630000000001</v>
      </c>
      <c r="E8" s="124">
        <f ca="1">'Primary energy'!H10</f>
        <v>116.9569</v>
      </c>
      <c r="F8" s="124">
        <f ca="1">'Primary energy'!I10</f>
        <v>128.33099999999999</v>
      </c>
      <c r="G8" s="124">
        <f ca="1">'Primary energy'!J10</f>
        <v>140.3374</v>
      </c>
      <c r="H8" s="124">
        <f ca="1">'Primary energy'!K10</f>
        <v>146.96780000000001</v>
      </c>
      <c r="K8" s="24" t="s">
        <v>726</v>
      </c>
      <c r="L8" s="124">
        <f ca="1">'Final energy'!E10</f>
        <v>28.41564</v>
      </c>
      <c r="M8" s="124">
        <f ca="1">'Final energy'!F10</f>
        <v>26.839670000000002</v>
      </c>
      <c r="N8" s="124">
        <f ca="1">'Final energy'!G10</f>
        <v>27.32865</v>
      </c>
      <c r="O8" s="124">
        <f ca="1">'Final energy'!H10</f>
        <v>28.456209999999999</v>
      </c>
      <c r="P8" s="124">
        <f ca="1">'Final energy'!I10</f>
        <v>31.606870000000001</v>
      </c>
      <c r="Q8" s="124">
        <f ca="1">'Final energy'!J10</f>
        <v>34.932720000000003</v>
      </c>
      <c r="R8" s="124">
        <f ca="1">'Final energy'!K10</f>
        <v>36.76934</v>
      </c>
    </row>
    <row r="9" spans="1:18" x14ac:dyDescent="0.35">
      <c r="A9" s="24" t="s">
        <v>727</v>
      </c>
      <c r="B9" s="124">
        <f ca="1">SUM('Primary energy'!E11:'Primary energy'!E13)</f>
        <v>10.129999999999999</v>
      </c>
      <c r="C9" s="124">
        <f ca="1">SUM('Primary energy'!F11:'Primary energy'!F13)</f>
        <v>9.8593340000000005</v>
      </c>
      <c r="D9" s="124">
        <f ca="1">SUM('Primary energy'!G11:'Primary energy'!G13)</f>
        <v>10.015957999999999</v>
      </c>
      <c r="E9" s="124">
        <f ca="1">SUM('Primary energy'!H11:'Primary energy'!H13)</f>
        <v>10.377122</v>
      </c>
      <c r="F9" s="124">
        <f ca="1">SUM('Primary energy'!I11:'Primary energy'!I13)</f>
        <v>11.386298</v>
      </c>
      <c r="G9" s="124">
        <f ca="1">SUM('Primary energy'!J11:'Primary energy'!J13)</f>
        <v>12.451588000000001</v>
      </c>
      <c r="H9" s="124">
        <f ca="1">SUM('Primary energy'!K11:'Primary energy'!K13)</f>
        <v>13.039870000000001</v>
      </c>
      <c r="K9" s="24" t="s">
        <v>727</v>
      </c>
      <c r="L9" s="124">
        <f ca="1">SUM('Final energy'!E11:'Final energy'!E13)</f>
        <v>4.0929700000000002</v>
      </c>
      <c r="M9" s="124">
        <f ca="1">SUM('Final energy'!F11:'Final energy'!F13)</f>
        <v>3.9800240000000002</v>
      </c>
      <c r="N9" s="124">
        <f ca="1">SUM('Final energy'!G11:'Final energy'!G13)</f>
        <v>4.0525350000000007</v>
      </c>
      <c r="O9" s="124">
        <f ca="1">SUM('Final energy'!H11:'Final energy'!H13)</f>
        <v>4.2197389999999997</v>
      </c>
      <c r="P9" s="124">
        <f ca="1">SUM('Final energy'!I11:'Final energy'!I13)</f>
        <v>4.6869480000000001</v>
      </c>
      <c r="Q9" s="124">
        <f ca="1">SUM('Final energy'!J11:'Final energy'!J13)</f>
        <v>5.1801329999999997</v>
      </c>
      <c r="R9" s="124">
        <f ca="1">SUM('Final energy'!K11:'Final energy'!K13)</f>
        <v>5.4524840000000001</v>
      </c>
    </row>
    <row r="10" spans="1:18" x14ac:dyDescent="0.35">
      <c r="A10" s="24" t="s">
        <v>319</v>
      </c>
      <c r="B10" s="124">
        <f ca="1">'Primary energy'!E19</f>
        <v>35.17</v>
      </c>
      <c r="C10" s="124">
        <f ca="1">'Primary energy'!F19</f>
        <v>31.63843</v>
      </c>
      <c r="D10" s="124">
        <f ca="1">'Primary energy'!G19</f>
        <v>31.667919999999999</v>
      </c>
      <c r="E10" s="124">
        <f ca="1">'Primary energy'!H19</f>
        <v>32.406950000000002</v>
      </c>
      <c r="F10" s="124">
        <f ca="1">'Primary energy'!I19</f>
        <v>32.34169</v>
      </c>
      <c r="G10" s="124">
        <f ca="1">'Primary energy'!J19</f>
        <v>29.451699999999999</v>
      </c>
      <c r="H10" s="124">
        <f ca="1">'Primary energy'!K19</f>
        <v>25.185500000000001</v>
      </c>
      <c r="K10" s="24" t="s">
        <v>319</v>
      </c>
      <c r="L10" s="124">
        <f ca="1">'Final energy'!E19</f>
        <v>34.93</v>
      </c>
      <c r="M10" s="124">
        <f ca="1">'Final energy'!F19</f>
        <v>31.422529999999998</v>
      </c>
      <c r="N10" s="124">
        <f ca="1">'Final energy'!G19</f>
        <v>31.451820000000001</v>
      </c>
      <c r="O10" s="124">
        <f ca="1">'Final energy'!H19</f>
        <v>32.1858</v>
      </c>
      <c r="P10" s="124">
        <f ca="1">'Final energy'!I19</f>
        <v>32.120989999999999</v>
      </c>
      <c r="Q10" s="124">
        <f ca="1">'Final energy'!J19</f>
        <v>29.250730000000001</v>
      </c>
      <c r="R10" s="124">
        <f ca="1">'Final energy'!K19</f>
        <v>25.013629999999999</v>
      </c>
    </row>
    <row r="11" spans="1:18" x14ac:dyDescent="0.35">
      <c r="A11" s="24" t="s">
        <v>728</v>
      </c>
      <c r="B11" s="124">
        <f ca="1">SUM('Primary energy'!E8,'Primary energy'!E14:'Primary energy'!E17,'Primary energy'!E20:'Primary energy'!E24)</f>
        <v>18.5</v>
      </c>
      <c r="C11" s="124">
        <f ca="1">SUM('Primary energy'!F8,'Primary energy'!F14:'Primary energy'!F17,'Primary energy'!F20:'Primary energy'!F24)</f>
        <v>25.345188</v>
      </c>
      <c r="D11" s="124">
        <f ca="1">SUM('Primary energy'!G8,'Primary energy'!G14:'Primary energy'!G17,'Primary energy'!G20:'Primary energy'!G24)</f>
        <v>25.543960000000002</v>
      </c>
      <c r="E11" s="124">
        <f ca="1">SUM('Primary energy'!H8,'Primary energy'!H14:'Primary energy'!H17,'Primary energy'!H20:'Primary energy'!H24)</f>
        <v>26.253662999999996</v>
      </c>
      <c r="F11" s="124">
        <f ca="1">SUM('Primary energy'!I8,'Primary energy'!I14:'Primary energy'!I17,'Primary energy'!I20:'Primary energy'!I24)</f>
        <v>27.157002999999996</v>
      </c>
      <c r="G11" s="124">
        <f ca="1">SUM('Primary energy'!J8,'Primary energy'!J14:'Primary energy'!J17,'Primary energy'!J20:'Primary energy'!J24)</f>
        <v>26.855879000000002</v>
      </c>
      <c r="H11" s="124">
        <f ca="1">SUM('Primary energy'!K8,'Primary energy'!K14:'Primary energy'!K17,'Primary energy'!K20:'Primary energy'!K24)</f>
        <v>25.402591999999999</v>
      </c>
      <c r="K11" s="24" t="s">
        <v>728</v>
      </c>
      <c r="L11" s="124">
        <f ca="1">SUM('Final energy'!E8,'Final energy'!E14:'Final energy'!E17,'Final energy'!E20:'Final energy'!E24)</f>
        <v>16.256615</v>
      </c>
      <c r="M11" s="124">
        <f ca="1">SUM('Final energy'!F8,'Final energy'!F14:'Final energy'!F17,'Final energy'!F20:'Final energy'!F24)</f>
        <v>20.785372999999996</v>
      </c>
      <c r="N11" s="124">
        <f ca="1">SUM('Final energy'!G8,'Final energy'!G14:'Final energy'!G17,'Final energy'!G20:'Final energy'!G24)</f>
        <v>20.929146999999993</v>
      </c>
      <c r="O11" s="124">
        <f ca="1">SUM('Final energy'!H8,'Final energy'!H14:'Final energy'!H17,'Final energy'!H20:'Final energy'!H24)</f>
        <v>21.508115999999998</v>
      </c>
      <c r="P11" s="124">
        <f ca="1">SUM('Final energy'!I8,'Final energy'!I14:'Final energy'!I17,'Final energy'!I20:'Final energy'!I24)</f>
        <v>22.058579999999999</v>
      </c>
      <c r="Q11" s="124">
        <f ca="1">SUM('Final energy'!J8,'Final energy'!J14:'Final energy'!J17,'Final energy'!J20:'Final energy'!J24)</f>
        <v>21.401386000000002</v>
      </c>
      <c r="R11" s="124">
        <f ca="1">SUM('Final energy'!K8,'Final energy'!K14:'Final energy'!K17,'Final energy'!K20:'Final energy'!K24)</f>
        <v>19.767022000000001</v>
      </c>
    </row>
    <row r="12" spans="1:18" x14ac:dyDescent="0.35">
      <c r="A12" s="25"/>
      <c r="B12" s="124">
        <f ca="1">SUM(B6:B11)</f>
        <v>255.21000000000004</v>
      </c>
      <c r="C12" s="124">
        <f t="shared" ref="C12:H12" ca="1" si="0">SUM(C6:C11)</f>
        <v>246.18161999999998</v>
      </c>
      <c r="D12" s="124">
        <f t="shared" ca="1" si="0"/>
        <v>249.12393600000001</v>
      </c>
      <c r="E12" s="124">
        <f t="shared" ca="1" si="0"/>
        <v>256.05531200000001</v>
      </c>
      <c r="F12" s="124">
        <f t="shared" ca="1" si="0"/>
        <v>265.31686100000002</v>
      </c>
      <c r="G12" s="124">
        <f t="shared" ca="1" si="0"/>
        <v>266.36554999999998</v>
      </c>
      <c r="H12" s="124">
        <f t="shared" ca="1" si="0"/>
        <v>256.24172299999998</v>
      </c>
      <c r="K12" s="25"/>
      <c r="L12" s="124">
        <f ca="1">SUM(L6:L11)</f>
        <v>152.685225</v>
      </c>
      <c r="M12" s="124">
        <f t="shared" ref="M12:R12" ca="1" si="1">SUM(M6:M11)</f>
        <v>146.732168</v>
      </c>
      <c r="N12" s="124">
        <f t="shared" ca="1" si="1"/>
        <v>148.21806999999998</v>
      </c>
      <c r="O12" s="124">
        <f t="shared" ca="1" si="1"/>
        <v>151.817351</v>
      </c>
      <c r="P12" s="124">
        <f t="shared" ca="1" si="1"/>
        <v>152.27956800000001</v>
      </c>
      <c r="Q12" s="124">
        <f t="shared" ca="1" si="1"/>
        <v>144.37046100000001</v>
      </c>
      <c r="R12" s="124">
        <f t="shared" ca="1" si="1"/>
        <v>129.80564899999999</v>
      </c>
    </row>
    <row r="15" spans="1:18" ht="14.45" x14ac:dyDescent="0.35">
      <c r="A15" s="1" t="s">
        <v>732</v>
      </c>
      <c r="B15" s="1"/>
    </row>
    <row r="17" spans="1:18" ht="14.45" x14ac:dyDescent="0.35">
      <c r="A17" s="1" t="s">
        <v>730</v>
      </c>
      <c r="K17" s="1" t="s">
        <v>731</v>
      </c>
    </row>
    <row r="18" spans="1:18" ht="14.45" x14ac:dyDescent="0.35">
      <c r="A18" s="1"/>
    </row>
    <row r="19" spans="1:18" ht="14.45" x14ac:dyDescent="0.35">
      <c r="B19" s="28">
        <v>2006</v>
      </c>
      <c r="C19" s="28">
        <v>2010</v>
      </c>
      <c r="D19" s="28">
        <v>2015</v>
      </c>
      <c r="E19" s="28">
        <v>2020</v>
      </c>
      <c r="F19" s="28">
        <v>2030</v>
      </c>
      <c r="G19" s="28">
        <v>2040</v>
      </c>
      <c r="H19" s="28">
        <v>2050</v>
      </c>
      <c r="L19" s="28">
        <v>2006</v>
      </c>
      <c r="M19" s="28">
        <v>2010</v>
      </c>
      <c r="N19" s="28">
        <v>2015</v>
      </c>
      <c r="O19" s="28">
        <v>2020</v>
      </c>
      <c r="P19" s="28">
        <v>2030</v>
      </c>
      <c r="Q19" s="28">
        <v>2040</v>
      </c>
      <c r="R19" s="28">
        <v>2050</v>
      </c>
    </row>
    <row r="20" spans="1:18" x14ac:dyDescent="0.35">
      <c r="A20" s="24" t="s">
        <v>325</v>
      </c>
      <c r="B20" s="124">
        <f ca="1">'Primary energy'!E32</f>
        <v>68.790000000000006</v>
      </c>
      <c r="C20" s="124">
        <f ca="1">'Primary energy'!F32</f>
        <v>63.133929999999999</v>
      </c>
      <c r="D20" s="124">
        <f ca="1">'Primary energy'!G32</f>
        <v>61.551380000000002</v>
      </c>
      <c r="E20" s="124">
        <f ca="1">'Primary energy'!H32</f>
        <v>60.188639999999999</v>
      </c>
      <c r="F20" s="124">
        <f ca="1">'Primary energy'!I32</f>
        <v>44.483159999999998</v>
      </c>
      <c r="G20" s="124">
        <f ca="1">'Primary energy'!J32</f>
        <v>20.54618</v>
      </c>
      <c r="H20" s="124">
        <f ca="1">'Primary energy'!K32</f>
        <v>7.5781700000000001</v>
      </c>
      <c r="K20" s="24" t="s">
        <v>325</v>
      </c>
      <c r="L20" s="124">
        <f ca="1">'Final energy'!E32</f>
        <v>64</v>
      </c>
      <c r="M20" s="124">
        <f ca="1">'Final energy'!F32</f>
        <v>59.195250000000001</v>
      </c>
      <c r="N20" s="124">
        <f ca="1">'Final energy'!G32</f>
        <v>57.683599999999998</v>
      </c>
      <c r="O20" s="124">
        <f ca="1">'Final energy'!H32</f>
        <v>56.295729999999999</v>
      </c>
      <c r="P20" s="124">
        <f ca="1">'Final energy'!I32</f>
        <v>41.369340000000001</v>
      </c>
      <c r="Q20" s="124">
        <f ca="1">'Final energy'!J32</f>
        <v>19.107009999999999</v>
      </c>
      <c r="R20" s="124">
        <f ca="1">'Final energy'!K32</f>
        <v>7.0470420000000003</v>
      </c>
    </row>
    <row r="21" spans="1:18" x14ac:dyDescent="0.35">
      <c r="A21" s="24" t="s">
        <v>315</v>
      </c>
      <c r="B21" s="124">
        <f ca="1">'Primary energy'!E50</f>
        <v>5.08</v>
      </c>
      <c r="C21" s="124">
        <f ca="1">'Primary energy'!F50</f>
        <v>4.5449729999999997</v>
      </c>
      <c r="D21" s="124">
        <f ca="1">'Primary energy'!G50</f>
        <v>4.133216</v>
      </c>
      <c r="E21" s="124">
        <f ca="1">'Primary energy'!H50</f>
        <v>3.152628</v>
      </c>
      <c r="F21" s="124">
        <f ca="1">'Primary energy'!I50</f>
        <v>2.8250069999999998</v>
      </c>
      <c r="G21" s="124">
        <f ca="1">'Primary energy'!J50</f>
        <v>2.7698870000000002</v>
      </c>
      <c r="H21" s="124">
        <f ca="1">'Primary energy'!K50</f>
        <v>2.826749</v>
      </c>
      <c r="K21" s="24" t="s">
        <v>315</v>
      </c>
      <c r="L21" s="124">
        <f ca="1">'Final energy'!E50</f>
        <v>4.99</v>
      </c>
      <c r="M21" s="124">
        <f ca="1">'Final energy'!F50</f>
        <v>4.4871980000000002</v>
      </c>
      <c r="N21" s="124">
        <f ca="1">'Final energy'!G50</f>
        <v>4.0806750000000003</v>
      </c>
      <c r="O21" s="124">
        <f ca="1">'Final energy'!H50</f>
        <v>3.1125530000000001</v>
      </c>
      <c r="P21" s="124">
        <f ca="1">'Final energy'!I50</f>
        <v>2.7890950000000001</v>
      </c>
      <c r="Q21" s="124">
        <f ca="1">'Final energy'!J50</f>
        <v>2.7346759999999999</v>
      </c>
      <c r="R21" s="124">
        <f ca="1">'Final energy'!K50</f>
        <v>2.790816</v>
      </c>
    </row>
    <row r="22" spans="1:18" ht="15.75" x14ac:dyDescent="0.25">
      <c r="A22" s="24" t="s">
        <v>726</v>
      </c>
      <c r="B22" s="124">
        <f ca="1">'Primary energy'!E35</f>
        <v>117.54</v>
      </c>
      <c r="C22" s="124">
        <f ca="1">'Primary energy'!F35</f>
        <v>111.1485</v>
      </c>
      <c r="D22" s="124">
        <f ca="1">'Primary energy'!G35</f>
        <v>106.1438</v>
      </c>
      <c r="E22" s="124">
        <f ca="1">'Primary energy'!H35</f>
        <v>98.027479999999997</v>
      </c>
      <c r="F22" s="124">
        <f ca="1">'Primary energy'!I35</f>
        <v>67.365849999999995</v>
      </c>
      <c r="G22" s="124">
        <f ca="1">'Primary energy'!J35</f>
        <v>61.224330000000002</v>
      </c>
      <c r="H22" s="124">
        <f ca="1">'Primary energy'!K35</f>
        <v>57.935490000000001</v>
      </c>
      <c r="K22" s="24" t="s">
        <v>726</v>
      </c>
      <c r="L22" s="124">
        <f ca="1">'Final energy'!E35</f>
        <v>28.41564</v>
      </c>
      <c r="M22" s="124">
        <f ca="1">'Final energy'!F35</f>
        <v>26.847280000000001</v>
      </c>
      <c r="N22" s="124">
        <f ca="1">'Final energy'!G35</f>
        <v>25.88625</v>
      </c>
      <c r="O22" s="124">
        <f ca="1">'Final energy'!H35</f>
        <v>24.586919999999999</v>
      </c>
      <c r="P22" s="124">
        <f ca="1">'Final energy'!I35</f>
        <v>18.07124</v>
      </c>
      <c r="Q22" s="124">
        <f ca="1">'Final energy'!J35</f>
        <v>16.250599999999999</v>
      </c>
      <c r="R22" s="124">
        <f ca="1">'Final energy'!K35</f>
        <v>15.01182</v>
      </c>
    </row>
    <row r="23" spans="1:18" ht="15.75" x14ac:dyDescent="0.25">
      <c r="A23" s="24" t="s">
        <v>727</v>
      </c>
      <c r="B23" s="124">
        <f ca="1">SUM('Primary energy'!E36:'Primary energy'!E38)</f>
        <v>10.129999999999999</v>
      </c>
      <c r="C23" s="124">
        <f ca="1">SUM('Primary energy'!F36:'Primary energy'!F38)</f>
        <v>9.8617699999999999</v>
      </c>
      <c r="D23" s="124">
        <f ca="1">SUM('Primary energy'!G36:'Primary energy'!G38)</f>
        <v>5.834689</v>
      </c>
      <c r="E23" s="124">
        <f ca="1">SUM('Primary energy'!H36:'Primary energy'!H38)</f>
        <v>4.5443240000000005</v>
      </c>
      <c r="F23" s="124">
        <f ca="1">SUM('Primary energy'!I36:'Primary energy'!I38)</f>
        <v>4.2001109999999997</v>
      </c>
      <c r="G23" s="124">
        <f ca="1">SUM('Primary energy'!J36:'Primary energy'!J38)</f>
        <v>4.3567900000000002</v>
      </c>
      <c r="H23" s="124">
        <f ca="1">SUM('Primary energy'!K36:'Primary energy'!K38)</f>
        <v>3.8621290000000004</v>
      </c>
      <c r="K23" s="24" t="s">
        <v>727</v>
      </c>
      <c r="L23" s="124">
        <f ca="1">SUM('Final energy'!E36:'Final energy'!E38)</f>
        <v>4.0929700000000002</v>
      </c>
      <c r="M23" s="124">
        <f ca="1">SUM('Final energy'!F36:'Final energy'!F38)</f>
        <v>3.9811520000000002</v>
      </c>
      <c r="N23" s="124">
        <f ca="1">SUM('Final energy'!G36:'Final energy'!G38)</f>
        <v>3.136355</v>
      </c>
      <c r="O23" s="124">
        <f ca="1">SUM('Final energy'!H36:'Final energy'!H38)</f>
        <v>2.065569</v>
      </c>
      <c r="P23" s="124">
        <f ca="1">SUM('Final energy'!I36:'Final energy'!I38)</f>
        <v>1.8734819999999999</v>
      </c>
      <c r="Q23" s="124">
        <f ca="1">SUM('Final energy'!J36:'Final energy'!J38)</f>
        <v>1.997792</v>
      </c>
      <c r="R23" s="124">
        <f ca="1">SUM('Final energy'!K36:'Final energy'!K38)</f>
        <v>1.7446549999999998</v>
      </c>
    </row>
    <row r="24" spans="1:18" ht="15.75" x14ac:dyDescent="0.25">
      <c r="A24" s="24" t="s">
        <v>319</v>
      </c>
      <c r="B24" s="124">
        <f ca="1">'Primary energy'!E44</f>
        <v>35.17</v>
      </c>
      <c r="C24" s="124">
        <f ca="1">'Primary energy'!F44</f>
        <v>31.639990000000001</v>
      </c>
      <c r="D24" s="124">
        <f ca="1">'Primary energy'!G44</f>
        <v>30.376370000000001</v>
      </c>
      <c r="E24" s="124">
        <f ca="1">'Primary energy'!H44</f>
        <v>29.33961</v>
      </c>
      <c r="F24" s="124">
        <f ca="1">'Primary energy'!I44</f>
        <v>19.075800000000001</v>
      </c>
      <c r="G24" s="124">
        <f ca="1">'Primary energy'!J44</f>
        <v>11.51765</v>
      </c>
      <c r="H24" s="124">
        <f ca="1">'Primary energy'!K44</f>
        <v>8.6951870000000007</v>
      </c>
      <c r="K24" s="24" t="s">
        <v>319</v>
      </c>
      <c r="L24" s="124">
        <f ca="1">'Final energy'!E44</f>
        <v>34.93</v>
      </c>
      <c r="M24" s="124">
        <f ca="1">'Final energy'!F44</f>
        <v>31.42408</v>
      </c>
      <c r="N24" s="124">
        <f ca="1">'Final energy'!G44</f>
        <v>30.15663</v>
      </c>
      <c r="O24" s="124">
        <f ca="1">'Final energy'!H44</f>
        <v>29.071629999999999</v>
      </c>
      <c r="P24" s="124">
        <f ca="1">'Final energy'!I44</f>
        <v>18.745989999999999</v>
      </c>
      <c r="Q24" s="124">
        <f ca="1">'Final energy'!J44</f>
        <v>11.50433</v>
      </c>
      <c r="R24" s="124">
        <f ca="1">'Final energy'!K44</f>
        <v>8.6943180000000009</v>
      </c>
    </row>
    <row r="25" spans="1:18" ht="15.75" x14ac:dyDescent="0.25">
      <c r="A25" s="24" t="s">
        <v>728</v>
      </c>
      <c r="B25" s="124">
        <f ca="1">SUM('Primary energy'!E33,'Primary energy'!E39:'Primary energy'!E42,'Primary energy'!E45:'Primary energy'!E49)</f>
        <v>18.5</v>
      </c>
      <c r="C25" s="124">
        <f ca="1">SUM('Primary energy'!F33,'Primary energy'!F39:'Primary energy'!F42,'Primary energy'!F45:'Primary energy'!F49)</f>
        <v>25.347620999999997</v>
      </c>
      <c r="D25" s="124">
        <f ca="1">SUM('Primary energy'!G33,'Primary energy'!G39:'Primary energy'!G42,'Primary energy'!G45:'Primary energy'!G49)</f>
        <v>30.528323</v>
      </c>
      <c r="E25" s="124">
        <f ca="1">SUM('Primary energy'!H33,'Primary energy'!H39:'Primary energy'!H42,'Primary energy'!H45:'Primary energy'!H49)</f>
        <v>32.498339999999999</v>
      </c>
      <c r="F25" s="124">
        <f ca="1">SUM('Primary energy'!I33,'Primary energy'!I39:'Primary energy'!I42,'Primary energy'!I45:'Primary energy'!I49)</f>
        <v>52.540396000000008</v>
      </c>
      <c r="G25" s="124">
        <f ca="1">SUM('Primary energy'!J33,'Primary energy'!J39:'Primary energy'!J42,'Primary energy'!J45:'Primary energy'!J49)</f>
        <v>65.241011</v>
      </c>
      <c r="H25" s="124">
        <f ca="1">SUM('Primary energy'!K33,'Primary energy'!K39:'Primary energy'!K42,'Primary energy'!K45:'Primary energy'!K49)</f>
        <v>57.540582000000001</v>
      </c>
      <c r="K25" s="24" t="s">
        <v>728</v>
      </c>
      <c r="L25" s="124">
        <f ca="1">SUM('Final energy'!E33,'Final energy'!E39:'Final energy'!E42,'Final energy'!E45:'Final energy'!E49)</f>
        <v>16.256615</v>
      </c>
      <c r="M25" s="124">
        <f ca="1">SUM('Final energy'!F33,'Final energy'!F39:'Final energy'!F42,'Final energy'!F45:'Final energy'!F49)</f>
        <v>20.786944000000002</v>
      </c>
      <c r="N25" s="124">
        <f ca="1">SUM('Final energy'!G33,'Final energy'!G39:'Final energy'!G42,'Final energy'!G45:'Final energy'!G49)</f>
        <v>25.239730999999999</v>
      </c>
      <c r="O25" s="124">
        <f ca="1">SUM('Final energy'!H33,'Final energy'!H39:'Final energy'!H42,'Final energy'!H45:'Final energy'!H49)</f>
        <v>27.882965000000002</v>
      </c>
      <c r="P25" s="124">
        <f ca="1">SUM('Final energy'!I33,'Final energy'!I39:'Final energy'!I42,'Final energy'!I45:'Final energy'!I49)</f>
        <v>43.187902999999991</v>
      </c>
      <c r="Q25" s="124">
        <f ca="1">SUM('Final energy'!J33,'Final energy'!J39:'Final energy'!J42,'Final energy'!J45:'Final energy'!J49)</f>
        <v>56.097399000000003</v>
      </c>
      <c r="R25" s="124">
        <f ca="1">SUM('Final energy'!K33,'Final energy'!K39:'Final energy'!K42,'Final energy'!K45:'Final energy'!K49)</f>
        <v>49.766446000000002</v>
      </c>
    </row>
    <row r="26" spans="1:18" ht="15.75" x14ac:dyDescent="0.25">
      <c r="A26" s="25"/>
      <c r="B26" s="124">
        <f ca="1">SUM(B20:B25)</f>
        <v>255.21000000000004</v>
      </c>
      <c r="C26" s="124">
        <f t="shared" ref="C26:H26" ca="1" si="2">SUM(C20:C25)</f>
        <v>245.67678400000003</v>
      </c>
      <c r="D26" s="124">
        <f t="shared" ca="1" si="2"/>
        <v>238.567778</v>
      </c>
      <c r="E26" s="124">
        <f t="shared" ca="1" si="2"/>
        <v>227.75102199999998</v>
      </c>
      <c r="F26" s="124">
        <f t="shared" ca="1" si="2"/>
        <v>190.49032400000002</v>
      </c>
      <c r="G26" s="124">
        <f t="shared" ca="1" si="2"/>
        <v>165.65584799999999</v>
      </c>
      <c r="H26" s="124">
        <f t="shared" ca="1" si="2"/>
        <v>138.43830700000001</v>
      </c>
      <c r="K26" s="25"/>
      <c r="L26" s="124">
        <f ca="1">SUM(L20:L25)</f>
        <v>152.685225</v>
      </c>
      <c r="M26" s="124">
        <f t="shared" ref="M26:R26" ca="1" si="3">SUM(M20:M25)</f>
        <v>146.72190399999999</v>
      </c>
      <c r="N26" s="124">
        <f t="shared" ca="1" si="3"/>
        <v>146.18324100000001</v>
      </c>
      <c r="O26" s="124">
        <f t="shared" ca="1" si="3"/>
        <v>143.015367</v>
      </c>
      <c r="P26" s="124">
        <f t="shared" ca="1" si="3"/>
        <v>126.03704999999998</v>
      </c>
      <c r="Q26" s="124">
        <f t="shared" ca="1" si="3"/>
        <v>107.69180700000001</v>
      </c>
      <c r="R26" s="124">
        <f t="shared" ca="1" si="3"/>
        <v>85.055097000000004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7" tint="0.79998168889431442"/>
  </sheetPr>
  <dimension ref="A1:N48"/>
  <sheetViews>
    <sheetView workbookViewId="0">
      <selection activeCell="L41" sqref="L41"/>
    </sheetView>
  </sheetViews>
  <sheetFormatPr baseColWidth="10" defaultRowHeight="15" x14ac:dyDescent="0.25"/>
  <cols>
    <col min="1" max="1" width="20.28515625" customWidth="1"/>
    <col min="9" max="9" width="14.7109375" customWidth="1"/>
    <col min="10" max="10" width="10.85546875" customWidth="1"/>
    <col min="13" max="13" width="40.85546875" customWidth="1"/>
    <col min="18" max="18" width="8.42578125" customWidth="1"/>
  </cols>
  <sheetData>
    <row r="1" spans="1:8" ht="14.45" x14ac:dyDescent="0.35">
      <c r="A1" s="1" t="s">
        <v>329</v>
      </c>
      <c r="B1" s="60">
        <v>2006</v>
      </c>
      <c r="C1" s="60">
        <v>2010</v>
      </c>
      <c r="D1" s="60">
        <v>2015</v>
      </c>
      <c r="E1" s="60">
        <v>2020</v>
      </c>
      <c r="F1" s="60">
        <v>2030</v>
      </c>
      <c r="G1" s="60">
        <v>2040</v>
      </c>
      <c r="H1" s="60">
        <v>2050</v>
      </c>
    </row>
    <row r="2" spans="1:8" ht="14.45" x14ac:dyDescent="0.35">
      <c r="A2" t="s">
        <v>432</v>
      </c>
      <c r="B2">
        <f ca="1">Output("SCEN_ADEMEhaut",$A2,B$1)</f>
        <v>4.0414649999999996</v>
      </c>
      <c r="C2">
        <f t="shared" ref="C2:H17" ca="1" si="0">Output("SCEN_ADEMEhaut",$A2,C$1)</f>
        <v>3.8785639999999999</v>
      </c>
      <c r="D2">
        <f t="shared" ca="1" si="0"/>
        <v>4.1483999999999996</v>
      </c>
      <c r="E2">
        <f t="shared" ca="1" si="0"/>
        <v>4.4082309999999998</v>
      </c>
      <c r="F2">
        <f t="shared" ca="1" si="0"/>
        <v>4.4542729999999997</v>
      </c>
      <c r="G2">
        <f t="shared" ca="1" si="0"/>
        <v>4.0140650000000004</v>
      </c>
      <c r="H2">
        <f t="shared" ca="1" si="0"/>
        <v>3.0215619999999999</v>
      </c>
    </row>
    <row r="3" spans="1:8" ht="14.45" x14ac:dyDescent="0.35">
      <c r="A3" t="s">
        <v>391</v>
      </c>
      <c r="B3">
        <f t="shared" ref="B3:H23" ca="1" si="1">Output("SCEN_ADEMEhaut",$A3,B$1)</f>
        <v>4.258947</v>
      </c>
      <c r="C3">
        <f t="shared" ca="1" si="0"/>
        <v>4.2474400000000001</v>
      </c>
      <c r="D3">
        <f t="shared" ca="1" si="0"/>
        <v>4.508972</v>
      </c>
      <c r="E3">
        <f t="shared" ca="1" si="0"/>
        <v>4.9063819999999998</v>
      </c>
      <c r="F3">
        <f t="shared" ca="1" si="0"/>
        <v>5.459047</v>
      </c>
      <c r="G3">
        <f t="shared" ca="1" si="0"/>
        <v>5.7143509999999997</v>
      </c>
      <c r="H3">
        <f t="shared" ca="1" si="0"/>
        <v>5.5873189999999999</v>
      </c>
    </row>
    <row r="4" spans="1:8" ht="14.45" x14ac:dyDescent="0.35">
      <c r="A4" t="s">
        <v>392</v>
      </c>
      <c r="B4">
        <f t="shared" ca="1" si="1"/>
        <v>0.954928</v>
      </c>
      <c r="C4">
        <f t="shared" ca="1" si="0"/>
        <v>0.85594999999999999</v>
      </c>
      <c r="D4">
        <f t="shared" ca="1" si="0"/>
        <v>0.80078899999999997</v>
      </c>
      <c r="E4">
        <f t="shared" ca="1" si="0"/>
        <v>0.75389099999999998</v>
      </c>
      <c r="F4">
        <f t="shared" ca="1" si="0"/>
        <v>0.652034</v>
      </c>
      <c r="G4">
        <f t="shared" ca="1" si="0"/>
        <v>0.56418699999999999</v>
      </c>
      <c r="H4">
        <f t="shared" ca="1" si="0"/>
        <v>0.50829100000000005</v>
      </c>
    </row>
    <row r="5" spans="1:8" ht="14.45" x14ac:dyDescent="0.35">
      <c r="A5" t="s">
        <v>393</v>
      </c>
      <c r="B5">
        <f t="shared" ca="1" si="1"/>
        <v>1.5365880000000001</v>
      </c>
      <c r="C5">
        <f t="shared" ca="1" si="0"/>
        <v>1.499617</v>
      </c>
      <c r="D5">
        <f t="shared" ca="1" si="0"/>
        <v>1.595288</v>
      </c>
      <c r="E5">
        <f t="shared" ca="1" si="0"/>
        <v>1.7093370000000001</v>
      </c>
      <c r="F5">
        <f t="shared" ca="1" si="0"/>
        <v>1.8175680000000001</v>
      </c>
      <c r="G5">
        <f t="shared" ca="1" si="0"/>
        <v>1.7235929999999999</v>
      </c>
      <c r="H5">
        <f t="shared" ca="1" si="0"/>
        <v>1.5886210000000001</v>
      </c>
    </row>
    <row r="6" spans="1:8" ht="14.45" x14ac:dyDescent="0.35">
      <c r="A6" t="s">
        <v>394</v>
      </c>
      <c r="B6">
        <f t="shared" ca="1" si="1"/>
        <v>2.980524</v>
      </c>
      <c r="C6">
        <f t="shared" ca="1" si="0"/>
        <v>3.2217920000000002</v>
      </c>
      <c r="D6">
        <f t="shared" ca="1" si="0"/>
        <v>3.444985</v>
      </c>
      <c r="E6">
        <f t="shared" ca="1" si="0"/>
        <v>3.708447</v>
      </c>
      <c r="F6">
        <f t="shared" ca="1" si="0"/>
        <v>4.090681</v>
      </c>
      <c r="G6">
        <f t="shared" ca="1" si="0"/>
        <v>4.1477779999999997</v>
      </c>
      <c r="H6">
        <f t="shared" ca="1" si="0"/>
        <v>4.0156890000000001</v>
      </c>
    </row>
    <row r="7" spans="1:8" ht="14.45" x14ac:dyDescent="0.35">
      <c r="A7" t="s">
        <v>395</v>
      </c>
      <c r="B7">
        <f t="shared" ca="1" si="1"/>
        <v>3.418828</v>
      </c>
      <c r="C7">
        <f t="shared" ca="1" si="0"/>
        <v>3.3533249999999999</v>
      </c>
      <c r="D7">
        <f t="shared" ca="1" si="0"/>
        <v>3.5989230000000001</v>
      </c>
      <c r="E7">
        <f t="shared" ca="1" si="0"/>
        <v>3.8936959999999998</v>
      </c>
      <c r="F7">
        <f t="shared" ca="1" si="0"/>
        <v>4.2889999999999997</v>
      </c>
      <c r="G7">
        <f t="shared" ca="1" si="0"/>
        <v>4.252319</v>
      </c>
      <c r="H7">
        <f t="shared" ca="1" si="0"/>
        <v>4.1904110000000001</v>
      </c>
    </row>
    <row r="8" spans="1:8" ht="14.45" x14ac:dyDescent="0.35">
      <c r="A8" t="s">
        <v>396</v>
      </c>
      <c r="B8">
        <f t="shared" ca="1" si="1"/>
        <v>4.3784140000000003</v>
      </c>
      <c r="C8">
        <f t="shared" ca="1" si="0"/>
        <v>4.1971939999999996</v>
      </c>
      <c r="D8">
        <f t="shared" ca="1" si="0"/>
        <v>4.4738329999999999</v>
      </c>
      <c r="E8">
        <f t="shared" ca="1" si="0"/>
        <v>4.7874850000000002</v>
      </c>
      <c r="F8">
        <f t="shared" ca="1" si="0"/>
        <v>5.1188549999999999</v>
      </c>
      <c r="G8">
        <f t="shared" ca="1" si="0"/>
        <v>4.7844110000000004</v>
      </c>
      <c r="H8">
        <f t="shared" ca="1" si="0"/>
        <v>4.3522850000000002</v>
      </c>
    </row>
    <row r="9" spans="1:8" ht="14.45" x14ac:dyDescent="0.35">
      <c r="A9" t="s">
        <v>397</v>
      </c>
      <c r="B9">
        <f t="shared" ca="1" si="1"/>
        <v>4.8902089999999996</v>
      </c>
      <c r="C9">
        <f t="shared" ca="1" si="0"/>
        <v>4.7221650000000004</v>
      </c>
      <c r="D9">
        <f t="shared" ca="1" si="0"/>
        <v>5.24512</v>
      </c>
      <c r="E9">
        <f t="shared" ca="1" si="0"/>
        <v>5.8064099999999996</v>
      </c>
      <c r="F9">
        <f t="shared" ca="1" si="0"/>
        <v>6.2751749999999999</v>
      </c>
      <c r="G9">
        <f t="shared" ca="1" si="0"/>
        <v>5.5423669999999996</v>
      </c>
      <c r="H9">
        <f t="shared" ca="1" si="0"/>
        <v>4.3568920000000002</v>
      </c>
    </row>
    <row r="10" spans="1:8" ht="14.45" x14ac:dyDescent="0.35">
      <c r="A10" t="s">
        <v>398</v>
      </c>
      <c r="B10">
        <f t="shared" ca="1" si="1"/>
        <v>0.61208899999999999</v>
      </c>
      <c r="C10">
        <f t="shared" ca="1" si="0"/>
        <v>0.61698299999999995</v>
      </c>
      <c r="D10">
        <f t="shared" ca="1" si="0"/>
        <v>0.66727400000000003</v>
      </c>
      <c r="E10">
        <f t="shared" ca="1" si="0"/>
        <v>0.72849200000000003</v>
      </c>
      <c r="F10">
        <f t="shared" ca="1" si="0"/>
        <v>0.82925000000000004</v>
      </c>
      <c r="G10">
        <f t="shared" ca="1" si="0"/>
        <v>0.86295100000000002</v>
      </c>
      <c r="H10">
        <f t="shared" ca="1" si="0"/>
        <v>0.88236599999999998</v>
      </c>
    </row>
    <row r="11" spans="1:8" ht="14.45" x14ac:dyDescent="0.35">
      <c r="A11" t="s">
        <v>399</v>
      </c>
      <c r="B11">
        <f t="shared" ca="1" si="1"/>
        <v>5.5418700000000003</v>
      </c>
      <c r="C11">
        <f t="shared" ca="1" si="0"/>
        <v>4.705247</v>
      </c>
      <c r="D11">
        <f t="shared" ca="1" si="0"/>
        <v>5.2025649999999999</v>
      </c>
      <c r="E11">
        <f t="shared" ca="1" si="0"/>
        <v>5.7409220000000003</v>
      </c>
      <c r="F11">
        <f t="shared" ca="1" si="0"/>
        <v>6.9200419999999996</v>
      </c>
      <c r="G11">
        <f t="shared" ca="1" si="0"/>
        <v>7.4131359999999997</v>
      </c>
      <c r="H11">
        <f t="shared" ca="1" si="0"/>
        <v>7.7754390000000004</v>
      </c>
    </row>
    <row r="12" spans="1:8" ht="14.45" x14ac:dyDescent="0.35">
      <c r="A12" t="s">
        <v>400</v>
      </c>
      <c r="B12">
        <f t="shared" ca="1" si="1"/>
        <v>1.502988</v>
      </c>
      <c r="C12">
        <f t="shared" ca="1" si="0"/>
        <v>1.433071</v>
      </c>
      <c r="D12">
        <f t="shared" ca="1" si="0"/>
        <v>1.540184</v>
      </c>
      <c r="E12">
        <f t="shared" ca="1" si="0"/>
        <v>1.6533990000000001</v>
      </c>
      <c r="F12">
        <f t="shared" ca="1" si="0"/>
        <v>1.841113</v>
      </c>
      <c r="G12">
        <f t="shared" ca="1" si="0"/>
        <v>1.8342510000000001</v>
      </c>
      <c r="H12">
        <f t="shared" ca="1" si="0"/>
        <v>1.7526839999999999</v>
      </c>
    </row>
    <row r="13" spans="1:8" ht="14.45" x14ac:dyDescent="0.35">
      <c r="A13" t="s">
        <v>401</v>
      </c>
      <c r="B13">
        <f t="shared" ca="1" si="1"/>
        <v>6.574255</v>
      </c>
      <c r="C13">
        <f t="shared" ca="1" si="0"/>
        <v>6.513382</v>
      </c>
      <c r="D13">
        <f t="shared" ca="1" si="0"/>
        <v>6.9767210000000004</v>
      </c>
      <c r="E13">
        <f t="shared" ca="1" si="0"/>
        <v>7.554983</v>
      </c>
      <c r="F13">
        <f t="shared" ca="1" si="0"/>
        <v>8.4860889999999998</v>
      </c>
      <c r="G13">
        <f t="shared" ca="1" si="0"/>
        <v>8.6339240000000004</v>
      </c>
      <c r="H13">
        <f t="shared" ca="1" si="0"/>
        <v>8.5201419999999999</v>
      </c>
    </row>
    <row r="14" spans="1:8" ht="14.45" x14ac:dyDescent="0.35">
      <c r="A14" t="s">
        <v>431</v>
      </c>
      <c r="B14">
        <f t="shared" ca="1" si="1"/>
        <v>0.286248</v>
      </c>
      <c r="C14">
        <f t="shared" ca="1" si="0"/>
        <v>0.32966899999999999</v>
      </c>
      <c r="D14">
        <f t="shared" ca="1" si="0"/>
        <v>0.34364800000000001</v>
      </c>
      <c r="E14">
        <f t="shared" ca="1" si="0"/>
        <v>0.36800699999999997</v>
      </c>
      <c r="F14">
        <f t="shared" ca="1" si="0"/>
        <v>0.41309800000000002</v>
      </c>
      <c r="G14">
        <f t="shared" ca="1" si="0"/>
        <v>0.43512099999999998</v>
      </c>
      <c r="H14">
        <f t="shared" ca="1" si="0"/>
        <v>0.43533699999999997</v>
      </c>
    </row>
    <row r="15" spans="1:8" ht="14.45" x14ac:dyDescent="0.35">
      <c r="A15" t="s">
        <v>402</v>
      </c>
      <c r="B15">
        <f t="shared" ca="1" si="1"/>
        <v>0.97524900000000003</v>
      </c>
      <c r="C15">
        <f t="shared" ca="1" si="0"/>
        <v>1.0121519999999999</v>
      </c>
      <c r="D15">
        <f t="shared" ca="1" si="0"/>
        <v>1.11802</v>
      </c>
      <c r="E15">
        <f t="shared" ca="1" si="0"/>
        <v>1.2115149999999999</v>
      </c>
      <c r="F15">
        <f t="shared" ca="1" si="0"/>
        <v>1.3746799999999999</v>
      </c>
      <c r="G15">
        <f t="shared" ca="1" si="0"/>
        <v>1.6534629999999999</v>
      </c>
      <c r="H15">
        <f t="shared" ca="1" si="0"/>
        <v>2.0481799999999999</v>
      </c>
    </row>
    <row r="16" spans="1:8" ht="14.45" x14ac:dyDescent="0.35">
      <c r="A16" t="s">
        <v>403</v>
      </c>
      <c r="B16">
        <f t="shared" ca="1" si="1"/>
        <v>0.87376100000000001</v>
      </c>
      <c r="C16">
        <f t="shared" ca="1" si="0"/>
        <v>0.85399599999999998</v>
      </c>
      <c r="D16">
        <f t="shared" ca="1" si="0"/>
        <v>0.85552499999999998</v>
      </c>
      <c r="E16">
        <f t="shared" ca="1" si="0"/>
        <v>0.85708600000000001</v>
      </c>
      <c r="F16">
        <f t="shared" ca="1" si="0"/>
        <v>0.83903899999999998</v>
      </c>
      <c r="G16">
        <f t="shared" ca="1" si="0"/>
        <v>0.81217399999999995</v>
      </c>
      <c r="H16">
        <f t="shared" ca="1" si="0"/>
        <v>0.70991499999999996</v>
      </c>
    </row>
    <row r="17" spans="1:14" ht="14.45" x14ac:dyDescent="0.35">
      <c r="A17" t="s">
        <v>404</v>
      </c>
      <c r="B17">
        <f t="shared" ca="1" si="1"/>
        <v>16.412230000000001</v>
      </c>
      <c r="C17">
        <f t="shared" ca="1" si="0"/>
        <v>15.953950000000001</v>
      </c>
      <c r="D17">
        <f t="shared" ca="1" si="0"/>
        <v>16.922350000000002</v>
      </c>
      <c r="E17">
        <f t="shared" ca="1" si="0"/>
        <v>17.965509999999998</v>
      </c>
      <c r="F17">
        <f t="shared" ca="1" si="0"/>
        <v>18.125610000000002</v>
      </c>
      <c r="G17">
        <f t="shared" ca="1" si="0"/>
        <v>16.122579999999999</v>
      </c>
      <c r="H17">
        <f t="shared" ca="1" si="0"/>
        <v>12.542260000000001</v>
      </c>
    </row>
    <row r="18" spans="1:14" ht="14.45" x14ac:dyDescent="0.35">
      <c r="A18" t="s">
        <v>405</v>
      </c>
      <c r="B18">
        <f t="shared" ca="1" si="1"/>
        <v>0.34</v>
      </c>
      <c r="C18">
        <f t="shared" ca="1" si="1"/>
        <v>0.31928299999999998</v>
      </c>
      <c r="D18">
        <f t="shared" ca="1" si="1"/>
        <v>0.33887699999999998</v>
      </c>
      <c r="E18">
        <f t="shared" ca="1" si="1"/>
        <v>0.35677500000000001</v>
      </c>
      <c r="F18">
        <f t="shared" ca="1" si="1"/>
        <v>0.34267199999999998</v>
      </c>
      <c r="G18">
        <f t="shared" ca="1" si="1"/>
        <v>0.29383500000000001</v>
      </c>
      <c r="H18">
        <f t="shared" ca="1" si="1"/>
        <v>0.22576299999999999</v>
      </c>
    </row>
    <row r="19" spans="1:14" ht="14.45" x14ac:dyDescent="0.35">
      <c r="A19" t="s">
        <v>406</v>
      </c>
      <c r="B19">
        <f t="shared" ca="1" si="1"/>
        <v>1.79</v>
      </c>
      <c r="C19">
        <f t="shared" ca="1" si="1"/>
        <v>1.698733</v>
      </c>
      <c r="D19">
        <f t="shared" ca="1" si="1"/>
        <v>1.7853110000000001</v>
      </c>
      <c r="E19">
        <f t="shared" ca="1" si="1"/>
        <v>1.85639</v>
      </c>
      <c r="F19">
        <f t="shared" ca="1" si="1"/>
        <v>1.779228</v>
      </c>
      <c r="G19">
        <f t="shared" ca="1" si="1"/>
        <v>1.518132</v>
      </c>
      <c r="H19">
        <f t="shared" ca="1" si="1"/>
        <v>1.1229819999999999</v>
      </c>
    </row>
    <row r="20" spans="1:14" ht="14.45" x14ac:dyDescent="0.35">
      <c r="A20" t="s">
        <v>407</v>
      </c>
      <c r="B20">
        <f t="shared" ca="1" si="1"/>
        <v>17.149380000000001</v>
      </c>
      <c r="C20">
        <f t="shared" ca="1" si="1"/>
        <v>17.011089999999999</v>
      </c>
      <c r="D20">
        <f t="shared" ca="1" si="1"/>
        <v>17.605730000000001</v>
      </c>
      <c r="E20">
        <f t="shared" ca="1" si="1"/>
        <v>18.572399999999998</v>
      </c>
      <c r="F20">
        <f t="shared" ca="1" si="1"/>
        <v>19.852820000000001</v>
      </c>
      <c r="G20">
        <f t="shared" ca="1" si="1"/>
        <v>20.128119999999999</v>
      </c>
      <c r="H20">
        <f t="shared" ca="1" si="1"/>
        <v>18.147600000000001</v>
      </c>
    </row>
    <row r="21" spans="1:14" ht="14.45" x14ac:dyDescent="0.35">
      <c r="A21" t="s">
        <v>408</v>
      </c>
      <c r="B21">
        <f t="shared" ca="1" si="1"/>
        <v>5.5313509999999999</v>
      </c>
      <c r="C21">
        <f t="shared" ca="1" si="1"/>
        <v>5.7147779999999999</v>
      </c>
      <c r="D21">
        <f t="shared" ca="1" si="1"/>
        <v>5.9270810000000003</v>
      </c>
      <c r="E21">
        <f t="shared" ca="1" si="1"/>
        <v>6.1734549999999997</v>
      </c>
      <c r="F21">
        <f t="shared" ca="1" si="1"/>
        <v>6.6632429999999996</v>
      </c>
      <c r="G21">
        <f t="shared" ca="1" si="1"/>
        <v>7.1874169999999999</v>
      </c>
      <c r="H21">
        <f t="shared" ca="1" si="1"/>
        <v>7.0771280000000001</v>
      </c>
      <c r="J21" s="58"/>
      <c r="N21" t="str">
        <f>$I$21&amp;$I$22&amp;J21&amp;"_2 = "&amp;$I$23&amp;$I$22&amp;J21&amp;"_2"</f>
        <v>_2 = _2</v>
      </c>
    </row>
    <row r="22" spans="1:14" ht="14.45" x14ac:dyDescent="0.35">
      <c r="A22" t="s">
        <v>433</v>
      </c>
      <c r="B22">
        <f t="shared" ca="1" si="1"/>
        <v>24.139399999999998</v>
      </c>
      <c r="C22">
        <f t="shared" ca="1" si="1"/>
        <v>22.402909999999999</v>
      </c>
      <c r="D22">
        <f t="shared" ca="1" si="1"/>
        <v>21.045719999999999</v>
      </c>
      <c r="E22">
        <f t="shared" ca="1" si="1"/>
        <v>20.04674</v>
      </c>
      <c r="F22">
        <f t="shared" ca="1" si="1"/>
        <v>16.499269999999999</v>
      </c>
      <c r="G22">
        <f t="shared" ca="1" si="1"/>
        <v>13.597160000000001</v>
      </c>
      <c r="H22">
        <f t="shared" ca="1" si="1"/>
        <v>10.685600000000001</v>
      </c>
      <c r="J22" s="58"/>
      <c r="N22" t="str">
        <f t="shared" ref="N22" si="2">$I$21&amp;$I$22&amp;J22&amp;"_2 = "&amp;$I$23&amp;$I$22&amp;J22&amp;"_2"</f>
        <v>_2 = _2</v>
      </c>
    </row>
    <row r="23" spans="1:14" ht="14.45" x14ac:dyDescent="0.35">
      <c r="A23" t="s">
        <v>409</v>
      </c>
      <c r="B23">
        <f t="shared" ca="1" si="1"/>
        <v>44.496510000000001</v>
      </c>
      <c r="C23">
        <f t="shared" ca="1" si="1"/>
        <v>42.19088</v>
      </c>
      <c r="D23">
        <f t="shared" ca="1" si="1"/>
        <v>40.072749999999999</v>
      </c>
      <c r="E23">
        <f t="shared" ca="1" si="1"/>
        <v>38.757800000000003</v>
      </c>
      <c r="F23">
        <f t="shared" ca="1" si="1"/>
        <v>36.156790000000001</v>
      </c>
      <c r="G23">
        <f t="shared" ca="1" si="1"/>
        <v>33.135109999999997</v>
      </c>
      <c r="H23">
        <f t="shared" ca="1" si="1"/>
        <v>30.259180000000001</v>
      </c>
      <c r="J23" s="58"/>
      <c r="N23" t="e">
        <f>$I$21&amp;$I$22&amp;#REF!&amp;"_2 = "&amp;$I$23&amp;$I$22&amp;#REF!&amp;"_2"</f>
        <v>#REF!</v>
      </c>
    </row>
    <row r="24" spans="1:14" ht="14.45" x14ac:dyDescent="0.35">
      <c r="B24">
        <f ca="1">SUM(B2:B23)</f>
        <v>152.68523400000001</v>
      </c>
      <c r="C24">
        <f t="shared" ref="C24:H24" ca="1" si="3">SUM(C2:C23)</f>
        <v>146.73217099999999</v>
      </c>
      <c r="D24">
        <f t="shared" ca="1" si="3"/>
        <v>148.21806600000002</v>
      </c>
      <c r="E24">
        <f t="shared" ca="1" si="3"/>
        <v>151.81735300000003</v>
      </c>
      <c r="F24">
        <f t="shared" ca="1" si="3"/>
        <v>152.27957699999999</v>
      </c>
      <c r="G24">
        <f t="shared" ca="1" si="3"/>
        <v>144.37044499999999</v>
      </c>
      <c r="H24">
        <f t="shared" ca="1" si="3"/>
        <v>129.80564600000002</v>
      </c>
      <c r="J24" s="58"/>
    </row>
    <row r="25" spans="1:14" ht="14.45" x14ac:dyDescent="0.35">
      <c r="A25" s="1" t="s">
        <v>330</v>
      </c>
      <c r="J25" s="58"/>
      <c r="N25" t="str">
        <f t="shared" ref="N25:N41" si="4">$I$21&amp;$I$22&amp;J23&amp;"_2 = "&amp;$I$23&amp;$I$22&amp;J23&amp;"_2"</f>
        <v>_2 = _2</v>
      </c>
    </row>
    <row r="26" spans="1:14" ht="14.45" x14ac:dyDescent="0.35">
      <c r="A26" t="s">
        <v>422</v>
      </c>
      <c r="B26">
        <f ca="1">Output("SCEN_ADEMEhaut",$A26,B$1)</f>
        <v>4.0414649999999996</v>
      </c>
      <c r="C26">
        <f t="shared" ref="C26:H41" ca="1" si="5">Output("SCEN_ADEMEhaut",$A26,C$1)</f>
        <v>3.8789889999999998</v>
      </c>
      <c r="D26">
        <f t="shared" ca="1" si="5"/>
        <v>4.1170710000000001</v>
      </c>
      <c r="E26">
        <f t="shared" ca="1" si="5"/>
        <v>4.1661349999999997</v>
      </c>
      <c r="F26">
        <f t="shared" ca="1" si="5"/>
        <v>3.2400370000000001</v>
      </c>
      <c r="G26">
        <f t="shared" ca="1" si="5"/>
        <v>2.3311790000000001</v>
      </c>
      <c r="H26">
        <f t="shared" ca="1" si="5"/>
        <v>1.2749189999999999</v>
      </c>
      <c r="J26" s="58"/>
      <c r="N26" t="str">
        <f t="shared" si="4"/>
        <v>_2 = _2</v>
      </c>
    </row>
    <row r="27" spans="1:14" ht="14.45" x14ac:dyDescent="0.35">
      <c r="A27" t="s">
        <v>423</v>
      </c>
      <c r="B27">
        <f t="shared" ref="B27:H47" ca="1" si="6">Output("SCEN_ADEMEhaut",$A27,B$1)</f>
        <v>4.258947</v>
      </c>
      <c r="C27">
        <f t="shared" ca="1" si="5"/>
        <v>4.2483420000000001</v>
      </c>
      <c r="D27">
        <f t="shared" ca="1" si="5"/>
        <v>4.4680350000000004</v>
      </c>
      <c r="E27">
        <f t="shared" ca="1" si="5"/>
        <v>4.6106249999999998</v>
      </c>
      <c r="F27">
        <f t="shared" ca="1" si="5"/>
        <v>4.6540229999999996</v>
      </c>
      <c r="G27">
        <f t="shared" ca="1" si="5"/>
        <v>4.6930069999999997</v>
      </c>
      <c r="H27">
        <f t="shared" ca="1" si="5"/>
        <v>4.3630740000000001</v>
      </c>
      <c r="J27" s="58"/>
      <c r="N27" t="str">
        <f t="shared" si="4"/>
        <v>_2 = _2</v>
      </c>
    </row>
    <row r="28" spans="1:14" ht="14.45" x14ac:dyDescent="0.35">
      <c r="A28" t="s">
        <v>424</v>
      </c>
      <c r="B28">
        <f t="shared" ca="1" si="6"/>
        <v>0.954928</v>
      </c>
      <c r="C28">
        <f t="shared" ca="1" si="5"/>
        <v>0.85596000000000005</v>
      </c>
      <c r="D28">
        <f t="shared" ca="1" si="5"/>
        <v>0.79536899999999999</v>
      </c>
      <c r="E28">
        <f t="shared" ca="1" si="5"/>
        <v>0.72771200000000003</v>
      </c>
      <c r="F28">
        <f t="shared" ca="1" si="5"/>
        <v>0.56591000000000002</v>
      </c>
      <c r="G28">
        <f t="shared" ca="1" si="5"/>
        <v>0.463611</v>
      </c>
      <c r="H28">
        <f t="shared" ca="1" si="5"/>
        <v>0.355263</v>
      </c>
      <c r="J28" s="58"/>
      <c r="N28" t="str">
        <f t="shared" si="4"/>
        <v>_2 = _2</v>
      </c>
    </row>
    <row r="29" spans="1:14" ht="14.45" x14ac:dyDescent="0.35">
      <c r="A29" t="s">
        <v>425</v>
      </c>
      <c r="B29">
        <f t="shared" ca="1" si="6"/>
        <v>1.5365880000000001</v>
      </c>
      <c r="C29">
        <f t="shared" ca="1" si="5"/>
        <v>1.4997549999999999</v>
      </c>
      <c r="D29">
        <f t="shared" ca="1" si="5"/>
        <v>1.562074</v>
      </c>
      <c r="E29">
        <f t="shared" ca="1" si="5"/>
        <v>1.550934</v>
      </c>
      <c r="F29">
        <f t="shared" ca="1" si="5"/>
        <v>1.415419</v>
      </c>
      <c r="G29">
        <f t="shared" ca="1" si="5"/>
        <v>1.2559089999999999</v>
      </c>
      <c r="H29">
        <f t="shared" ca="1" si="5"/>
        <v>1.061288</v>
      </c>
      <c r="J29" s="58"/>
      <c r="N29" t="str">
        <f t="shared" si="4"/>
        <v>_2 = _2</v>
      </c>
    </row>
    <row r="30" spans="1:14" ht="14.45" x14ac:dyDescent="0.35">
      <c r="A30" t="s">
        <v>426</v>
      </c>
      <c r="B30">
        <f t="shared" ca="1" si="6"/>
        <v>2.980524</v>
      </c>
      <c r="C30">
        <f t="shared" ca="1" si="5"/>
        <v>3.222029</v>
      </c>
      <c r="D30">
        <f t="shared" ca="1" si="5"/>
        <v>3.3418269999999999</v>
      </c>
      <c r="E30">
        <f t="shared" ca="1" si="5"/>
        <v>3.3058049999999999</v>
      </c>
      <c r="F30">
        <f t="shared" ca="1" si="5"/>
        <v>2.9900229999999999</v>
      </c>
      <c r="G30">
        <f t="shared" ca="1" si="5"/>
        <v>2.7821720000000001</v>
      </c>
      <c r="H30">
        <f t="shared" ca="1" si="5"/>
        <v>2.4911750000000001</v>
      </c>
      <c r="J30" s="58"/>
      <c r="N30" t="str">
        <f t="shared" si="4"/>
        <v>_2 = _2</v>
      </c>
    </row>
    <row r="31" spans="1:14" ht="14.45" x14ac:dyDescent="0.35">
      <c r="A31" t="s">
        <v>427</v>
      </c>
      <c r="B31">
        <f t="shared" ca="1" si="6"/>
        <v>3.418828</v>
      </c>
      <c r="C31">
        <f t="shared" ca="1" si="5"/>
        <v>3.353631</v>
      </c>
      <c r="D31">
        <f t="shared" ca="1" si="5"/>
        <v>3.535933</v>
      </c>
      <c r="E31">
        <f t="shared" ca="1" si="5"/>
        <v>3.6057739999999998</v>
      </c>
      <c r="F31">
        <f t="shared" ca="1" si="5"/>
        <v>3.5716969999999999</v>
      </c>
      <c r="G31">
        <f t="shared" ca="1" si="5"/>
        <v>3.304217</v>
      </c>
      <c r="H31">
        <f t="shared" ca="1" si="5"/>
        <v>2.9614449999999999</v>
      </c>
      <c r="J31" s="58"/>
      <c r="N31" t="str">
        <f t="shared" si="4"/>
        <v>_2 = _2</v>
      </c>
    </row>
    <row r="32" spans="1:14" ht="14.45" x14ac:dyDescent="0.35">
      <c r="A32" t="s">
        <v>428</v>
      </c>
      <c r="B32">
        <f t="shared" ca="1" si="6"/>
        <v>4.3784140000000003</v>
      </c>
      <c r="C32">
        <f t="shared" ca="1" si="5"/>
        <v>4.197362</v>
      </c>
      <c r="D32">
        <f t="shared" ca="1" si="5"/>
        <v>4.3564369999999997</v>
      </c>
      <c r="E32">
        <f t="shared" ca="1" si="5"/>
        <v>4.2902820000000004</v>
      </c>
      <c r="F32">
        <f t="shared" ca="1" si="5"/>
        <v>3.980925</v>
      </c>
      <c r="G32">
        <f t="shared" ca="1" si="5"/>
        <v>3.3053710000000001</v>
      </c>
      <c r="H32">
        <f t="shared" ca="1" si="5"/>
        <v>2.521925</v>
      </c>
      <c r="J32" s="58"/>
      <c r="N32" t="str">
        <f t="shared" si="4"/>
        <v>_2 = _2</v>
      </c>
    </row>
    <row r="33" spans="1:14" ht="14.45" x14ac:dyDescent="0.35">
      <c r="A33" t="s">
        <v>429</v>
      </c>
      <c r="B33">
        <f t="shared" ca="1" si="6"/>
        <v>4.8902089999999996</v>
      </c>
      <c r="C33">
        <f t="shared" ca="1" si="5"/>
        <v>4.7222140000000001</v>
      </c>
      <c r="D33">
        <f t="shared" ca="1" si="5"/>
        <v>5.2281839999999997</v>
      </c>
      <c r="E33">
        <f t="shared" ca="1" si="5"/>
        <v>5.6494479999999996</v>
      </c>
      <c r="F33">
        <f t="shared" ca="1" si="5"/>
        <v>5.5321410000000002</v>
      </c>
      <c r="G33">
        <f t="shared" ca="1" si="5"/>
        <v>4.2725939999999998</v>
      </c>
      <c r="H33">
        <f t="shared" ca="1" si="5"/>
        <v>2.5522520000000002</v>
      </c>
      <c r="J33" s="58"/>
      <c r="N33" t="str">
        <f t="shared" si="4"/>
        <v>_2 = _2</v>
      </c>
    </row>
    <row r="34" spans="1:14" ht="14.45" x14ac:dyDescent="0.35">
      <c r="A34" t="s">
        <v>430</v>
      </c>
      <c r="B34">
        <f t="shared" ca="1" si="6"/>
        <v>0.61208899999999999</v>
      </c>
      <c r="C34">
        <f t="shared" ca="1" si="5"/>
        <v>0.61702800000000002</v>
      </c>
      <c r="D34">
        <f t="shared" ca="1" si="5"/>
        <v>0.66643600000000003</v>
      </c>
      <c r="E34">
        <f t="shared" ca="1" si="5"/>
        <v>0.71580699999999997</v>
      </c>
      <c r="F34">
        <f t="shared" ca="1" si="5"/>
        <v>0.76240600000000003</v>
      </c>
      <c r="G34">
        <f t="shared" ca="1" si="5"/>
        <v>0.73779899999999998</v>
      </c>
      <c r="H34">
        <f t="shared" ca="1" si="5"/>
        <v>0.66824700000000004</v>
      </c>
      <c r="J34" s="58"/>
      <c r="N34" t="str">
        <f t="shared" si="4"/>
        <v>_2 = _2</v>
      </c>
    </row>
    <row r="35" spans="1:14" ht="14.45" x14ac:dyDescent="0.35">
      <c r="A35" t="s">
        <v>410</v>
      </c>
      <c r="B35">
        <f t="shared" ca="1" si="6"/>
        <v>5.5418700000000003</v>
      </c>
      <c r="C35">
        <f t="shared" ca="1" si="5"/>
        <v>4.7053960000000004</v>
      </c>
      <c r="D35">
        <f t="shared" ca="1" si="5"/>
        <v>4.7035749999999998</v>
      </c>
      <c r="E35">
        <f t="shared" ca="1" si="5"/>
        <v>4.1382989999999999</v>
      </c>
      <c r="F35">
        <f t="shared" ca="1" si="5"/>
        <v>3.9175819999999999</v>
      </c>
      <c r="G35">
        <f t="shared" ca="1" si="5"/>
        <v>3.569429</v>
      </c>
      <c r="H35">
        <f t="shared" ca="1" si="5"/>
        <v>3.137057</v>
      </c>
      <c r="J35" s="58"/>
      <c r="N35" t="str">
        <f t="shared" si="4"/>
        <v>_2 = _2</v>
      </c>
    </row>
    <row r="36" spans="1:14" ht="14.45" x14ac:dyDescent="0.35">
      <c r="A36" t="s">
        <v>411</v>
      </c>
      <c r="B36">
        <f t="shared" ca="1" si="6"/>
        <v>1.502988</v>
      </c>
      <c r="C36">
        <f t="shared" ca="1" si="5"/>
        <v>1.433081</v>
      </c>
      <c r="D36">
        <f t="shared" ca="1" si="5"/>
        <v>1.530805</v>
      </c>
      <c r="E36">
        <f t="shared" ca="1" si="5"/>
        <v>1.5520560000000001</v>
      </c>
      <c r="F36">
        <f t="shared" ca="1" si="5"/>
        <v>1.4493959999999999</v>
      </c>
      <c r="G36">
        <f t="shared" ca="1" si="5"/>
        <v>1.1385069999999999</v>
      </c>
      <c r="H36">
        <f t="shared" ca="1" si="5"/>
        <v>0.79823699999999997</v>
      </c>
      <c r="J36" s="58"/>
      <c r="N36" t="str">
        <f t="shared" si="4"/>
        <v>_2 = _2</v>
      </c>
    </row>
    <row r="37" spans="1:14" x14ac:dyDescent="0.25">
      <c r="A37" t="s">
        <v>412</v>
      </c>
      <c r="B37">
        <f t="shared" ca="1" si="6"/>
        <v>6.574255</v>
      </c>
      <c r="C37">
        <f t="shared" ca="1" si="5"/>
        <v>6.5139180000000003</v>
      </c>
      <c r="D37">
        <f t="shared" ca="1" si="5"/>
        <v>6.8710180000000003</v>
      </c>
      <c r="E37">
        <f t="shared" ca="1" si="5"/>
        <v>7.0285010000000003</v>
      </c>
      <c r="F37">
        <f t="shared" ca="1" si="5"/>
        <v>7.3351290000000002</v>
      </c>
      <c r="G37">
        <f t="shared" ca="1" si="5"/>
        <v>7.1790500000000002</v>
      </c>
      <c r="H37">
        <f t="shared" ca="1" si="5"/>
        <v>6.6396040000000003</v>
      </c>
      <c r="J37" s="58"/>
      <c r="N37" t="str">
        <f t="shared" si="4"/>
        <v>_2 = _2</v>
      </c>
    </row>
    <row r="38" spans="1:14" x14ac:dyDescent="0.25">
      <c r="A38" t="s">
        <v>413</v>
      </c>
      <c r="B38">
        <f t="shared" ca="1" si="6"/>
        <v>0.286248</v>
      </c>
      <c r="C38">
        <f t="shared" ca="1" si="5"/>
        <v>0.32968900000000001</v>
      </c>
      <c r="D38">
        <f t="shared" ca="1" si="5"/>
        <v>0.32586799999999999</v>
      </c>
      <c r="E38">
        <f t="shared" ca="1" si="5"/>
        <v>0.30149700000000001</v>
      </c>
      <c r="F38">
        <f t="shared" ca="1" si="5"/>
        <v>0.31408999999999998</v>
      </c>
      <c r="G38">
        <f t="shared" ca="1" si="5"/>
        <v>0.36853000000000002</v>
      </c>
      <c r="H38">
        <f t="shared" ca="1" si="5"/>
        <v>0.41090199999999999</v>
      </c>
      <c r="J38" s="58"/>
      <c r="N38" t="str">
        <f t="shared" si="4"/>
        <v>_2 = _2</v>
      </c>
    </row>
    <row r="39" spans="1:14" x14ac:dyDescent="0.25">
      <c r="A39" t="s">
        <v>414</v>
      </c>
      <c r="B39">
        <f t="shared" ca="1" si="6"/>
        <v>0.97524900000000003</v>
      </c>
      <c r="C39">
        <f t="shared" ca="1" si="5"/>
        <v>1.0121739999999999</v>
      </c>
      <c r="D39">
        <f t="shared" ca="1" si="5"/>
        <v>1.122214</v>
      </c>
      <c r="E39">
        <f t="shared" ca="1" si="5"/>
        <v>1.1975340000000001</v>
      </c>
      <c r="F39">
        <f t="shared" ca="1" si="5"/>
        <v>1.2449539999999999</v>
      </c>
      <c r="G39">
        <f t="shared" ca="1" si="5"/>
        <v>1.1639379999999999</v>
      </c>
      <c r="H39">
        <f t="shared" ca="1" si="5"/>
        <v>1.0292619999999999</v>
      </c>
      <c r="J39" s="58"/>
      <c r="N39" t="str">
        <f t="shared" si="4"/>
        <v>_2 = _2</v>
      </c>
    </row>
    <row r="40" spans="1:14" x14ac:dyDescent="0.25">
      <c r="A40" t="s">
        <v>415</v>
      </c>
      <c r="B40">
        <f t="shared" ca="1" si="6"/>
        <v>0.87376100000000001</v>
      </c>
      <c r="C40">
        <f t="shared" ca="1" si="5"/>
        <v>0.85402</v>
      </c>
      <c r="D40">
        <f t="shared" ca="1" si="5"/>
        <v>0.85331299999999999</v>
      </c>
      <c r="E40">
        <f t="shared" ca="1" si="5"/>
        <v>0.84594400000000003</v>
      </c>
      <c r="F40">
        <f t="shared" ca="1" si="5"/>
        <v>0.81652000000000002</v>
      </c>
      <c r="G40">
        <f t="shared" ca="1" si="5"/>
        <v>0.69413599999999998</v>
      </c>
      <c r="H40">
        <f t="shared" ca="1" si="5"/>
        <v>0.50133799999999995</v>
      </c>
      <c r="J40" s="58"/>
      <c r="N40" t="str">
        <f t="shared" si="4"/>
        <v>_2 = _2</v>
      </c>
    </row>
    <row r="41" spans="1:14" x14ac:dyDescent="0.25">
      <c r="A41" t="s">
        <v>416</v>
      </c>
      <c r="B41">
        <f t="shared" ca="1" si="6"/>
        <v>16.412230000000001</v>
      </c>
      <c r="C41">
        <f t="shared" ca="1" si="5"/>
        <v>15.95539</v>
      </c>
      <c r="D41">
        <f t="shared" ca="1" si="5"/>
        <v>16.78304</v>
      </c>
      <c r="E41">
        <f t="shared" ca="1" si="5"/>
        <v>17.078859999999999</v>
      </c>
      <c r="F41">
        <f t="shared" ca="1" si="5"/>
        <v>12.52294</v>
      </c>
      <c r="G41">
        <f t="shared" ca="1" si="5"/>
        <v>8.6969750000000001</v>
      </c>
      <c r="H41">
        <f t="shared" ca="1" si="5"/>
        <v>5.0883950000000002</v>
      </c>
      <c r="J41" s="58"/>
      <c r="N41" t="str">
        <f t="shared" si="4"/>
        <v>_2 = _2</v>
      </c>
    </row>
    <row r="42" spans="1:14" x14ac:dyDescent="0.25">
      <c r="A42" t="s">
        <v>417</v>
      </c>
      <c r="B42">
        <f t="shared" ca="1" si="6"/>
        <v>0.34</v>
      </c>
      <c r="C42">
        <f t="shared" ca="1" si="6"/>
        <v>0.31928200000000001</v>
      </c>
      <c r="D42">
        <f t="shared" ca="1" si="6"/>
        <v>0.32747799999999999</v>
      </c>
      <c r="E42">
        <f t="shared" ca="1" si="6"/>
        <v>0.30128100000000002</v>
      </c>
      <c r="F42">
        <f t="shared" ca="1" si="6"/>
        <v>0.14399100000000001</v>
      </c>
      <c r="G42">
        <f t="shared" ca="1" si="6"/>
        <v>8.1254999999999994E-2</v>
      </c>
      <c r="H42">
        <f t="shared" ca="1" si="6"/>
        <v>5.2241999999999997E-2</v>
      </c>
      <c r="J42" s="58"/>
      <c r="N42" t="str">
        <f>$I$21&amp;J41&amp;"_2 = "&amp;$I$23&amp;$I$25&amp;J41&amp;"_2"</f>
        <v>_2 = _2</v>
      </c>
    </row>
    <row r="43" spans="1:14" x14ac:dyDescent="0.25">
      <c r="A43" t="s">
        <v>418</v>
      </c>
      <c r="B43">
        <f t="shared" ca="1" si="6"/>
        <v>1.79</v>
      </c>
      <c r="C43">
        <f t="shared" ca="1" si="6"/>
        <v>1.6988000000000001</v>
      </c>
      <c r="D43">
        <f t="shared" ca="1" si="6"/>
        <v>1.7489870000000001</v>
      </c>
      <c r="E43">
        <f t="shared" ca="1" si="6"/>
        <v>1.6633739999999999</v>
      </c>
      <c r="F43">
        <f t="shared" ca="1" si="6"/>
        <v>0.88588999999999996</v>
      </c>
      <c r="G43">
        <f t="shared" ca="1" si="6"/>
        <v>0.50147799999999998</v>
      </c>
      <c r="H43">
        <f t="shared" ca="1" si="6"/>
        <v>0.26180700000000001</v>
      </c>
      <c r="N43" t="str">
        <f>$I$21&amp;J42&amp;"_2 = "&amp;$I$23&amp;$I$25&amp;J42&amp;"_2"</f>
        <v>_2 = _2</v>
      </c>
    </row>
    <row r="44" spans="1:14" x14ac:dyDescent="0.25">
      <c r="A44" t="s">
        <v>419</v>
      </c>
      <c r="B44">
        <f t="shared" ca="1" si="6"/>
        <v>17.149380000000001</v>
      </c>
      <c r="C44">
        <f t="shared" ca="1" si="6"/>
        <v>17.013750000000002</v>
      </c>
      <c r="D44">
        <f t="shared" ca="1" si="6"/>
        <v>17.60144</v>
      </c>
      <c r="E44">
        <f t="shared" ca="1" si="6"/>
        <v>18.117339999999999</v>
      </c>
      <c r="F44">
        <f t="shared" ca="1" si="6"/>
        <v>17.700209999999998</v>
      </c>
      <c r="G44">
        <f t="shared" ca="1" si="6"/>
        <v>16.016259999999999</v>
      </c>
      <c r="H44">
        <f t="shared" ca="1" si="6"/>
        <v>11.792770000000001</v>
      </c>
    </row>
    <row r="45" spans="1:14" x14ac:dyDescent="0.25">
      <c r="A45" t="s">
        <v>420</v>
      </c>
      <c r="B45">
        <f t="shared" ca="1" si="6"/>
        <v>5.5313509999999999</v>
      </c>
      <c r="C45">
        <f t="shared" ca="1" si="6"/>
        <v>5.7149070000000002</v>
      </c>
      <c r="D45">
        <f t="shared" ca="1" si="6"/>
        <v>5.9050349999999998</v>
      </c>
      <c r="E45">
        <f t="shared" ca="1" si="6"/>
        <v>5.9508190000000001</v>
      </c>
      <c r="F45">
        <f t="shared" ca="1" si="6"/>
        <v>5.7680020000000001</v>
      </c>
      <c r="G45">
        <f t="shared" ca="1" si="6"/>
        <v>5.4832749999999999</v>
      </c>
      <c r="H45">
        <f t="shared" ca="1" si="6"/>
        <v>4.3653240000000002</v>
      </c>
    </row>
    <row r="46" spans="1:14" x14ac:dyDescent="0.25">
      <c r="A46" t="s">
        <v>434</v>
      </c>
      <c r="B46">
        <f t="shared" ca="1" si="6"/>
        <v>24.139399999999998</v>
      </c>
      <c r="C46">
        <f t="shared" ca="1" si="6"/>
        <v>22.38522</v>
      </c>
      <c r="D46">
        <f t="shared" ca="1" si="6"/>
        <v>20.567399999999999</v>
      </c>
      <c r="E46">
        <f t="shared" ca="1" si="6"/>
        <v>18.491350000000001</v>
      </c>
      <c r="F46">
        <f t="shared" ca="1" si="6"/>
        <v>14.44004</v>
      </c>
      <c r="G46">
        <f t="shared" ca="1" si="6"/>
        <v>12.005050000000001</v>
      </c>
      <c r="H46">
        <f t="shared" ca="1" si="6"/>
        <v>9.1845599999999994</v>
      </c>
    </row>
    <row r="47" spans="1:14" x14ac:dyDescent="0.25">
      <c r="A47" t="s">
        <v>421</v>
      </c>
      <c r="B47">
        <f t="shared" ca="1" si="6"/>
        <v>44.496510000000001</v>
      </c>
      <c r="C47">
        <f t="shared" ca="1" si="6"/>
        <v>42.190959999999997</v>
      </c>
      <c r="D47">
        <f t="shared" ca="1" si="6"/>
        <v>39.771700000000003</v>
      </c>
      <c r="E47">
        <f t="shared" ca="1" si="6"/>
        <v>37.726010000000002</v>
      </c>
      <c r="F47">
        <f t="shared" ca="1" si="6"/>
        <v>32.785730000000001</v>
      </c>
      <c r="G47">
        <f t="shared" ca="1" si="6"/>
        <v>27.648070000000001</v>
      </c>
      <c r="H47">
        <f t="shared" ca="1" si="6"/>
        <v>23.54401</v>
      </c>
    </row>
    <row r="48" spans="1:14" x14ac:dyDescent="0.25">
      <c r="B48">
        <f ca="1">SUM(B26:B47)</f>
        <v>152.68523400000001</v>
      </c>
      <c r="C48">
        <f t="shared" ref="C48:H48" ca="1" si="7">SUM(C26:C47)</f>
        <v>146.72189700000001</v>
      </c>
      <c r="D48">
        <f t="shared" ca="1" si="7"/>
        <v>146.18323900000001</v>
      </c>
      <c r="E48">
        <f t="shared" ca="1" si="7"/>
        <v>143.01538699999998</v>
      </c>
      <c r="F48">
        <f t="shared" ca="1" si="7"/>
        <v>126.037055</v>
      </c>
      <c r="G48">
        <f t="shared" ca="1" si="7"/>
        <v>107.691812</v>
      </c>
      <c r="H48">
        <f t="shared" ca="1" si="7"/>
        <v>85.055095999999992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53"/>
  <sheetViews>
    <sheetView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D15" sqref="D15"/>
    </sheetView>
  </sheetViews>
  <sheetFormatPr baseColWidth="10" defaultRowHeight="15" x14ac:dyDescent="0.25"/>
  <cols>
    <col min="1" max="1" width="16.42578125" bestFit="1" customWidth="1"/>
    <col min="2" max="2" width="26.85546875" customWidth="1"/>
    <col min="3" max="11" width="12.7109375" customWidth="1"/>
  </cols>
  <sheetData>
    <row r="1" spans="1:49" ht="14.45" x14ac:dyDescent="0.35">
      <c r="C1">
        <v>2006</v>
      </c>
      <c r="D1">
        <v>2007</v>
      </c>
      <c r="E1">
        <v>2008</v>
      </c>
      <c r="F1">
        <v>2009</v>
      </c>
      <c r="G1">
        <v>2010</v>
      </c>
      <c r="H1">
        <v>2011</v>
      </c>
      <c r="I1">
        <v>2012</v>
      </c>
      <c r="J1">
        <v>2013</v>
      </c>
      <c r="K1">
        <v>2014</v>
      </c>
      <c r="L1">
        <v>2015</v>
      </c>
      <c r="M1">
        <v>2016</v>
      </c>
      <c r="N1">
        <v>2017</v>
      </c>
      <c r="O1">
        <v>2018</v>
      </c>
      <c r="P1">
        <v>2019</v>
      </c>
      <c r="Q1">
        <v>2020</v>
      </c>
      <c r="R1">
        <v>2021</v>
      </c>
      <c r="S1">
        <v>2022</v>
      </c>
      <c r="T1">
        <v>2023</v>
      </c>
      <c r="U1">
        <v>2024</v>
      </c>
      <c r="V1">
        <v>2025</v>
      </c>
      <c r="W1">
        <v>2026</v>
      </c>
      <c r="X1">
        <v>2027</v>
      </c>
      <c r="Y1">
        <v>2028</v>
      </c>
      <c r="Z1">
        <v>2029</v>
      </c>
      <c r="AA1">
        <v>2030</v>
      </c>
      <c r="AB1">
        <v>2031</v>
      </c>
      <c r="AC1">
        <v>2032</v>
      </c>
      <c r="AD1">
        <v>2033</v>
      </c>
      <c r="AE1">
        <v>2034</v>
      </c>
      <c r="AF1">
        <v>2035</v>
      </c>
      <c r="AG1">
        <v>2036</v>
      </c>
      <c r="AH1">
        <v>2037</v>
      </c>
      <c r="AI1">
        <v>2038</v>
      </c>
      <c r="AJ1">
        <v>2039</v>
      </c>
      <c r="AK1">
        <v>2040</v>
      </c>
      <c r="AL1">
        <v>2041</v>
      </c>
      <c r="AM1">
        <v>2042</v>
      </c>
      <c r="AN1">
        <v>2043</v>
      </c>
      <c r="AO1">
        <v>2044</v>
      </c>
      <c r="AP1">
        <v>2045</v>
      </c>
      <c r="AQ1">
        <v>2046</v>
      </c>
      <c r="AR1">
        <v>2047</v>
      </c>
      <c r="AS1">
        <v>2048</v>
      </c>
      <c r="AT1">
        <v>2049</v>
      </c>
      <c r="AU1">
        <v>2050</v>
      </c>
    </row>
    <row r="2" spans="1:49" ht="14.45" x14ac:dyDescent="0.35">
      <c r="A2" s="1" t="s">
        <v>1064</v>
      </c>
    </row>
    <row r="3" spans="1:49" ht="14.45" x14ac:dyDescent="0.35">
      <c r="B3" t="s">
        <v>1049</v>
      </c>
      <c r="C3" s="129">
        <f ca="1">Output("SCEN_ADEMEhaut",$B3,C$1)</f>
        <v>8.8152999999999995E-2</v>
      </c>
      <c r="D3" s="129">
        <f t="shared" ref="D3:AU9" ca="1" si="0">Output("SCEN_ADEMEhaut",$B3,D$1)</f>
        <v>9.1994999999999993E-2</v>
      </c>
      <c r="E3" s="129">
        <f t="shared" ca="1" si="0"/>
        <v>9.7728999999999996E-2</v>
      </c>
      <c r="F3" s="129">
        <f t="shared" ca="1" si="0"/>
        <v>0.104486</v>
      </c>
      <c r="G3" s="129">
        <f t="shared" ca="1" si="0"/>
        <v>0.109212</v>
      </c>
      <c r="H3" s="129">
        <f t="shared" ca="1" si="0"/>
        <v>0.110429</v>
      </c>
      <c r="I3" s="129">
        <f t="shared" ca="1" si="0"/>
        <v>0.109485</v>
      </c>
      <c r="J3" s="129">
        <f t="shared" ca="1" si="0"/>
        <v>0.10749</v>
      </c>
      <c r="K3" s="129">
        <f t="shared" ca="1" si="0"/>
        <v>0.107101</v>
      </c>
      <c r="L3" s="129">
        <f t="shared" ca="1" si="0"/>
        <v>0.10736900000000001</v>
      </c>
      <c r="M3" s="129">
        <f t="shared" ca="1" si="0"/>
        <v>0.10757700000000001</v>
      </c>
      <c r="N3" s="129">
        <f t="shared" ca="1" si="0"/>
        <v>0.107207</v>
      </c>
      <c r="O3" s="129">
        <f t="shared" ca="1" si="0"/>
        <v>0.106013</v>
      </c>
      <c r="P3" s="129">
        <f t="shared" ca="1" si="0"/>
        <v>0.104113</v>
      </c>
      <c r="Q3" s="129">
        <f t="shared" ca="1" si="0"/>
        <v>0.10180500000000001</v>
      </c>
      <c r="R3" s="129">
        <f t="shared" ca="1" si="0"/>
        <v>9.9451999999999999E-2</v>
      </c>
      <c r="S3" s="129">
        <f t="shared" ca="1" si="0"/>
        <v>9.7266000000000005E-2</v>
      </c>
      <c r="T3" s="129">
        <f t="shared" ca="1" si="0"/>
        <v>9.5425999999999997E-2</v>
      </c>
      <c r="U3" s="129">
        <f t="shared" ca="1" si="0"/>
        <v>9.4042000000000001E-2</v>
      </c>
      <c r="V3" s="129">
        <f t="shared" ca="1" si="0"/>
        <v>9.3174000000000007E-2</v>
      </c>
      <c r="W3" s="129">
        <f t="shared" ca="1" si="0"/>
        <v>9.2839000000000005E-2</v>
      </c>
      <c r="X3" s="129">
        <f t="shared" ca="1" si="0"/>
        <v>9.3071000000000001E-2</v>
      </c>
      <c r="Y3" s="129">
        <f t="shared" ca="1" si="0"/>
        <v>9.3807000000000001E-2</v>
      </c>
      <c r="Z3" s="129">
        <f t="shared" ca="1" si="0"/>
        <v>9.4967999999999997E-2</v>
      </c>
      <c r="AA3" s="129">
        <f t="shared" ca="1" si="0"/>
        <v>9.6467999999999998E-2</v>
      </c>
      <c r="AB3" s="129">
        <f t="shared" ca="1" si="0"/>
        <v>9.8382999999999998E-2</v>
      </c>
      <c r="AC3" s="129">
        <f t="shared" ca="1" si="0"/>
        <v>0.10072299999999999</v>
      </c>
      <c r="AD3" s="129">
        <f t="shared" ca="1" si="0"/>
        <v>0.10342899999999999</v>
      </c>
      <c r="AE3" s="129">
        <f t="shared" ca="1" si="0"/>
        <v>0.106394</v>
      </c>
      <c r="AF3" s="129">
        <f t="shared" ca="1" si="0"/>
        <v>0.10949399999999999</v>
      </c>
      <c r="AG3" s="129">
        <f t="shared" ca="1" si="0"/>
        <v>0.11260299999999999</v>
      </c>
      <c r="AH3" s="129">
        <f t="shared" ca="1" si="0"/>
        <v>0.11561100000000001</v>
      </c>
      <c r="AI3" s="129">
        <f t="shared" ca="1" si="0"/>
        <v>0.118427</v>
      </c>
      <c r="AJ3" s="129">
        <f t="shared" ca="1" si="0"/>
        <v>0.120987</v>
      </c>
      <c r="AK3" s="129">
        <f t="shared" ca="1" si="0"/>
        <v>0.123247</v>
      </c>
      <c r="AL3" s="129">
        <f t="shared" ca="1" si="0"/>
        <v>0.12518899999999999</v>
      </c>
      <c r="AM3" s="129">
        <f t="shared" ca="1" si="0"/>
        <v>0.12681000000000001</v>
      </c>
      <c r="AN3" s="129">
        <f t="shared" ca="1" si="0"/>
        <v>0.12812100000000001</v>
      </c>
      <c r="AO3" s="129">
        <f t="shared" ca="1" si="0"/>
        <v>0.12914700000000001</v>
      </c>
      <c r="AP3" s="129">
        <f t="shared" ca="1" si="0"/>
        <v>0.129915</v>
      </c>
      <c r="AQ3" s="129">
        <f t="shared" ca="1" si="0"/>
        <v>0.130466</v>
      </c>
      <c r="AR3" s="129">
        <f t="shared" ca="1" si="0"/>
        <v>0.130853</v>
      </c>
      <c r="AS3" s="129">
        <f t="shared" ca="1" si="0"/>
        <v>0.13111300000000001</v>
      </c>
      <c r="AT3" s="129">
        <f t="shared" ca="1" si="0"/>
        <v>0.131275</v>
      </c>
      <c r="AU3" s="129">
        <f t="shared" ca="1" si="0"/>
        <v>0.13136400000000001</v>
      </c>
    </row>
    <row r="4" spans="1:49" ht="14.45" x14ac:dyDescent="0.35">
      <c r="B4" t="s">
        <v>1050</v>
      </c>
      <c r="C4" s="129">
        <f t="shared" ref="C4:R8" ca="1" si="1">Output("SCEN_ADEMEhaut",$B4,C$1)</f>
        <v>8.8152999999999995E-2</v>
      </c>
      <c r="D4" s="129">
        <f t="shared" ca="1" si="1"/>
        <v>9.1990000000000002E-2</v>
      </c>
      <c r="E4" s="129">
        <f t="shared" ca="1" si="1"/>
        <v>9.7709000000000004E-2</v>
      </c>
      <c r="F4" s="129">
        <f t="shared" ca="1" si="1"/>
        <v>0.10444000000000001</v>
      </c>
      <c r="G4" s="129">
        <f t="shared" ca="1" si="1"/>
        <v>0.10913399999999999</v>
      </c>
      <c r="H4" s="129">
        <f t="shared" ca="1" si="1"/>
        <v>0.11026</v>
      </c>
      <c r="I4" s="129">
        <f t="shared" ca="1" si="1"/>
        <v>0.109169</v>
      </c>
      <c r="J4" s="129">
        <f t="shared" ca="1" si="1"/>
        <v>0.106991</v>
      </c>
      <c r="K4" s="129">
        <f t="shared" ca="1" si="1"/>
        <v>0.10643</v>
      </c>
      <c r="L4" s="129">
        <f t="shared" ca="1" si="1"/>
        <v>0.105258</v>
      </c>
      <c r="M4" s="129">
        <f t="shared" ca="1" si="1"/>
        <v>0.10333299999999999</v>
      </c>
      <c r="N4" s="129">
        <f t="shared" ca="1" si="1"/>
        <v>0.100893</v>
      </c>
      <c r="O4" s="129">
        <f t="shared" ca="1" si="1"/>
        <v>9.8222000000000004E-2</v>
      </c>
      <c r="P4" s="129">
        <f t="shared" ca="1" si="1"/>
        <v>9.5538999999999999E-2</v>
      </c>
      <c r="Q4" s="129">
        <f t="shared" ca="1" si="1"/>
        <v>9.2947000000000002E-2</v>
      </c>
      <c r="R4" s="129">
        <f t="shared" ca="1" si="1"/>
        <v>9.0590000000000004E-2</v>
      </c>
      <c r="S4" s="129">
        <f t="shared" ca="1" si="0"/>
        <v>8.8475999999999999E-2</v>
      </c>
      <c r="T4" s="129">
        <f t="shared" ca="1" si="0"/>
        <v>8.6640999999999996E-2</v>
      </c>
      <c r="U4" s="129">
        <f t="shared" ca="1" si="0"/>
        <v>8.5089999999999999E-2</v>
      </c>
      <c r="V4" s="129">
        <f t="shared" ca="1" si="0"/>
        <v>8.3808999999999995E-2</v>
      </c>
      <c r="W4" s="129">
        <f t="shared" ca="1" si="0"/>
        <v>8.2772999999999999E-2</v>
      </c>
      <c r="X4" s="129">
        <f t="shared" ca="1" si="0"/>
        <v>8.2000000000000003E-2</v>
      </c>
      <c r="Y4" s="129">
        <f t="shared" ca="1" si="0"/>
        <v>8.1439999999999999E-2</v>
      </c>
      <c r="Z4" s="129">
        <f t="shared" ca="1" si="0"/>
        <v>8.1047999999999995E-2</v>
      </c>
      <c r="AA4" s="129">
        <f t="shared" ca="1" si="0"/>
        <v>8.0789E-2</v>
      </c>
      <c r="AB4" s="129">
        <f t="shared" ca="1" si="0"/>
        <v>8.0950999999999995E-2</v>
      </c>
      <c r="AC4" s="129">
        <f t="shared" ca="1" si="0"/>
        <v>8.2043000000000005E-2</v>
      </c>
      <c r="AD4" s="129">
        <f t="shared" ca="1" si="0"/>
        <v>8.4007999999999999E-2</v>
      </c>
      <c r="AE4" s="129">
        <f t="shared" ca="1" si="0"/>
        <v>8.6705000000000004E-2</v>
      </c>
      <c r="AF4" s="129">
        <f t="shared" ca="1" si="0"/>
        <v>8.9945999999999998E-2</v>
      </c>
      <c r="AG4" s="129">
        <f t="shared" ca="1" si="0"/>
        <v>9.3519000000000005E-2</v>
      </c>
      <c r="AH4" s="129">
        <f t="shared" ca="1" si="0"/>
        <v>9.7214999999999996E-2</v>
      </c>
      <c r="AI4" s="129">
        <f t="shared" ca="1" si="0"/>
        <v>0.10084799999999999</v>
      </c>
      <c r="AJ4" s="129">
        <f t="shared" ca="1" si="0"/>
        <v>0.104259</v>
      </c>
      <c r="AK4" s="129">
        <f t="shared" ca="1" si="0"/>
        <v>0.107322</v>
      </c>
      <c r="AL4" s="129">
        <f t="shared" ca="1" si="0"/>
        <v>0.109946</v>
      </c>
      <c r="AM4" s="129">
        <f t="shared" ca="1" si="0"/>
        <v>0.11207499999999999</v>
      </c>
      <c r="AN4" s="129">
        <f t="shared" ca="1" si="0"/>
        <v>0.113676</v>
      </c>
      <c r="AO4" s="129">
        <f t="shared" ca="1" si="0"/>
        <v>0.114742</v>
      </c>
      <c r="AP4" s="129">
        <f t="shared" ca="1" si="0"/>
        <v>0.115276</v>
      </c>
      <c r="AQ4" s="129">
        <f t="shared" ca="1" si="0"/>
        <v>0.115304</v>
      </c>
      <c r="AR4" s="129">
        <f t="shared" ca="1" si="0"/>
        <v>0.114867</v>
      </c>
      <c r="AS4" s="129">
        <f t="shared" ca="1" si="0"/>
        <v>0.11400200000000001</v>
      </c>
      <c r="AT4" s="129">
        <f t="shared" ca="1" si="0"/>
        <v>0.112738</v>
      </c>
      <c r="AU4" s="129">
        <f t="shared" ca="1" si="0"/>
        <v>0.111099</v>
      </c>
    </row>
    <row r="5" spans="1:49" ht="14.45" x14ac:dyDescent="0.35">
      <c r="B5" t="s">
        <v>1057</v>
      </c>
      <c r="C5" s="129">
        <f t="shared" ca="1" si="1"/>
        <v>-1.2596E-2</v>
      </c>
      <c r="D5" s="129">
        <f t="shared" ca="1" si="0"/>
        <v>-2.8038E-2</v>
      </c>
      <c r="E5" s="129">
        <f t="shared" ca="1" si="0"/>
        <v>-3.0095E-2</v>
      </c>
      <c r="F5" s="129">
        <f t="shared" ca="1" si="0"/>
        <v>-3.1364000000000003E-2</v>
      </c>
      <c r="G5" s="129">
        <f t="shared" ca="1" si="0"/>
        <v>-3.1940999999999997E-2</v>
      </c>
      <c r="H5" s="129">
        <f t="shared" ca="1" si="0"/>
        <v>-2.7869999999999999E-2</v>
      </c>
      <c r="I5" s="129">
        <f t="shared" ca="1" si="0"/>
        <v>-2.4055E-2</v>
      </c>
      <c r="J5" s="129">
        <f t="shared" ca="1" si="0"/>
        <v>-2.0140999999999999E-2</v>
      </c>
      <c r="K5" s="129">
        <f t="shared" ca="1" si="0"/>
        <v>-1.6323000000000001E-2</v>
      </c>
      <c r="L5" s="129">
        <f t="shared" ca="1" si="0"/>
        <v>-1.2936E-2</v>
      </c>
      <c r="M5" s="129">
        <f t="shared" ca="1" si="0"/>
        <v>-1.2148000000000001E-2</v>
      </c>
      <c r="N5" s="129">
        <f t="shared" ca="1" si="0"/>
        <v>-1.1705E-2</v>
      </c>
      <c r="O5" s="129">
        <f t="shared" ca="1" si="0"/>
        <v>-1.1615E-2</v>
      </c>
      <c r="P5" s="129">
        <f t="shared" ca="1" si="0"/>
        <v>-1.1771999999999999E-2</v>
      </c>
      <c r="Q5" s="129">
        <f t="shared" ca="1" si="0"/>
        <v>-1.1461000000000001E-2</v>
      </c>
      <c r="R5" s="129">
        <f t="shared" ca="1" si="0"/>
        <v>-1.1753E-2</v>
      </c>
      <c r="S5" s="129">
        <f t="shared" ca="1" si="0"/>
        <v>-1.2187E-2</v>
      </c>
      <c r="T5" s="129">
        <f t="shared" ca="1" si="0"/>
        <v>-1.2654E-2</v>
      </c>
      <c r="U5" s="129">
        <f t="shared" ca="1" si="0"/>
        <v>-1.3148E-2</v>
      </c>
      <c r="V5" s="129">
        <f t="shared" ca="1" si="0"/>
        <v>-1.3672E-2</v>
      </c>
      <c r="W5" s="129">
        <f t="shared" ca="1" si="0"/>
        <v>-1.4226000000000001E-2</v>
      </c>
      <c r="X5" s="129">
        <f t="shared" ca="1" si="0"/>
        <v>-1.4801E-2</v>
      </c>
      <c r="Y5" s="129">
        <f t="shared" ca="1" si="0"/>
        <v>-1.5409000000000001E-2</v>
      </c>
      <c r="Z5" s="129">
        <f t="shared" ca="1" si="0"/>
        <v>-1.6056999999999998E-2</v>
      </c>
      <c r="AA5" s="129">
        <f t="shared" ca="1" si="0"/>
        <v>-1.6747999999999999E-2</v>
      </c>
      <c r="AB5" s="129">
        <f t="shared" ca="1" si="0"/>
        <v>-1.6357E-2</v>
      </c>
      <c r="AC5" s="129">
        <f t="shared" ca="1" si="0"/>
        <v>-1.6621E-2</v>
      </c>
      <c r="AD5" s="129">
        <f t="shared" ca="1" si="0"/>
        <v>-1.7260000000000001E-2</v>
      </c>
      <c r="AE5" s="129">
        <f t="shared" ca="1" si="0"/>
        <v>-1.8127999999999998E-2</v>
      </c>
      <c r="AF5" s="129">
        <f t="shared" ca="1" si="0"/>
        <v>-1.9136E-2</v>
      </c>
      <c r="AG5" s="129">
        <f t="shared" ca="1" si="0"/>
        <v>-2.0227999999999999E-2</v>
      </c>
      <c r="AH5" s="129">
        <f t="shared" ca="1" si="0"/>
        <v>-2.1373E-2</v>
      </c>
      <c r="AI5" s="129">
        <f t="shared" ca="1" si="0"/>
        <v>-2.2551999999999999E-2</v>
      </c>
      <c r="AJ5" s="129">
        <f t="shared" ca="1" si="0"/>
        <v>-2.375E-2</v>
      </c>
      <c r="AK5" s="129">
        <f t="shared" ca="1" si="0"/>
        <v>-2.4958000000000001E-2</v>
      </c>
      <c r="AL5" s="129">
        <f t="shared" ca="1" si="0"/>
        <v>-2.6165000000000001E-2</v>
      </c>
      <c r="AM5" s="129">
        <f t="shared" ca="1" si="0"/>
        <v>-2.7363999999999999E-2</v>
      </c>
      <c r="AN5" s="129">
        <f t="shared" ca="1" si="0"/>
        <v>-2.8548E-2</v>
      </c>
      <c r="AO5" s="129">
        <f t="shared" ca="1" si="0"/>
        <v>-2.9707999999999998E-2</v>
      </c>
      <c r="AP5" s="129">
        <f t="shared" ca="1" si="0"/>
        <v>-3.09E-2</v>
      </c>
      <c r="AQ5" s="129">
        <f t="shared" ca="1" si="0"/>
        <v>-3.2065000000000003E-2</v>
      </c>
      <c r="AR5" s="129">
        <f t="shared" ca="1" si="0"/>
        <v>-3.3234E-2</v>
      </c>
      <c r="AS5" s="129">
        <f t="shared" ca="1" si="0"/>
        <v>-3.4368000000000003E-2</v>
      </c>
      <c r="AT5" s="129">
        <f t="shared" ca="1" si="0"/>
        <v>-3.5466999999999999E-2</v>
      </c>
      <c r="AU5" s="129">
        <f t="shared" ca="1" si="0"/>
        <v>-3.653E-2</v>
      </c>
    </row>
    <row r="6" spans="1:49" ht="14.45" x14ac:dyDescent="0.35">
      <c r="B6" t="s">
        <v>1058</v>
      </c>
      <c r="C6" s="129">
        <f t="shared" ca="1" si="1"/>
        <v>-1.2596E-2</v>
      </c>
      <c r="D6" s="129">
        <f t="shared" ca="1" si="0"/>
        <v>-2.8039999999999999E-2</v>
      </c>
      <c r="E6" s="129">
        <f t="shared" ca="1" si="0"/>
        <v>-3.0100999999999999E-2</v>
      </c>
      <c r="F6" s="129">
        <f t="shared" ca="1" si="0"/>
        <v>-3.1376000000000001E-2</v>
      </c>
      <c r="G6" s="129">
        <f t="shared" ca="1" si="0"/>
        <v>-3.1956999999999999E-2</v>
      </c>
      <c r="H6" s="129">
        <f t="shared" ca="1" si="0"/>
        <v>-2.7765000000000001E-2</v>
      </c>
      <c r="I6" s="129">
        <f t="shared" ca="1" si="0"/>
        <v>-2.3883000000000001E-2</v>
      </c>
      <c r="J6" s="129">
        <f t="shared" ca="1" si="0"/>
        <v>-1.9954E-2</v>
      </c>
      <c r="K6" s="129">
        <f t="shared" ca="1" si="0"/>
        <v>-1.6143999999999999E-2</v>
      </c>
      <c r="L6" s="129">
        <f t="shared" ca="1" si="0"/>
        <v>-1.2733E-2</v>
      </c>
      <c r="M6" s="129">
        <f t="shared" ca="1" si="0"/>
        <v>-1.2239999999999999E-2</v>
      </c>
      <c r="N6" s="129">
        <f t="shared" ca="1" si="0"/>
        <v>-1.1842E-2</v>
      </c>
      <c r="O6" s="129">
        <f t="shared" ca="1" si="0"/>
        <v>-1.1571E-2</v>
      </c>
      <c r="P6" s="129">
        <f t="shared" ca="1" si="0"/>
        <v>-1.1417E-2</v>
      </c>
      <c r="Q6" s="129">
        <f t="shared" ca="1" si="0"/>
        <v>-1.081E-2</v>
      </c>
      <c r="R6" s="129">
        <f t="shared" ca="1" si="0"/>
        <v>-1.0678999999999999E-2</v>
      </c>
      <c r="S6" s="129">
        <f t="shared" ca="1" si="0"/>
        <v>-1.0742E-2</v>
      </c>
      <c r="T6" s="129">
        <f t="shared" ca="1" si="0"/>
        <v>-1.0839E-2</v>
      </c>
      <c r="U6" s="129">
        <f t="shared" ca="1" si="0"/>
        <v>-1.0958000000000001E-2</v>
      </c>
      <c r="V6" s="129">
        <f t="shared" ca="1" si="0"/>
        <v>-1.1091E-2</v>
      </c>
      <c r="W6" s="129">
        <f t="shared" ca="1" si="0"/>
        <v>-1.1226E-2</v>
      </c>
      <c r="X6" s="129">
        <f t="shared" ca="1" si="0"/>
        <v>-1.1343000000000001E-2</v>
      </c>
      <c r="Y6" s="129">
        <f t="shared" ca="1" si="0"/>
        <v>-1.1443E-2</v>
      </c>
      <c r="Z6" s="129">
        <f t="shared" ca="1" si="0"/>
        <v>-1.1526E-2</v>
      </c>
      <c r="AA6" s="129">
        <f t="shared" ca="1" si="0"/>
        <v>-1.1591000000000001E-2</v>
      </c>
      <c r="AB6" s="129">
        <f t="shared" ca="1" si="0"/>
        <v>-1.2055E-2</v>
      </c>
      <c r="AC6" s="129">
        <f t="shared" ca="1" si="0"/>
        <v>-1.2070000000000001E-2</v>
      </c>
      <c r="AD6" s="129">
        <f t="shared" ca="1" si="0"/>
        <v>-1.2383E-2</v>
      </c>
      <c r="AE6" s="129">
        <f t="shared" ca="1" si="0"/>
        <v>-1.2864E-2</v>
      </c>
      <c r="AF6" s="129">
        <f t="shared" ca="1" si="0"/>
        <v>-1.3426E-2</v>
      </c>
      <c r="AG6" s="129">
        <f t="shared" ca="1" si="0"/>
        <v>-1.4016000000000001E-2</v>
      </c>
      <c r="AH6" s="129">
        <f t="shared" ca="1" si="0"/>
        <v>-1.4602E-2</v>
      </c>
      <c r="AI6" s="129">
        <f t="shared" ca="1" si="0"/>
        <v>-1.5162E-2</v>
      </c>
      <c r="AJ6" s="129">
        <f t="shared" ca="1" si="0"/>
        <v>-1.5679999999999999E-2</v>
      </c>
      <c r="AK6" s="129">
        <f t="shared" ca="1" si="0"/>
        <v>-1.6142E-2</v>
      </c>
      <c r="AL6" s="129">
        <f t="shared" ca="1" si="0"/>
        <v>-1.653E-2</v>
      </c>
      <c r="AM6" s="129">
        <f t="shared" ca="1" si="0"/>
        <v>-1.6830999999999999E-2</v>
      </c>
      <c r="AN6" s="129">
        <f t="shared" ca="1" si="0"/>
        <v>-1.7028999999999999E-2</v>
      </c>
      <c r="AO6" s="129">
        <f t="shared" ca="1" si="0"/>
        <v>-1.711E-2</v>
      </c>
      <c r="AP6" s="129">
        <f t="shared" ca="1" si="0"/>
        <v>-1.7108999999999999E-2</v>
      </c>
      <c r="AQ6" s="129">
        <f t="shared" ca="1" si="0"/>
        <v>-1.6982000000000001E-2</v>
      </c>
      <c r="AR6" s="129">
        <f t="shared" ca="1" si="0"/>
        <v>-1.6759E-2</v>
      </c>
      <c r="AS6" s="129">
        <f t="shared" ca="1" si="0"/>
        <v>-1.6397999999999999E-2</v>
      </c>
      <c r="AT6" s="129">
        <f t="shared" ca="1" si="0"/>
        <v>-1.5904999999999999E-2</v>
      </c>
      <c r="AU6" s="129">
        <f t="shared" ca="1" si="0"/>
        <v>-1.5285999999999999E-2</v>
      </c>
    </row>
    <row r="7" spans="1:49" ht="14.45" x14ac:dyDescent="0.35">
      <c r="B7" t="s">
        <v>1059</v>
      </c>
      <c r="C7" s="129">
        <f t="shared" ca="1" si="1"/>
        <v>0.61869499999999999</v>
      </c>
      <c r="D7" s="129">
        <f t="shared" ca="1" si="0"/>
        <v>0.62139599999999995</v>
      </c>
      <c r="E7" s="129">
        <f t="shared" ca="1" si="0"/>
        <v>0.62534000000000001</v>
      </c>
      <c r="F7" s="129">
        <f t="shared" ca="1" si="0"/>
        <v>0.63070499999999996</v>
      </c>
      <c r="G7" s="129">
        <f t="shared" ca="1" si="0"/>
        <v>0.63685099999999994</v>
      </c>
      <c r="H7" s="129">
        <f t="shared" ca="1" si="0"/>
        <v>0.64226000000000005</v>
      </c>
      <c r="I7" s="129">
        <f t="shared" ca="1" si="0"/>
        <v>0.64612000000000003</v>
      </c>
      <c r="J7" s="129">
        <f t="shared" ca="1" si="0"/>
        <v>0.64741599999999999</v>
      </c>
      <c r="K7" s="129">
        <f t="shared" ca="1" si="0"/>
        <v>0.64724199999999998</v>
      </c>
      <c r="L7" s="129">
        <f t="shared" ca="1" si="0"/>
        <v>0.64839599999999997</v>
      </c>
      <c r="M7" s="129">
        <f t="shared" ca="1" si="0"/>
        <v>0.65050399999999997</v>
      </c>
      <c r="N7" s="129">
        <f t="shared" ca="1" si="0"/>
        <v>0.65190700000000001</v>
      </c>
      <c r="O7" s="129">
        <f t="shared" ca="1" si="0"/>
        <v>0.65200100000000005</v>
      </c>
      <c r="P7" s="129">
        <f t="shared" ca="1" si="0"/>
        <v>0.65065700000000004</v>
      </c>
      <c r="Q7" s="129">
        <f t="shared" ca="1" si="0"/>
        <v>0.64749100000000004</v>
      </c>
      <c r="R7" s="129">
        <f t="shared" ca="1" si="0"/>
        <v>0.64363499999999996</v>
      </c>
      <c r="S7" s="129">
        <f t="shared" ca="1" si="0"/>
        <v>0.63861900000000005</v>
      </c>
      <c r="T7" s="129">
        <f t="shared" ca="1" si="0"/>
        <v>0.63292199999999998</v>
      </c>
      <c r="U7" s="129">
        <f t="shared" ca="1" si="0"/>
        <v>0.62686799999999998</v>
      </c>
      <c r="V7" s="129">
        <f t="shared" ca="1" si="0"/>
        <v>0.62078900000000004</v>
      </c>
      <c r="W7" s="129">
        <f t="shared" ca="1" si="0"/>
        <v>0.61500600000000005</v>
      </c>
      <c r="X7" s="129">
        <f t="shared" ca="1" si="0"/>
        <v>0.60994599999999999</v>
      </c>
      <c r="Y7" s="129">
        <f t="shared" ca="1" si="0"/>
        <v>0.60580500000000004</v>
      </c>
      <c r="Z7" s="129">
        <f t="shared" ca="1" si="0"/>
        <v>0.60278799999999999</v>
      </c>
      <c r="AA7" s="129">
        <f t="shared" ca="1" si="0"/>
        <v>0.601047</v>
      </c>
      <c r="AB7" s="129">
        <f t="shared" ca="1" si="0"/>
        <v>0.60054300000000005</v>
      </c>
      <c r="AC7" s="129">
        <f t="shared" ca="1" si="0"/>
        <v>0.60175100000000004</v>
      </c>
      <c r="AD7" s="129">
        <f t="shared" ca="1" si="0"/>
        <v>0.60494400000000004</v>
      </c>
      <c r="AE7" s="129">
        <f t="shared" ca="1" si="0"/>
        <v>0.61025600000000002</v>
      </c>
      <c r="AF7" s="129">
        <f t="shared" ca="1" si="0"/>
        <v>0.61775899999999995</v>
      </c>
      <c r="AG7" s="129">
        <f t="shared" ca="1" si="0"/>
        <v>0.62746999999999997</v>
      </c>
      <c r="AH7" s="129">
        <f t="shared" ca="1" si="0"/>
        <v>0.63935500000000001</v>
      </c>
      <c r="AI7" s="129">
        <f t="shared" ca="1" si="0"/>
        <v>0.65334599999999998</v>
      </c>
      <c r="AJ7" s="129">
        <f t="shared" ca="1" si="0"/>
        <v>0.66934899999999997</v>
      </c>
      <c r="AK7" s="129">
        <f t="shared" ca="1" si="0"/>
        <v>0.68725499999999995</v>
      </c>
      <c r="AL7" s="129">
        <f t="shared" ca="1" si="0"/>
        <v>0.70694500000000005</v>
      </c>
      <c r="AM7" s="129">
        <f t="shared" ca="1" si="0"/>
        <v>0.72829999999999995</v>
      </c>
      <c r="AN7" s="129">
        <f t="shared" ca="1" si="0"/>
        <v>0.75120399999999998</v>
      </c>
      <c r="AO7" s="129">
        <f t="shared" ca="1" si="0"/>
        <v>0.77554400000000001</v>
      </c>
      <c r="AP7" s="129">
        <f t="shared" ca="1" si="0"/>
        <v>0.80115599999999998</v>
      </c>
      <c r="AQ7" s="129">
        <f t="shared" ca="1" si="0"/>
        <v>0.82799999999999996</v>
      </c>
      <c r="AR7" s="129">
        <f t="shared" ca="1" si="0"/>
        <v>0.85600900000000002</v>
      </c>
      <c r="AS7" s="129">
        <f t="shared" ca="1" si="0"/>
        <v>0.88510599999999995</v>
      </c>
      <c r="AT7" s="129">
        <f t="shared" ca="1" si="0"/>
        <v>0.91519899999999998</v>
      </c>
      <c r="AU7" s="129">
        <f t="shared" ca="1" si="0"/>
        <v>0.94621100000000002</v>
      </c>
    </row>
    <row r="8" spans="1:49" ht="14.45" x14ac:dyDescent="0.35">
      <c r="B8" t="s">
        <v>1060</v>
      </c>
      <c r="C8" s="129">
        <f t="shared" ca="1" si="1"/>
        <v>0.61869499999999999</v>
      </c>
      <c r="D8" s="129">
        <f t="shared" ca="1" si="0"/>
        <v>0.62138499999999997</v>
      </c>
      <c r="E8" s="129">
        <f t="shared" ca="1" si="0"/>
        <v>0.62530600000000003</v>
      </c>
      <c r="F8" s="129">
        <f t="shared" ca="1" si="0"/>
        <v>0.630629</v>
      </c>
      <c r="G8" s="129">
        <f t="shared" ca="1" si="0"/>
        <v>0.63672399999999996</v>
      </c>
      <c r="H8" s="129">
        <f t="shared" ca="1" si="0"/>
        <v>0.64188800000000001</v>
      </c>
      <c r="I8" s="129">
        <f t="shared" ca="1" si="0"/>
        <v>0.64527100000000004</v>
      </c>
      <c r="J8" s="129">
        <f t="shared" ca="1" si="0"/>
        <v>0.64603100000000002</v>
      </c>
      <c r="K8" s="129">
        <f t="shared" ca="1" si="0"/>
        <v>0.64510699999999999</v>
      </c>
      <c r="L8" s="129">
        <f t="shared" ca="1" si="0"/>
        <v>0.64161999999999997</v>
      </c>
      <c r="M8" s="129">
        <f t="shared" ca="1" si="0"/>
        <v>0.63754100000000002</v>
      </c>
      <c r="N8" s="129">
        <f t="shared" ca="1" si="0"/>
        <v>0.63222500000000004</v>
      </c>
      <c r="O8" s="129">
        <f t="shared" ca="1" si="0"/>
        <v>0.62529800000000002</v>
      </c>
      <c r="P8" s="129">
        <f t="shared" ca="1" si="0"/>
        <v>0.61693799999999999</v>
      </c>
      <c r="Q8" s="129">
        <f t="shared" ca="1" si="0"/>
        <v>0.60678699999999997</v>
      </c>
      <c r="R8" s="129">
        <f t="shared" ca="1" si="0"/>
        <v>0.59585500000000002</v>
      </c>
      <c r="S8" s="129">
        <f t="shared" ca="1" si="0"/>
        <v>0.58377699999999999</v>
      </c>
      <c r="T8" s="129">
        <f t="shared" ca="1" si="0"/>
        <v>0.57082599999999994</v>
      </c>
      <c r="U8" s="129">
        <f t="shared" ca="1" si="0"/>
        <v>0.55717499999999998</v>
      </c>
      <c r="V8" s="129">
        <f t="shared" ca="1" si="0"/>
        <v>0.542964</v>
      </c>
      <c r="W8" s="129">
        <f t="shared" ca="1" si="0"/>
        <v>0.52830999999999995</v>
      </c>
      <c r="X8" s="129">
        <f t="shared" ca="1" si="0"/>
        <v>0.51342699999999997</v>
      </c>
      <c r="Y8" s="129">
        <f t="shared" ca="1" si="0"/>
        <v>0.498392</v>
      </c>
      <c r="Z8" s="129">
        <f t="shared" ca="1" si="0"/>
        <v>0.48325699999999999</v>
      </c>
      <c r="AA8" s="129">
        <f t="shared" ca="1" si="0"/>
        <v>0.46807100000000001</v>
      </c>
      <c r="AB8" s="129">
        <f t="shared" ca="1" si="0"/>
        <v>0.45321299999999998</v>
      </c>
      <c r="AC8" s="129">
        <f t="shared" ca="1" si="0"/>
        <v>0.43976999999999999</v>
      </c>
      <c r="AD8" s="129">
        <f t="shared" ca="1" si="0"/>
        <v>0.42763800000000002</v>
      </c>
      <c r="AE8" s="129">
        <f t="shared" ca="1" si="0"/>
        <v>0.41709800000000002</v>
      </c>
      <c r="AF8" s="129">
        <f t="shared" ca="1" si="0"/>
        <v>0.408329</v>
      </c>
      <c r="AG8" s="129">
        <f t="shared" ca="1" si="0"/>
        <v>0.401418</v>
      </c>
      <c r="AH8" s="129">
        <f t="shared" ca="1" si="0"/>
        <v>0.39629300000000001</v>
      </c>
      <c r="AI8" s="129">
        <f t="shared" ca="1" si="0"/>
        <v>0.392787</v>
      </c>
      <c r="AJ8" s="129">
        <f t="shared" ca="1" si="0"/>
        <v>0.39076899999999998</v>
      </c>
      <c r="AK8" s="129">
        <f t="shared" ca="1" si="0"/>
        <v>0.390019</v>
      </c>
      <c r="AL8" s="129">
        <f t="shared" ca="1" si="0"/>
        <v>0.39028800000000002</v>
      </c>
      <c r="AM8" s="129">
        <f t="shared" ca="1" si="0"/>
        <v>0.39127200000000001</v>
      </c>
      <c r="AN8" s="129">
        <f t="shared" ca="1" si="0"/>
        <v>0.392733</v>
      </c>
      <c r="AO8" s="129">
        <f t="shared" ca="1" si="0"/>
        <v>0.39439600000000002</v>
      </c>
      <c r="AP8" s="129">
        <f t="shared" ca="1" si="0"/>
        <v>0.39595900000000001</v>
      </c>
      <c r="AQ8" s="129">
        <f t="shared" ca="1" si="0"/>
        <v>0.397171</v>
      </c>
      <c r="AR8" s="129">
        <f t="shared" ca="1" si="0"/>
        <v>0.397754</v>
      </c>
      <c r="AS8" s="129">
        <f t="shared" ca="1" si="0"/>
        <v>0.39748499999999998</v>
      </c>
      <c r="AT8" s="129">
        <f t="shared" ca="1" si="0"/>
        <v>0.396117</v>
      </c>
      <c r="AU8" s="129">
        <f t="shared" ca="1" si="0"/>
        <v>0.39353100000000002</v>
      </c>
    </row>
    <row r="9" spans="1:49" ht="14.45" x14ac:dyDescent="0.35">
      <c r="B9" t="s">
        <v>1061</v>
      </c>
      <c r="C9" s="133">
        <f ca="1">Output("SCEN_ADEMEhaut",$B9,C$1)</f>
        <v>-2.1534000000000001E-2</v>
      </c>
      <c r="D9" s="133">
        <f t="shared" ca="1" si="0"/>
        <v>-1.8447999999999999E-2</v>
      </c>
      <c r="E9" s="133">
        <f t="shared" ca="1" si="0"/>
        <v>-1.9026999999999999E-2</v>
      </c>
      <c r="F9" s="133">
        <f t="shared" ca="1" si="0"/>
        <v>-1.9909E-2</v>
      </c>
      <c r="G9" s="133">
        <f t="shared" ca="1" si="0"/>
        <v>-2.0577999999999999E-2</v>
      </c>
      <c r="H9" s="133">
        <f t="shared" ca="1" si="0"/>
        <v>-2.5191999999999999E-2</v>
      </c>
      <c r="I9" s="133">
        <f t="shared" ca="1" si="0"/>
        <v>-2.3857E-2</v>
      </c>
      <c r="J9" s="133">
        <f t="shared" ref="C9:AU13" ca="1" si="2">Output("SCEN_ADEMEhaut",$B9,J$1)</f>
        <v>-2.1849E-2</v>
      </c>
      <c r="K9" s="133">
        <f t="shared" ca="1" si="2"/>
        <v>-2.1892999999999999E-2</v>
      </c>
      <c r="L9" s="133">
        <f t="shared" ca="1" si="2"/>
        <v>-2.2572999999999999E-2</v>
      </c>
      <c r="M9" s="133">
        <f t="shared" ca="1" si="2"/>
        <v>-2.3318999999999999E-2</v>
      </c>
      <c r="N9" s="133">
        <f t="shared" ca="1" si="2"/>
        <v>-2.3928000000000001E-2</v>
      </c>
      <c r="O9" s="133">
        <f t="shared" ca="1" si="2"/>
        <v>-2.3932999999999999E-2</v>
      </c>
      <c r="P9" s="133">
        <f t="shared" ca="1" si="2"/>
        <v>-2.3491000000000001E-2</v>
      </c>
      <c r="Q9" s="133">
        <f t="shared" ca="1" si="2"/>
        <v>-2.2669000000000002E-2</v>
      </c>
      <c r="R9" s="133">
        <f t="shared" ca="1" si="2"/>
        <v>-2.1891000000000001E-2</v>
      </c>
      <c r="S9" s="133">
        <f t="shared" ca="1" si="2"/>
        <v>-2.1156999999999999E-2</v>
      </c>
      <c r="T9" s="133">
        <f t="shared" ca="1" si="2"/>
        <v>-2.0695999999999999E-2</v>
      </c>
      <c r="U9" s="133">
        <f t="shared" ca="1" si="2"/>
        <v>-2.0441000000000001E-2</v>
      </c>
      <c r="V9" s="133">
        <f t="shared" ca="1" si="2"/>
        <v>-2.0409E-2</v>
      </c>
      <c r="W9" s="133">
        <f t="shared" ca="1" si="2"/>
        <v>-2.0601000000000001E-2</v>
      </c>
      <c r="X9" s="133">
        <f t="shared" ca="1" si="2"/>
        <v>-2.1054E-2</v>
      </c>
      <c r="Y9" s="133">
        <f t="shared" ca="1" si="2"/>
        <v>-2.1731E-2</v>
      </c>
      <c r="Z9" s="133">
        <f t="shared" ca="1" si="2"/>
        <v>-2.2589999999999999E-2</v>
      </c>
      <c r="AA9" s="133">
        <f t="shared" ca="1" si="2"/>
        <v>-2.3599999999999999E-2</v>
      </c>
      <c r="AB9" s="133">
        <f t="shared" ca="1" si="2"/>
        <v>-2.4355999999999999E-2</v>
      </c>
      <c r="AC9" s="133">
        <f t="shared" ca="1" si="2"/>
        <v>-2.5198999999999999E-2</v>
      </c>
      <c r="AD9" s="133">
        <f t="shared" ca="1" si="2"/>
        <v>-2.6296E-2</v>
      </c>
      <c r="AE9" s="133">
        <f t="shared" ca="1" si="2"/>
        <v>-2.7573E-2</v>
      </c>
      <c r="AF9" s="133">
        <f t="shared" ca="1" si="2"/>
        <v>-2.8995E-2</v>
      </c>
      <c r="AG9" s="133">
        <f t="shared" ca="1" si="2"/>
        <v>-3.0519999999999999E-2</v>
      </c>
      <c r="AH9" s="133">
        <f t="shared" ca="1" si="2"/>
        <v>-3.2112000000000002E-2</v>
      </c>
      <c r="AI9" s="133">
        <f t="shared" ca="1" si="2"/>
        <v>-3.3741E-2</v>
      </c>
      <c r="AJ9" s="133">
        <f t="shared" ca="1" si="2"/>
        <v>-3.5385E-2</v>
      </c>
      <c r="AK9" s="133">
        <f t="shared" ca="1" si="2"/>
        <v>-3.7031000000000001E-2</v>
      </c>
      <c r="AL9" s="133">
        <f t="shared" ca="1" si="2"/>
        <v>-3.8670000000000003E-2</v>
      </c>
      <c r="AM9" s="133">
        <f t="shared" ca="1" si="2"/>
        <v>-4.0304E-2</v>
      </c>
      <c r="AN9" s="133">
        <f t="shared" ca="1" si="2"/>
        <v>-4.1933999999999999E-2</v>
      </c>
      <c r="AO9" s="133">
        <f t="shared" ca="1" si="2"/>
        <v>-4.3565E-2</v>
      </c>
      <c r="AP9" s="133">
        <f t="shared" ca="1" si="2"/>
        <v>-4.5171000000000003E-2</v>
      </c>
      <c r="AQ9" s="133">
        <f t="shared" ca="1" si="2"/>
        <v>-4.6809000000000003E-2</v>
      </c>
      <c r="AR9" s="133">
        <f t="shared" ca="1" si="2"/>
        <v>-4.8473000000000002E-2</v>
      </c>
      <c r="AS9" s="133">
        <f t="shared" ca="1" si="2"/>
        <v>-5.0181999999999997E-2</v>
      </c>
      <c r="AT9" s="133">
        <f t="shared" ca="1" si="2"/>
        <v>-5.1926E-2</v>
      </c>
      <c r="AU9" s="133">
        <f t="shared" ca="1" si="2"/>
        <v>-5.3719000000000003E-2</v>
      </c>
    </row>
    <row r="10" spans="1:49" ht="14.45" x14ac:dyDescent="0.35">
      <c r="B10" t="s">
        <v>1062</v>
      </c>
      <c r="C10" s="133">
        <f ca="1">Output("SCEN_ADEMEhaut",$B10,C$1)</f>
        <v>-2.1534000000000001E-2</v>
      </c>
      <c r="D10" s="133">
        <f t="shared" ca="1" si="2"/>
        <v>-1.8446000000000001E-2</v>
      </c>
      <c r="E10" s="133">
        <f t="shared" ca="1" si="2"/>
        <v>-1.9026000000000001E-2</v>
      </c>
      <c r="F10" s="133">
        <f t="shared" ca="1" si="2"/>
        <v>-1.9903000000000001E-2</v>
      </c>
      <c r="G10" s="133">
        <f t="shared" ca="1" si="2"/>
        <v>-2.0566999999999998E-2</v>
      </c>
      <c r="H10" s="133">
        <f t="shared" ca="1" si="2"/>
        <v>-2.5170999999999999E-2</v>
      </c>
      <c r="I10" s="133">
        <f t="shared" ca="1" si="2"/>
        <v>-2.3637999999999999E-2</v>
      </c>
      <c r="J10" s="133">
        <f t="shared" ca="1" si="2"/>
        <v>-2.1583999999999999E-2</v>
      </c>
      <c r="K10" s="133">
        <f t="shared" ca="1" si="2"/>
        <v>-2.1382999999999999E-2</v>
      </c>
      <c r="L10" s="133">
        <f t="shared" ca="1" si="2"/>
        <v>-2.1346E-2</v>
      </c>
      <c r="M10" s="133">
        <f t="shared" ca="1" si="2"/>
        <v>-2.0160999999999998E-2</v>
      </c>
      <c r="N10" s="133">
        <f t="shared" ca="1" si="2"/>
        <v>-1.9594E-2</v>
      </c>
      <c r="O10" s="133">
        <f t="shared" ca="1" si="2"/>
        <v>-1.8647E-2</v>
      </c>
      <c r="P10" s="133">
        <f t="shared" ca="1" si="2"/>
        <v>-1.7762E-2</v>
      </c>
      <c r="Q10" s="133">
        <f t="shared" ca="1" si="2"/>
        <v>-1.6750999999999999E-2</v>
      </c>
      <c r="R10" s="133">
        <f t="shared" ca="1" si="2"/>
        <v>-1.5844E-2</v>
      </c>
      <c r="S10" s="133">
        <f t="shared" ca="1" si="2"/>
        <v>-1.5043000000000001E-2</v>
      </c>
      <c r="T10" s="133">
        <f t="shared" ca="1" si="2"/>
        <v>-1.4307E-2</v>
      </c>
      <c r="U10" s="133">
        <f t="shared" ca="1" si="2"/>
        <v>-1.3668E-2</v>
      </c>
      <c r="V10" s="133">
        <f t="shared" ca="1" si="2"/>
        <v>-1.3100000000000001E-2</v>
      </c>
      <c r="W10" s="133">
        <f t="shared" ca="1" si="2"/>
        <v>-1.259E-2</v>
      </c>
      <c r="X10" s="133">
        <f t="shared" ca="1" si="2"/>
        <v>-1.2173E-2</v>
      </c>
      <c r="Y10" s="133">
        <f t="shared" ca="1" si="2"/>
        <v>-1.1861E-2</v>
      </c>
      <c r="Z10" s="133">
        <f t="shared" ca="1" si="2"/>
        <v>-1.1579000000000001E-2</v>
      </c>
      <c r="AA10" s="133">
        <f t="shared" ca="1" si="2"/>
        <v>-1.1331000000000001E-2</v>
      </c>
      <c r="AB10" s="133">
        <f t="shared" ca="1" si="2"/>
        <v>-1.0743000000000001E-2</v>
      </c>
      <c r="AC10" s="133">
        <f t="shared" ca="1" si="2"/>
        <v>-1.056E-2</v>
      </c>
      <c r="AD10" s="133">
        <f t="shared" ca="1" si="2"/>
        <v>-1.0749E-2</v>
      </c>
      <c r="AE10" s="133">
        <f t="shared" ca="1" si="2"/>
        <v>-1.1188999999999999E-2</v>
      </c>
      <c r="AF10" s="133">
        <f t="shared" ca="1" si="2"/>
        <v>-1.1856999999999999E-2</v>
      </c>
      <c r="AG10" s="133">
        <f t="shared" ca="1" si="2"/>
        <v>-1.2714E-2</v>
      </c>
      <c r="AH10" s="133">
        <f t="shared" ca="1" si="2"/>
        <v>-1.3624000000000001E-2</v>
      </c>
      <c r="AI10" s="133">
        <f t="shared" ca="1" si="2"/>
        <v>-1.4501E-2</v>
      </c>
      <c r="AJ10" s="133">
        <f t="shared" ca="1" si="2"/>
        <v>-1.5391E-2</v>
      </c>
      <c r="AK10" s="133">
        <f t="shared" ca="1" si="2"/>
        <v>-1.6206999999999999E-2</v>
      </c>
      <c r="AL10" s="133">
        <f t="shared" ca="1" si="2"/>
        <v>-1.6917999999999999E-2</v>
      </c>
      <c r="AM10" s="133">
        <f t="shared" ca="1" si="2"/>
        <v>-1.7465000000000001E-2</v>
      </c>
      <c r="AN10" s="133">
        <f t="shared" ca="1" si="2"/>
        <v>-1.7909000000000001E-2</v>
      </c>
      <c r="AO10" s="133">
        <f t="shared" ca="1" si="2"/>
        <v>-1.8211000000000001E-2</v>
      </c>
      <c r="AP10" s="133">
        <f t="shared" ca="1" si="2"/>
        <v>-1.8353000000000001E-2</v>
      </c>
      <c r="AQ10" s="133">
        <f t="shared" ca="1" si="2"/>
        <v>-1.8349000000000001E-2</v>
      </c>
      <c r="AR10" s="133">
        <f t="shared" ca="1" si="2"/>
        <v>-1.8186999999999998E-2</v>
      </c>
      <c r="AS10" s="133">
        <f t="shared" ca="1" si="2"/>
        <v>-1.7888999999999999E-2</v>
      </c>
      <c r="AT10" s="133">
        <f t="shared" ca="1" si="2"/>
        <v>-1.7448000000000002E-2</v>
      </c>
      <c r="AU10" s="133">
        <f t="shared" ca="1" si="2"/>
        <v>-1.6976000000000002E-2</v>
      </c>
    </row>
    <row r="11" spans="1:49" ht="14.45" x14ac:dyDescent="0.35">
      <c r="B11" t="s">
        <v>280</v>
      </c>
      <c r="C11" s="133">
        <f t="shared" ca="1" si="2"/>
        <v>0</v>
      </c>
      <c r="D11" s="133">
        <f t="shared" ca="1" si="2"/>
        <v>0</v>
      </c>
      <c r="E11" s="133">
        <f t="shared" ca="1" si="2"/>
        <v>0</v>
      </c>
      <c r="F11" s="133">
        <f t="shared" ca="1" si="2"/>
        <v>0</v>
      </c>
      <c r="G11" s="133">
        <f t="shared" ca="1" si="2"/>
        <v>0</v>
      </c>
      <c r="H11" s="133">
        <f t="shared" ca="1" si="2"/>
        <v>0</v>
      </c>
      <c r="I11" s="133">
        <f t="shared" ca="1" si="2"/>
        <v>0</v>
      </c>
      <c r="J11" s="133">
        <f t="shared" ca="1" si="2"/>
        <v>0</v>
      </c>
      <c r="K11" s="133">
        <f t="shared" ca="1" si="2"/>
        <v>0</v>
      </c>
      <c r="L11" s="133">
        <f t="shared" ca="1" si="2"/>
        <v>30</v>
      </c>
      <c r="M11" s="133">
        <f t="shared" ca="1" si="2"/>
        <v>33.99868</v>
      </c>
      <c r="N11" s="133">
        <f t="shared" ca="1" si="2"/>
        <v>38.557600000000001</v>
      </c>
      <c r="O11" s="133">
        <f t="shared" ca="1" si="2"/>
        <v>43.754170000000002</v>
      </c>
      <c r="P11" s="133">
        <f t="shared" ca="1" si="2"/>
        <v>49.680019999999999</v>
      </c>
      <c r="Q11" s="133">
        <f t="shared" ca="1" si="2"/>
        <v>56.444600000000001</v>
      </c>
      <c r="R11" s="133">
        <f t="shared" ca="1" si="2"/>
        <v>66.156450000000007</v>
      </c>
      <c r="S11" s="133">
        <f t="shared" ca="1" si="2"/>
        <v>77.774479999999997</v>
      </c>
      <c r="T11" s="133">
        <f t="shared" ca="1" si="2"/>
        <v>91.676919999999996</v>
      </c>
      <c r="U11" s="133">
        <f t="shared" ca="1" si="2"/>
        <v>108.3103</v>
      </c>
      <c r="V11" s="133">
        <f t="shared" ca="1" si="2"/>
        <v>128.1979</v>
      </c>
      <c r="W11" s="133">
        <f t="shared" ca="1" si="2"/>
        <v>151.9487</v>
      </c>
      <c r="X11" s="133">
        <f t="shared" ca="1" si="2"/>
        <v>180.26679999999999</v>
      </c>
      <c r="Y11" s="133">
        <f t="shared" ca="1" si="2"/>
        <v>213.94489999999999</v>
      </c>
      <c r="Z11" s="133">
        <f t="shared" ca="1" si="2"/>
        <v>253.86879999999999</v>
      </c>
      <c r="AA11" s="133">
        <f t="shared" ca="1" si="2"/>
        <v>301.0102</v>
      </c>
      <c r="AB11" s="133">
        <f t="shared" ca="1" si="2"/>
        <v>315.41140000000001</v>
      </c>
      <c r="AC11" s="133">
        <f t="shared" ca="1" si="2"/>
        <v>330.06259999999997</v>
      </c>
      <c r="AD11" s="133">
        <f t="shared" ca="1" si="2"/>
        <v>344.88889999999998</v>
      </c>
      <c r="AE11" s="133">
        <f t="shared" ca="1" si="2"/>
        <v>359.79669999999999</v>
      </c>
      <c r="AF11" s="133">
        <f t="shared" ca="1" si="2"/>
        <v>374.68040000000002</v>
      </c>
      <c r="AG11" s="133">
        <f t="shared" ca="1" si="2"/>
        <v>389.4194</v>
      </c>
      <c r="AH11" s="133">
        <f t="shared" ca="1" si="2"/>
        <v>403.87799999999999</v>
      </c>
      <c r="AI11" s="133">
        <f t="shared" ca="1" si="2"/>
        <v>417.90699999999998</v>
      </c>
      <c r="AJ11" s="133">
        <f t="shared" ca="1" si="2"/>
        <v>431.34840000000003</v>
      </c>
      <c r="AK11" s="133">
        <f t="shared" ca="1" si="2"/>
        <v>444.04390000000001</v>
      </c>
      <c r="AL11" s="133">
        <f t="shared" ca="1" si="2"/>
        <v>455.84840000000003</v>
      </c>
      <c r="AM11" s="133">
        <f t="shared" ca="1" si="2"/>
        <v>466.64909999999998</v>
      </c>
      <c r="AN11" s="133">
        <f t="shared" ca="1" si="2"/>
        <v>476.39179999999999</v>
      </c>
      <c r="AO11" s="133">
        <f t="shared" ca="1" si="2"/>
        <v>485.11160000000001</v>
      </c>
      <c r="AP11" s="133">
        <f t="shared" ca="1" si="2"/>
        <v>492.99669999999998</v>
      </c>
      <c r="AQ11" s="133">
        <f t="shared" ca="1" si="2"/>
        <v>500.37310000000002</v>
      </c>
      <c r="AR11" s="133">
        <f t="shared" ca="1" si="2"/>
        <v>508.69200000000001</v>
      </c>
      <c r="AS11" s="133">
        <f t="shared" ca="1" si="2"/>
        <v>517.84410000000003</v>
      </c>
      <c r="AT11" s="133">
        <f t="shared" ca="1" si="2"/>
        <v>528.64189999999996</v>
      </c>
      <c r="AU11" s="133">
        <f t="shared" ca="1" si="2"/>
        <v>541.97280000000001</v>
      </c>
    </row>
    <row r="12" spans="1:49" ht="14.45" x14ac:dyDescent="0.35">
      <c r="B12" t="s">
        <v>746</v>
      </c>
      <c r="C12" s="133">
        <f t="shared" ca="1" si="2"/>
        <v>177.6079</v>
      </c>
      <c r="D12" s="133">
        <f t="shared" ca="1" si="2"/>
        <v>175.55969999999999</v>
      </c>
      <c r="E12" s="133">
        <f t="shared" ca="1" si="2"/>
        <v>172.7235</v>
      </c>
      <c r="F12" s="133">
        <f t="shared" ca="1" si="2"/>
        <v>169.82050000000001</v>
      </c>
      <c r="G12" s="133">
        <f t="shared" ca="1" si="2"/>
        <v>166.9186</v>
      </c>
      <c r="H12" s="133">
        <f t="shared" ca="1" si="2"/>
        <v>163.53550000000001</v>
      </c>
      <c r="I12" s="133">
        <f t="shared" ca="1" si="2"/>
        <v>160.32599999999999</v>
      </c>
      <c r="J12" s="133">
        <f t="shared" ca="1" si="2"/>
        <v>157.84950000000001</v>
      </c>
      <c r="K12" s="133">
        <f t="shared" ca="1" si="2"/>
        <v>155.17349999999999</v>
      </c>
      <c r="L12" s="133">
        <f t="shared" ca="1" si="2"/>
        <v>224.1103</v>
      </c>
      <c r="M12" s="133">
        <f t="shared" ca="1" si="2"/>
        <v>243.74</v>
      </c>
      <c r="N12" s="133">
        <f t="shared" ca="1" si="2"/>
        <v>253.79750000000001</v>
      </c>
      <c r="O12" s="133">
        <f t="shared" ca="1" si="2"/>
        <v>265.40449999999998</v>
      </c>
      <c r="P12" s="133">
        <f t="shared" ca="1" si="2"/>
        <v>278.92959999999999</v>
      </c>
      <c r="Q12" s="133">
        <f t="shared" ca="1" si="2"/>
        <v>294.60660000000001</v>
      </c>
      <c r="R12" s="133">
        <f t="shared" ca="1" si="2"/>
        <v>316.76330000000002</v>
      </c>
      <c r="S12" s="133">
        <f t="shared" ca="1" si="2"/>
        <v>343.37439999999998</v>
      </c>
      <c r="T12" s="133">
        <f t="shared" ca="1" si="2"/>
        <v>375.24299999999999</v>
      </c>
      <c r="U12" s="133">
        <f t="shared" ca="1" si="2"/>
        <v>413.24489999999997</v>
      </c>
      <c r="V12" s="133">
        <f t="shared" ca="1" si="2"/>
        <v>458.32459999999998</v>
      </c>
      <c r="W12" s="133">
        <f t="shared" ca="1" si="2"/>
        <v>511.483</v>
      </c>
      <c r="X12" s="133">
        <f t="shared" ca="1" si="2"/>
        <v>573.8297</v>
      </c>
      <c r="Y12" s="133">
        <f t="shared" ca="1" si="2"/>
        <v>646.45339999999999</v>
      </c>
      <c r="Z12" s="133">
        <f t="shared" ca="1" si="2"/>
        <v>730.42619999999999</v>
      </c>
      <c r="AA12" s="133">
        <f t="shared" ca="1" si="2"/>
        <v>827.06240000000003</v>
      </c>
      <c r="AB12" s="133">
        <f t="shared" ca="1" si="2"/>
        <v>851.09659999999997</v>
      </c>
      <c r="AC12" s="133">
        <f t="shared" ca="1" si="2"/>
        <v>875.81659999999999</v>
      </c>
      <c r="AD12" s="133">
        <f t="shared" ca="1" si="2"/>
        <v>901.36159999999995</v>
      </c>
      <c r="AE12" s="133">
        <f t="shared" ca="1" si="2"/>
        <v>928.1617</v>
      </c>
      <c r="AF12" s="133">
        <f t="shared" ca="1" si="2"/>
        <v>956.77940000000001</v>
      </c>
      <c r="AG12" s="133">
        <f t="shared" ca="1" si="2"/>
        <v>987.88919999999996</v>
      </c>
      <c r="AH12" s="133">
        <f t="shared" ca="1" si="2"/>
        <v>1022.278</v>
      </c>
      <c r="AI12" s="133">
        <f t="shared" ca="1" si="2"/>
        <v>1060.856</v>
      </c>
      <c r="AJ12" s="133">
        <f t="shared" ca="1" si="2"/>
        <v>1104.6669999999999</v>
      </c>
      <c r="AK12" s="133">
        <f t="shared" ca="1" si="2"/>
        <v>1154.9079999999999</v>
      </c>
      <c r="AL12" s="133">
        <f t="shared" ca="1" si="2"/>
        <v>1212.954</v>
      </c>
      <c r="AM12" s="133">
        <f t="shared" ca="1" si="2"/>
        <v>1280.3779999999999</v>
      </c>
      <c r="AN12" s="133">
        <f t="shared" ca="1" si="2"/>
        <v>1358.9849999999999</v>
      </c>
      <c r="AO12" s="133">
        <f t="shared" ca="1" si="2"/>
        <v>1450.8330000000001</v>
      </c>
      <c r="AP12" s="133">
        <f t="shared" ca="1" si="2"/>
        <v>1558.2819999999999</v>
      </c>
      <c r="AQ12" s="133">
        <f t="shared" ca="1" si="2"/>
        <v>1683.9939999999999</v>
      </c>
      <c r="AR12" s="133">
        <f t="shared" ca="1" si="2"/>
        <v>1832.069</v>
      </c>
      <c r="AS12" s="133">
        <f t="shared" ca="1" si="2"/>
        <v>2004.9670000000001</v>
      </c>
      <c r="AT12" s="133">
        <f t="shared" ca="1" si="2"/>
        <v>2206.451</v>
      </c>
      <c r="AU12" s="133">
        <f t="shared" ca="1" si="2"/>
        <v>2440.5819999999999</v>
      </c>
    </row>
    <row r="13" spans="1:49" ht="14.45" x14ac:dyDescent="0.35">
      <c r="B13" t="s">
        <v>129</v>
      </c>
      <c r="C13" s="133">
        <f ca="1">Output("SCEN_ADEMEhaut",$B13,C$1)</f>
        <v>0</v>
      </c>
      <c r="D13" s="133">
        <f t="shared" ca="1" si="2"/>
        <v>5.1699999999999999E-4</v>
      </c>
      <c r="E13" s="133">
        <f t="shared" ca="1" si="2"/>
        <v>2.016E-3</v>
      </c>
      <c r="F13" s="133">
        <f t="shared" ca="1" si="2"/>
        <v>4.6299999999999996E-3</v>
      </c>
      <c r="G13" s="133">
        <f t="shared" ca="1" si="2"/>
        <v>7.6949999999999996E-3</v>
      </c>
      <c r="H13" s="133">
        <f t="shared" ca="1" si="2"/>
        <v>1.7051E-2</v>
      </c>
      <c r="I13" s="133">
        <f t="shared" ca="1" si="2"/>
        <v>3.1507E-2</v>
      </c>
      <c r="J13" s="133">
        <f t="shared" ca="1" si="2"/>
        <v>4.8932000000000003E-2</v>
      </c>
      <c r="K13" s="133">
        <f t="shared" ca="1" si="2"/>
        <v>6.4697000000000005E-2</v>
      </c>
      <c r="L13" s="133">
        <f t="shared" ca="1" si="2"/>
        <v>0.21266499999999999</v>
      </c>
      <c r="M13" s="133">
        <f t="shared" ca="1" si="2"/>
        <v>0.42441400000000001</v>
      </c>
      <c r="N13" s="133">
        <f t="shared" ca="1" si="2"/>
        <v>0.61779700000000004</v>
      </c>
      <c r="O13" s="133">
        <f t="shared" ca="1" si="2"/>
        <v>0.74064300000000005</v>
      </c>
      <c r="P13" s="133">
        <f t="shared" ca="1" si="2"/>
        <v>0.78925299999999998</v>
      </c>
      <c r="Q13" s="133">
        <f t="shared" ca="1" si="2"/>
        <v>0.789995</v>
      </c>
      <c r="R13" s="133">
        <f t="shared" ca="1" si="2"/>
        <v>0.76851000000000003</v>
      </c>
      <c r="S13" s="133">
        <f t="shared" ca="1" si="2"/>
        <v>0.74645600000000001</v>
      </c>
      <c r="T13" s="133">
        <f t="shared" ca="1" si="2"/>
        <v>0.73699400000000004</v>
      </c>
      <c r="U13" s="133">
        <f t="shared" ca="1" si="2"/>
        <v>0.74879700000000005</v>
      </c>
      <c r="V13" s="133">
        <f t="shared" ca="1" si="2"/>
        <v>0.78704099999999999</v>
      </c>
      <c r="W13" s="133">
        <f t="shared" ca="1" si="2"/>
        <v>0.85394199999999998</v>
      </c>
      <c r="X13" s="133">
        <f t="shared" ca="1" si="2"/>
        <v>0.94935899999999995</v>
      </c>
      <c r="Y13" s="133">
        <f t="shared" ca="1" si="2"/>
        <v>1.0709850000000001</v>
      </c>
      <c r="Z13" s="133">
        <f t="shared" ca="1" si="2"/>
        <v>1.2148829999999999</v>
      </c>
      <c r="AA13" s="133">
        <f t="shared" ca="1" si="2"/>
        <v>1.3758159999999999</v>
      </c>
      <c r="AB13" s="133">
        <f t="shared" ca="1" si="2"/>
        <v>1.533002</v>
      </c>
      <c r="AC13" s="133">
        <f t="shared" ca="1" si="2"/>
        <v>1.6374249999999999</v>
      </c>
      <c r="AD13" s="133">
        <f t="shared" ca="1" si="2"/>
        <v>1.6937439999999999</v>
      </c>
      <c r="AE13" s="133">
        <f t="shared" ca="1" si="2"/>
        <v>1.708655</v>
      </c>
      <c r="AF13" s="133">
        <f t="shared" ca="1" si="2"/>
        <v>1.6898010000000001</v>
      </c>
      <c r="AG13" s="133">
        <f t="shared" ca="1" si="2"/>
        <v>1.6459010000000001</v>
      </c>
      <c r="AH13" s="133">
        <f t="shared" ca="1" si="2"/>
        <v>1.5858570000000001</v>
      </c>
      <c r="AI13" s="133">
        <f t="shared" ca="1" si="2"/>
        <v>1.5179959999999999</v>
      </c>
      <c r="AJ13" s="133">
        <f t="shared" ca="1" si="2"/>
        <v>1.4501269999999999</v>
      </c>
      <c r="AK13" s="133">
        <f t="shared" ca="1" si="2"/>
        <v>1.3891009999999999</v>
      </c>
      <c r="AL13" s="133">
        <f t="shared" ca="1" si="2"/>
        <v>1.340624</v>
      </c>
      <c r="AM13" s="133">
        <f t="shared" ca="1" si="2"/>
        <v>1.3090409999999999</v>
      </c>
      <c r="AN13" s="133">
        <f t="shared" ca="1" si="2"/>
        <v>1.29776</v>
      </c>
      <c r="AO13" s="133">
        <f t="shared" ca="1" si="2"/>
        <v>1.3092569999999999</v>
      </c>
      <c r="AP13" s="133">
        <f t="shared" ca="1" si="2"/>
        <v>1.3453930000000001</v>
      </c>
      <c r="AQ13" s="133">
        <f t="shared" ca="1" si="2"/>
        <v>1.407483</v>
      </c>
      <c r="AR13" s="133">
        <f t="shared" ca="1" si="2"/>
        <v>1.4961089999999999</v>
      </c>
      <c r="AS13" s="133">
        <f t="shared" ca="1" si="2"/>
        <v>1.611194</v>
      </c>
      <c r="AT13" s="133">
        <f t="shared" ca="1" si="2"/>
        <v>1.7525839999999999</v>
      </c>
      <c r="AU13" s="133">
        <f t="shared" ca="1" si="2"/>
        <v>1.920342</v>
      </c>
      <c r="AW13" s="139">
        <f ca="1">AVERAGE(L13:AU13)</f>
        <v>1.2074707222222218</v>
      </c>
    </row>
    <row r="14" spans="1:49" ht="14.45" x14ac:dyDescent="0.35"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  <c r="AC14" s="133"/>
      <c r="AD14" s="133"/>
      <c r="AE14" s="133"/>
      <c r="AF14" s="133"/>
      <c r="AG14" s="133"/>
      <c r="AH14" s="133"/>
      <c r="AI14" s="133"/>
      <c r="AJ14" s="133"/>
      <c r="AK14" s="133"/>
      <c r="AL14" s="133"/>
      <c r="AM14" s="133"/>
      <c r="AN14" s="133"/>
      <c r="AO14" s="133"/>
      <c r="AP14" s="133"/>
      <c r="AQ14" s="133"/>
      <c r="AR14" s="133"/>
      <c r="AS14" s="133"/>
      <c r="AT14" s="133"/>
      <c r="AU14" s="133"/>
      <c r="AW14" s="138"/>
    </row>
    <row r="18" spans="1:47" ht="14.45" x14ac:dyDescent="0.35">
      <c r="A18" s="1" t="s">
        <v>1063</v>
      </c>
    </row>
    <row r="20" spans="1:47" ht="14.45" x14ac:dyDescent="0.35">
      <c r="B20" t="s">
        <v>778</v>
      </c>
      <c r="C20" s="127">
        <f t="shared" ref="C20:K35" ca="1" si="3">Output("SCEN_ADEMEhaut",$B20,C$1)</f>
        <v>9253.9619999999995</v>
      </c>
      <c r="D20" s="127">
        <f t="shared" ca="1" si="3"/>
        <v>9087.7939999999999</v>
      </c>
      <c r="E20" s="127">
        <f t="shared" ca="1" si="3"/>
        <v>9044.7350000000006</v>
      </c>
      <c r="F20" s="127">
        <f t="shared" ca="1" si="3"/>
        <v>9055.9750000000004</v>
      </c>
      <c r="G20" s="127">
        <f t="shared" ca="1" si="3"/>
        <v>9094.8389999999999</v>
      </c>
      <c r="H20" s="127">
        <f t="shared" ca="1" si="3"/>
        <v>9163.5849999999991</v>
      </c>
      <c r="I20" s="127">
        <f t="shared" ca="1" si="3"/>
        <v>9239.982</v>
      </c>
      <c r="J20" s="127">
        <f t="shared" ca="1" si="3"/>
        <v>9314.19</v>
      </c>
      <c r="K20" s="127">
        <f t="shared" ca="1" si="3"/>
        <v>9386.6569999999992</v>
      </c>
      <c r="L20" s="127">
        <f ca="1">Output("SCEN_ADEMEhaut",$B20,L$1)</f>
        <v>9457.8829999999998</v>
      </c>
      <c r="M20" s="127">
        <f t="shared" ref="M20:AU27" ca="1" si="4">Output("SCEN_ADEMEhaut",$B20,M$1)</f>
        <v>9542.7170000000006</v>
      </c>
      <c r="N20" s="127">
        <f t="shared" ca="1" si="4"/>
        <v>9644.7839999999997</v>
      </c>
      <c r="O20" s="127">
        <f t="shared" ca="1" si="4"/>
        <v>9765.5280000000002</v>
      </c>
      <c r="P20" s="127">
        <f t="shared" ca="1" si="4"/>
        <v>9902.3439999999991</v>
      </c>
      <c r="Q20" s="127">
        <f t="shared" ca="1" si="4"/>
        <v>10047.1</v>
      </c>
      <c r="R20" s="127">
        <f t="shared" ca="1" si="4"/>
        <v>10200.6</v>
      </c>
      <c r="S20" s="127">
        <f t="shared" ca="1" si="4"/>
        <v>10360.32</v>
      </c>
      <c r="T20" s="127">
        <f t="shared" ca="1" si="4"/>
        <v>10524.62</v>
      </c>
      <c r="U20" s="127">
        <f t="shared" ca="1" si="4"/>
        <v>10692.42</v>
      </c>
      <c r="V20" s="127">
        <f t="shared" ca="1" si="4"/>
        <v>10862.99</v>
      </c>
      <c r="W20" s="127">
        <f t="shared" ca="1" si="4"/>
        <v>11035.91</v>
      </c>
      <c r="X20" s="127">
        <f t="shared" ca="1" si="4"/>
        <v>11210.93</v>
      </c>
      <c r="Y20" s="127">
        <f t="shared" ca="1" si="4"/>
        <v>11388.33</v>
      </c>
      <c r="Z20" s="127">
        <f t="shared" ca="1" si="4"/>
        <v>11568.64</v>
      </c>
      <c r="AA20" s="127">
        <f t="shared" ca="1" si="4"/>
        <v>11752.64</v>
      </c>
      <c r="AB20" s="127">
        <f t="shared" ca="1" si="4"/>
        <v>11943.14</v>
      </c>
      <c r="AC20" s="127">
        <f t="shared" ca="1" si="4"/>
        <v>12142.81</v>
      </c>
      <c r="AD20" s="127">
        <f t="shared" ca="1" si="4"/>
        <v>12353</v>
      </c>
      <c r="AE20" s="127">
        <f t="shared" ca="1" si="4"/>
        <v>12574.98</v>
      </c>
      <c r="AF20" s="127">
        <f t="shared" ca="1" si="4"/>
        <v>12810.37</v>
      </c>
      <c r="AG20" s="127">
        <f t="shared" ca="1" si="4"/>
        <v>13061.21</v>
      </c>
      <c r="AH20" s="127">
        <f t="shared" ca="1" si="4"/>
        <v>13329.87</v>
      </c>
      <c r="AI20" s="127">
        <f t="shared" ca="1" si="4"/>
        <v>13618.68</v>
      </c>
      <c r="AJ20" s="127">
        <f t="shared" ca="1" si="4"/>
        <v>13929.98</v>
      </c>
      <c r="AK20" s="127">
        <f t="shared" ca="1" si="4"/>
        <v>14266.06</v>
      </c>
      <c r="AL20" s="127">
        <f t="shared" ca="1" si="4"/>
        <v>14629.14</v>
      </c>
      <c r="AM20" s="127">
        <f t="shared" ca="1" si="4"/>
        <v>15021.4</v>
      </c>
      <c r="AN20" s="127">
        <f t="shared" ca="1" si="4"/>
        <v>15444.93</v>
      </c>
      <c r="AO20" s="127">
        <f t="shared" ca="1" si="4"/>
        <v>15901.78</v>
      </c>
      <c r="AP20" s="127">
        <f t="shared" ca="1" si="4"/>
        <v>16393.63</v>
      </c>
      <c r="AQ20" s="127">
        <f t="shared" ca="1" si="4"/>
        <v>16922.38</v>
      </c>
      <c r="AR20" s="127">
        <f t="shared" ca="1" si="4"/>
        <v>17489.66</v>
      </c>
      <c r="AS20" s="127">
        <f t="shared" ca="1" si="4"/>
        <v>18097.310000000001</v>
      </c>
      <c r="AT20" s="127">
        <f t="shared" ca="1" si="4"/>
        <v>18747.16</v>
      </c>
      <c r="AU20" s="127">
        <f t="shared" ca="1" si="4"/>
        <v>19441</v>
      </c>
    </row>
    <row r="21" spans="1:47" ht="14.45" x14ac:dyDescent="0.35">
      <c r="B21" t="s">
        <v>779</v>
      </c>
      <c r="C21" s="127">
        <f t="shared" ca="1" si="3"/>
        <v>4576.3500000000004</v>
      </c>
      <c r="D21" s="127">
        <f t="shared" ca="1" si="3"/>
        <v>4583.6980000000003</v>
      </c>
      <c r="E21" s="127">
        <f t="shared" ca="1" si="3"/>
        <v>4603.8119999999999</v>
      </c>
      <c r="F21" s="127">
        <f t="shared" ca="1" si="3"/>
        <v>4627.3720000000003</v>
      </c>
      <c r="G21" s="127">
        <f t="shared" ca="1" si="3"/>
        <v>4651.1459999999997</v>
      </c>
      <c r="H21" s="127">
        <f t="shared" ca="1" si="3"/>
        <v>4697.9719999999998</v>
      </c>
      <c r="I21" s="127">
        <f t="shared" ca="1" si="3"/>
        <v>4752.759</v>
      </c>
      <c r="J21" s="127">
        <f t="shared" ca="1" si="3"/>
        <v>4809.3389999999999</v>
      </c>
      <c r="K21" s="127">
        <f t="shared" ca="1" si="3"/>
        <v>4869.2039999999997</v>
      </c>
      <c r="L21" s="127">
        <f t="shared" ref="L21:AA66" ca="1" si="5">Output("SCEN_ADEMEhaut",$B21,L$1)</f>
        <v>4931.4650000000001</v>
      </c>
      <c r="M21" s="127">
        <f t="shared" ca="1" si="5"/>
        <v>5003.6400000000003</v>
      </c>
      <c r="N21" s="127">
        <f t="shared" ca="1" si="5"/>
        <v>5088.8249999999998</v>
      </c>
      <c r="O21" s="127">
        <f t="shared" ca="1" si="5"/>
        <v>5188.2629999999999</v>
      </c>
      <c r="P21" s="127">
        <f t="shared" ca="1" si="5"/>
        <v>5299.1760000000004</v>
      </c>
      <c r="Q21" s="127">
        <f t="shared" ca="1" si="5"/>
        <v>5416.1329999999998</v>
      </c>
      <c r="R21" s="127">
        <f t="shared" ca="1" si="5"/>
        <v>5537.9639999999999</v>
      </c>
      <c r="S21" s="127">
        <f t="shared" ca="1" si="5"/>
        <v>5662.3329999999996</v>
      </c>
      <c r="T21" s="127">
        <f t="shared" ca="1" si="5"/>
        <v>5787.9960000000001</v>
      </c>
      <c r="U21" s="127">
        <f t="shared" ca="1" si="5"/>
        <v>5914.1779999999999</v>
      </c>
      <c r="V21" s="127">
        <f t="shared" ca="1" si="5"/>
        <v>6040.36</v>
      </c>
      <c r="W21" s="127">
        <f t="shared" ca="1" si="5"/>
        <v>6166.2430000000004</v>
      </c>
      <c r="X21" s="127">
        <f t="shared" ca="1" si="5"/>
        <v>6291.8119999999999</v>
      </c>
      <c r="Y21" s="127">
        <f t="shared" ca="1" si="5"/>
        <v>6417.1610000000001</v>
      </c>
      <c r="Z21" s="127">
        <f t="shared" ca="1" si="5"/>
        <v>6542.5730000000003</v>
      </c>
      <c r="AA21" s="127">
        <f t="shared" ca="1" si="5"/>
        <v>6668.4960000000001</v>
      </c>
      <c r="AB21" s="127">
        <f t="shared" ca="1" si="4"/>
        <v>6795.3509999999997</v>
      </c>
      <c r="AC21" s="127">
        <f t="shared" ca="1" si="4"/>
        <v>6925.5460000000003</v>
      </c>
      <c r="AD21" s="127">
        <f t="shared" ca="1" si="4"/>
        <v>7059.5659999999998</v>
      </c>
      <c r="AE21" s="127">
        <f t="shared" ca="1" si="4"/>
        <v>7197.7039999999997</v>
      </c>
      <c r="AF21" s="127">
        <f t="shared" ca="1" si="4"/>
        <v>7340.4949999999999</v>
      </c>
      <c r="AG21" s="127">
        <f t="shared" ca="1" si="4"/>
        <v>7488.6909999999998</v>
      </c>
      <c r="AH21" s="127">
        <f t="shared" ca="1" si="4"/>
        <v>7643.1589999999997</v>
      </c>
      <c r="AI21" s="127">
        <f t="shared" ca="1" si="4"/>
        <v>7804.7960000000003</v>
      </c>
      <c r="AJ21" s="127">
        <f t="shared" ca="1" si="4"/>
        <v>7974.46</v>
      </c>
      <c r="AK21" s="127">
        <f t="shared" ca="1" si="4"/>
        <v>8152.9290000000001</v>
      </c>
      <c r="AL21" s="127">
        <f t="shared" ca="1" si="4"/>
        <v>8340.884</v>
      </c>
      <c r="AM21" s="127">
        <f t="shared" ca="1" si="4"/>
        <v>8538.9040000000005</v>
      </c>
      <c r="AN21" s="127">
        <f t="shared" ca="1" si="4"/>
        <v>8747.4789999999994</v>
      </c>
      <c r="AO21" s="127">
        <f t="shared" ca="1" si="4"/>
        <v>8967.0300000000007</v>
      </c>
      <c r="AP21" s="127">
        <f t="shared" ca="1" si="4"/>
        <v>9197.5740000000005</v>
      </c>
      <c r="AQ21" s="127">
        <f t="shared" ca="1" si="4"/>
        <v>9439.4660000000003</v>
      </c>
      <c r="AR21" s="127">
        <f t="shared" ca="1" si="4"/>
        <v>9692.7639999999992</v>
      </c>
      <c r="AS21" s="127">
        <f t="shared" ca="1" si="4"/>
        <v>9957.8439999999991</v>
      </c>
      <c r="AT21" s="127">
        <f t="shared" ca="1" si="4"/>
        <v>10235.129999999999</v>
      </c>
      <c r="AU21" s="127">
        <f t="shared" ca="1" si="4"/>
        <v>10525.1</v>
      </c>
    </row>
    <row r="22" spans="1:47" ht="14.45" x14ac:dyDescent="0.35">
      <c r="B22" t="s">
        <v>780</v>
      </c>
      <c r="C22" s="127">
        <f t="shared" ca="1" si="3"/>
        <v>4309.2579999999998</v>
      </c>
      <c r="D22" s="127">
        <f t="shared" ca="1" si="3"/>
        <v>4240.0969999999998</v>
      </c>
      <c r="E22" s="127">
        <f t="shared" ca="1" si="3"/>
        <v>4224.8310000000001</v>
      </c>
      <c r="F22" s="127">
        <f t="shared" ca="1" si="3"/>
        <v>4233.1509999999998</v>
      </c>
      <c r="G22" s="127">
        <f t="shared" ca="1" si="3"/>
        <v>4253.2569999999996</v>
      </c>
      <c r="H22" s="127">
        <f t="shared" ca="1" si="3"/>
        <v>4294.607</v>
      </c>
      <c r="I22" s="127">
        <f t="shared" ca="1" si="3"/>
        <v>4346.8370000000004</v>
      </c>
      <c r="J22" s="127">
        <f t="shared" ca="1" si="3"/>
        <v>4405.4759999999997</v>
      </c>
      <c r="K22" s="127">
        <f t="shared" ca="1" si="3"/>
        <v>4468.6809999999996</v>
      </c>
      <c r="L22" s="127">
        <f t="shared" ca="1" si="5"/>
        <v>4539.6090000000004</v>
      </c>
      <c r="M22" s="127">
        <f t="shared" ca="1" si="4"/>
        <v>4604.9040000000005</v>
      </c>
      <c r="N22" s="127">
        <f t="shared" ca="1" si="4"/>
        <v>4671.8950000000004</v>
      </c>
      <c r="O22" s="127">
        <f t="shared" ca="1" si="4"/>
        <v>4739.8919999999998</v>
      </c>
      <c r="P22" s="127">
        <f t="shared" ca="1" si="4"/>
        <v>4808.2640000000001</v>
      </c>
      <c r="Q22" s="127">
        <f t="shared" ca="1" si="4"/>
        <v>4886.4120000000003</v>
      </c>
      <c r="R22" s="127">
        <f t="shared" ca="1" si="4"/>
        <v>4949.598</v>
      </c>
      <c r="S22" s="127">
        <f t="shared" ca="1" si="4"/>
        <v>5013.1369999999997</v>
      </c>
      <c r="T22" s="127">
        <f t="shared" ca="1" si="4"/>
        <v>5075.4799999999996</v>
      </c>
      <c r="U22" s="127">
        <f t="shared" ca="1" si="4"/>
        <v>5135.5829999999996</v>
      </c>
      <c r="V22" s="127">
        <f t="shared" ca="1" si="4"/>
        <v>5192.8580000000002</v>
      </c>
      <c r="W22" s="127">
        <f t="shared" ca="1" si="4"/>
        <v>5246.9719999999998</v>
      </c>
      <c r="X22" s="127">
        <f t="shared" ca="1" si="4"/>
        <v>5297.7049999999999</v>
      </c>
      <c r="Y22" s="127">
        <f t="shared" ca="1" si="4"/>
        <v>5345.0829999999996</v>
      </c>
      <c r="Z22" s="127">
        <f t="shared" ca="1" si="4"/>
        <v>5389.2550000000001</v>
      </c>
      <c r="AA22" s="127">
        <f t="shared" ca="1" si="4"/>
        <v>5430.482</v>
      </c>
      <c r="AB22" s="127">
        <f t="shared" ca="1" si="4"/>
        <v>5466.7219999999998</v>
      </c>
      <c r="AC22" s="127">
        <f t="shared" ca="1" si="4"/>
        <v>5503.3370000000004</v>
      </c>
      <c r="AD22" s="127">
        <f t="shared" ca="1" si="4"/>
        <v>5539.9880000000003</v>
      </c>
      <c r="AE22" s="127">
        <f t="shared" ca="1" si="4"/>
        <v>5577.0959999999995</v>
      </c>
      <c r="AF22" s="127">
        <f t="shared" ca="1" si="4"/>
        <v>5615.37</v>
      </c>
      <c r="AG22" s="127">
        <f t="shared" ca="1" si="4"/>
        <v>5655.59</v>
      </c>
      <c r="AH22" s="127">
        <f t="shared" ca="1" si="4"/>
        <v>5698.5</v>
      </c>
      <c r="AI22" s="127">
        <f t="shared" ca="1" si="4"/>
        <v>5744.7889999999998</v>
      </c>
      <c r="AJ22" s="127">
        <f t="shared" ca="1" si="4"/>
        <v>5795.0990000000002</v>
      </c>
      <c r="AK22" s="127">
        <f t="shared" ca="1" si="4"/>
        <v>5850.0240000000003</v>
      </c>
      <c r="AL22" s="127">
        <f t="shared" ca="1" si="4"/>
        <v>5910.0969999999998</v>
      </c>
      <c r="AM22" s="127">
        <f t="shared" ca="1" si="4"/>
        <v>5975.7889999999998</v>
      </c>
      <c r="AN22" s="127">
        <f t="shared" ca="1" si="4"/>
        <v>6047.5039999999999</v>
      </c>
      <c r="AO22" s="127">
        <f t="shared" ca="1" si="4"/>
        <v>6125.5789999999997</v>
      </c>
      <c r="AP22" s="127">
        <f t="shared" ca="1" si="4"/>
        <v>6215.7470000000003</v>
      </c>
      <c r="AQ22" s="127">
        <f t="shared" ca="1" si="4"/>
        <v>6315.1360000000004</v>
      </c>
      <c r="AR22" s="127">
        <f t="shared" ca="1" si="4"/>
        <v>6422.8280000000004</v>
      </c>
      <c r="AS22" s="127">
        <f t="shared" ca="1" si="4"/>
        <v>6538.3909999999996</v>
      </c>
      <c r="AT22" s="127">
        <f t="shared" ca="1" si="4"/>
        <v>6661.7860000000001</v>
      </c>
      <c r="AU22" s="127">
        <f t="shared" ca="1" si="4"/>
        <v>6792.9549999999999</v>
      </c>
    </row>
    <row r="23" spans="1:47" ht="14.45" x14ac:dyDescent="0.35">
      <c r="B23" t="s">
        <v>781</v>
      </c>
      <c r="C23" s="127">
        <f t="shared" ca="1" si="3"/>
        <v>383.59320000000002</v>
      </c>
      <c r="D23" s="127">
        <f t="shared" ca="1" si="3"/>
        <v>380.52929999999998</v>
      </c>
      <c r="E23" s="127">
        <f t="shared" ca="1" si="3"/>
        <v>380.68389999999999</v>
      </c>
      <c r="F23" s="127">
        <f t="shared" ca="1" si="3"/>
        <v>382.24169999999998</v>
      </c>
      <c r="G23" s="127">
        <f t="shared" ca="1" si="3"/>
        <v>384.55110000000002</v>
      </c>
      <c r="H23" s="127">
        <f t="shared" ca="1" si="3"/>
        <v>388.98700000000002</v>
      </c>
      <c r="I23" s="127">
        <f t="shared" ca="1" si="3"/>
        <v>394.42809999999997</v>
      </c>
      <c r="J23" s="127">
        <f t="shared" ca="1" si="3"/>
        <v>400.40879999999999</v>
      </c>
      <c r="K23" s="127">
        <f t="shared" ca="1" si="3"/>
        <v>406.77890000000002</v>
      </c>
      <c r="L23" s="127">
        <f t="shared" ca="1" si="5"/>
        <v>413.49919999999997</v>
      </c>
      <c r="M23" s="127">
        <f t="shared" ca="1" si="4"/>
        <v>420.7056</v>
      </c>
      <c r="N23" s="127">
        <f t="shared" ca="1" si="4"/>
        <v>428.50170000000003</v>
      </c>
      <c r="O23" s="127">
        <f t="shared" ca="1" si="4"/>
        <v>436.88380000000001</v>
      </c>
      <c r="P23" s="127">
        <f t="shared" ca="1" si="4"/>
        <v>445.71550000000002</v>
      </c>
      <c r="Q23" s="127">
        <f t="shared" ca="1" si="4"/>
        <v>454.82240000000002</v>
      </c>
      <c r="R23" s="127">
        <f t="shared" ca="1" si="4"/>
        <v>463.98509999999999</v>
      </c>
      <c r="S23" s="127">
        <f t="shared" ca="1" si="4"/>
        <v>473.16289999999998</v>
      </c>
      <c r="T23" s="127">
        <f t="shared" ca="1" si="4"/>
        <v>482.28089999999997</v>
      </c>
      <c r="U23" s="127">
        <f t="shared" ca="1" si="4"/>
        <v>491.28100000000001</v>
      </c>
      <c r="V23" s="127">
        <f t="shared" ca="1" si="4"/>
        <v>500.12369999999999</v>
      </c>
      <c r="W23" s="127">
        <f t="shared" ca="1" si="4"/>
        <v>508.78739999999999</v>
      </c>
      <c r="X23" s="127">
        <f t="shared" ca="1" si="4"/>
        <v>517.24649999999997</v>
      </c>
      <c r="Y23" s="127">
        <f t="shared" ca="1" si="4"/>
        <v>525.52070000000003</v>
      </c>
      <c r="Z23" s="127">
        <f t="shared" ca="1" si="4"/>
        <v>533.64089999999999</v>
      </c>
      <c r="AA23" s="127">
        <f t="shared" ca="1" si="4"/>
        <v>541.6463</v>
      </c>
      <c r="AB23" s="127">
        <f t="shared" ca="1" si="4"/>
        <v>548.56119999999999</v>
      </c>
      <c r="AC23" s="127">
        <f t="shared" ca="1" si="4"/>
        <v>554.47029999999995</v>
      </c>
      <c r="AD23" s="127">
        <f t="shared" ca="1" si="4"/>
        <v>559.61580000000004</v>
      </c>
      <c r="AE23" s="127">
        <f t="shared" ca="1" si="4"/>
        <v>564.25109999999995</v>
      </c>
      <c r="AF23" s="127">
        <f t="shared" ca="1" si="4"/>
        <v>568.59969999999998</v>
      </c>
      <c r="AG23" s="127">
        <f t="shared" ca="1" si="4"/>
        <v>572.8501</v>
      </c>
      <c r="AH23" s="127">
        <f t="shared" ca="1" si="4"/>
        <v>577.1585</v>
      </c>
      <c r="AI23" s="127">
        <f t="shared" ca="1" si="4"/>
        <v>581.65269999999998</v>
      </c>
      <c r="AJ23" s="127">
        <f t="shared" ca="1" si="4"/>
        <v>586.43830000000003</v>
      </c>
      <c r="AK23" s="127">
        <f t="shared" ca="1" si="4"/>
        <v>591.60180000000003</v>
      </c>
      <c r="AL23" s="127">
        <f t="shared" ca="1" si="4"/>
        <v>597.21339999999998</v>
      </c>
      <c r="AM23" s="127">
        <f t="shared" ca="1" si="4"/>
        <v>603.32979999999998</v>
      </c>
      <c r="AN23" s="127">
        <f t="shared" ca="1" si="4"/>
        <v>609.99649999999997</v>
      </c>
      <c r="AO23" s="127">
        <f t="shared" ca="1" si="4"/>
        <v>617.25019999999995</v>
      </c>
      <c r="AP23" s="127">
        <f t="shared" ca="1" si="4"/>
        <v>625.14290000000005</v>
      </c>
      <c r="AQ23" s="127">
        <f t="shared" ca="1" si="4"/>
        <v>633.68579999999997</v>
      </c>
      <c r="AR23" s="127">
        <f t="shared" ca="1" si="4"/>
        <v>642.88499999999999</v>
      </c>
      <c r="AS23" s="127">
        <f t="shared" ca="1" si="4"/>
        <v>652.76020000000005</v>
      </c>
      <c r="AT23" s="127">
        <f t="shared" ca="1" si="4"/>
        <v>663.33590000000004</v>
      </c>
      <c r="AU23" s="127">
        <f t="shared" ca="1" si="4"/>
        <v>674.63879999999995</v>
      </c>
    </row>
    <row r="24" spans="1:47" ht="14.45" x14ac:dyDescent="0.35">
      <c r="B24" t="s">
        <v>782</v>
      </c>
      <c r="C24" s="127">
        <f t="shared" ca="1" si="3"/>
        <v>1116.9829999999999</v>
      </c>
      <c r="D24" s="127">
        <f t="shared" ca="1" si="3"/>
        <v>1165.202</v>
      </c>
      <c r="E24" s="127">
        <f t="shared" ca="1" si="3"/>
        <v>1195.3599999999999</v>
      </c>
      <c r="F24" s="127">
        <f t="shared" ca="1" si="3"/>
        <v>1214.5350000000001</v>
      </c>
      <c r="G24" s="127">
        <f t="shared" ca="1" si="3"/>
        <v>1229.894</v>
      </c>
      <c r="H24" s="127">
        <f t="shared" ca="1" si="3"/>
        <v>1246.703</v>
      </c>
      <c r="I24" s="127">
        <f t="shared" ca="1" si="3"/>
        <v>1263.6120000000001</v>
      </c>
      <c r="J24" s="127">
        <f t="shared" ca="1" si="3"/>
        <v>1280.3869999999999</v>
      </c>
      <c r="K24" s="127">
        <f t="shared" ca="1" si="3"/>
        <v>1297.271</v>
      </c>
      <c r="L24" s="127">
        <f t="shared" ca="1" si="5"/>
        <v>1314.4960000000001</v>
      </c>
      <c r="M24" s="127">
        <f t="shared" ca="1" si="4"/>
        <v>1332.7570000000001</v>
      </c>
      <c r="N24" s="127">
        <f t="shared" ca="1" si="4"/>
        <v>1352.578</v>
      </c>
      <c r="O24" s="127">
        <f t="shared" ca="1" si="4"/>
        <v>1374.192</v>
      </c>
      <c r="P24" s="127">
        <f t="shared" ca="1" si="4"/>
        <v>1397.4369999999999</v>
      </c>
      <c r="Q24" s="127">
        <f t="shared" ca="1" si="4"/>
        <v>1421.7280000000001</v>
      </c>
      <c r="R24" s="127">
        <f t="shared" ca="1" si="4"/>
        <v>1446.752</v>
      </c>
      <c r="S24" s="127">
        <f t="shared" ca="1" si="4"/>
        <v>1472.327</v>
      </c>
      <c r="T24" s="127">
        <f t="shared" ca="1" si="4"/>
        <v>1498.261</v>
      </c>
      <c r="U24" s="127">
        <f t="shared" ca="1" si="4"/>
        <v>1524.395</v>
      </c>
      <c r="V24" s="127">
        <f t="shared" ca="1" si="4"/>
        <v>1550.6110000000001</v>
      </c>
      <c r="W24" s="127">
        <f t="shared" ca="1" si="4"/>
        <v>1576.835</v>
      </c>
      <c r="X24" s="127">
        <f t="shared" ca="1" si="4"/>
        <v>1602.4110000000001</v>
      </c>
      <c r="Y24" s="127">
        <f t="shared" ca="1" si="4"/>
        <v>1627.6130000000001</v>
      </c>
      <c r="Z24" s="127">
        <f t="shared" ca="1" si="4"/>
        <v>1652.653</v>
      </c>
      <c r="AA24" s="127">
        <f t="shared" ca="1" si="4"/>
        <v>1677.6849999999999</v>
      </c>
      <c r="AB24" s="127">
        <f t="shared" ca="1" si="4"/>
        <v>1701.473</v>
      </c>
      <c r="AC24" s="127">
        <f t="shared" ca="1" si="4"/>
        <v>1723.943</v>
      </c>
      <c r="AD24" s="127">
        <f t="shared" ca="1" si="4"/>
        <v>1745.68</v>
      </c>
      <c r="AE24" s="127">
        <f t="shared" ca="1" si="4"/>
        <v>1767.3440000000001</v>
      </c>
      <c r="AF24" s="127">
        <f t="shared" ca="1" si="4"/>
        <v>1789.4739999999999</v>
      </c>
      <c r="AG24" s="127">
        <f t="shared" ca="1" si="4"/>
        <v>1812.501</v>
      </c>
      <c r="AH24" s="127">
        <f t="shared" ca="1" si="4"/>
        <v>1836.779</v>
      </c>
      <c r="AI24" s="127">
        <f t="shared" ca="1" si="4"/>
        <v>1862.6179999999999</v>
      </c>
      <c r="AJ24" s="127">
        <f t="shared" ca="1" si="4"/>
        <v>1890.3009999999999</v>
      </c>
      <c r="AK24" s="127">
        <f t="shared" ca="1" si="4"/>
        <v>1920.098</v>
      </c>
      <c r="AL24" s="127">
        <f t="shared" ca="1" si="4"/>
        <v>1952.2729999999999</v>
      </c>
      <c r="AM24" s="127">
        <f t="shared" ca="1" si="4"/>
        <v>1987.086</v>
      </c>
      <c r="AN24" s="127">
        <f t="shared" ca="1" si="4"/>
        <v>2024.799</v>
      </c>
      <c r="AO24" s="127">
        <f t="shared" ca="1" si="4"/>
        <v>2065.6770000000001</v>
      </c>
      <c r="AP24" s="127">
        <f t="shared" ca="1" si="4"/>
        <v>2110.0129999999999</v>
      </c>
      <c r="AQ24" s="127">
        <f t="shared" ca="1" si="4"/>
        <v>2158.0709999999999</v>
      </c>
      <c r="AR24" s="127">
        <f t="shared" ca="1" si="4"/>
        <v>2210.1190000000001</v>
      </c>
      <c r="AS24" s="127">
        <f t="shared" ca="1" si="4"/>
        <v>2266.4670000000001</v>
      </c>
      <c r="AT24" s="127">
        <f t="shared" ca="1" si="4"/>
        <v>2327.4650000000001</v>
      </c>
      <c r="AU24" s="127">
        <f t="shared" ca="1" si="4"/>
        <v>2393.4960000000001</v>
      </c>
    </row>
    <row r="25" spans="1:47" ht="14.45" x14ac:dyDescent="0.35">
      <c r="B25" t="s">
        <v>783</v>
      </c>
      <c r="C25" s="127">
        <f t="shared" ca="1" si="3"/>
        <v>965.1644</v>
      </c>
      <c r="D25" s="127">
        <f t="shared" ca="1" si="3"/>
        <v>954.59169999999995</v>
      </c>
      <c r="E25" s="127">
        <f t="shared" ca="1" si="3"/>
        <v>953.1327</v>
      </c>
      <c r="F25" s="127">
        <f t="shared" ca="1" si="3"/>
        <v>956.07619999999997</v>
      </c>
      <c r="G25" s="127">
        <f t="shared" ca="1" si="3"/>
        <v>961.25049999999999</v>
      </c>
      <c r="H25" s="127">
        <f t="shared" ca="1" si="3"/>
        <v>971.93669999999997</v>
      </c>
      <c r="I25" s="127">
        <f t="shared" ca="1" si="3"/>
        <v>985.45370000000003</v>
      </c>
      <c r="J25" s="127">
        <f t="shared" ca="1" si="3"/>
        <v>1000.431</v>
      </c>
      <c r="K25" s="127">
        <f t="shared" ca="1" si="3"/>
        <v>1016.501</v>
      </c>
      <c r="L25" s="127">
        <f t="shared" ca="1" si="5"/>
        <v>1033.5219999999999</v>
      </c>
      <c r="M25" s="127">
        <f t="shared" ca="1" si="4"/>
        <v>1051.8050000000001</v>
      </c>
      <c r="N25" s="127">
        <f t="shared" ca="1" si="4"/>
        <v>1071.498</v>
      </c>
      <c r="O25" s="127">
        <f t="shared" ca="1" si="4"/>
        <v>1092.5709999999999</v>
      </c>
      <c r="P25" s="127">
        <f t="shared" ca="1" si="4"/>
        <v>1114.68</v>
      </c>
      <c r="Q25" s="127">
        <f t="shared" ca="1" si="4"/>
        <v>1137.3440000000001</v>
      </c>
      <c r="R25" s="127">
        <f t="shared" ca="1" si="4"/>
        <v>1160.21</v>
      </c>
      <c r="S25" s="127">
        <f t="shared" ca="1" si="4"/>
        <v>1183.0170000000001</v>
      </c>
      <c r="T25" s="127">
        <f t="shared" ca="1" si="4"/>
        <v>1205.5640000000001</v>
      </c>
      <c r="U25" s="127">
        <f t="shared" ca="1" si="4"/>
        <v>1227.7049999999999</v>
      </c>
      <c r="V25" s="127">
        <f t="shared" ca="1" si="4"/>
        <v>1249.3389999999999</v>
      </c>
      <c r="W25" s="127">
        <f t="shared" ca="1" si="4"/>
        <v>1270.4069999999999</v>
      </c>
      <c r="X25" s="127">
        <f t="shared" ca="1" si="4"/>
        <v>1290.8699999999999</v>
      </c>
      <c r="Y25" s="127">
        <f t="shared" ca="1" si="4"/>
        <v>1310.7560000000001</v>
      </c>
      <c r="Z25" s="127">
        <f t="shared" ca="1" si="4"/>
        <v>1330.133</v>
      </c>
      <c r="AA25" s="127">
        <f t="shared" ca="1" si="4"/>
        <v>1349.09</v>
      </c>
      <c r="AB25" s="127">
        <f t="shared" ca="1" si="4"/>
        <v>1364.9290000000001</v>
      </c>
      <c r="AC25" s="127">
        <f t="shared" ca="1" si="4"/>
        <v>1377.75</v>
      </c>
      <c r="AD25" s="127">
        <f t="shared" ca="1" si="4"/>
        <v>1388.2080000000001</v>
      </c>
      <c r="AE25" s="127">
        <f t="shared" ca="1" si="4"/>
        <v>1396.992</v>
      </c>
      <c r="AF25" s="127">
        <f t="shared" ca="1" si="4"/>
        <v>1404.703</v>
      </c>
      <c r="AG25" s="127">
        <f t="shared" ca="1" si="4"/>
        <v>1411.84</v>
      </c>
      <c r="AH25" s="127">
        <f t="shared" ca="1" si="4"/>
        <v>1418.809</v>
      </c>
      <c r="AI25" s="127">
        <f t="shared" ca="1" si="4"/>
        <v>1425.9359999999999</v>
      </c>
      <c r="AJ25" s="127">
        <f t="shared" ca="1" si="4"/>
        <v>1433.4829999999999</v>
      </c>
      <c r="AK25" s="127">
        <f t="shared" ca="1" si="4"/>
        <v>1441.6559999999999</v>
      </c>
      <c r="AL25" s="127">
        <f t="shared" ca="1" si="4"/>
        <v>1450.617</v>
      </c>
      <c r="AM25" s="127">
        <f t="shared" ca="1" si="4"/>
        <v>1460.4880000000001</v>
      </c>
      <c r="AN25" s="127">
        <f t="shared" ca="1" si="4"/>
        <v>1471.36</v>
      </c>
      <c r="AO25" s="127">
        <f t="shared" ca="1" si="4"/>
        <v>1483.299</v>
      </c>
      <c r="AP25" s="127">
        <f t="shared" ca="1" si="4"/>
        <v>1496.3440000000001</v>
      </c>
      <c r="AQ25" s="127">
        <f t="shared" ca="1" si="4"/>
        <v>1510.518</v>
      </c>
      <c r="AR25" s="127">
        <f t="shared" ca="1" si="4"/>
        <v>1525.818</v>
      </c>
      <c r="AS25" s="127">
        <f t="shared" ca="1" si="4"/>
        <v>1542.259</v>
      </c>
      <c r="AT25" s="127">
        <f t="shared" ca="1" si="4"/>
        <v>1559.866</v>
      </c>
      <c r="AU25" s="127">
        <f t="shared" ca="1" si="4"/>
        <v>1578.662</v>
      </c>
    </row>
    <row r="26" spans="1:47" ht="14.45" x14ac:dyDescent="0.35">
      <c r="B26" t="s">
        <v>784</v>
      </c>
      <c r="C26" s="127">
        <f t="shared" ca="1" si="3"/>
        <v>244.5257</v>
      </c>
      <c r="D26" s="127">
        <f t="shared" ca="1" si="3"/>
        <v>239.6379</v>
      </c>
      <c r="E26" s="127">
        <f t="shared" ca="1" si="3"/>
        <v>238.2381</v>
      </c>
      <c r="F26" s="127">
        <f t="shared" ca="1" si="3"/>
        <v>238.74420000000001</v>
      </c>
      <c r="G26" s="127">
        <f t="shared" ca="1" si="3"/>
        <v>240.32749999999999</v>
      </c>
      <c r="H26" s="127">
        <f t="shared" ca="1" si="3"/>
        <v>243.31319999999999</v>
      </c>
      <c r="I26" s="127">
        <f t="shared" ca="1" si="3"/>
        <v>246.91970000000001</v>
      </c>
      <c r="J26" s="127">
        <f t="shared" ca="1" si="3"/>
        <v>251.06739999999999</v>
      </c>
      <c r="K26" s="127">
        <f t="shared" ca="1" si="3"/>
        <v>255.458</v>
      </c>
      <c r="L26" s="127">
        <f t="shared" ca="1" si="5"/>
        <v>259.97460000000001</v>
      </c>
      <c r="M26" s="127">
        <f t="shared" ca="1" si="4"/>
        <v>264.86590000000001</v>
      </c>
      <c r="N26" s="127">
        <f t="shared" ca="1" si="4"/>
        <v>270.15170000000001</v>
      </c>
      <c r="O26" s="127">
        <f t="shared" ca="1" si="4"/>
        <v>275.79500000000002</v>
      </c>
      <c r="P26" s="127">
        <f t="shared" ca="1" si="4"/>
        <v>281.72390000000001</v>
      </c>
      <c r="Q26" s="127">
        <f t="shared" ca="1" si="4"/>
        <v>287.76089999999999</v>
      </c>
      <c r="R26" s="127">
        <f t="shared" ca="1" si="4"/>
        <v>293.89830000000001</v>
      </c>
      <c r="S26" s="127">
        <f t="shared" ca="1" si="4"/>
        <v>300.10680000000002</v>
      </c>
      <c r="T26" s="127">
        <f t="shared" ca="1" si="4"/>
        <v>306.34679999999997</v>
      </c>
      <c r="U26" s="127">
        <f t="shared" ca="1" si="4"/>
        <v>312.58589999999998</v>
      </c>
      <c r="V26" s="127">
        <f t="shared" ca="1" si="4"/>
        <v>318.80259999999998</v>
      </c>
      <c r="W26" s="127">
        <f t="shared" ca="1" si="4"/>
        <v>324.9871</v>
      </c>
      <c r="X26" s="127">
        <f t="shared" ca="1" si="4"/>
        <v>331.13499999999999</v>
      </c>
      <c r="Y26" s="127">
        <f t="shared" ca="1" si="4"/>
        <v>337.26209999999998</v>
      </c>
      <c r="Z26" s="127">
        <f t="shared" ca="1" si="4"/>
        <v>343.39479999999998</v>
      </c>
      <c r="AA26" s="127">
        <f t="shared" ca="1" si="4"/>
        <v>349.5677</v>
      </c>
      <c r="AB26" s="127">
        <f t="shared" ca="1" si="4"/>
        <v>354.62400000000002</v>
      </c>
      <c r="AC26" s="127">
        <f t="shared" ca="1" si="4"/>
        <v>358.79059999999998</v>
      </c>
      <c r="AD26" s="127">
        <f t="shared" ca="1" si="4"/>
        <v>362.4085</v>
      </c>
      <c r="AE26" s="127">
        <f t="shared" ca="1" si="4"/>
        <v>365.77670000000001</v>
      </c>
      <c r="AF26" s="127">
        <f t="shared" ca="1" si="4"/>
        <v>369.13060000000002</v>
      </c>
      <c r="AG26" s="127">
        <f t="shared" ca="1" si="4"/>
        <v>372.65719999999999</v>
      </c>
      <c r="AH26" s="127">
        <f t="shared" ca="1" si="4"/>
        <v>376.50850000000003</v>
      </c>
      <c r="AI26" s="127">
        <f t="shared" ca="1" si="4"/>
        <v>380.81139999999999</v>
      </c>
      <c r="AJ26" s="127">
        <f t="shared" ca="1" si="4"/>
        <v>385.67720000000003</v>
      </c>
      <c r="AK26" s="127">
        <f t="shared" ca="1" si="4"/>
        <v>391.20679999999999</v>
      </c>
      <c r="AL26" s="127">
        <f t="shared" ca="1" si="4"/>
        <v>397.49470000000002</v>
      </c>
      <c r="AM26" s="127">
        <f t="shared" ca="1" si="4"/>
        <v>404.63099999999997</v>
      </c>
      <c r="AN26" s="127">
        <f t="shared" ca="1" si="4"/>
        <v>412.70420000000001</v>
      </c>
      <c r="AO26" s="127">
        <f t="shared" ca="1" si="4"/>
        <v>421.80309999999997</v>
      </c>
      <c r="AP26" s="127">
        <f t="shared" ca="1" si="4"/>
        <v>432.02510000000001</v>
      </c>
      <c r="AQ26" s="127">
        <f t="shared" ca="1" si="4"/>
        <v>443.46190000000001</v>
      </c>
      <c r="AR26" s="127">
        <f t="shared" ca="1" si="4"/>
        <v>456.20920000000001</v>
      </c>
      <c r="AS26" s="127">
        <f t="shared" ca="1" si="4"/>
        <v>470.37619999999998</v>
      </c>
      <c r="AT26" s="127">
        <f t="shared" ca="1" si="4"/>
        <v>486.0849</v>
      </c>
      <c r="AU26" s="127">
        <f t="shared" ca="1" si="4"/>
        <v>503.46969999999999</v>
      </c>
    </row>
    <row r="27" spans="1:47" ht="14.45" x14ac:dyDescent="0.35">
      <c r="B27" t="s">
        <v>785</v>
      </c>
      <c r="C27" s="127">
        <f t="shared" ca="1" si="3"/>
        <v>969.60419999999999</v>
      </c>
      <c r="D27" s="127">
        <f t="shared" ca="1" si="3"/>
        <v>942.59619999999995</v>
      </c>
      <c r="E27" s="127">
        <f t="shared" ca="1" si="3"/>
        <v>935.63459999999998</v>
      </c>
      <c r="F27" s="127">
        <f t="shared" ca="1" si="3"/>
        <v>937.44629999999995</v>
      </c>
      <c r="G27" s="127">
        <f t="shared" ca="1" si="3"/>
        <v>943.72640000000001</v>
      </c>
      <c r="H27" s="127">
        <f t="shared" ca="1" si="3"/>
        <v>955.28229999999996</v>
      </c>
      <c r="I27" s="127">
        <f t="shared" ca="1" si="3"/>
        <v>969.49590000000001</v>
      </c>
      <c r="J27" s="127">
        <f t="shared" ca="1" si="3"/>
        <v>985.49620000000004</v>
      </c>
      <c r="K27" s="127">
        <f t="shared" ca="1" si="3"/>
        <v>1002.893</v>
      </c>
      <c r="L27" s="127">
        <f t="shared" ca="1" si="5"/>
        <v>1021.4930000000001</v>
      </c>
      <c r="M27" s="127">
        <f t="shared" ca="1" si="4"/>
        <v>1042.472</v>
      </c>
      <c r="N27" s="127">
        <f t="shared" ca="1" si="4"/>
        <v>1065.0219999999999</v>
      </c>
      <c r="O27" s="127">
        <f t="shared" ca="1" si="4"/>
        <v>1088.4390000000001</v>
      </c>
      <c r="P27" s="127">
        <f t="shared" ca="1" si="4"/>
        <v>1112.2560000000001</v>
      </c>
      <c r="Q27" s="127">
        <f t="shared" ca="1" si="4"/>
        <v>1135.626</v>
      </c>
      <c r="R27" s="127">
        <f t="shared" ca="1" si="4"/>
        <v>1159.075</v>
      </c>
      <c r="S27" s="127">
        <f t="shared" ca="1" si="4"/>
        <v>1182.4870000000001</v>
      </c>
      <c r="T27" s="127">
        <f t="shared" ca="1" si="4"/>
        <v>1205.752</v>
      </c>
      <c r="U27" s="127">
        <f t="shared" ca="1" si="4"/>
        <v>1228.81</v>
      </c>
      <c r="V27" s="127">
        <f t="shared" ca="1" si="4"/>
        <v>1251.6600000000001</v>
      </c>
      <c r="W27" s="127">
        <f t="shared" ca="1" si="4"/>
        <v>1274.354</v>
      </c>
      <c r="X27" s="127">
        <f t="shared" ca="1" si="4"/>
        <v>1296.979</v>
      </c>
      <c r="Y27" s="127">
        <f t="shared" ca="1" si="4"/>
        <v>1319.684</v>
      </c>
      <c r="Z27" s="127">
        <f t="shared" ca="1" si="4"/>
        <v>1342.66</v>
      </c>
      <c r="AA27" s="127">
        <f t="shared" ca="1" si="4"/>
        <v>1366.13</v>
      </c>
      <c r="AB27" s="127">
        <f t="shared" ca="1" si="4"/>
        <v>1386.229</v>
      </c>
      <c r="AC27" s="127">
        <f t="shared" ca="1" si="4"/>
        <v>1403.13</v>
      </c>
      <c r="AD27" s="127">
        <f t="shared" ca="1" si="4"/>
        <v>1418.0809999999999</v>
      </c>
      <c r="AE27" s="127">
        <f t="shared" ca="1" si="4"/>
        <v>1432.3869999999999</v>
      </c>
      <c r="AF27" s="127">
        <f t="shared" ca="1" si="4"/>
        <v>1447.1980000000001</v>
      </c>
      <c r="AG27" s="127">
        <f t="shared" ca="1" si="4"/>
        <v>1463.5129999999999</v>
      </c>
      <c r="AH27" s="127">
        <f t="shared" ca="1" si="4"/>
        <v>1482.222</v>
      </c>
      <c r="AI27" s="127">
        <f t="shared" ca="1" si="4"/>
        <v>1504.1510000000001</v>
      </c>
      <c r="AJ27" s="127">
        <f t="shared" ca="1" si="4"/>
        <v>1530.106</v>
      </c>
      <c r="AK27" s="127">
        <f t="shared" ca="1" si="4"/>
        <v>1560.905</v>
      </c>
      <c r="AL27" s="127">
        <f t="shared" ref="M27:AU34" ca="1" si="6">Output("SCEN_ADEMEhaut",$B27,AL$1)</f>
        <v>1597.4010000000001</v>
      </c>
      <c r="AM27" s="127">
        <f t="shared" ca="1" si="6"/>
        <v>1640.51</v>
      </c>
      <c r="AN27" s="127">
        <f t="shared" ca="1" si="6"/>
        <v>1691.2339999999999</v>
      </c>
      <c r="AO27" s="127">
        <f t="shared" ca="1" si="6"/>
        <v>1750.6869999999999</v>
      </c>
      <c r="AP27" s="127">
        <f t="shared" ca="1" si="6"/>
        <v>1820.1469999999999</v>
      </c>
      <c r="AQ27" s="127">
        <f t="shared" ca="1" si="6"/>
        <v>1901.0360000000001</v>
      </c>
      <c r="AR27" s="127">
        <f t="shared" ca="1" si="6"/>
        <v>1995.0070000000001</v>
      </c>
      <c r="AS27" s="127">
        <f t="shared" ca="1" si="6"/>
        <v>2103.9540000000002</v>
      </c>
      <c r="AT27" s="127">
        <f t="shared" ca="1" si="6"/>
        <v>2230.0749999999998</v>
      </c>
      <c r="AU27" s="127">
        <f t="shared" ca="1" si="6"/>
        <v>2375.915</v>
      </c>
    </row>
    <row r="28" spans="1:47" ht="14.45" x14ac:dyDescent="0.35">
      <c r="B28" t="s">
        <v>786</v>
      </c>
      <c r="C28" s="127">
        <f t="shared" ca="1" si="3"/>
        <v>1026.925</v>
      </c>
      <c r="D28" s="127">
        <f t="shared" ca="1" si="3"/>
        <v>1023.853</v>
      </c>
      <c r="E28" s="127">
        <f t="shared" ca="1" si="3"/>
        <v>1025.9380000000001</v>
      </c>
      <c r="F28" s="127">
        <f t="shared" ca="1" si="3"/>
        <v>1030.4829999999999</v>
      </c>
      <c r="G28" s="127">
        <f t="shared" ca="1" si="3"/>
        <v>1036.4829999999999</v>
      </c>
      <c r="H28" s="127">
        <f t="shared" ca="1" si="3"/>
        <v>1047.5899999999999</v>
      </c>
      <c r="I28" s="127">
        <f t="shared" ca="1" si="3"/>
        <v>1061.4110000000001</v>
      </c>
      <c r="J28" s="127">
        <f t="shared" ca="1" si="3"/>
        <v>1076.665</v>
      </c>
      <c r="K28" s="127">
        <f t="shared" ca="1" si="3"/>
        <v>1093.134</v>
      </c>
      <c r="L28" s="127">
        <f t="shared" ca="1" si="5"/>
        <v>1110.8140000000001</v>
      </c>
      <c r="M28" s="127">
        <f t="shared" ca="1" si="6"/>
        <v>1129.55</v>
      </c>
      <c r="N28" s="127">
        <f t="shared" ca="1" si="6"/>
        <v>1149.5219999999999</v>
      </c>
      <c r="O28" s="127">
        <f t="shared" ca="1" si="6"/>
        <v>1170.6559999999999</v>
      </c>
      <c r="P28" s="127">
        <f t="shared" ca="1" si="6"/>
        <v>1192.6179999999999</v>
      </c>
      <c r="Q28" s="127">
        <f t="shared" ca="1" si="6"/>
        <v>1215.2170000000001</v>
      </c>
      <c r="R28" s="127">
        <f t="shared" ca="1" si="6"/>
        <v>1237.6089999999999</v>
      </c>
      <c r="S28" s="127">
        <f t="shared" ca="1" si="6"/>
        <v>1259.8230000000001</v>
      </c>
      <c r="T28" s="127">
        <f t="shared" ca="1" si="6"/>
        <v>1281.674</v>
      </c>
      <c r="U28" s="127">
        <f t="shared" ca="1" si="6"/>
        <v>1303.0060000000001</v>
      </c>
      <c r="V28" s="127">
        <f t="shared" ca="1" si="6"/>
        <v>1323.713</v>
      </c>
      <c r="W28" s="127">
        <f t="shared" ca="1" si="6"/>
        <v>1343.7339999999999</v>
      </c>
      <c r="X28" s="127">
        <f t="shared" ca="1" si="6"/>
        <v>1362.9449999999999</v>
      </c>
      <c r="Y28" s="127">
        <f t="shared" ca="1" si="6"/>
        <v>1381.41</v>
      </c>
      <c r="Z28" s="127">
        <f t="shared" ca="1" si="6"/>
        <v>1399.212</v>
      </c>
      <c r="AA28" s="127">
        <f t="shared" ca="1" si="6"/>
        <v>1416.4459999999999</v>
      </c>
      <c r="AB28" s="127">
        <f t="shared" ca="1" si="6"/>
        <v>1430.913</v>
      </c>
      <c r="AC28" s="127">
        <f t="shared" ca="1" si="6"/>
        <v>1442.71</v>
      </c>
      <c r="AD28" s="127">
        <f t="shared" ca="1" si="6"/>
        <v>1452.3979999999999</v>
      </c>
      <c r="AE28" s="127">
        <f t="shared" ca="1" si="6"/>
        <v>1460.5889999999999</v>
      </c>
      <c r="AF28" s="127">
        <f t="shared" ca="1" si="6"/>
        <v>1467.819</v>
      </c>
      <c r="AG28" s="127">
        <f t="shared" ca="1" si="6"/>
        <v>1474.529</v>
      </c>
      <c r="AH28" s="127">
        <f t="shared" ca="1" si="6"/>
        <v>1481.0740000000001</v>
      </c>
      <c r="AI28" s="127">
        <f t="shared" ca="1" si="6"/>
        <v>1487.7380000000001</v>
      </c>
      <c r="AJ28" s="127">
        <f t="shared" ca="1" si="6"/>
        <v>1494.748</v>
      </c>
      <c r="AK28" s="127">
        <f t="shared" ca="1" si="6"/>
        <v>1502.2850000000001</v>
      </c>
      <c r="AL28" s="127">
        <f t="shared" ca="1" si="6"/>
        <v>1510.489</v>
      </c>
      <c r="AM28" s="127">
        <f t="shared" ca="1" si="6"/>
        <v>1519.4680000000001</v>
      </c>
      <c r="AN28" s="127">
        <f t="shared" ca="1" si="6"/>
        <v>1529.299</v>
      </c>
      <c r="AO28" s="127">
        <f t="shared" ca="1" si="6"/>
        <v>1540.039</v>
      </c>
      <c r="AP28" s="127">
        <f t="shared" ca="1" si="6"/>
        <v>1551.8330000000001</v>
      </c>
      <c r="AQ28" s="127">
        <f t="shared" ca="1" si="6"/>
        <v>1564.646</v>
      </c>
      <c r="AR28" s="127">
        <f t="shared" ca="1" si="6"/>
        <v>1578.44</v>
      </c>
      <c r="AS28" s="127">
        <f t="shared" ca="1" si="6"/>
        <v>1593.2080000000001</v>
      </c>
      <c r="AT28" s="127">
        <f t="shared" ca="1" si="6"/>
        <v>1608.9570000000001</v>
      </c>
      <c r="AU28" s="127">
        <f t="shared" ca="1" si="6"/>
        <v>1625.6969999999999</v>
      </c>
    </row>
    <row r="29" spans="1:47" ht="14.45" x14ac:dyDescent="0.35">
      <c r="B29" t="s">
        <v>787</v>
      </c>
      <c r="C29" s="127">
        <f t="shared" ca="1" si="3"/>
        <v>1032.98</v>
      </c>
      <c r="D29" s="127">
        <f t="shared" ca="1" si="3"/>
        <v>1014.801</v>
      </c>
      <c r="E29" s="127">
        <f t="shared" ca="1" si="3"/>
        <v>967.57939999999996</v>
      </c>
      <c r="F29" s="127">
        <f t="shared" ca="1" si="3"/>
        <v>915.77210000000002</v>
      </c>
      <c r="G29" s="127">
        <f t="shared" ca="1" si="3"/>
        <v>866.69290000000001</v>
      </c>
      <c r="H29" s="127">
        <f t="shared" ca="1" si="3"/>
        <v>856.2491</v>
      </c>
      <c r="I29" s="127">
        <f t="shared" ca="1" si="3"/>
        <v>859.16089999999997</v>
      </c>
      <c r="J29" s="127">
        <f t="shared" ca="1" si="3"/>
        <v>867.38099999999997</v>
      </c>
      <c r="K29" s="127">
        <f t="shared" ca="1" si="3"/>
        <v>878.17970000000003</v>
      </c>
      <c r="L29" s="127">
        <f t="shared" ca="1" si="5"/>
        <v>890.69939999999997</v>
      </c>
      <c r="M29" s="127">
        <f t="shared" ca="1" si="6"/>
        <v>904.46939999999995</v>
      </c>
      <c r="N29" s="127">
        <f t="shared" ca="1" si="6"/>
        <v>919.44740000000002</v>
      </c>
      <c r="O29" s="127">
        <f t="shared" ca="1" si="6"/>
        <v>935.47230000000002</v>
      </c>
      <c r="P29" s="127">
        <f t="shared" ca="1" si="6"/>
        <v>952.34010000000001</v>
      </c>
      <c r="Q29" s="127">
        <f t="shared" ca="1" si="6"/>
        <v>969.9837</v>
      </c>
      <c r="R29" s="127">
        <f t="shared" ca="1" si="6"/>
        <v>987.60270000000003</v>
      </c>
      <c r="S29" s="127">
        <f t="shared" ca="1" si="6"/>
        <v>1005.271</v>
      </c>
      <c r="T29" s="127">
        <f t="shared" ca="1" si="6"/>
        <v>1022.8680000000001</v>
      </c>
      <c r="U29" s="127">
        <f t="shared" ca="1" si="6"/>
        <v>1040.2719999999999</v>
      </c>
      <c r="V29" s="127">
        <f t="shared" ca="1" si="6"/>
        <v>1057.3889999999999</v>
      </c>
      <c r="W29" s="127">
        <f t="shared" ca="1" si="6"/>
        <v>1074.1590000000001</v>
      </c>
      <c r="X29" s="127">
        <f t="shared" ca="1" si="6"/>
        <v>1090.4970000000001</v>
      </c>
      <c r="Y29" s="127">
        <f t="shared" ca="1" si="6"/>
        <v>1106.4290000000001</v>
      </c>
      <c r="Z29" s="127">
        <f t="shared" ca="1" si="6"/>
        <v>1122.002</v>
      </c>
      <c r="AA29" s="127">
        <f t="shared" ca="1" si="6"/>
        <v>1137.28</v>
      </c>
      <c r="AB29" s="127">
        <f t="shared" ca="1" si="6"/>
        <v>1148.3810000000001</v>
      </c>
      <c r="AC29" s="127">
        <f t="shared" ca="1" si="6"/>
        <v>1155.8399999999999</v>
      </c>
      <c r="AD29" s="127">
        <f t="shared" ca="1" si="6"/>
        <v>1160.6880000000001</v>
      </c>
      <c r="AE29" s="127">
        <f t="shared" ca="1" si="6"/>
        <v>1163.857</v>
      </c>
      <c r="AF29" s="127">
        <f t="shared" ca="1" si="6"/>
        <v>1166.0630000000001</v>
      </c>
      <c r="AG29" s="127">
        <f t="shared" ca="1" si="6"/>
        <v>1167.838</v>
      </c>
      <c r="AH29" s="127">
        <f t="shared" ca="1" si="6"/>
        <v>1169.575</v>
      </c>
      <c r="AI29" s="127">
        <f t="shared" ca="1" si="6"/>
        <v>1171.5650000000001</v>
      </c>
      <c r="AJ29" s="127">
        <f t="shared" ca="1" si="6"/>
        <v>1174.0260000000001</v>
      </c>
      <c r="AK29" s="127">
        <f t="shared" ca="1" si="6"/>
        <v>1177.1289999999999</v>
      </c>
      <c r="AL29" s="127">
        <f t="shared" ca="1" si="6"/>
        <v>1180.998</v>
      </c>
      <c r="AM29" s="127">
        <f t="shared" ca="1" si="6"/>
        <v>1185.7280000000001</v>
      </c>
      <c r="AN29" s="127">
        <f t="shared" ca="1" si="6"/>
        <v>1191.383</v>
      </c>
      <c r="AO29" s="127">
        <f t="shared" ca="1" si="6"/>
        <v>1198.001</v>
      </c>
      <c r="AP29" s="127">
        <f t="shared" ca="1" si="6"/>
        <v>1205.693</v>
      </c>
      <c r="AQ29" s="127">
        <f t="shared" ca="1" si="6"/>
        <v>1214.42</v>
      </c>
      <c r="AR29" s="127">
        <f t="shared" ca="1" si="6"/>
        <v>1224.1400000000001</v>
      </c>
      <c r="AS29" s="127">
        <f t="shared" ca="1" si="6"/>
        <v>1234.8230000000001</v>
      </c>
      <c r="AT29" s="127">
        <f t="shared" ca="1" si="6"/>
        <v>1246.4459999999999</v>
      </c>
      <c r="AU29" s="127">
        <f t="shared" ca="1" si="6"/>
        <v>1258.98</v>
      </c>
    </row>
    <row r="30" spans="1:47" ht="14.45" x14ac:dyDescent="0.35">
      <c r="B30" t="s">
        <v>788</v>
      </c>
      <c r="C30" s="127">
        <f t="shared" ca="1" si="3"/>
        <v>477.3897</v>
      </c>
      <c r="D30" s="127">
        <f t="shared" ca="1" si="3"/>
        <v>461.31189999999998</v>
      </c>
      <c r="E30" s="127">
        <f t="shared" ca="1" si="3"/>
        <v>456.22269999999997</v>
      </c>
      <c r="F30" s="127">
        <f t="shared" ca="1" si="3"/>
        <v>455.8897</v>
      </c>
      <c r="G30" s="127">
        <f t="shared" ca="1" si="3"/>
        <v>458.00439999999998</v>
      </c>
      <c r="H30" s="127">
        <f t="shared" ca="1" si="3"/>
        <v>463.70670000000001</v>
      </c>
      <c r="I30" s="127">
        <f t="shared" ca="1" si="3"/>
        <v>471.0847</v>
      </c>
      <c r="J30" s="127">
        <f t="shared" ca="1" si="3"/>
        <v>479.90300000000002</v>
      </c>
      <c r="K30" s="127">
        <f t="shared" ca="1" si="3"/>
        <v>489.56439999999998</v>
      </c>
      <c r="L30" s="127">
        <f t="shared" ca="1" si="5"/>
        <v>499.78300000000002</v>
      </c>
      <c r="M30" s="127">
        <f t="shared" ca="1" si="6"/>
        <v>510.4443</v>
      </c>
      <c r="N30" s="127">
        <f t="shared" ca="1" si="6"/>
        <v>521.46789999999999</v>
      </c>
      <c r="O30" s="127">
        <f t="shared" ca="1" si="6"/>
        <v>532.74530000000004</v>
      </c>
      <c r="P30" s="127">
        <f t="shared" ca="1" si="6"/>
        <v>544.17430000000002</v>
      </c>
      <c r="Q30" s="127">
        <f t="shared" ca="1" si="6"/>
        <v>555.65260000000001</v>
      </c>
      <c r="R30" s="127">
        <f t="shared" ca="1" si="6"/>
        <v>567.06510000000003</v>
      </c>
      <c r="S30" s="127">
        <f t="shared" ca="1" si="6"/>
        <v>578.36159999999995</v>
      </c>
      <c r="T30" s="127">
        <f t="shared" ca="1" si="6"/>
        <v>589.47969999999998</v>
      </c>
      <c r="U30" s="127">
        <f t="shared" ca="1" si="6"/>
        <v>600.36630000000002</v>
      </c>
      <c r="V30" s="127">
        <f t="shared" ca="1" si="6"/>
        <v>610.98270000000002</v>
      </c>
      <c r="W30" s="127">
        <f t="shared" ca="1" si="6"/>
        <v>621.30669999999998</v>
      </c>
      <c r="X30" s="127">
        <f t="shared" ca="1" si="6"/>
        <v>631.31700000000001</v>
      </c>
      <c r="Y30" s="127">
        <f t="shared" ca="1" si="6"/>
        <v>641.03179999999998</v>
      </c>
      <c r="Z30" s="127">
        <f t="shared" ca="1" si="6"/>
        <v>650.48239999999998</v>
      </c>
      <c r="AA30" s="127">
        <f t="shared" ca="1" si="6"/>
        <v>659.71</v>
      </c>
      <c r="AB30" s="127">
        <f t="shared" ca="1" si="6"/>
        <v>665.95309999999995</v>
      </c>
      <c r="AC30" s="127">
        <f t="shared" ca="1" si="6"/>
        <v>669.70780000000002</v>
      </c>
      <c r="AD30" s="127">
        <f t="shared" ca="1" si="6"/>
        <v>671.74289999999996</v>
      </c>
      <c r="AE30" s="127">
        <f t="shared" ca="1" si="6"/>
        <v>672.69169999999997</v>
      </c>
      <c r="AF30" s="127">
        <f t="shared" ca="1" si="6"/>
        <v>673.00909999999999</v>
      </c>
      <c r="AG30" s="127">
        <f t="shared" ca="1" si="6"/>
        <v>673.01769999999999</v>
      </c>
      <c r="AH30" s="127">
        <f t="shared" ca="1" si="6"/>
        <v>672.94579999999996</v>
      </c>
      <c r="AI30" s="127">
        <f t="shared" ca="1" si="6"/>
        <v>672.95450000000005</v>
      </c>
      <c r="AJ30" s="127">
        <f t="shared" ca="1" si="6"/>
        <v>673.1617</v>
      </c>
      <c r="AK30" s="127">
        <f t="shared" ca="1" si="6"/>
        <v>673.65570000000002</v>
      </c>
      <c r="AL30" s="127">
        <f t="shared" ca="1" si="6"/>
        <v>674.50170000000003</v>
      </c>
      <c r="AM30" s="127">
        <f t="shared" ca="1" si="6"/>
        <v>675.74639999999999</v>
      </c>
      <c r="AN30" s="127">
        <f t="shared" ca="1" si="6"/>
        <v>677.42139999999995</v>
      </c>
      <c r="AO30" s="127">
        <f t="shared" ca="1" si="6"/>
        <v>679.54520000000002</v>
      </c>
      <c r="AP30" s="127">
        <f t="shared" ca="1" si="6"/>
        <v>682.13369999999998</v>
      </c>
      <c r="AQ30" s="127">
        <f t="shared" ca="1" si="6"/>
        <v>685.18179999999995</v>
      </c>
      <c r="AR30" s="127">
        <f t="shared" ca="1" si="6"/>
        <v>688.67629999999997</v>
      </c>
      <c r="AS30" s="127">
        <f t="shared" ca="1" si="6"/>
        <v>692.60379999999998</v>
      </c>
      <c r="AT30" s="127">
        <f t="shared" ca="1" si="6"/>
        <v>696.94899999999996</v>
      </c>
      <c r="AU30" s="127">
        <f t="shared" ca="1" si="6"/>
        <v>701.69380000000001</v>
      </c>
    </row>
    <row r="31" spans="1:47" ht="14.45" x14ac:dyDescent="0.35">
      <c r="B31" t="s">
        <v>789</v>
      </c>
      <c r="C31" s="127">
        <f t="shared" ca="1" si="3"/>
        <v>15465.99</v>
      </c>
      <c r="D31" s="127">
        <f t="shared" ca="1" si="3"/>
        <v>15318.8</v>
      </c>
      <c r="E31" s="127">
        <f t="shared" ca="1" si="3"/>
        <v>15310.15</v>
      </c>
      <c r="F31" s="127">
        <f t="shared" ca="1" si="3"/>
        <v>15364.03</v>
      </c>
      <c r="G31" s="127">
        <f t="shared" ca="1" si="3"/>
        <v>15452.48</v>
      </c>
      <c r="H31" s="127">
        <f t="shared" ca="1" si="3"/>
        <v>15626.7</v>
      </c>
      <c r="I31" s="127">
        <f t="shared" ca="1" si="3"/>
        <v>15840.83</v>
      </c>
      <c r="J31" s="127">
        <f t="shared" ca="1" si="3"/>
        <v>16074.52</v>
      </c>
      <c r="K31" s="127">
        <f t="shared" ca="1" si="3"/>
        <v>16322.89</v>
      </c>
      <c r="L31" s="127">
        <f t="shared" ca="1" si="5"/>
        <v>16584.57</v>
      </c>
      <c r="M31" s="127">
        <f t="shared" ca="1" si="6"/>
        <v>16865.45</v>
      </c>
      <c r="N31" s="127">
        <f t="shared" ca="1" si="6"/>
        <v>17168.45</v>
      </c>
      <c r="O31" s="127">
        <f t="shared" ca="1" si="6"/>
        <v>17493.240000000002</v>
      </c>
      <c r="P31" s="127">
        <f t="shared" ca="1" si="6"/>
        <v>17834.939999999999</v>
      </c>
      <c r="Q31" s="127">
        <f t="shared" ca="1" si="6"/>
        <v>18186.599999999999</v>
      </c>
      <c r="R31" s="127">
        <f t="shared" ca="1" si="6"/>
        <v>18541.57</v>
      </c>
      <c r="S31" s="127">
        <f t="shared" ca="1" si="6"/>
        <v>18897.47</v>
      </c>
      <c r="T31" s="127">
        <f t="shared" ca="1" si="6"/>
        <v>19251.439999999999</v>
      </c>
      <c r="U31" s="127">
        <f t="shared" ca="1" si="6"/>
        <v>19601.29</v>
      </c>
      <c r="V31" s="127">
        <f t="shared" ca="1" si="6"/>
        <v>19945.46</v>
      </c>
      <c r="W31" s="127">
        <f t="shared" ca="1" si="6"/>
        <v>20283.03</v>
      </c>
      <c r="X31" s="127">
        <f t="shared" ca="1" si="6"/>
        <v>20612.939999999999</v>
      </c>
      <c r="Y31" s="127">
        <f t="shared" ca="1" si="6"/>
        <v>20935.79</v>
      </c>
      <c r="Z31" s="127">
        <f t="shared" ca="1" si="6"/>
        <v>21252.63</v>
      </c>
      <c r="AA31" s="127">
        <f t="shared" ca="1" si="6"/>
        <v>21564.83</v>
      </c>
      <c r="AB31" s="127">
        <f t="shared" ca="1" si="6"/>
        <v>21833.99</v>
      </c>
      <c r="AC31" s="127">
        <f t="shared" ca="1" si="6"/>
        <v>22061.08</v>
      </c>
      <c r="AD31" s="127">
        <f t="shared" ca="1" si="6"/>
        <v>22255.26</v>
      </c>
      <c r="AE31" s="127">
        <f t="shared" ca="1" si="6"/>
        <v>22426.66</v>
      </c>
      <c r="AF31" s="127">
        <f t="shared" ca="1" si="6"/>
        <v>22584.23</v>
      </c>
      <c r="AG31" s="127">
        <f t="shared" ca="1" si="6"/>
        <v>22735.54</v>
      </c>
      <c r="AH31" s="127">
        <f t="shared" ca="1" si="6"/>
        <v>22886.73</v>
      </c>
      <c r="AI31" s="127">
        <f t="shared" ca="1" si="6"/>
        <v>23042.78</v>
      </c>
      <c r="AJ31" s="127">
        <f t="shared" ca="1" si="6"/>
        <v>23207.68</v>
      </c>
      <c r="AK31" s="127">
        <f t="shared" ca="1" si="6"/>
        <v>23384.63</v>
      </c>
      <c r="AL31" s="127">
        <f t="shared" ca="1" si="6"/>
        <v>23576.17</v>
      </c>
      <c r="AM31" s="127">
        <f t="shared" ca="1" si="6"/>
        <v>23784.23</v>
      </c>
      <c r="AN31" s="127">
        <f t="shared" ca="1" si="6"/>
        <v>24010.29</v>
      </c>
      <c r="AO31" s="127">
        <f t="shared" ca="1" si="6"/>
        <v>24255.45</v>
      </c>
      <c r="AP31" s="127">
        <f t="shared" ca="1" si="6"/>
        <v>24520.94</v>
      </c>
      <c r="AQ31" s="127">
        <f t="shared" ca="1" si="6"/>
        <v>24806.94</v>
      </c>
      <c r="AR31" s="127">
        <f t="shared" ca="1" si="6"/>
        <v>25113.26</v>
      </c>
      <c r="AS31" s="127">
        <f t="shared" ca="1" si="6"/>
        <v>25440.15</v>
      </c>
      <c r="AT31" s="127">
        <f t="shared" ca="1" si="6"/>
        <v>25787.91</v>
      </c>
      <c r="AU31" s="127">
        <f t="shared" ca="1" si="6"/>
        <v>26156.86</v>
      </c>
    </row>
    <row r="32" spans="1:47" ht="14.45" x14ac:dyDescent="0.35">
      <c r="B32" t="s">
        <v>790</v>
      </c>
      <c r="C32" s="127">
        <f t="shared" ca="1" si="3"/>
        <v>4782.7150000000001</v>
      </c>
      <c r="D32" s="127">
        <f t="shared" ca="1" si="3"/>
        <v>5209.9799999999996</v>
      </c>
      <c r="E32" s="127">
        <f t="shared" ca="1" si="3"/>
        <v>5415.4859999999999</v>
      </c>
      <c r="F32" s="127">
        <f t="shared" ca="1" si="3"/>
        <v>5535.5649999999996</v>
      </c>
      <c r="G32" s="127">
        <f t="shared" ca="1" si="3"/>
        <v>5626.2520000000004</v>
      </c>
      <c r="H32" s="127">
        <f t="shared" ca="1" si="3"/>
        <v>5712.5810000000001</v>
      </c>
      <c r="I32" s="127">
        <f t="shared" ca="1" si="3"/>
        <v>5790.3429999999998</v>
      </c>
      <c r="J32" s="127">
        <f t="shared" ca="1" si="3"/>
        <v>5862.1850000000004</v>
      </c>
      <c r="K32" s="127">
        <f t="shared" ca="1" si="3"/>
        <v>5931.9269999999997</v>
      </c>
      <c r="L32" s="127">
        <f t="shared" ca="1" si="5"/>
        <v>6001.6629999999996</v>
      </c>
      <c r="M32" s="127">
        <f t="shared" ca="1" si="6"/>
        <v>6075.4859999999999</v>
      </c>
      <c r="N32" s="127">
        <f t="shared" ca="1" si="6"/>
        <v>6156.3379999999997</v>
      </c>
      <c r="O32" s="127">
        <f t="shared" ca="1" si="6"/>
        <v>6245.4740000000002</v>
      </c>
      <c r="P32" s="127">
        <f t="shared" ca="1" si="6"/>
        <v>6342.4920000000002</v>
      </c>
      <c r="Q32" s="127">
        <f t="shared" ca="1" si="6"/>
        <v>6444.31</v>
      </c>
      <c r="R32" s="127">
        <f t="shared" ca="1" si="6"/>
        <v>6550.5259999999998</v>
      </c>
      <c r="S32" s="127">
        <f t="shared" ca="1" si="6"/>
        <v>6660.3630000000003</v>
      </c>
      <c r="T32" s="127">
        <f t="shared" ca="1" si="6"/>
        <v>6773.0889999999999</v>
      </c>
      <c r="U32" s="127">
        <f t="shared" ca="1" si="6"/>
        <v>6888.0730000000003</v>
      </c>
      <c r="V32" s="127">
        <f t="shared" ca="1" si="6"/>
        <v>7004.8370000000004</v>
      </c>
      <c r="W32" s="127">
        <f t="shared" ca="1" si="6"/>
        <v>7123.067</v>
      </c>
      <c r="X32" s="127">
        <f t="shared" ca="1" si="6"/>
        <v>7237.7420000000002</v>
      </c>
      <c r="Y32" s="127">
        <f t="shared" ca="1" si="6"/>
        <v>7351.49</v>
      </c>
      <c r="Z32" s="127">
        <f t="shared" ca="1" si="6"/>
        <v>7465.4849999999997</v>
      </c>
      <c r="AA32" s="127">
        <f t="shared" ca="1" si="6"/>
        <v>7580.3959999999997</v>
      </c>
      <c r="AB32" s="127">
        <f t="shared" ca="1" si="6"/>
        <v>7696.4129999999996</v>
      </c>
      <c r="AC32" s="127">
        <f t="shared" ca="1" si="6"/>
        <v>7811.7309999999998</v>
      </c>
      <c r="AD32" s="127">
        <f t="shared" ca="1" si="6"/>
        <v>7928.5889999999999</v>
      </c>
      <c r="AE32" s="127">
        <f t="shared" ca="1" si="6"/>
        <v>8049.2960000000003</v>
      </c>
      <c r="AF32" s="127">
        <f t="shared" ca="1" si="6"/>
        <v>8175.4949999999999</v>
      </c>
      <c r="AG32" s="127">
        <f t="shared" ca="1" si="6"/>
        <v>8308.3430000000008</v>
      </c>
      <c r="AH32" s="127">
        <f t="shared" ca="1" si="6"/>
        <v>8448.77</v>
      </c>
      <c r="AI32" s="127">
        <f t="shared" ca="1" si="6"/>
        <v>8597.6440000000002</v>
      </c>
      <c r="AJ32" s="127">
        <f t="shared" ca="1" si="6"/>
        <v>8755.8559999999998</v>
      </c>
      <c r="AK32" s="127">
        <f t="shared" ca="1" si="6"/>
        <v>8924.3510000000006</v>
      </c>
      <c r="AL32" s="127">
        <f t="shared" ca="1" si="6"/>
        <v>9104.143</v>
      </c>
      <c r="AM32" s="127">
        <f t="shared" ca="1" si="6"/>
        <v>9296.3119999999999</v>
      </c>
      <c r="AN32" s="127">
        <f t="shared" ca="1" si="6"/>
        <v>9502.0040000000008</v>
      </c>
      <c r="AO32" s="127">
        <f t="shared" ca="1" si="6"/>
        <v>9722.4349999999995</v>
      </c>
      <c r="AP32" s="127">
        <f t="shared" ca="1" si="6"/>
        <v>9958.8760000000002</v>
      </c>
      <c r="AQ32" s="127">
        <f t="shared" ca="1" si="6"/>
        <v>10212.66</v>
      </c>
      <c r="AR32" s="127">
        <f t="shared" ca="1" si="6"/>
        <v>10485.15</v>
      </c>
      <c r="AS32" s="127">
        <f t="shared" ca="1" si="6"/>
        <v>10777.89</v>
      </c>
      <c r="AT32" s="127">
        <f t="shared" ca="1" si="6"/>
        <v>11092.56</v>
      </c>
      <c r="AU32" s="127">
        <f t="shared" ca="1" si="6"/>
        <v>11431.04</v>
      </c>
    </row>
    <row r="33" spans="2:47" ht="14.45" x14ac:dyDescent="0.35">
      <c r="B33" t="s">
        <v>791</v>
      </c>
      <c r="C33" s="127">
        <f t="shared" ca="1" si="3"/>
        <v>1090.308</v>
      </c>
      <c r="D33" s="127">
        <f t="shared" ca="1" si="3"/>
        <v>1085.8489999999999</v>
      </c>
      <c r="E33" s="127">
        <f t="shared" ca="1" si="3"/>
        <v>1081.229</v>
      </c>
      <c r="F33" s="127">
        <f t="shared" ca="1" si="3"/>
        <v>1075.6659999999999</v>
      </c>
      <c r="G33" s="127">
        <f t="shared" ca="1" si="3"/>
        <v>1069.2950000000001</v>
      </c>
      <c r="H33" s="127">
        <f t="shared" ca="1" si="3"/>
        <v>1064.0250000000001</v>
      </c>
      <c r="I33" s="127">
        <f t="shared" ca="1" si="3"/>
        <v>1058.681</v>
      </c>
      <c r="J33" s="127">
        <f t="shared" ca="1" si="3"/>
        <v>1052.4849999999999</v>
      </c>
      <c r="K33" s="127">
        <f t="shared" ca="1" si="3"/>
        <v>1045.7380000000001</v>
      </c>
      <c r="L33" s="127">
        <f t="shared" ca="1" si="5"/>
        <v>1038.8</v>
      </c>
      <c r="M33" s="127">
        <f t="shared" ca="1" si="6"/>
        <v>1033.2819999999999</v>
      </c>
      <c r="N33" s="127">
        <f t="shared" ca="1" si="6"/>
        <v>1032.1179999999999</v>
      </c>
      <c r="O33" s="127">
        <f t="shared" ca="1" si="6"/>
        <v>1034.9169999999999</v>
      </c>
      <c r="P33" s="127">
        <f t="shared" ca="1" si="6"/>
        <v>1041.1759999999999</v>
      </c>
      <c r="Q33" s="127">
        <f t="shared" ca="1" si="6"/>
        <v>1049.7429999999999</v>
      </c>
      <c r="R33" s="127">
        <f t="shared" ca="1" si="6"/>
        <v>1060.9780000000001</v>
      </c>
      <c r="S33" s="127">
        <f t="shared" ca="1" si="6"/>
        <v>1074.6420000000001</v>
      </c>
      <c r="T33" s="127">
        <f t="shared" ca="1" si="6"/>
        <v>1090.482</v>
      </c>
      <c r="U33" s="127">
        <f t="shared" ca="1" si="6"/>
        <v>1108.3389999999999</v>
      </c>
      <c r="V33" s="127">
        <f t="shared" ca="1" si="6"/>
        <v>1128.1199999999999</v>
      </c>
      <c r="W33" s="127">
        <f t="shared" ca="1" si="6"/>
        <v>1149.7909999999999</v>
      </c>
      <c r="X33" s="127">
        <f t="shared" ca="1" si="6"/>
        <v>1173.348</v>
      </c>
      <c r="Y33" s="127">
        <f t="shared" ca="1" si="6"/>
        <v>1198.857</v>
      </c>
      <c r="Z33" s="127">
        <f t="shared" ca="1" si="6"/>
        <v>1226.421</v>
      </c>
      <c r="AA33" s="127">
        <f t="shared" ca="1" si="6"/>
        <v>1256.1690000000001</v>
      </c>
      <c r="AB33" s="127">
        <f t="shared" ca="1" si="6"/>
        <v>1288.856</v>
      </c>
      <c r="AC33" s="127">
        <f t="shared" ca="1" si="6"/>
        <v>1324.6479999999999</v>
      </c>
      <c r="AD33" s="127">
        <f t="shared" ca="1" si="6"/>
        <v>1363.575</v>
      </c>
      <c r="AE33" s="127">
        <f t="shared" ca="1" si="6"/>
        <v>1405.7819999999999</v>
      </c>
      <c r="AF33" s="127">
        <f t="shared" ca="1" si="6"/>
        <v>1451.5229999999999</v>
      </c>
      <c r="AG33" s="127">
        <f t="shared" ca="1" si="6"/>
        <v>1501.1289999999999</v>
      </c>
      <c r="AH33" s="127">
        <f t="shared" ca="1" si="6"/>
        <v>1554.9770000000001</v>
      </c>
      <c r="AI33" s="127">
        <f t="shared" ca="1" si="6"/>
        <v>1613.4659999999999</v>
      </c>
      <c r="AJ33" s="127">
        <f t="shared" ca="1" si="6"/>
        <v>1677.0070000000001</v>
      </c>
      <c r="AK33" s="127">
        <f t="shared" ca="1" si="6"/>
        <v>1746.0139999999999</v>
      </c>
      <c r="AL33" s="127">
        <f t="shared" ca="1" si="6"/>
        <v>1820.8969999999999</v>
      </c>
      <c r="AM33" s="127">
        <f t="shared" ca="1" si="6"/>
        <v>1902.066</v>
      </c>
      <c r="AN33" s="127">
        <f t="shared" ca="1" si="6"/>
        <v>1989.9179999999999</v>
      </c>
      <c r="AO33" s="127">
        <f t="shared" ca="1" si="6"/>
        <v>2084.848</v>
      </c>
      <c r="AP33" s="127">
        <f t="shared" ca="1" si="6"/>
        <v>2186.8719999999998</v>
      </c>
      <c r="AQ33" s="127">
        <f t="shared" ca="1" si="6"/>
        <v>2296.1190000000001</v>
      </c>
      <c r="AR33" s="127">
        <f t="shared" ca="1" si="6"/>
        <v>2412.8040000000001</v>
      </c>
      <c r="AS33" s="127">
        <f t="shared" ca="1" si="6"/>
        <v>2537.163</v>
      </c>
      <c r="AT33" s="127">
        <f t="shared" ca="1" si="6"/>
        <v>2669.4290000000001</v>
      </c>
      <c r="AU33" s="127">
        <f t="shared" ca="1" si="6"/>
        <v>2809.8249999999998</v>
      </c>
    </row>
    <row r="34" spans="2:47" x14ac:dyDescent="0.25">
      <c r="B34" t="s">
        <v>792</v>
      </c>
      <c r="C34" s="127">
        <f t="shared" ca="1" si="3"/>
        <v>1715.6780000000001</v>
      </c>
      <c r="D34" s="127">
        <f t="shared" ca="1" si="3"/>
        <v>1731.575</v>
      </c>
      <c r="E34" s="127">
        <f t="shared" ca="1" si="3"/>
        <v>1744.499</v>
      </c>
      <c r="F34" s="127">
        <f t="shared" ca="1" si="3"/>
        <v>1756.4169999999999</v>
      </c>
      <c r="G34" s="127">
        <f t="shared" ca="1" si="3"/>
        <v>1767.9739999999999</v>
      </c>
      <c r="H34" s="127">
        <f t="shared" ca="1" si="3"/>
        <v>1779.3789999999999</v>
      </c>
      <c r="I34" s="127">
        <f t="shared" ca="1" si="3"/>
        <v>1790.3879999999999</v>
      </c>
      <c r="J34" s="127">
        <f t="shared" ca="1" si="3"/>
        <v>1800.934</v>
      </c>
      <c r="K34" s="127">
        <f t="shared" ca="1" si="3"/>
        <v>1810.9690000000001</v>
      </c>
      <c r="L34" s="127">
        <f t="shared" ca="1" si="5"/>
        <v>1819.5989999999999</v>
      </c>
      <c r="M34" s="127">
        <f t="shared" ca="1" si="6"/>
        <v>1830.145</v>
      </c>
      <c r="N34" s="127">
        <f t="shared" ca="1" si="6"/>
        <v>1842.91</v>
      </c>
      <c r="O34" s="127">
        <f t="shared" ca="1" si="6"/>
        <v>1858.0889999999999</v>
      </c>
      <c r="P34" s="127">
        <f t="shared" ca="1" si="6"/>
        <v>1875.6980000000001</v>
      </c>
      <c r="Q34" s="127">
        <f t="shared" ca="1" si="6"/>
        <v>1892.856</v>
      </c>
      <c r="R34" s="127">
        <f t="shared" ca="1" si="6"/>
        <v>1913.367</v>
      </c>
      <c r="S34" s="127">
        <f t="shared" ca="1" si="6"/>
        <v>1936.652</v>
      </c>
      <c r="T34" s="127">
        <f t="shared" ca="1" si="6"/>
        <v>1962.4469999999999</v>
      </c>
      <c r="U34" s="127">
        <f t="shared" ca="1" si="6"/>
        <v>1990.6679999999999</v>
      </c>
      <c r="V34" s="127">
        <f t="shared" ca="1" si="6"/>
        <v>2021.3240000000001</v>
      </c>
      <c r="W34" s="127">
        <f t="shared" ca="1" si="6"/>
        <v>2054.4850000000001</v>
      </c>
      <c r="X34" s="127">
        <f t="shared" ca="1" si="6"/>
        <v>2090.2739999999999</v>
      </c>
      <c r="Y34" s="127">
        <f t="shared" ca="1" si="6"/>
        <v>2128.8719999999998</v>
      </c>
      <c r="Z34" s="127">
        <f t="shared" ca="1" si="6"/>
        <v>2170.502</v>
      </c>
      <c r="AA34" s="127">
        <f t="shared" ca="1" si="6"/>
        <v>2215.4270000000001</v>
      </c>
      <c r="AB34" s="127">
        <f t="shared" ca="1" si="6"/>
        <v>2264.9450000000002</v>
      </c>
      <c r="AC34" s="127">
        <f t="shared" ca="1" si="6"/>
        <v>2319.181</v>
      </c>
      <c r="AD34" s="127">
        <f t="shared" ca="1" si="6"/>
        <v>2378.587</v>
      </c>
      <c r="AE34" s="127">
        <f t="shared" ca="1" si="6"/>
        <v>2443.75</v>
      </c>
      <c r="AF34" s="127">
        <f t="shared" ca="1" si="6"/>
        <v>2515.3249999999998</v>
      </c>
      <c r="AG34" s="127">
        <f t="shared" ca="1" si="6"/>
        <v>2594.0050000000001</v>
      </c>
      <c r="AH34" s="127">
        <f t="shared" ca="1" si="6"/>
        <v>2680.5210000000002</v>
      </c>
      <c r="AI34" s="127">
        <f t="shared" ca="1" si="6"/>
        <v>2775.6410000000001</v>
      </c>
      <c r="AJ34" s="127">
        <f t="shared" ca="1" si="6"/>
        <v>2880.1640000000002</v>
      </c>
      <c r="AK34" s="127">
        <f t="shared" ca="1" si="6"/>
        <v>2994.9290000000001</v>
      </c>
      <c r="AL34" s="127">
        <f t="shared" ca="1" si="6"/>
        <v>3120.8139999999999</v>
      </c>
      <c r="AM34" s="127">
        <f t="shared" ca="1" si="6"/>
        <v>3258.74</v>
      </c>
      <c r="AN34" s="127">
        <f t="shared" ca="1" si="6"/>
        <v>3409.68</v>
      </c>
      <c r="AO34" s="127">
        <f t="shared" ca="1" si="6"/>
        <v>3574.665</v>
      </c>
      <c r="AP34" s="127">
        <f t="shared" ca="1" si="6"/>
        <v>3752.9830000000002</v>
      </c>
      <c r="AQ34" s="127">
        <f t="shared" ca="1" si="6"/>
        <v>3944.9430000000002</v>
      </c>
      <c r="AR34" s="127">
        <f t="shared" ca="1" si="6"/>
        <v>4151.2359999999999</v>
      </c>
      <c r="AS34" s="127">
        <f t="shared" ca="1" si="6"/>
        <v>4372.7830000000004</v>
      </c>
      <c r="AT34" s="127">
        <f t="shared" ca="1" si="6"/>
        <v>4610.5919999999996</v>
      </c>
      <c r="AU34" s="127">
        <f t="shared" ca="1" si="6"/>
        <v>4865.7510000000002</v>
      </c>
    </row>
    <row r="35" spans="2:47" x14ac:dyDescent="0.25">
      <c r="B35" t="s">
        <v>793</v>
      </c>
      <c r="C35" s="127">
        <f t="shared" ca="1" si="3"/>
        <v>4849.3729999999996</v>
      </c>
      <c r="D35" s="127">
        <f t="shared" ca="1" si="3"/>
        <v>4836.1279999999997</v>
      </c>
      <c r="E35" s="127">
        <f t="shared" ca="1" si="3"/>
        <v>4841.5879999999997</v>
      </c>
      <c r="F35" s="127">
        <f t="shared" ca="1" si="3"/>
        <v>4856.3140000000003</v>
      </c>
      <c r="G35" s="127">
        <f t="shared" ca="1" si="3"/>
        <v>4876.6400000000003</v>
      </c>
      <c r="H35" s="127">
        <f t="shared" ca="1" si="3"/>
        <v>4921.4840000000004</v>
      </c>
      <c r="I35" s="127">
        <f t="shared" ca="1" si="3"/>
        <v>4978.335</v>
      </c>
      <c r="J35" s="127">
        <f t="shared" ca="1" si="3"/>
        <v>5039.924</v>
      </c>
      <c r="K35" s="127">
        <f t="shared" ca="1" si="3"/>
        <v>5105.9139999999998</v>
      </c>
      <c r="L35" s="127">
        <f t="shared" ca="1" si="5"/>
        <v>5176.509</v>
      </c>
      <c r="M35" s="127">
        <f t="shared" ref="M35:AU42" ca="1" si="7">Output("SCEN_ADEMEhaut",$B35,M$1)</f>
        <v>5253.9179999999997</v>
      </c>
      <c r="N35" s="127">
        <f t="shared" ca="1" si="7"/>
        <v>5338.817</v>
      </c>
      <c r="O35" s="127">
        <f t="shared" ca="1" si="7"/>
        <v>5430.94</v>
      </c>
      <c r="P35" s="127">
        <f t="shared" ca="1" si="7"/>
        <v>5528.5990000000002</v>
      </c>
      <c r="Q35" s="127">
        <f t="shared" ca="1" si="7"/>
        <v>5629.48</v>
      </c>
      <c r="R35" s="127">
        <f t="shared" ca="1" si="7"/>
        <v>5731.1719999999996</v>
      </c>
      <c r="S35" s="127">
        <f t="shared" ca="1" si="7"/>
        <v>5833.5789999999997</v>
      </c>
      <c r="T35" s="127">
        <f t="shared" ca="1" si="7"/>
        <v>5935.83</v>
      </c>
      <c r="U35" s="127">
        <f t="shared" ca="1" si="7"/>
        <v>6037.3909999999996</v>
      </c>
      <c r="V35" s="127">
        <f t="shared" ca="1" si="7"/>
        <v>6138.0079999999998</v>
      </c>
      <c r="W35" s="127">
        <f t="shared" ca="1" si="7"/>
        <v>6237.6639999999998</v>
      </c>
      <c r="X35" s="127">
        <f t="shared" ca="1" si="7"/>
        <v>6336.3490000000002</v>
      </c>
      <c r="Y35" s="127">
        <f t="shared" ca="1" si="7"/>
        <v>6434.5690000000004</v>
      </c>
      <c r="Z35" s="127">
        <f t="shared" ca="1" si="7"/>
        <v>6533.0119999999997</v>
      </c>
      <c r="AA35" s="127">
        <f t="shared" ca="1" si="7"/>
        <v>6632.51</v>
      </c>
      <c r="AB35" s="127">
        <f t="shared" ca="1" si="7"/>
        <v>6732.9459999999999</v>
      </c>
      <c r="AC35" s="127">
        <f t="shared" ca="1" si="7"/>
        <v>6835.585</v>
      </c>
      <c r="AD35" s="127">
        <f t="shared" ca="1" si="7"/>
        <v>6942.0290000000005</v>
      </c>
      <c r="AE35" s="127">
        <f t="shared" ca="1" si="7"/>
        <v>7054.348</v>
      </c>
      <c r="AF35" s="127">
        <f t="shared" ca="1" si="7"/>
        <v>7174.857</v>
      </c>
      <c r="AG35" s="127">
        <f t="shared" ca="1" si="7"/>
        <v>7306.0020000000004</v>
      </c>
      <c r="AH35" s="127">
        <f t="shared" ca="1" si="7"/>
        <v>7450.2929999999997</v>
      </c>
      <c r="AI35" s="127">
        <f t="shared" ca="1" si="7"/>
        <v>7610.2870000000003</v>
      </c>
      <c r="AJ35" s="127">
        <f t="shared" ca="1" si="7"/>
        <v>7788.5990000000002</v>
      </c>
      <c r="AK35" s="127">
        <f t="shared" ca="1" si="7"/>
        <v>7987.9229999999998</v>
      </c>
      <c r="AL35" s="127">
        <f t="shared" ca="1" si="7"/>
        <v>8211.0580000000009</v>
      </c>
      <c r="AM35" s="127">
        <f t="shared" ca="1" si="7"/>
        <v>8460.9480000000003</v>
      </c>
      <c r="AN35" s="127">
        <f t="shared" ca="1" si="7"/>
        <v>8740.7240000000002</v>
      </c>
      <c r="AO35" s="127">
        <f t="shared" ca="1" si="7"/>
        <v>9053.7489999999998</v>
      </c>
      <c r="AP35" s="127">
        <f t="shared" ca="1" si="7"/>
        <v>9404.098</v>
      </c>
      <c r="AQ35" s="127">
        <f t="shared" ca="1" si="7"/>
        <v>9795.4629999999997</v>
      </c>
      <c r="AR35" s="127">
        <f t="shared" ca="1" si="7"/>
        <v>10232.1</v>
      </c>
      <c r="AS35" s="127">
        <f t="shared" ca="1" si="7"/>
        <v>10718.73</v>
      </c>
      <c r="AT35" s="127">
        <f t="shared" ca="1" si="7"/>
        <v>11260.66</v>
      </c>
      <c r="AU35" s="127">
        <f t="shared" ca="1" si="7"/>
        <v>11863.73</v>
      </c>
    </row>
    <row r="36" spans="2:47" x14ac:dyDescent="0.25">
      <c r="B36" t="s">
        <v>794</v>
      </c>
      <c r="C36" s="127">
        <f t="shared" ref="C36:K51" ca="1" si="8">Output("SCEN_ADEMEhaut",$B36,C$1)</f>
        <v>1103.3119999999999</v>
      </c>
      <c r="D36" s="127">
        <f t="shared" ca="1" si="8"/>
        <v>1084.317</v>
      </c>
      <c r="E36" s="127">
        <f t="shared" ca="1" si="8"/>
        <v>1077.7149999999999</v>
      </c>
      <c r="F36" s="127">
        <f t="shared" ca="1" si="8"/>
        <v>1076.2360000000001</v>
      </c>
      <c r="G36" s="127">
        <f t="shared" ca="1" si="8"/>
        <v>1077.4359999999999</v>
      </c>
      <c r="H36" s="127">
        <f t="shared" ca="1" si="8"/>
        <v>1085.9100000000001</v>
      </c>
      <c r="I36" s="127">
        <f t="shared" ca="1" si="8"/>
        <v>1098.2629999999999</v>
      </c>
      <c r="J36" s="127">
        <f t="shared" ca="1" si="8"/>
        <v>1113.126</v>
      </c>
      <c r="K36" s="127">
        <f t="shared" ca="1" si="8"/>
        <v>1130.0550000000001</v>
      </c>
      <c r="L36" s="127">
        <f t="shared" ca="1" si="5"/>
        <v>1148.873</v>
      </c>
      <c r="M36" s="127">
        <f t="shared" ca="1" si="7"/>
        <v>1168.9559999999999</v>
      </c>
      <c r="N36" s="127">
        <f t="shared" ca="1" si="7"/>
        <v>1189.664</v>
      </c>
      <c r="O36" s="127">
        <f t="shared" ca="1" si="7"/>
        <v>1210.4839999999999</v>
      </c>
      <c r="P36" s="127">
        <f t="shared" ca="1" si="7"/>
        <v>1231.07</v>
      </c>
      <c r="Q36" s="127">
        <f t="shared" ca="1" si="7"/>
        <v>1251.3599999999999</v>
      </c>
      <c r="R36" s="127">
        <f t="shared" ca="1" si="7"/>
        <v>1271.0170000000001</v>
      </c>
      <c r="S36" s="127">
        <f t="shared" ca="1" si="7"/>
        <v>1290.0160000000001</v>
      </c>
      <c r="T36" s="127">
        <f t="shared" ca="1" si="7"/>
        <v>1308.2429999999999</v>
      </c>
      <c r="U36" s="127">
        <f t="shared" ca="1" si="7"/>
        <v>1325.6320000000001</v>
      </c>
      <c r="V36" s="127">
        <f t="shared" ca="1" si="7"/>
        <v>1342.163</v>
      </c>
      <c r="W36" s="127">
        <f t="shared" ca="1" si="7"/>
        <v>1357.8630000000001</v>
      </c>
      <c r="X36" s="127">
        <f t="shared" ca="1" si="7"/>
        <v>1372.752</v>
      </c>
      <c r="Y36" s="127">
        <f t="shared" ca="1" si="7"/>
        <v>1386.9469999999999</v>
      </c>
      <c r="Z36" s="127">
        <f t="shared" ca="1" si="7"/>
        <v>1400.5930000000001</v>
      </c>
      <c r="AA36" s="127">
        <f t="shared" ca="1" si="7"/>
        <v>1413.8579999999999</v>
      </c>
      <c r="AB36" s="127">
        <f t="shared" ca="1" si="7"/>
        <v>1426.9690000000001</v>
      </c>
      <c r="AC36" s="127">
        <f t="shared" ca="1" si="7"/>
        <v>1440.2940000000001</v>
      </c>
      <c r="AD36" s="127">
        <f t="shared" ca="1" si="7"/>
        <v>1454.1990000000001</v>
      </c>
      <c r="AE36" s="127">
        <f t="shared" ca="1" si="7"/>
        <v>1469.069</v>
      </c>
      <c r="AF36" s="127">
        <f t="shared" ca="1" si="7"/>
        <v>1485.2860000000001</v>
      </c>
      <c r="AG36" s="127">
        <f t="shared" ca="1" si="7"/>
        <v>1503.222</v>
      </c>
      <c r="AH36" s="127">
        <f t="shared" ca="1" si="7"/>
        <v>1523.2270000000001</v>
      </c>
      <c r="AI36" s="127">
        <f t="shared" ca="1" si="7"/>
        <v>1545.6310000000001</v>
      </c>
      <c r="AJ36" s="127">
        <f t="shared" ca="1" si="7"/>
        <v>1570.75</v>
      </c>
      <c r="AK36" s="127">
        <f t="shared" ca="1" si="7"/>
        <v>1598.8889999999999</v>
      </c>
      <c r="AL36" s="127">
        <f t="shared" ca="1" si="7"/>
        <v>1630.3430000000001</v>
      </c>
      <c r="AM36" s="127">
        <f t="shared" ca="1" si="7"/>
        <v>1665.404</v>
      </c>
      <c r="AN36" s="127">
        <f t="shared" ca="1" si="7"/>
        <v>1704.3620000000001</v>
      </c>
      <c r="AO36" s="127">
        <f t="shared" ca="1" si="7"/>
        <v>1747.5119999999999</v>
      </c>
      <c r="AP36" s="127">
        <f t="shared" ca="1" si="7"/>
        <v>1795.21</v>
      </c>
      <c r="AQ36" s="127">
        <f t="shared" ca="1" si="7"/>
        <v>1847.7380000000001</v>
      </c>
      <c r="AR36" s="127">
        <f t="shared" ca="1" si="7"/>
        <v>1905.473</v>
      </c>
      <c r="AS36" s="127">
        <f t="shared" ca="1" si="7"/>
        <v>1968.7190000000001</v>
      </c>
      <c r="AT36" s="127">
        <f t="shared" ca="1" si="7"/>
        <v>2037.829</v>
      </c>
      <c r="AU36" s="127">
        <f t="shared" ca="1" si="7"/>
        <v>2113.1840000000002</v>
      </c>
    </row>
    <row r="37" spans="2:47" x14ac:dyDescent="0.25">
      <c r="B37" t="s">
        <v>795</v>
      </c>
      <c r="C37" s="127">
        <f t="shared" ca="1" si="8"/>
        <v>2003.67</v>
      </c>
      <c r="D37" s="127">
        <f t="shared" ca="1" si="8"/>
        <v>1978.1880000000001</v>
      </c>
      <c r="E37" s="127">
        <f t="shared" ca="1" si="8"/>
        <v>1973.2650000000001</v>
      </c>
      <c r="F37" s="127">
        <f t="shared" ca="1" si="8"/>
        <v>1977.5160000000001</v>
      </c>
      <c r="G37" s="127">
        <f t="shared" ca="1" si="8"/>
        <v>1986.597</v>
      </c>
      <c r="H37" s="127">
        <f t="shared" ca="1" si="8"/>
        <v>2006.0740000000001</v>
      </c>
      <c r="I37" s="127">
        <f t="shared" ca="1" si="8"/>
        <v>2030.807</v>
      </c>
      <c r="J37" s="127">
        <f t="shared" ca="1" si="8"/>
        <v>2058.4540000000002</v>
      </c>
      <c r="K37" s="127">
        <f t="shared" ca="1" si="8"/>
        <v>2088.2460000000001</v>
      </c>
      <c r="L37" s="127">
        <f t="shared" ca="1" si="5"/>
        <v>2119.902</v>
      </c>
      <c r="M37" s="127">
        <f t="shared" ca="1" si="7"/>
        <v>2152.6570000000002</v>
      </c>
      <c r="N37" s="127">
        <f t="shared" ca="1" si="7"/>
        <v>2186.8240000000001</v>
      </c>
      <c r="O37" s="127">
        <f t="shared" ca="1" si="7"/>
        <v>2222.2150000000001</v>
      </c>
      <c r="P37" s="127">
        <f t="shared" ca="1" si="7"/>
        <v>2258.404</v>
      </c>
      <c r="Q37" s="127">
        <f t="shared" ca="1" si="7"/>
        <v>2295.0729999999999</v>
      </c>
      <c r="R37" s="127">
        <f t="shared" ca="1" si="7"/>
        <v>2331.328</v>
      </c>
      <c r="S37" s="127">
        <f t="shared" ca="1" si="7"/>
        <v>2367.2199999999998</v>
      </c>
      <c r="T37" s="127">
        <f t="shared" ca="1" si="7"/>
        <v>2402.5770000000002</v>
      </c>
      <c r="U37" s="127">
        <f t="shared" ca="1" si="7"/>
        <v>2437.2809999999999</v>
      </c>
      <c r="V37" s="127">
        <f t="shared" ca="1" si="7"/>
        <v>2471.2890000000002</v>
      </c>
      <c r="W37" s="127">
        <f t="shared" ca="1" si="7"/>
        <v>2504.6320000000001</v>
      </c>
      <c r="X37" s="127">
        <f t="shared" ca="1" si="7"/>
        <v>2537.3809999999999</v>
      </c>
      <c r="Y37" s="127">
        <f t="shared" ca="1" si="7"/>
        <v>2569.721</v>
      </c>
      <c r="Z37" s="127">
        <f t="shared" ca="1" si="7"/>
        <v>2601.8980000000001</v>
      </c>
      <c r="AA37" s="127">
        <f t="shared" ca="1" si="7"/>
        <v>2634.201</v>
      </c>
      <c r="AB37" s="127">
        <f t="shared" ca="1" si="7"/>
        <v>2667.2910000000002</v>
      </c>
      <c r="AC37" s="127">
        <f t="shared" ca="1" si="7"/>
        <v>2701.7669999999998</v>
      </c>
      <c r="AD37" s="127">
        <f t="shared" ca="1" si="7"/>
        <v>2738.2089999999998</v>
      </c>
      <c r="AE37" s="127">
        <f t="shared" ca="1" si="7"/>
        <v>2777.27</v>
      </c>
      <c r="AF37" s="127">
        <f t="shared" ca="1" si="7"/>
        <v>2819.6579999999999</v>
      </c>
      <c r="AG37" s="127">
        <f t="shared" ca="1" si="7"/>
        <v>2866.125</v>
      </c>
      <c r="AH37" s="127">
        <f t="shared" ca="1" si="7"/>
        <v>2917.4380000000001</v>
      </c>
      <c r="AI37" s="127">
        <f t="shared" ca="1" si="7"/>
        <v>2974.3789999999999</v>
      </c>
      <c r="AJ37" s="127">
        <f t="shared" ca="1" si="7"/>
        <v>3037.75</v>
      </c>
      <c r="AK37" s="127">
        <f t="shared" ca="1" si="7"/>
        <v>3108.3780000000002</v>
      </c>
      <c r="AL37" s="127">
        <f t="shared" ca="1" si="7"/>
        <v>3187.1219999999998</v>
      </c>
      <c r="AM37" s="127">
        <f t="shared" ca="1" si="7"/>
        <v>3274.8760000000002</v>
      </c>
      <c r="AN37" s="127">
        <f t="shared" ca="1" si="7"/>
        <v>3372.5819999999999</v>
      </c>
      <c r="AO37" s="127">
        <f t="shared" ca="1" si="7"/>
        <v>3481.232</v>
      </c>
      <c r="AP37" s="127">
        <f t="shared" ca="1" si="7"/>
        <v>3601.9580000000001</v>
      </c>
      <c r="AQ37" s="127">
        <f t="shared" ca="1" si="7"/>
        <v>3735.8270000000002</v>
      </c>
      <c r="AR37" s="127">
        <f t="shared" ca="1" si="7"/>
        <v>3884.0140000000001</v>
      </c>
      <c r="AS37" s="127">
        <f t="shared" ca="1" si="7"/>
        <v>4047.7950000000001</v>
      </c>
      <c r="AT37" s="127">
        <f t="shared" ca="1" si="7"/>
        <v>4228.5460000000003</v>
      </c>
      <c r="AU37" s="127">
        <f t="shared" ca="1" si="7"/>
        <v>4427.7330000000002</v>
      </c>
    </row>
    <row r="38" spans="2:47" x14ac:dyDescent="0.25">
      <c r="B38" t="s">
        <v>796</v>
      </c>
      <c r="C38" s="127">
        <f t="shared" ca="1" si="8"/>
        <v>146880</v>
      </c>
      <c r="D38" s="127">
        <f t="shared" ca="1" si="8"/>
        <v>147561.9</v>
      </c>
      <c r="E38" s="127">
        <f t="shared" ca="1" si="8"/>
        <v>148345.29999999999</v>
      </c>
      <c r="F38" s="127">
        <f t="shared" ca="1" si="8"/>
        <v>149149</v>
      </c>
      <c r="G38" s="127">
        <f t="shared" ca="1" si="8"/>
        <v>149954.79999999999</v>
      </c>
      <c r="H38" s="127">
        <f t="shared" ca="1" si="8"/>
        <v>151409.9</v>
      </c>
      <c r="I38" s="127">
        <f t="shared" ca="1" si="8"/>
        <v>153154.79999999999</v>
      </c>
      <c r="J38" s="127">
        <f t="shared" ca="1" si="8"/>
        <v>154957.6</v>
      </c>
      <c r="K38" s="127">
        <f t="shared" ca="1" si="8"/>
        <v>156856.29999999999</v>
      </c>
      <c r="L38" s="127">
        <f t="shared" ca="1" si="5"/>
        <v>158854.29999999999</v>
      </c>
      <c r="M38" s="127">
        <f t="shared" ca="1" si="7"/>
        <v>161080.6</v>
      </c>
      <c r="N38" s="127">
        <f t="shared" ca="1" si="7"/>
        <v>163614.5</v>
      </c>
      <c r="O38" s="127">
        <f t="shared" ca="1" si="7"/>
        <v>166488</v>
      </c>
      <c r="P38" s="127">
        <f t="shared" ca="1" si="7"/>
        <v>169638.5</v>
      </c>
      <c r="Q38" s="127">
        <f t="shared" ca="1" si="7"/>
        <v>172961.1</v>
      </c>
      <c r="R38" s="127">
        <f t="shared" ca="1" si="7"/>
        <v>176383.9</v>
      </c>
      <c r="S38" s="127">
        <f t="shared" ca="1" si="7"/>
        <v>179863</v>
      </c>
      <c r="T38" s="127">
        <f t="shared" ca="1" si="7"/>
        <v>183363.6</v>
      </c>
      <c r="U38" s="127">
        <f t="shared" ca="1" si="7"/>
        <v>186862.4</v>
      </c>
      <c r="V38" s="127">
        <f t="shared" ca="1" si="7"/>
        <v>190343.7</v>
      </c>
      <c r="W38" s="127">
        <f t="shared" ca="1" si="7"/>
        <v>193798</v>
      </c>
      <c r="X38" s="127">
        <f t="shared" ca="1" si="7"/>
        <v>197218</v>
      </c>
      <c r="Y38" s="127">
        <f t="shared" ca="1" si="7"/>
        <v>200607</v>
      </c>
      <c r="Z38" s="127">
        <f t="shared" ca="1" si="7"/>
        <v>203972.8</v>
      </c>
      <c r="AA38" s="127">
        <f t="shared" ca="1" si="7"/>
        <v>207326.7</v>
      </c>
      <c r="AB38" s="127">
        <f t="shared" ca="1" si="7"/>
        <v>210679.6</v>
      </c>
      <c r="AC38" s="127">
        <f t="shared" ca="1" si="7"/>
        <v>214035.7</v>
      </c>
      <c r="AD38" s="127">
        <f t="shared" ca="1" si="7"/>
        <v>217392.1</v>
      </c>
      <c r="AE38" s="127">
        <f t="shared" ca="1" si="7"/>
        <v>220757.8</v>
      </c>
      <c r="AF38" s="127">
        <f t="shared" ca="1" si="7"/>
        <v>224152.1</v>
      </c>
      <c r="AG38" s="127">
        <f t="shared" ca="1" si="7"/>
        <v>227600.6</v>
      </c>
      <c r="AH38" s="127">
        <f t="shared" ca="1" si="7"/>
        <v>231130.2</v>
      </c>
      <c r="AI38" s="127">
        <f t="shared" ca="1" si="7"/>
        <v>234767.4</v>
      </c>
      <c r="AJ38" s="127">
        <f t="shared" ca="1" si="7"/>
        <v>238535.9</v>
      </c>
      <c r="AK38" s="127">
        <f t="shared" ca="1" si="7"/>
        <v>242456.3</v>
      </c>
      <c r="AL38" s="127">
        <f t="shared" ca="1" si="7"/>
        <v>246545.3</v>
      </c>
      <c r="AM38" s="127">
        <f t="shared" ca="1" si="7"/>
        <v>250816</v>
      </c>
      <c r="AN38" s="127">
        <f t="shared" ca="1" si="7"/>
        <v>255278.6</v>
      </c>
      <c r="AO38" s="127">
        <f t="shared" ca="1" si="7"/>
        <v>259940.3</v>
      </c>
      <c r="AP38" s="127">
        <f t="shared" ca="1" si="7"/>
        <v>264805.90000000002</v>
      </c>
      <c r="AQ38" s="127">
        <f t="shared" ca="1" si="7"/>
        <v>269875.7</v>
      </c>
      <c r="AR38" s="127">
        <f t="shared" ca="1" si="7"/>
        <v>275145.09999999998</v>
      </c>
      <c r="AS38" s="127">
        <f t="shared" ca="1" si="7"/>
        <v>280615.8</v>
      </c>
      <c r="AT38" s="127">
        <f t="shared" ca="1" si="7"/>
        <v>286291.20000000001</v>
      </c>
      <c r="AU38" s="127">
        <f t="shared" ca="1" si="7"/>
        <v>292174.90000000002</v>
      </c>
    </row>
    <row r="39" spans="2:47" x14ac:dyDescent="0.25">
      <c r="B39" t="s">
        <v>797</v>
      </c>
      <c r="C39" s="127">
        <f t="shared" ca="1" si="8"/>
        <v>60600.959999999999</v>
      </c>
      <c r="D39" s="127">
        <f t="shared" ca="1" si="8"/>
        <v>61458.99</v>
      </c>
      <c r="E39" s="127">
        <f t="shared" ca="1" si="8"/>
        <v>62330.38</v>
      </c>
      <c r="F39" s="127">
        <f t="shared" ca="1" si="8"/>
        <v>63217.21</v>
      </c>
      <c r="G39" s="127">
        <f t="shared" ca="1" si="8"/>
        <v>64120.36</v>
      </c>
      <c r="H39" s="127">
        <f t="shared" ca="1" si="8"/>
        <v>65076.36</v>
      </c>
      <c r="I39" s="127">
        <f t="shared" ca="1" si="8"/>
        <v>66067.55</v>
      </c>
      <c r="J39" s="127">
        <f t="shared" ca="1" si="8"/>
        <v>67088.570000000007</v>
      </c>
      <c r="K39" s="127">
        <f t="shared" ca="1" si="8"/>
        <v>68131.16</v>
      </c>
      <c r="L39" s="127">
        <f t="shared" ca="1" si="5"/>
        <v>69193.240000000005</v>
      </c>
      <c r="M39" s="127">
        <f t="shared" ca="1" si="7"/>
        <v>70282.16</v>
      </c>
      <c r="N39" s="127">
        <f t="shared" ca="1" si="7"/>
        <v>71403.16</v>
      </c>
      <c r="O39" s="127">
        <f t="shared" ca="1" si="7"/>
        <v>72560.289999999994</v>
      </c>
      <c r="P39" s="127">
        <f t="shared" ca="1" si="7"/>
        <v>73752.179999999993</v>
      </c>
      <c r="Q39" s="127">
        <f t="shared" ca="1" si="7"/>
        <v>74973.75</v>
      </c>
      <c r="R39" s="127">
        <f t="shared" ca="1" si="7"/>
        <v>76222.94</v>
      </c>
      <c r="S39" s="127">
        <f t="shared" ca="1" si="7"/>
        <v>77497.2</v>
      </c>
      <c r="T39" s="127">
        <f t="shared" ca="1" si="7"/>
        <v>78794.350000000006</v>
      </c>
      <c r="U39" s="127">
        <f t="shared" ca="1" si="7"/>
        <v>80112.47</v>
      </c>
      <c r="V39" s="127">
        <f t="shared" ca="1" si="7"/>
        <v>81449.850000000006</v>
      </c>
      <c r="W39" s="127">
        <f t="shared" ca="1" si="7"/>
        <v>82804.98</v>
      </c>
      <c r="X39" s="127">
        <f t="shared" ca="1" si="7"/>
        <v>84176.89</v>
      </c>
      <c r="Y39" s="127">
        <f t="shared" ca="1" si="7"/>
        <v>85564.800000000003</v>
      </c>
      <c r="Z39" s="127">
        <f t="shared" ca="1" si="7"/>
        <v>86968.29</v>
      </c>
      <c r="AA39" s="127">
        <f t="shared" ca="1" si="7"/>
        <v>88387.36</v>
      </c>
      <c r="AB39" s="127">
        <f t="shared" ca="1" si="7"/>
        <v>89820.94</v>
      </c>
      <c r="AC39" s="127">
        <f t="shared" ca="1" si="7"/>
        <v>91273.31</v>
      </c>
      <c r="AD39" s="127">
        <f t="shared" ca="1" si="7"/>
        <v>92745.08</v>
      </c>
      <c r="AE39" s="127">
        <f t="shared" ca="1" si="7"/>
        <v>94236.4</v>
      </c>
      <c r="AF39" s="127">
        <f t="shared" ca="1" si="7"/>
        <v>95747.839999999997</v>
      </c>
      <c r="AG39" s="127">
        <f t="shared" ca="1" si="7"/>
        <v>97280.55</v>
      </c>
      <c r="AH39" s="127">
        <f t="shared" ca="1" si="7"/>
        <v>98836.160000000003</v>
      </c>
      <c r="AI39" s="127">
        <f t="shared" ca="1" si="7"/>
        <v>100416.6</v>
      </c>
      <c r="AJ39" s="127">
        <f t="shared" ca="1" si="7"/>
        <v>102024</v>
      </c>
      <c r="AK39" s="127">
        <f t="shared" ca="1" si="7"/>
        <v>103660.6</v>
      </c>
      <c r="AL39" s="127">
        <f t="shared" ca="1" si="7"/>
        <v>105328.3</v>
      </c>
      <c r="AM39" s="127">
        <f t="shared" ca="1" si="7"/>
        <v>107029.3</v>
      </c>
      <c r="AN39" s="127">
        <f t="shared" ca="1" si="7"/>
        <v>108765.2</v>
      </c>
      <c r="AO39" s="127">
        <f t="shared" ca="1" si="7"/>
        <v>110537.7</v>
      </c>
      <c r="AP39" s="127">
        <f t="shared" ca="1" si="7"/>
        <v>112348</v>
      </c>
      <c r="AQ39" s="127">
        <f t="shared" ca="1" si="7"/>
        <v>114197.3</v>
      </c>
      <c r="AR39" s="127">
        <f t="shared" ca="1" si="7"/>
        <v>116086.3</v>
      </c>
      <c r="AS39" s="127">
        <f t="shared" ca="1" si="7"/>
        <v>118016.1</v>
      </c>
      <c r="AT39" s="127">
        <f t="shared" ca="1" si="7"/>
        <v>119987.8</v>
      </c>
      <c r="AU39" s="127">
        <f t="shared" ca="1" si="7"/>
        <v>122002.5</v>
      </c>
    </row>
    <row r="40" spans="2:47" x14ac:dyDescent="0.25">
      <c r="B40" t="s">
        <v>798</v>
      </c>
      <c r="C40" s="129">
        <f t="shared" ca="1" si="8"/>
        <v>1.7605580000000001</v>
      </c>
      <c r="D40" s="127">
        <f t="shared" ca="1" si="8"/>
        <v>1.771863</v>
      </c>
      <c r="E40" s="127">
        <f t="shared" ca="1" si="8"/>
        <v>1.759228</v>
      </c>
      <c r="F40" s="127">
        <f t="shared" ca="1" si="8"/>
        <v>1.734416</v>
      </c>
      <c r="G40" s="127">
        <f t="shared" ca="1" si="8"/>
        <v>1.6994910000000001</v>
      </c>
      <c r="H40" s="127">
        <f t="shared" ca="1" si="8"/>
        <v>1.687138</v>
      </c>
      <c r="I40" s="127">
        <f t="shared" ca="1" si="8"/>
        <v>1.685379</v>
      </c>
      <c r="J40" s="127">
        <f t="shared" ca="1" si="8"/>
        <v>1.686318</v>
      </c>
      <c r="K40" s="127">
        <f t="shared" ca="1" si="8"/>
        <v>1.687268</v>
      </c>
      <c r="L40" s="127">
        <f t="shared" ca="1" si="5"/>
        <v>1.687999</v>
      </c>
      <c r="M40" s="127">
        <f t="shared" ca="1" si="7"/>
        <v>1.6898230000000001</v>
      </c>
      <c r="N40" s="127">
        <f t="shared" ca="1" si="7"/>
        <v>1.693149</v>
      </c>
      <c r="O40" s="127">
        <f t="shared" ca="1" si="7"/>
        <v>1.6979979999999999</v>
      </c>
      <c r="P40" s="127">
        <f t="shared" ca="1" si="7"/>
        <v>1.704142</v>
      </c>
      <c r="Q40" s="127">
        <f t="shared" ca="1" si="7"/>
        <v>1.7109970000000001</v>
      </c>
      <c r="R40" s="127">
        <f t="shared" ca="1" si="7"/>
        <v>1.719992</v>
      </c>
      <c r="S40" s="127">
        <f t="shared" ca="1" si="7"/>
        <v>1.7312399999999999</v>
      </c>
      <c r="T40" s="127">
        <f t="shared" ca="1" si="7"/>
        <v>1.744397</v>
      </c>
      <c r="U40" s="127">
        <f t="shared" ca="1" si="7"/>
        <v>1.7590790000000001</v>
      </c>
      <c r="V40" s="127">
        <f t="shared" ca="1" si="7"/>
        <v>1.774969</v>
      </c>
      <c r="W40" s="127">
        <f t="shared" ca="1" si="7"/>
        <v>1.7918229999999999</v>
      </c>
      <c r="X40" s="127">
        <f t="shared" ca="1" si="7"/>
        <v>1.8093379999999999</v>
      </c>
      <c r="Y40" s="127">
        <f t="shared" ca="1" si="7"/>
        <v>1.8273759999999999</v>
      </c>
      <c r="Z40" s="127">
        <f t="shared" ca="1" si="7"/>
        <v>1.8458699999999999</v>
      </c>
      <c r="AA40" s="127">
        <f t="shared" ca="1" si="7"/>
        <v>1.8647860000000001</v>
      </c>
      <c r="AB40" s="127">
        <f t="shared" ca="1" si="7"/>
        <v>1.882522</v>
      </c>
      <c r="AC40" s="127">
        <f t="shared" ca="1" si="7"/>
        <v>1.8989050000000001</v>
      </c>
      <c r="AD40" s="127">
        <f t="shared" ca="1" si="7"/>
        <v>1.9139969999999999</v>
      </c>
      <c r="AE40" s="127">
        <f t="shared" ca="1" si="7"/>
        <v>1.927934</v>
      </c>
      <c r="AF40" s="127">
        <f t="shared" ca="1" si="7"/>
        <v>1.940876</v>
      </c>
      <c r="AG40" s="127">
        <f t="shared" ca="1" si="7"/>
        <v>1.952977</v>
      </c>
      <c r="AH40" s="127">
        <f t="shared" ca="1" si="7"/>
        <v>1.964375</v>
      </c>
      <c r="AI40" s="127">
        <f t="shared" ca="1" si="7"/>
        <v>1.9751970000000001</v>
      </c>
      <c r="AJ40" s="127">
        <f t="shared" ca="1" si="7"/>
        <v>1.9855499999999999</v>
      </c>
      <c r="AK40" s="127">
        <f t="shared" ca="1" si="7"/>
        <v>1.9955240000000001</v>
      </c>
      <c r="AL40" s="127">
        <f t="shared" ca="1" si="7"/>
        <v>2.0051869999999998</v>
      </c>
      <c r="AM40" s="127">
        <f t="shared" ca="1" si="7"/>
        <v>2.0145840000000002</v>
      </c>
      <c r="AN40" s="127">
        <f t="shared" ca="1" si="7"/>
        <v>2.0237430000000001</v>
      </c>
      <c r="AO40" s="127">
        <f t="shared" ca="1" si="7"/>
        <v>2.0326740000000001</v>
      </c>
      <c r="AP40" s="127">
        <f t="shared" ca="1" si="7"/>
        <v>2.041426</v>
      </c>
      <c r="AQ40" s="127">
        <f t="shared" ca="1" si="7"/>
        <v>2.0499670000000001</v>
      </c>
      <c r="AR40" s="127">
        <f t="shared" ca="1" si="7"/>
        <v>2.0579170000000002</v>
      </c>
      <c r="AS40" s="127">
        <f t="shared" ca="1" si="7"/>
        <v>2.0654020000000002</v>
      </c>
      <c r="AT40" s="127">
        <f t="shared" ca="1" si="7"/>
        <v>2.0724849999999999</v>
      </c>
      <c r="AU40" s="127">
        <f t="shared" ca="1" si="7"/>
        <v>2.0791719999999998</v>
      </c>
    </row>
    <row r="41" spans="2:47" x14ac:dyDescent="0.25">
      <c r="B41" t="s">
        <v>799</v>
      </c>
      <c r="C41" s="127">
        <f t="shared" ca="1" si="8"/>
        <v>653.32470000000001</v>
      </c>
      <c r="D41" s="127">
        <f t="shared" ca="1" si="8"/>
        <v>651.8365</v>
      </c>
      <c r="E41" s="127">
        <f t="shared" ca="1" si="8"/>
        <v>644.55039999999997</v>
      </c>
      <c r="F41" s="127">
        <f t="shared" ca="1" si="8"/>
        <v>633.9982</v>
      </c>
      <c r="G41" s="127">
        <f t="shared" ca="1" si="8"/>
        <v>621.7269</v>
      </c>
      <c r="H41" s="127">
        <f t="shared" ca="1" si="8"/>
        <v>614.48329999999999</v>
      </c>
      <c r="I41" s="127">
        <f t="shared" ca="1" si="8"/>
        <v>609.90129999999999</v>
      </c>
      <c r="J41" s="127">
        <f t="shared" ca="1" si="8"/>
        <v>607.46209999999996</v>
      </c>
      <c r="K41" s="127">
        <f t="shared" ca="1" si="8"/>
        <v>607.11329999999998</v>
      </c>
      <c r="L41" s="127">
        <f t="shared" ca="1" si="5"/>
        <v>608.94050000000004</v>
      </c>
      <c r="M41" s="127">
        <f t="shared" ca="1" si="7"/>
        <v>610.8261</v>
      </c>
      <c r="N41" s="127">
        <f t="shared" ca="1" si="7"/>
        <v>611.67240000000004</v>
      </c>
      <c r="O41" s="127">
        <f t="shared" ca="1" si="7"/>
        <v>610.94200000000001</v>
      </c>
      <c r="P41" s="127">
        <f t="shared" ca="1" si="7"/>
        <v>608.62720000000002</v>
      </c>
      <c r="Q41" s="127">
        <f t="shared" ca="1" si="7"/>
        <v>605.58920000000001</v>
      </c>
      <c r="R41" s="127">
        <f t="shared" ca="1" si="7"/>
        <v>601.61120000000005</v>
      </c>
      <c r="S41" s="127">
        <f t="shared" ca="1" si="7"/>
        <v>596.83420000000001</v>
      </c>
      <c r="T41" s="127">
        <f t="shared" ca="1" si="7"/>
        <v>591.36980000000005</v>
      </c>
      <c r="U41" s="127">
        <f t="shared" ca="1" si="7"/>
        <v>585.30999999999995</v>
      </c>
      <c r="V41" s="127">
        <f t="shared" ca="1" si="7"/>
        <v>578.73030000000006</v>
      </c>
      <c r="W41" s="127">
        <f t="shared" ca="1" si="7"/>
        <v>571.69290000000001</v>
      </c>
      <c r="X41" s="127">
        <f t="shared" ca="1" si="7"/>
        <v>564.2079</v>
      </c>
      <c r="Y41" s="127">
        <f t="shared" ca="1" si="7"/>
        <v>556.32899999999995</v>
      </c>
      <c r="Z41" s="127">
        <f t="shared" ca="1" si="7"/>
        <v>548.10609999999997</v>
      </c>
      <c r="AA41" s="127">
        <f t="shared" ca="1" si="7"/>
        <v>539.58259999999996</v>
      </c>
      <c r="AB41" s="127">
        <f t="shared" ca="1" si="7"/>
        <v>530.46119999999996</v>
      </c>
      <c r="AC41" s="127">
        <f t="shared" ca="1" si="7"/>
        <v>520.79930000000002</v>
      </c>
      <c r="AD41" s="127">
        <f t="shared" ca="1" si="7"/>
        <v>510.67259999999999</v>
      </c>
      <c r="AE41" s="127">
        <f t="shared" ca="1" si="7"/>
        <v>500.15120000000002</v>
      </c>
      <c r="AF41" s="127">
        <f t="shared" ca="1" si="7"/>
        <v>489.29509999999999</v>
      </c>
      <c r="AG41" s="127">
        <f t="shared" ca="1" si="7"/>
        <v>478.15609999999998</v>
      </c>
      <c r="AH41" s="127">
        <f t="shared" ca="1" si="7"/>
        <v>466.77780000000001</v>
      </c>
      <c r="AI41" s="127">
        <f t="shared" ca="1" si="7"/>
        <v>455.19720000000001</v>
      </c>
      <c r="AJ41" s="127">
        <f t="shared" ca="1" si="7"/>
        <v>443.44639999999998</v>
      </c>
      <c r="AK41" s="127">
        <f t="shared" ca="1" si="7"/>
        <v>431.55450000000002</v>
      </c>
      <c r="AL41" s="127">
        <f t="shared" ca="1" si="7"/>
        <v>419.54820000000001</v>
      </c>
      <c r="AM41" s="127">
        <f t="shared" ca="1" si="7"/>
        <v>407.45310000000001</v>
      </c>
      <c r="AN41" s="127">
        <f t="shared" ca="1" si="7"/>
        <v>395.29410000000001</v>
      </c>
      <c r="AO41" s="127">
        <f t="shared" ca="1" si="7"/>
        <v>383.09640000000002</v>
      </c>
      <c r="AP41" s="127">
        <f t="shared" ca="1" si="7"/>
        <v>370.90679999999998</v>
      </c>
      <c r="AQ41" s="127">
        <f t="shared" ca="1" si="7"/>
        <v>358.75290000000001</v>
      </c>
      <c r="AR41" s="127">
        <f t="shared" ca="1" si="7"/>
        <v>346.82420000000002</v>
      </c>
      <c r="AS41" s="127">
        <f t="shared" ca="1" si="7"/>
        <v>335.03530000000001</v>
      </c>
      <c r="AT41" s="127">
        <f t="shared" ca="1" si="7"/>
        <v>323.37599999999998</v>
      </c>
      <c r="AU41" s="127">
        <f t="shared" ca="1" si="7"/>
        <v>311.86020000000002</v>
      </c>
    </row>
    <row r="42" spans="2:47" x14ac:dyDescent="0.25">
      <c r="B42" t="s">
        <v>800</v>
      </c>
      <c r="C42" s="127">
        <f t="shared" ca="1" si="8"/>
        <v>22.53838</v>
      </c>
      <c r="D42" s="127">
        <f t="shared" ca="1" si="8"/>
        <v>26.499369999999999</v>
      </c>
      <c r="E42" s="127">
        <f t="shared" ca="1" si="8"/>
        <v>37.898589999999999</v>
      </c>
      <c r="F42" s="127">
        <f t="shared" ca="1" si="8"/>
        <v>55.96134</v>
      </c>
      <c r="G42" s="127">
        <f t="shared" ca="1" si="8"/>
        <v>78.115819999999999</v>
      </c>
      <c r="H42" s="127">
        <f t="shared" ca="1" si="8"/>
        <v>89.163870000000003</v>
      </c>
      <c r="I42" s="127">
        <f t="shared" ca="1" si="8"/>
        <v>95.208150000000003</v>
      </c>
      <c r="J42" s="127">
        <f t="shared" ca="1" si="8"/>
        <v>99.542299999999997</v>
      </c>
      <c r="K42" s="127">
        <f t="shared" ca="1" si="8"/>
        <v>103.3685</v>
      </c>
      <c r="L42" s="127">
        <f t="shared" ca="1" si="5"/>
        <v>107.13039999999999</v>
      </c>
      <c r="M42" s="127">
        <f t="shared" ca="1" si="7"/>
        <v>110.5211</v>
      </c>
      <c r="N42" s="127">
        <f t="shared" ca="1" si="7"/>
        <v>113.33280000000001</v>
      </c>
      <c r="O42" s="127">
        <f t="shared" ca="1" si="7"/>
        <v>115.44280000000001</v>
      </c>
      <c r="P42" s="127">
        <f t="shared" ca="1" si="7"/>
        <v>116.84829999999999</v>
      </c>
      <c r="Q42" s="127">
        <f t="shared" ca="1" si="7"/>
        <v>117.7607</v>
      </c>
      <c r="R42" s="127">
        <f t="shared" ca="1" si="7"/>
        <v>118.14400000000001</v>
      </c>
      <c r="S42" s="127">
        <f t="shared" ca="1" si="7"/>
        <v>118.0527</v>
      </c>
      <c r="T42" s="127">
        <f t="shared" ca="1" si="7"/>
        <v>117.53579999999999</v>
      </c>
      <c r="U42" s="127">
        <f t="shared" ca="1" si="7"/>
        <v>116.6379</v>
      </c>
      <c r="V42" s="127">
        <f t="shared" ca="1" si="7"/>
        <v>115.3993</v>
      </c>
      <c r="W42" s="127">
        <f t="shared" ref="M42:AU49" ca="1" si="9">Output("SCEN_ADEMEhaut",$B42,W$1)</f>
        <v>113.8569</v>
      </c>
      <c r="X42" s="127">
        <f t="shared" ca="1" si="9"/>
        <v>112.0346</v>
      </c>
      <c r="Y42" s="127">
        <f t="shared" ca="1" si="9"/>
        <v>109.96559999999999</v>
      </c>
      <c r="Z42" s="127">
        <f t="shared" ca="1" si="9"/>
        <v>107.68170000000001</v>
      </c>
      <c r="AA42" s="127">
        <f t="shared" ca="1" si="9"/>
        <v>105.21210000000001</v>
      </c>
      <c r="AB42" s="127">
        <f t="shared" ca="1" si="9"/>
        <v>102.58329999999999</v>
      </c>
      <c r="AC42" s="127">
        <f t="shared" ca="1" si="9"/>
        <v>99.832660000000004</v>
      </c>
      <c r="AD42" s="127">
        <f t="shared" ca="1" si="9"/>
        <v>96.974959999999996</v>
      </c>
      <c r="AE42" s="127">
        <f t="shared" ca="1" si="9"/>
        <v>94.021000000000001</v>
      </c>
      <c r="AF42" s="127">
        <f t="shared" ca="1" si="9"/>
        <v>90.982529999999997</v>
      </c>
      <c r="AG42" s="127">
        <f t="shared" ca="1" si="9"/>
        <v>87.872919999999993</v>
      </c>
      <c r="AH42" s="127">
        <f t="shared" ca="1" si="9"/>
        <v>84.706310000000002</v>
      </c>
      <c r="AI42" s="127">
        <f t="shared" ca="1" si="9"/>
        <v>81.496930000000006</v>
      </c>
      <c r="AJ42" s="127">
        <f t="shared" ca="1" si="9"/>
        <v>78.258669999999995</v>
      </c>
      <c r="AK42" s="127">
        <f t="shared" ca="1" si="9"/>
        <v>75.004949999999994</v>
      </c>
      <c r="AL42" s="127">
        <f t="shared" ca="1" si="9"/>
        <v>71.748599999999996</v>
      </c>
      <c r="AM42" s="127">
        <f t="shared" ca="1" si="9"/>
        <v>68.501829999999998</v>
      </c>
      <c r="AN42" s="127">
        <f t="shared" ca="1" si="9"/>
        <v>65.27628</v>
      </c>
      <c r="AO42" s="127">
        <f t="shared" ca="1" si="9"/>
        <v>62.082929999999998</v>
      </c>
      <c r="AP42" s="127">
        <f t="shared" ca="1" si="9"/>
        <v>58.937069999999999</v>
      </c>
      <c r="AQ42" s="127">
        <f t="shared" ca="1" si="9"/>
        <v>55.848799999999997</v>
      </c>
      <c r="AR42" s="127">
        <f t="shared" ca="1" si="9"/>
        <v>52.864939999999997</v>
      </c>
      <c r="AS42" s="127">
        <f t="shared" ca="1" si="9"/>
        <v>49.966279999999998</v>
      </c>
      <c r="AT42" s="127">
        <f t="shared" ca="1" si="9"/>
        <v>47.151150000000001</v>
      </c>
      <c r="AU42" s="127">
        <f t="shared" ca="1" si="9"/>
        <v>44.422939999999997</v>
      </c>
    </row>
    <row r="43" spans="2:47" x14ac:dyDescent="0.25">
      <c r="B43" t="s">
        <v>801</v>
      </c>
      <c r="C43" s="127">
        <f t="shared" ca="1" si="8"/>
        <v>1403.4570000000001</v>
      </c>
      <c r="D43" s="127">
        <f t="shared" ca="1" si="8"/>
        <v>1402.6489999999999</v>
      </c>
      <c r="E43" s="127">
        <f t="shared" ca="1" si="8"/>
        <v>1388.78</v>
      </c>
      <c r="F43" s="127">
        <f t="shared" ca="1" si="8"/>
        <v>1366.5340000000001</v>
      </c>
      <c r="G43" s="127">
        <f t="shared" ca="1" si="8"/>
        <v>1340.8009999999999</v>
      </c>
      <c r="H43" s="127">
        <f t="shared" ca="1" si="8"/>
        <v>1332.67</v>
      </c>
      <c r="I43" s="127">
        <f t="shared" ca="1" si="8"/>
        <v>1330.809</v>
      </c>
      <c r="J43" s="127">
        <f t="shared" ca="1" si="8"/>
        <v>1324.873</v>
      </c>
      <c r="K43" s="127">
        <f t="shared" ca="1" si="8"/>
        <v>1321.9939999999999</v>
      </c>
      <c r="L43" s="127">
        <f t="shared" ca="1" si="5"/>
        <v>1323.7629999999999</v>
      </c>
      <c r="M43" s="127">
        <f t="shared" ca="1" si="9"/>
        <v>1331.8610000000001</v>
      </c>
      <c r="N43" s="127">
        <f t="shared" ca="1" si="9"/>
        <v>1346.453</v>
      </c>
      <c r="O43" s="127">
        <f t="shared" ca="1" si="9"/>
        <v>1367.4480000000001</v>
      </c>
      <c r="P43" s="127">
        <f t="shared" ca="1" si="9"/>
        <v>1394.518</v>
      </c>
      <c r="Q43" s="127">
        <f t="shared" ca="1" si="9"/>
        <v>1426.9929999999999</v>
      </c>
      <c r="R43" s="127">
        <f t="shared" ca="1" si="9"/>
        <v>1464.748</v>
      </c>
      <c r="S43" s="127">
        <f t="shared" ca="1" si="9"/>
        <v>1507.596</v>
      </c>
      <c r="T43" s="127">
        <f t="shared" ca="1" si="9"/>
        <v>1555.36</v>
      </c>
      <c r="U43" s="127">
        <f t="shared" ca="1" si="9"/>
        <v>1607.8989999999999</v>
      </c>
      <c r="V43" s="127">
        <f t="shared" ca="1" si="9"/>
        <v>1665.0930000000001</v>
      </c>
      <c r="W43" s="127">
        <f t="shared" ca="1" si="9"/>
        <v>1726.837</v>
      </c>
      <c r="X43" s="127">
        <f t="shared" ca="1" si="9"/>
        <v>1792.894</v>
      </c>
      <c r="Y43" s="127">
        <f t="shared" ca="1" si="9"/>
        <v>1863.1289999999999</v>
      </c>
      <c r="Z43" s="127">
        <f t="shared" ca="1" si="9"/>
        <v>1937.422</v>
      </c>
      <c r="AA43" s="127">
        <f t="shared" ca="1" si="9"/>
        <v>2015.646</v>
      </c>
      <c r="AB43" s="127">
        <f t="shared" ca="1" si="9"/>
        <v>2102.7840000000001</v>
      </c>
      <c r="AC43" s="127">
        <f t="shared" ca="1" si="9"/>
        <v>2190.2370000000001</v>
      </c>
      <c r="AD43" s="127">
        <f t="shared" ca="1" si="9"/>
        <v>2275.5639999999999</v>
      </c>
      <c r="AE43" s="127">
        <f t="shared" ca="1" si="9"/>
        <v>2356.9870000000001</v>
      </c>
      <c r="AF43" s="127">
        <f t="shared" ca="1" si="9"/>
        <v>2433.4459999999999</v>
      </c>
      <c r="AG43" s="127">
        <f t="shared" ca="1" si="9"/>
        <v>2504.4059999999999</v>
      </c>
      <c r="AH43" s="127">
        <f t="shared" ca="1" si="9"/>
        <v>2569.6669999999999</v>
      </c>
      <c r="AI43" s="127">
        <f t="shared" ca="1" si="9"/>
        <v>2629.2109999999998</v>
      </c>
      <c r="AJ43" s="127">
        <f t="shared" ca="1" si="9"/>
        <v>2683.1120000000001</v>
      </c>
      <c r="AK43" s="127">
        <f t="shared" ca="1" si="9"/>
        <v>2731.48</v>
      </c>
      <c r="AL43" s="127">
        <f t="shared" ca="1" si="9"/>
        <v>2774.4259999999999</v>
      </c>
      <c r="AM43" s="127">
        <f t="shared" ca="1" si="9"/>
        <v>2812.0459999999998</v>
      </c>
      <c r="AN43" s="127">
        <f t="shared" ca="1" si="9"/>
        <v>2844.4209999999998</v>
      </c>
      <c r="AO43" s="127">
        <f t="shared" ca="1" si="9"/>
        <v>2871.6120000000001</v>
      </c>
      <c r="AP43" s="127">
        <f t="shared" ca="1" si="9"/>
        <v>2893.7249999999999</v>
      </c>
      <c r="AQ43" s="127">
        <f t="shared" ca="1" si="9"/>
        <v>2910.799</v>
      </c>
      <c r="AR43" s="127">
        <f t="shared" ca="1" si="9"/>
        <v>2921.4</v>
      </c>
      <c r="AS43" s="127">
        <f t="shared" ca="1" si="9"/>
        <v>2926.46</v>
      </c>
      <c r="AT43" s="127">
        <f t="shared" ca="1" si="9"/>
        <v>2926.3760000000002</v>
      </c>
      <c r="AU43" s="127">
        <f t="shared" ca="1" si="9"/>
        <v>2921.3359999999998</v>
      </c>
    </row>
    <row r="44" spans="2:47" x14ac:dyDescent="0.25">
      <c r="B44" t="s">
        <v>802</v>
      </c>
      <c r="C44" s="127">
        <f t="shared" ca="1" si="8"/>
        <v>633.08040000000005</v>
      </c>
      <c r="D44" s="127">
        <f t="shared" ca="1" si="8"/>
        <v>626.83270000000005</v>
      </c>
      <c r="E44" s="127">
        <f t="shared" ca="1" si="8"/>
        <v>602.28620000000001</v>
      </c>
      <c r="F44" s="127">
        <f t="shared" ca="1" si="8"/>
        <v>561.93439999999998</v>
      </c>
      <c r="G44" s="127">
        <f t="shared" ca="1" si="8"/>
        <v>510.90539999999999</v>
      </c>
      <c r="H44" s="127">
        <f t="shared" ca="1" si="8"/>
        <v>492.49720000000002</v>
      </c>
      <c r="I44" s="127">
        <f t="shared" ca="1" si="8"/>
        <v>484.23489999999998</v>
      </c>
      <c r="J44" s="127">
        <f t="shared" ca="1" si="8"/>
        <v>476.91809999999998</v>
      </c>
      <c r="K44" s="127">
        <f t="shared" ca="1" si="8"/>
        <v>470.0068</v>
      </c>
      <c r="L44" s="127">
        <f t="shared" ca="1" si="5"/>
        <v>463.67840000000001</v>
      </c>
      <c r="M44" s="127">
        <f t="shared" ca="1" si="9"/>
        <v>458.41649999999998</v>
      </c>
      <c r="N44" s="127">
        <f t="shared" ca="1" si="9"/>
        <v>454.22840000000002</v>
      </c>
      <c r="O44" s="127">
        <f t="shared" ca="1" si="9"/>
        <v>451.04140000000001</v>
      </c>
      <c r="P44" s="127">
        <f t="shared" ca="1" si="9"/>
        <v>448.70179999999999</v>
      </c>
      <c r="Q44" s="127">
        <f t="shared" ca="1" si="9"/>
        <v>446.9511</v>
      </c>
      <c r="R44" s="127">
        <f t="shared" ca="1" si="9"/>
        <v>445.714</v>
      </c>
      <c r="S44" s="127">
        <f t="shared" ca="1" si="9"/>
        <v>444.9008</v>
      </c>
      <c r="T44" s="127">
        <f t="shared" ca="1" si="9"/>
        <v>444.43169999999998</v>
      </c>
      <c r="U44" s="127">
        <f t="shared" ca="1" si="9"/>
        <v>444.24610000000001</v>
      </c>
      <c r="V44" s="127">
        <f t="shared" ca="1" si="9"/>
        <v>444.29919999999998</v>
      </c>
      <c r="W44" s="127">
        <f t="shared" ca="1" si="9"/>
        <v>444.55880000000002</v>
      </c>
      <c r="X44" s="127">
        <f t="shared" ca="1" si="9"/>
        <v>444.97030000000001</v>
      </c>
      <c r="Y44" s="127">
        <f t="shared" ca="1" si="9"/>
        <v>445.51589999999999</v>
      </c>
      <c r="Z44" s="127">
        <f t="shared" ca="1" si="9"/>
        <v>446.1909</v>
      </c>
      <c r="AA44" s="127">
        <f t="shared" ca="1" si="9"/>
        <v>446.99630000000002</v>
      </c>
      <c r="AB44" s="127">
        <f t="shared" ca="1" si="9"/>
        <v>449.03530000000001</v>
      </c>
      <c r="AC44" s="127">
        <f t="shared" ca="1" si="9"/>
        <v>451.87700000000001</v>
      </c>
      <c r="AD44" s="127">
        <f t="shared" ca="1" si="9"/>
        <v>455.04680000000002</v>
      </c>
      <c r="AE44" s="127">
        <f t="shared" ca="1" si="9"/>
        <v>458.25130000000001</v>
      </c>
      <c r="AF44" s="127">
        <f t="shared" ca="1" si="9"/>
        <v>461.35599999999999</v>
      </c>
      <c r="AG44" s="127">
        <f t="shared" ca="1" si="9"/>
        <v>464.3252</v>
      </c>
      <c r="AH44" s="127">
        <f t="shared" ca="1" si="9"/>
        <v>467.17439999999999</v>
      </c>
      <c r="AI44" s="127">
        <f t="shared" ca="1" si="9"/>
        <v>469.93880000000001</v>
      </c>
      <c r="AJ44" s="127">
        <f t="shared" ca="1" si="9"/>
        <v>472.65589999999997</v>
      </c>
      <c r="AK44" s="127">
        <f t="shared" ca="1" si="9"/>
        <v>475.35750000000002</v>
      </c>
      <c r="AL44" s="127">
        <f t="shared" ca="1" si="9"/>
        <v>478.06490000000002</v>
      </c>
      <c r="AM44" s="127">
        <f t="shared" ca="1" si="9"/>
        <v>480.78899999999999</v>
      </c>
      <c r="AN44" s="127">
        <f t="shared" ca="1" si="9"/>
        <v>483.53</v>
      </c>
      <c r="AO44" s="127">
        <f t="shared" ca="1" si="9"/>
        <v>486.2792</v>
      </c>
      <c r="AP44" s="127">
        <f t="shared" ca="1" si="9"/>
        <v>489.03059999999999</v>
      </c>
      <c r="AQ44" s="127">
        <f t="shared" ca="1" si="9"/>
        <v>491.76150000000001</v>
      </c>
      <c r="AR44" s="127">
        <f t="shared" ca="1" si="9"/>
        <v>494.19659999999999</v>
      </c>
      <c r="AS44" s="127">
        <f t="shared" ca="1" si="9"/>
        <v>496.4547</v>
      </c>
      <c r="AT44" s="127">
        <f t="shared" ca="1" si="9"/>
        <v>498.56049999999999</v>
      </c>
      <c r="AU44" s="127">
        <f t="shared" ca="1" si="9"/>
        <v>500.50040000000001</v>
      </c>
    </row>
    <row r="45" spans="2:47" x14ac:dyDescent="0.25">
      <c r="B45" t="s">
        <v>803</v>
      </c>
      <c r="C45" s="127">
        <f t="shared" ca="1" si="8"/>
        <v>137.00450000000001</v>
      </c>
      <c r="D45" s="127">
        <f t="shared" ca="1" si="8"/>
        <v>138.36269999999999</v>
      </c>
      <c r="E45" s="127">
        <f t="shared" ca="1" si="8"/>
        <v>141.1</v>
      </c>
      <c r="F45" s="127">
        <f t="shared" ca="1" si="8"/>
        <v>145.09370000000001</v>
      </c>
      <c r="G45" s="127">
        <f t="shared" ca="1" si="8"/>
        <v>149.6155</v>
      </c>
      <c r="H45" s="127">
        <f t="shared" ca="1" si="8"/>
        <v>151.65260000000001</v>
      </c>
      <c r="I45" s="127">
        <f t="shared" ca="1" si="8"/>
        <v>152.8922</v>
      </c>
      <c r="J45" s="127">
        <f t="shared" ca="1" si="8"/>
        <v>153.1576</v>
      </c>
      <c r="K45" s="127">
        <f t="shared" ca="1" si="8"/>
        <v>153.0633</v>
      </c>
      <c r="L45" s="127">
        <f t="shared" ca="1" si="5"/>
        <v>152.90989999999999</v>
      </c>
      <c r="M45" s="127">
        <f t="shared" ca="1" si="9"/>
        <v>152.9385</v>
      </c>
      <c r="N45" s="127">
        <f t="shared" ca="1" si="9"/>
        <v>153.18709999999999</v>
      </c>
      <c r="O45" s="127">
        <f t="shared" ca="1" si="9"/>
        <v>153.6506</v>
      </c>
      <c r="P45" s="127">
        <f t="shared" ca="1" si="9"/>
        <v>154.28980000000001</v>
      </c>
      <c r="Q45" s="127">
        <f t="shared" ca="1" si="9"/>
        <v>155.02510000000001</v>
      </c>
      <c r="R45" s="127">
        <f t="shared" ca="1" si="9"/>
        <v>155.83629999999999</v>
      </c>
      <c r="S45" s="127">
        <f t="shared" ca="1" si="9"/>
        <v>156.69669999999999</v>
      </c>
      <c r="T45" s="127">
        <f t="shared" ca="1" si="9"/>
        <v>157.58199999999999</v>
      </c>
      <c r="U45" s="127">
        <f t="shared" ca="1" si="9"/>
        <v>158.4734</v>
      </c>
      <c r="V45" s="127">
        <f t="shared" ca="1" si="9"/>
        <v>159.35740000000001</v>
      </c>
      <c r="W45" s="127">
        <f t="shared" ca="1" si="9"/>
        <v>160.22450000000001</v>
      </c>
      <c r="X45" s="127">
        <f t="shared" ca="1" si="9"/>
        <v>161.05690000000001</v>
      </c>
      <c r="Y45" s="127">
        <f t="shared" ca="1" si="9"/>
        <v>161.85</v>
      </c>
      <c r="Z45" s="127">
        <f t="shared" ca="1" si="9"/>
        <v>162.6037</v>
      </c>
      <c r="AA45" s="127">
        <f t="shared" ca="1" si="9"/>
        <v>163.32060000000001</v>
      </c>
      <c r="AB45" s="127">
        <f t="shared" ca="1" si="9"/>
        <v>164.40880000000001</v>
      </c>
      <c r="AC45" s="127">
        <f t="shared" ca="1" si="9"/>
        <v>165.71379999999999</v>
      </c>
      <c r="AD45" s="127">
        <f t="shared" ca="1" si="9"/>
        <v>167.0634</v>
      </c>
      <c r="AE45" s="127">
        <f t="shared" ca="1" si="9"/>
        <v>168.35059999999999</v>
      </c>
      <c r="AF45" s="127">
        <f t="shared" ca="1" si="9"/>
        <v>169.52680000000001</v>
      </c>
      <c r="AG45" s="127">
        <f t="shared" ca="1" si="9"/>
        <v>170.58029999999999</v>
      </c>
      <c r="AH45" s="127">
        <f t="shared" ca="1" si="9"/>
        <v>171.51840000000001</v>
      </c>
      <c r="AI45" s="127">
        <f t="shared" ca="1" si="9"/>
        <v>172.3561</v>
      </c>
      <c r="AJ45" s="127">
        <f t="shared" ca="1" si="9"/>
        <v>173.1097</v>
      </c>
      <c r="AK45" s="127">
        <f t="shared" ca="1" si="9"/>
        <v>173.79329999999999</v>
      </c>
      <c r="AL45" s="127">
        <f t="shared" ca="1" si="9"/>
        <v>174.41749999999999</v>
      </c>
      <c r="AM45" s="127">
        <f t="shared" ca="1" si="9"/>
        <v>174.98910000000001</v>
      </c>
      <c r="AN45" s="127">
        <f t="shared" ca="1" si="9"/>
        <v>175.51089999999999</v>
      </c>
      <c r="AO45" s="127">
        <f t="shared" ca="1" si="9"/>
        <v>175.9829</v>
      </c>
      <c r="AP45" s="127">
        <f t="shared" ca="1" si="9"/>
        <v>176.4057</v>
      </c>
      <c r="AQ45" s="127">
        <f t="shared" ca="1" si="9"/>
        <v>176.77430000000001</v>
      </c>
      <c r="AR45" s="127">
        <f t="shared" ca="1" si="9"/>
        <v>176.9931</v>
      </c>
      <c r="AS45" s="127">
        <f t="shared" ca="1" si="9"/>
        <v>177.10890000000001</v>
      </c>
      <c r="AT45" s="127">
        <f t="shared" ca="1" si="9"/>
        <v>177.1344</v>
      </c>
      <c r="AU45" s="127">
        <f t="shared" ca="1" si="9"/>
        <v>177.06829999999999</v>
      </c>
    </row>
    <row r="46" spans="2:47" x14ac:dyDescent="0.25">
      <c r="B46" t="s">
        <v>804</v>
      </c>
      <c r="C46" s="127">
        <f t="shared" ca="1" si="8"/>
        <v>271.13749999999999</v>
      </c>
      <c r="D46" s="127">
        <f t="shared" ca="1" si="8"/>
        <v>271.7165</v>
      </c>
      <c r="E46" s="127">
        <f t="shared" ca="1" si="8"/>
        <v>270.38869999999997</v>
      </c>
      <c r="F46" s="127">
        <f t="shared" ca="1" si="8"/>
        <v>266.45580000000001</v>
      </c>
      <c r="G46" s="127">
        <f t="shared" ca="1" si="8"/>
        <v>258.70429999999999</v>
      </c>
      <c r="H46" s="127">
        <f t="shared" ca="1" si="8"/>
        <v>256.03879999999998</v>
      </c>
      <c r="I46" s="127">
        <f t="shared" ca="1" si="8"/>
        <v>255.10290000000001</v>
      </c>
      <c r="J46" s="127">
        <f t="shared" ca="1" si="8"/>
        <v>253.5231</v>
      </c>
      <c r="K46" s="127">
        <f t="shared" ca="1" si="8"/>
        <v>251.70689999999999</v>
      </c>
      <c r="L46" s="127">
        <f t="shared" ca="1" si="5"/>
        <v>249.96170000000001</v>
      </c>
      <c r="M46" s="127">
        <f t="shared" ca="1" si="9"/>
        <v>248.61850000000001</v>
      </c>
      <c r="N46" s="127">
        <f t="shared" ca="1" si="9"/>
        <v>247.71289999999999</v>
      </c>
      <c r="O46" s="127">
        <f t="shared" ca="1" si="9"/>
        <v>247.2235</v>
      </c>
      <c r="P46" s="127">
        <f t="shared" ca="1" si="9"/>
        <v>247.0788</v>
      </c>
      <c r="Q46" s="127">
        <f t="shared" ca="1" si="9"/>
        <v>247.14580000000001</v>
      </c>
      <c r="R46" s="127">
        <f t="shared" ca="1" si="9"/>
        <v>247.38919999999999</v>
      </c>
      <c r="S46" s="127">
        <f t="shared" ca="1" si="9"/>
        <v>247.76390000000001</v>
      </c>
      <c r="T46" s="127">
        <f t="shared" ca="1" si="9"/>
        <v>248.2294</v>
      </c>
      <c r="U46" s="127">
        <f t="shared" ca="1" si="9"/>
        <v>248.75479999999999</v>
      </c>
      <c r="V46" s="127">
        <f t="shared" ca="1" si="9"/>
        <v>249.3176</v>
      </c>
      <c r="W46" s="127">
        <f t="shared" ca="1" si="9"/>
        <v>249.90190000000001</v>
      </c>
      <c r="X46" s="127">
        <f t="shared" ca="1" si="9"/>
        <v>250.47900000000001</v>
      </c>
      <c r="Y46" s="127">
        <f t="shared" ca="1" si="9"/>
        <v>251.0411</v>
      </c>
      <c r="Z46" s="127">
        <f t="shared" ca="1" si="9"/>
        <v>251.5872</v>
      </c>
      <c r="AA46" s="127">
        <f t="shared" ca="1" si="9"/>
        <v>252.12029999999999</v>
      </c>
      <c r="AB46" s="127">
        <f t="shared" ca="1" si="9"/>
        <v>253.27109999999999</v>
      </c>
      <c r="AC46" s="127">
        <f t="shared" ca="1" si="9"/>
        <v>254.79759999999999</v>
      </c>
      <c r="AD46" s="127">
        <f t="shared" ca="1" si="9"/>
        <v>256.43270000000001</v>
      </c>
      <c r="AE46" s="127">
        <f t="shared" ca="1" si="9"/>
        <v>258.01170000000002</v>
      </c>
      <c r="AF46" s="127">
        <f t="shared" ca="1" si="9"/>
        <v>259.46010000000001</v>
      </c>
      <c r="AG46" s="127">
        <f t="shared" ca="1" si="9"/>
        <v>260.75979999999998</v>
      </c>
      <c r="AH46" s="127">
        <f t="shared" ca="1" si="9"/>
        <v>261.92169999999999</v>
      </c>
      <c r="AI46" s="127">
        <f t="shared" ca="1" si="9"/>
        <v>262.96839999999997</v>
      </c>
      <c r="AJ46" s="127">
        <f t="shared" ca="1" si="9"/>
        <v>263.9237</v>
      </c>
      <c r="AK46" s="127">
        <f t="shared" ca="1" si="9"/>
        <v>264.80829999999997</v>
      </c>
      <c r="AL46" s="127">
        <f t="shared" ca="1" si="9"/>
        <v>265.63729999999998</v>
      </c>
      <c r="AM46" s="127">
        <f t="shared" ca="1" si="9"/>
        <v>266.4196</v>
      </c>
      <c r="AN46" s="127">
        <f t="shared" ca="1" si="9"/>
        <v>267.1583</v>
      </c>
      <c r="AO46" s="127">
        <f t="shared" ca="1" si="9"/>
        <v>267.8519</v>
      </c>
      <c r="AP46" s="127">
        <f t="shared" ca="1" si="9"/>
        <v>268.5</v>
      </c>
      <c r="AQ46" s="127">
        <f t="shared" ca="1" si="9"/>
        <v>269.09320000000002</v>
      </c>
      <c r="AR46" s="127">
        <f t="shared" ca="1" si="9"/>
        <v>269.4846</v>
      </c>
      <c r="AS46" s="127">
        <f t="shared" ca="1" si="9"/>
        <v>269.74349999999998</v>
      </c>
      <c r="AT46" s="127">
        <f t="shared" ca="1" si="9"/>
        <v>269.88709999999998</v>
      </c>
      <c r="AU46" s="127">
        <f t="shared" ca="1" si="9"/>
        <v>269.9117</v>
      </c>
    </row>
    <row r="47" spans="2:47" x14ac:dyDescent="0.25">
      <c r="B47" t="s">
        <v>805</v>
      </c>
      <c r="C47" s="127">
        <f t="shared" ca="1" si="8"/>
        <v>208.90190000000001</v>
      </c>
      <c r="D47" s="127">
        <f t="shared" ca="1" si="8"/>
        <v>217.23990000000001</v>
      </c>
      <c r="E47" s="127">
        <f t="shared" ca="1" si="8"/>
        <v>244.62280000000001</v>
      </c>
      <c r="F47" s="127">
        <f t="shared" ca="1" si="8"/>
        <v>298.94600000000003</v>
      </c>
      <c r="G47" s="127">
        <f t="shared" ca="1" si="8"/>
        <v>388.03879999999998</v>
      </c>
      <c r="H47" s="127">
        <f t="shared" ca="1" si="8"/>
        <v>430.56599999999997</v>
      </c>
      <c r="I47" s="127">
        <f t="shared" ca="1" si="8"/>
        <v>453.40559999999999</v>
      </c>
      <c r="J47" s="127">
        <f t="shared" ca="1" si="8"/>
        <v>467.11169999999998</v>
      </c>
      <c r="K47" s="127">
        <f t="shared" ca="1" si="8"/>
        <v>477.23239999999998</v>
      </c>
      <c r="L47" s="127">
        <f t="shared" ca="1" si="5"/>
        <v>485.89269999999999</v>
      </c>
      <c r="M47" s="127">
        <f t="shared" ca="1" si="9"/>
        <v>494.25259999999997</v>
      </c>
      <c r="N47" s="127">
        <f t="shared" ca="1" si="9"/>
        <v>502.59300000000002</v>
      </c>
      <c r="O47" s="127">
        <f t="shared" ca="1" si="9"/>
        <v>510.97449999999998</v>
      </c>
      <c r="P47" s="127">
        <f t="shared" ca="1" si="9"/>
        <v>519.31290000000001</v>
      </c>
      <c r="Q47" s="127">
        <f t="shared" ca="1" si="9"/>
        <v>527.36919999999998</v>
      </c>
      <c r="R47" s="127">
        <f t="shared" ca="1" si="9"/>
        <v>535.09389999999996</v>
      </c>
      <c r="S47" s="127">
        <f t="shared" ca="1" si="9"/>
        <v>542.41160000000002</v>
      </c>
      <c r="T47" s="127">
        <f t="shared" ca="1" si="9"/>
        <v>549.25170000000003</v>
      </c>
      <c r="U47" s="127">
        <f t="shared" ca="1" si="9"/>
        <v>555.56320000000005</v>
      </c>
      <c r="V47" s="127">
        <f t="shared" ca="1" si="9"/>
        <v>561.31259999999997</v>
      </c>
      <c r="W47" s="127">
        <f t="shared" ca="1" si="9"/>
        <v>566.48199999999997</v>
      </c>
      <c r="X47" s="127">
        <f t="shared" ca="1" si="9"/>
        <v>571.02530000000002</v>
      </c>
      <c r="Y47" s="127">
        <f t="shared" ca="1" si="9"/>
        <v>574.94439999999997</v>
      </c>
      <c r="Z47" s="127">
        <f t="shared" ca="1" si="9"/>
        <v>578.2595</v>
      </c>
      <c r="AA47" s="127">
        <f t="shared" ca="1" si="9"/>
        <v>581.00080000000003</v>
      </c>
      <c r="AB47" s="127">
        <f t="shared" ca="1" si="9"/>
        <v>584.64790000000005</v>
      </c>
      <c r="AC47" s="127">
        <f t="shared" ca="1" si="9"/>
        <v>588.7097</v>
      </c>
      <c r="AD47" s="127">
        <f t="shared" ca="1" si="9"/>
        <v>592.54989999999998</v>
      </c>
      <c r="AE47" s="127">
        <f t="shared" ca="1" si="9"/>
        <v>595.80690000000004</v>
      </c>
      <c r="AF47" s="127">
        <f t="shared" ca="1" si="9"/>
        <v>598.32920000000001</v>
      </c>
      <c r="AG47" s="127">
        <f t="shared" ca="1" si="9"/>
        <v>600.09829999999999</v>
      </c>
      <c r="AH47" s="127">
        <f t="shared" ca="1" si="9"/>
        <v>601.16489999999999</v>
      </c>
      <c r="AI47" s="127">
        <f t="shared" ca="1" si="9"/>
        <v>601.60730000000001</v>
      </c>
      <c r="AJ47" s="127">
        <f t="shared" ca="1" si="9"/>
        <v>601.5077</v>
      </c>
      <c r="AK47" s="127">
        <f t="shared" ca="1" si="9"/>
        <v>600.94060000000002</v>
      </c>
      <c r="AL47" s="127">
        <f t="shared" ca="1" si="9"/>
        <v>599.96680000000003</v>
      </c>
      <c r="AM47" s="127">
        <f t="shared" ca="1" si="9"/>
        <v>598.63300000000004</v>
      </c>
      <c r="AN47" s="127">
        <f t="shared" ca="1" si="9"/>
        <v>596.97199999999998</v>
      </c>
      <c r="AO47" s="127">
        <f t="shared" ca="1" si="9"/>
        <v>595.00490000000002</v>
      </c>
      <c r="AP47" s="127">
        <f t="shared" ca="1" si="9"/>
        <v>592.75519999999995</v>
      </c>
      <c r="AQ47" s="127">
        <f t="shared" ca="1" si="9"/>
        <v>590.22619999999995</v>
      </c>
      <c r="AR47" s="127">
        <f t="shared" ca="1" si="9"/>
        <v>587.12049999999999</v>
      </c>
      <c r="AS47" s="127">
        <f t="shared" ca="1" si="9"/>
        <v>583.6173</v>
      </c>
      <c r="AT47" s="127">
        <f t="shared" ca="1" si="9"/>
        <v>579.779</v>
      </c>
      <c r="AU47" s="127">
        <f t="shared" ca="1" si="9"/>
        <v>575.62159999999994</v>
      </c>
    </row>
    <row r="48" spans="2:47" x14ac:dyDescent="0.25">
      <c r="B48" t="s">
        <v>806</v>
      </c>
      <c r="C48" s="127">
        <f t="shared" ca="1" si="8"/>
        <v>91.044179999999997</v>
      </c>
      <c r="D48" s="127">
        <f t="shared" ca="1" si="8"/>
        <v>92.968059999999994</v>
      </c>
      <c r="E48" s="127">
        <f t="shared" ca="1" si="8"/>
        <v>96.395499999999998</v>
      </c>
      <c r="F48" s="127">
        <f t="shared" ca="1" si="8"/>
        <v>98.704400000000007</v>
      </c>
      <c r="G48" s="127">
        <f t="shared" ca="1" si="8"/>
        <v>95.785390000000007</v>
      </c>
      <c r="H48" s="127">
        <f t="shared" ca="1" si="8"/>
        <v>94.928089999999997</v>
      </c>
      <c r="I48" s="127">
        <f t="shared" ca="1" si="8"/>
        <v>94.78546</v>
      </c>
      <c r="J48" s="127">
        <f t="shared" ca="1" si="8"/>
        <v>94.416870000000003</v>
      </c>
      <c r="K48" s="127">
        <f t="shared" ca="1" si="8"/>
        <v>93.953980000000001</v>
      </c>
      <c r="L48" s="127">
        <f t="shared" ca="1" si="5"/>
        <v>93.50658</v>
      </c>
      <c r="M48" s="127">
        <f t="shared" ca="1" si="9"/>
        <v>93.197940000000003</v>
      </c>
      <c r="N48" s="127">
        <f t="shared" ca="1" si="9"/>
        <v>93.042829999999995</v>
      </c>
      <c r="O48" s="127">
        <f t="shared" ca="1" si="9"/>
        <v>93.035060000000001</v>
      </c>
      <c r="P48" s="127">
        <f t="shared" ca="1" si="9"/>
        <v>93.149550000000005</v>
      </c>
      <c r="Q48" s="127">
        <f t="shared" ca="1" si="9"/>
        <v>93.337590000000006</v>
      </c>
      <c r="R48" s="127">
        <f t="shared" ca="1" si="9"/>
        <v>93.586680000000001</v>
      </c>
      <c r="S48" s="127">
        <f t="shared" ca="1" si="9"/>
        <v>93.880359999999996</v>
      </c>
      <c r="T48" s="127">
        <f t="shared" ca="1" si="9"/>
        <v>94.203580000000002</v>
      </c>
      <c r="U48" s="127">
        <f t="shared" ca="1" si="9"/>
        <v>94.544799999999995</v>
      </c>
      <c r="V48" s="127">
        <f t="shared" ca="1" si="9"/>
        <v>94.895409999999998</v>
      </c>
      <c r="W48" s="127">
        <f t="shared" ca="1" si="9"/>
        <v>95.249380000000002</v>
      </c>
      <c r="X48" s="127">
        <f t="shared" ca="1" si="9"/>
        <v>95.595640000000003</v>
      </c>
      <c r="Y48" s="127">
        <f t="shared" ca="1" si="9"/>
        <v>95.931060000000002</v>
      </c>
      <c r="Z48" s="127">
        <f t="shared" ca="1" si="9"/>
        <v>96.255250000000004</v>
      </c>
      <c r="AA48" s="127">
        <f t="shared" ca="1" si="9"/>
        <v>96.569239999999994</v>
      </c>
      <c r="AB48" s="127">
        <f t="shared" ca="1" si="9"/>
        <v>97.117559999999997</v>
      </c>
      <c r="AC48" s="127">
        <f t="shared" ca="1" si="9"/>
        <v>97.780439999999999</v>
      </c>
      <c r="AD48" s="127">
        <f t="shared" ca="1" si="9"/>
        <v>98.481830000000002</v>
      </c>
      <c r="AE48" s="127">
        <f t="shared" ca="1" si="9"/>
        <v>99.15795</v>
      </c>
      <c r="AF48" s="127">
        <f t="shared" ca="1" si="9"/>
        <v>99.779629999999997</v>
      </c>
      <c r="AG48" s="127">
        <f t="shared" ca="1" si="9"/>
        <v>100.3395</v>
      </c>
      <c r="AH48" s="127">
        <f t="shared" ca="1" si="9"/>
        <v>100.8416</v>
      </c>
      <c r="AI48" s="127">
        <f t="shared" ca="1" si="9"/>
        <v>101.2944</v>
      </c>
      <c r="AJ48" s="127">
        <f t="shared" ca="1" si="9"/>
        <v>101.7072</v>
      </c>
      <c r="AK48" s="127">
        <f t="shared" ca="1" si="9"/>
        <v>102.0882</v>
      </c>
      <c r="AL48" s="127">
        <f t="shared" ca="1" si="9"/>
        <v>102.4432</v>
      </c>
      <c r="AM48" s="127">
        <f t="shared" ca="1" si="9"/>
        <v>102.7761</v>
      </c>
      <c r="AN48" s="127">
        <f t="shared" ca="1" si="9"/>
        <v>103.0882</v>
      </c>
      <c r="AO48" s="127">
        <f t="shared" ca="1" si="9"/>
        <v>103.3794</v>
      </c>
      <c r="AP48" s="127">
        <f t="shared" ca="1" si="9"/>
        <v>103.64960000000001</v>
      </c>
      <c r="AQ48" s="127">
        <f t="shared" ca="1" si="9"/>
        <v>103.8955</v>
      </c>
      <c r="AR48" s="127">
        <f t="shared" ca="1" si="9"/>
        <v>104.0608</v>
      </c>
      <c r="AS48" s="127">
        <f t="shared" ca="1" si="9"/>
        <v>104.17230000000001</v>
      </c>
      <c r="AT48" s="127">
        <f t="shared" ca="1" si="9"/>
        <v>104.2372</v>
      </c>
      <c r="AU48" s="127">
        <f t="shared" ca="1" si="9"/>
        <v>104.2542</v>
      </c>
    </row>
    <row r="49" spans="2:47" x14ac:dyDescent="0.25">
      <c r="B49" t="s">
        <v>807</v>
      </c>
      <c r="C49" s="127">
        <f t="shared" ca="1" si="8"/>
        <v>533.33820000000003</v>
      </c>
      <c r="D49" s="127">
        <f t="shared" ca="1" si="8"/>
        <v>535.61450000000002</v>
      </c>
      <c r="E49" s="127">
        <f t="shared" ca="1" si="8"/>
        <v>539.15549999999996</v>
      </c>
      <c r="F49" s="127">
        <f t="shared" ca="1" si="8"/>
        <v>546.22760000000005</v>
      </c>
      <c r="G49" s="127">
        <f t="shared" ca="1" si="8"/>
        <v>558.83939999999996</v>
      </c>
      <c r="H49" s="127">
        <f t="shared" ca="1" si="8"/>
        <v>564.64279999999997</v>
      </c>
      <c r="I49" s="127">
        <f t="shared" ca="1" si="8"/>
        <v>568.3152</v>
      </c>
      <c r="J49" s="127">
        <f t="shared" ca="1" si="8"/>
        <v>568.66579999999999</v>
      </c>
      <c r="K49" s="127">
        <f t="shared" ca="1" si="8"/>
        <v>567.80020000000002</v>
      </c>
      <c r="L49" s="127">
        <f t="shared" ca="1" si="5"/>
        <v>566.77509999999995</v>
      </c>
      <c r="M49" s="127">
        <f t="shared" ca="1" si="9"/>
        <v>566.45680000000004</v>
      </c>
      <c r="N49" s="127">
        <f t="shared" ca="1" si="9"/>
        <v>566.97349999999994</v>
      </c>
      <c r="O49" s="127">
        <f t="shared" ca="1" si="9"/>
        <v>568.30150000000003</v>
      </c>
      <c r="P49" s="127">
        <f t="shared" ca="1" si="9"/>
        <v>570.29359999999997</v>
      </c>
      <c r="Q49" s="127">
        <f t="shared" ca="1" si="9"/>
        <v>572.65390000000002</v>
      </c>
      <c r="R49" s="127">
        <f t="shared" ca="1" si="9"/>
        <v>575.30640000000005</v>
      </c>
      <c r="S49" s="127">
        <f t="shared" ca="1" si="9"/>
        <v>578.15020000000004</v>
      </c>
      <c r="T49" s="127">
        <f t="shared" ca="1" si="9"/>
        <v>581.09249999999997</v>
      </c>
      <c r="U49" s="127">
        <f t="shared" ca="1" si="9"/>
        <v>584.06169999999997</v>
      </c>
      <c r="V49" s="127">
        <f t="shared" ca="1" si="9"/>
        <v>587.00440000000003</v>
      </c>
      <c r="W49" s="127">
        <f t="shared" ca="1" si="9"/>
        <v>589.88279999999997</v>
      </c>
      <c r="X49" s="127">
        <f t="shared" ca="1" si="9"/>
        <v>592.62810000000002</v>
      </c>
      <c r="Y49" s="127">
        <f t="shared" ca="1" si="9"/>
        <v>595.22069999999997</v>
      </c>
      <c r="Z49" s="127">
        <f t="shared" ca="1" si="9"/>
        <v>597.65800000000002</v>
      </c>
      <c r="AA49" s="127">
        <f t="shared" ca="1" si="9"/>
        <v>599.94669999999996</v>
      </c>
      <c r="AB49" s="127">
        <f t="shared" ca="1" si="9"/>
        <v>603.60410000000002</v>
      </c>
      <c r="AC49" s="127">
        <f t="shared" ca="1" si="9"/>
        <v>607.56269999999995</v>
      </c>
      <c r="AD49" s="127">
        <f t="shared" ca="1" si="9"/>
        <v>611.67399999999998</v>
      </c>
      <c r="AE49" s="127">
        <f t="shared" ca="1" si="9"/>
        <v>615.54430000000002</v>
      </c>
      <c r="AF49" s="127">
        <f t="shared" ca="1" si="9"/>
        <v>618.99490000000003</v>
      </c>
      <c r="AG49" s="127">
        <f t="shared" ref="M49:AU56" ca="1" si="10">Output("SCEN_ADEMEhaut",$B49,AG$1)</f>
        <v>621.98329999999999</v>
      </c>
      <c r="AH49" s="127">
        <f t="shared" ca="1" si="10"/>
        <v>624.53710000000001</v>
      </c>
      <c r="AI49" s="127">
        <f t="shared" ca="1" si="10"/>
        <v>626.71209999999996</v>
      </c>
      <c r="AJ49" s="127">
        <f t="shared" ca="1" si="10"/>
        <v>628.56859999999995</v>
      </c>
      <c r="AK49" s="127">
        <f t="shared" ca="1" si="10"/>
        <v>630.15920000000006</v>
      </c>
      <c r="AL49" s="127">
        <f t="shared" ca="1" si="10"/>
        <v>631.52359999999999</v>
      </c>
      <c r="AM49" s="127">
        <f t="shared" ca="1" si="10"/>
        <v>632.68700000000001</v>
      </c>
      <c r="AN49" s="127">
        <f t="shared" ca="1" si="10"/>
        <v>633.66129999999998</v>
      </c>
      <c r="AO49" s="127">
        <f t="shared" ca="1" si="10"/>
        <v>634.44659999999999</v>
      </c>
      <c r="AP49" s="127">
        <f t="shared" ca="1" si="10"/>
        <v>635.04639999999995</v>
      </c>
      <c r="AQ49" s="127">
        <f t="shared" ca="1" si="10"/>
        <v>635.44330000000002</v>
      </c>
      <c r="AR49" s="127">
        <f t="shared" ca="1" si="10"/>
        <v>635.29470000000003</v>
      </c>
      <c r="AS49" s="127">
        <f t="shared" ca="1" si="10"/>
        <v>634.77020000000005</v>
      </c>
      <c r="AT49" s="127">
        <f t="shared" ca="1" si="10"/>
        <v>633.91560000000004</v>
      </c>
      <c r="AU49" s="127">
        <f t="shared" ca="1" si="10"/>
        <v>632.72770000000003</v>
      </c>
    </row>
    <row r="50" spans="2:47" x14ac:dyDescent="0.25">
      <c r="B50" t="s">
        <v>808</v>
      </c>
      <c r="C50" s="127">
        <f t="shared" ca="1" si="8"/>
        <v>260.85340000000002</v>
      </c>
      <c r="D50" s="127">
        <f t="shared" ca="1" si="8"/>
        <v>303.21640000000002</v>
      </c>
      <c r="E50" s="127">
        <f t="shared" ca="1" si="8"/>
        <v>418.23820000000001</v>
      </c>
      <c r="F50" s="127">
        <f t="shared" ca="1" si="8"/>
        <v>593.79769999999996</v>
      </c>
      <c r="G50" s="127">
        <f t="shared" ca="1" si="8"/>
        <v>796.79809999999998</v>
      </c>
      <c r="H50" s="127">
        <f t="shared" ca="1" si="8"/>
        <v>902.86469999999997</v>
      </c>
      <c r="I50" s="127">
        <f t="shared" ca="1" si="8"/>
        <v>966.08330000000001</v>
      </c>
      <c r="J50" s="127">
        <f t="shared" ca="1" si="8"/>
        <v>1008.162</v>
      </c>
      <c r="K50" s="127">
        <f t="shared" ca="1" si="8"/>
        <v>1040.8720000000001</v>
      </c>
      <c r="L50" s="127">
        <f t="shared" ca="1" si="5"/>
        <v>1068.8800000000001</v>
      </c>
      <c r="M50" s="127">
        <f t="shared" ca="1" si="10"/>
        <v>1094.8330000000001</v>
      </c>
      <c r="N50" s="127">
        <f t="shared" ca="1" si="10"/>
        <v>1119.4690000000001</v>
      </c>
      <c r="O50" s="127">
        <f t="shared" ca="1" si="10"/>
        <v>1143.0309999999999</v>
      </c>
      <c r="P50" s="127">
        <f t="shared" ca="1" si="10"/>
        <v>1165.4290000000001</v>
      </c>
      <c r="Q50" s="127">
        <f t="shared" ca="1" si="10"/>
        <v>1186.213</v>
      </c>
      <c r="R50" s="127">
        <f t="shared" ca="1" si="10"/>
        <v>1205.3499999999999</v>
      </c>
      <c r="S50" s="127">
        <f t="shared" ca="1" si="10"/>
        <v>1222.742</v>
      </c>
      <c r="T50" s="127">
        <f t="shared" ca="1" si="10"/>
        <v>1238.3019999999999</v>
      </c>
      <c r="U50" s="127">
        <f t="shared" ca="1" si="10"/>
        <v>1251.9849999999999</v>
      </c>
      <c r="V50" s="127">
        <f t="shared" ca="1" si="10"/>
        <v>1263.7819999999999</v>
      </c>
      <c r="W50" s="127">
        <f t="shared" ca="1" si="10"/>
        <v>1273.723</v>
      </c>
      <c r="X50" s="127">
        <f t="shared" ca="1" si="10"/>
        <v>1281.768</v>
      </c>
      <c r="Y50" s="127">
        <f t="shared" ca="1" si="10"/>
        <v>1287.9880000000001</v>
      </c>
      <c r="Z50" s="127">
        <f t="shared" ca="1" si="10"/>
        <v>1292.492</v>
      </c>
      <c r="AA50" s="127">
        <f t="shared" ca="1" si="10"/>
        <v>1295.4059999999999</v>
      </c>
      <c r="AB50" s="127">
        <f t="shared" ca="1" si="10"/>
        <v>1300.0940000000001</v>
      </c>
      <c r="AC50" s="127">
        <f t="shared" ca="1" si="10"/>
        <v>1305.3040000000001</v>
      </c>
      <c r="AD50" s="127">
        <f t="shared" ca="1" si="10"/>
        <v>1309.8389999999999</v>
      </c>
      <c r="AE50" s="127">
        <f t="shared" ca="1" si="10"/>
        <v>1312.941</v>
      </c>
      <c r="AF50" s="127">
        <f t="shared" ca="1" si="10"/>
        <v>1314.318</v>
      </c>
      <c r="AG50" s="127">
        <f t="shared" ca="1" si="10"/>
        <v>1313.9749999999999</v>
      </c>
      <c r="AH50" s="127">
        <f t="shared" ca="1" si="10"/>
        <v>1312.067</v>
      </c>
      <c r="AI50" s="127">
        <f t="shared" ca="1" si="10"/>
        <v>1308.8030000000001</v>
      </c>
      <c r="AJ50" s="127">
        <f t="shared" ca="1" si="10"/>
        <v>1304.3989999999999</v>
      </c>
      <c r="AK50" s="127">
        <f t="shared" ca="1" si="10"/>
        <v>1299.047</v>
      </c>
      <c r="AL50" s="127">
        <f t="shared" ca="1" si="10"/>
        <v>1292.9090000000001</v>
      </c>
      <c r="AM50" s="127">
        <f t="shared" ca="1" si="10"/>
        <v>1286.107</v>
      </c>
      <c r="AN50" s="127">
        <f t="shared" ca="1" si="10"/>
        <v>1278.7339999999999</v>
      </c>
      <c r="AO50" s="127">
        <f t="shared" ca="1" si="10"/>
        <v>1270.8530000000001</v>
      </c>
      <c r="AP50" s="127">
        <f t="shared" ca="1" si="10"/>
        <v>1262.528</v>
      </c>
      <c r="AQ50" s="127">
        <f t="shared" ca="1" si="10"/>
        <v>1253.7809999999999</v>
      </c>
      <c r="AR50" s="127">
        <f t="shared" ca="1" si="10"/>
        <v>1243.991</v>
      </c>
      <c r="AS50" s="127">
        <f t="shared" ca="1" si="10"/>
        <v>1233.5519999999999</v>
      </c>
      <c r="AT50" s="127">
        <f t="shared" ca="1" si="10"/>
        <v>1222.605</v>
      </c>
      <c r="AU50" s="127">
        <f t="shared" ca="1" si="10"/>
        <v>1211.1890000000001</v>
      </c>
    </row>
    <row r="51" spans="2:47" x14ac:dyDescent="0.25">
      <c r="B51" t="s">
        <v>809</v>
      </c>
      <c r="C51" s="127">
        <f t="shared" ca="1" si="8"/>
        <v>556.32809999999995</v>
      </c>
      <c r="D51" s="127">
        <f t="shared" ca="1" si="8"/>
        <v>551.72019999999998</v>
      </c>
      <c r="E51" s="127">
        <f t="shared" ca="1" si="8"/>
        <v>540.52809999999999</v>
      </c>
      <c r="F51" s="127">
        <f t="shared" ca="1" si="8"/>
        <v>525.44989999999996</v>
      </c>
      <c r="G51" s="127">
        <f t="shared" ca="1" si="8"/>
        <v>509.23129999999998</v>
      </c>
      <c r="H51" s="127">
        <f t="shared" ca="1" si="8"/>
        <v>500.7373</v>
      </c>
      <c r="I51" s="127">
        <f t="shared" ca="1" si="8"/>
        <v>495.40870000000001</v>
      </c>
      <c r="J51" s="127">
        <f t="shared" ca="1" si="8"/>
        <v>491.7088</v>
      </c>
      <c r="K51" s="127">
        <f t="shared" ca="1" si="8"/>
        <v>489.01729999999998</v>
      </c>
      <c r="L51" s="127">
        <f t="shared" ca="1" si="5"/>
        <v>487.13049999999998</v>
      </c>
      <c r="M51" s="127">
        <f t="shared" ca="1" si="10"/>
        <v>485.85989999999998</v>
      </c>
      <c r="N51" s="127">
        <f t="shared" ca="1" si="10"/>
        <v>484.7885</v>
      </c>
      <c r="O51" s="127">
        <f t="shared" ca="1" si="10"/>
        <v>483.6816</v>
      </c>
      <c r="P51" s="127">
        <f t="shared" ca="1" si="10"/>
        <v>482.40480000000002</v>
      </c>
      <c r="Q51" s="127">
        <f t="shared" ca="1" si="10"/>
        <v>481.00990000000002</v>
      </c>
      <c r="R51" s="127">
        <f t="shared" ca="1" si="10"/>
        <v>479.39190000000002</v>
      </c>
      <c r="S51" s="127">
        <f t="shared" ca="1" si="10"/>
        <v>477.47789999999998</v>
      </c>
      <c r="T51" s="127">
        <f t="shared" ca="1" si="10"/>
        <v>475.2373</v>
      </c>
      <c r="U51" s="127">
        <f t="shared" ca="1" si="10"/>
        <v>472.6678</v>
      </c>
      <c r="V51" s="127">
        <f t="shared" ca="1" si="10"/>
        <v>469.78100000000001</v>
      </c>
      <c r="W51" s="127">
        <f t="shared" ca="1" si="10"/>
        <v>466.5951</v>
      </c>
      <c r="X51" s="127">
        <f t="shared" ca="1" si="10"/>
        <v>463.024</v>
      </c>
      <c r="Y51" s="127">
        <f t="shared" ca="1" si="10"/>
        <v>459.07909999999998</v>
      </c>
      <c r="Z51" s="127">
        <f t="shared" ca="1" si="10"/>
        <v>454.7987</v>
      </c>
      <c r="AA51" s="127">
        <f t="shared" ca="1" si="10"/>
        <v>450.2251</v>
      </c>
      <c r="AB51" s="127">
        <f t="shared" ca="1" si="10"/>
        <v>444.89839999999998</v>
      </c>
      <c r="AC51" s="127">
        <f t="shared" ca="1" si="10"/>
        <v>439.04309999999998</v>
      </c>
      <c r="AD51" s="127">
        <f t="shared" ca="1" si="10"/>
        <v>432.78649999999999</v>
      </c>
      <c r="AE51" s="127">
        <f t="shared" ca="1" si="10"/>
        <v>426.20330000000001</v>
      </c>
      <c r="AF51" s="127">
        <f t="shared" ca="1" si="10"/>
        <v>419.34539999999998</v>
      </c>
      <c r="AG51" s="127">
        <f t="shared" ca="1" si="10"/>
        <v>412.25310000000002</v>
      </c>
      <c r="AH51" s="127">
        <f t="shared" ca="1" si="10"/>
        <v>404.959</v>
      </c>
      <c r="AI51" s="127">
        <f t="shared" ca="1" si="10"/>
        <v>397.4889</v>
      </c>
      <c r="AJ51" s="127">
        <f t="shared" ca="1" si="10"/>
        <v>389.86360000000002</v>
      </c>
      <c r="AK51" s="127">
        <f t="shared" ca="1" si="10"/>
        <v>382.09930000000003</v>
      </c>
      <c r="AL51" s="127">
        <f t="shared" ca="1" si="10"/>
        <v>374.20839999999998</v>
      </c>
      <c r="AM51" s="127">
        <f t="shared" ca="1" si="10"/>
        <v>366.20080000000002</v>
      </c>
      <c r="AN51" s="127">
        <f t="shared" ca="1" si="10"/>
        <v>358.084</v>
      </c>
      <c r="AO51" s="127">
        <f t="shared" ca="1" si="10"/>
        <v>349.8648</v>
      </c>
      <c r="AP51" s="127">
        <f t="shared" ca="1" si="10"/>
        <v>341.55180000000001</v>
      </c>
      <c r="AQ51" s="127">
        <f t="shared" ca="1" si="10"/>
        <v>333.14909999999998</v>
      </c>
      <c r="AR51" s="127">
        <f t="shared" ca="1" si="10"/>
        <v>324.65539999999999</v>
      </c>
      <c r="AS51" s="127">
        <f t="shared" ca="1" si="10"/>
        <v>316.0822</v>
      </c>
      <c r="AT51" s="127">
        <f t="shared" ca="1" si="10"/>
        <v>307.44299999999998</v>
      </c>
      <c r="AU51" s="127">
        <f t="shared" ca="1" si="10"/>
        <v>298.75220000000002</v>
      </c>
    </row>
    <row r="52" spans="2:47" x14ac:dyDescent="0.25">
      <c r="B52" t="s">
        <v>810</v>
      </c>
      <c r="C52" s="127">
        <f t="shared" ref="C52:K66" ca="1" si="11">Output("SCEN_ADEMEhaut",$B52,C$1)</f>
        <v>925.74279999999999</v>
      </c>
      <c r="D52" s="127">
        <f t="shared" ca="1" si="11"/>
        <v>923.71519999999998</v>
      </c>
      <c r="E52" s="127">
        <f t="shared" ca="1" si="11"/>
        <v>918.35940000000005</v>
      </c>
      <c r="F52" s="127">
        <f t="shared" ca="1" si="11"/>
        <v>911.56500000000005</v>
      </c>
      <c r="G52" s="127">
        <f t="shared" ca="1" si="11"/>
        <v>903.12919999999997</v>
      </c>
      <c r="H52" s="127">
        <f t="shared" ca="1" si="11"/>
        <v>895.38620000000003</v>
      </c>
      <c r="I52" s="127">
        <f t="shared" ca="1" si="11"/>
        <v>889.01729999999998</v>
      </c>
      <c r="J52" s="127">
        <f t="shared" ca="1" si="11"/>
        <v>884.17949999999996</v>
      </c>
      <c r="K52" s="127">
        <f t="shared" ca="1" si="11"/>
        <v>880.5924</v>
      </c>
      <c r="L52" s="127">
        <f t="shared" ca="1" si="5"/>
        <v>878.15449999999998</v>
      </c>
      <c r="M52" s="127">
        <f t="shared" ca="1" si="10"/>
        <v>876.63059999999996</v>
      </c>
      <c r="N52" s="127">
        <f t="shared" ca="1" si="10"/>
        <v>875.29430000000002</v>
      </c>
      <c r="O52" s="127">
        <f t="shared" ca="1" si="10"/>
        <v>873.74450000000002</v>
      </c>
      <c r="P52" s="127">
        <f t="shared" ca="1" si="10"/>
        <v>871.7568</v>
      </c>
      <c r="Q52" s="127">
        <f t="shared" ca="1" si="10"/>
        <v>869.44320000000005</v>
      </c>
      <c r="R52" s="127">
        <f t="shared" ca="1" si="10"/>
        <v>866.61810000000003</v>
      </c>
      <c r="S52" s="127">
        <f t="shared" ca="1" si="10"/>
        <v>863.15110000000004</v>
      </c>
      <c r="T52" s="127">
        <f t="shared" ca="1" si="10"/>
        <v>858.99149999999997</v>
      </c>
      <c r="U52" s="127">
        <f t="shared" ca="1" si="10"/>
        <v>854.14009999999996</v>
      </c>
      <c r="V52" s="127">
        <f t="shared" ca="1" si="10"/>
        <v>848.62239999999997</v>
      </c>
      <c r="W52" s="127">
        <f t="shared" ca="1" si="10"/>
        <v>842.47569999999996</v>
      </c>
      <c r="X52" s="127">
        <f t="shared" ca="1" si="10"/>
        <v>835.53420000000006</v>
      </c>
      <c r="Y52" s="127">
        <f t="shared" ca="1" si="10"/>
        <v>827.8211</v>
      </c>
      <c r="Z52" s="127">
        <f t="shared" ca="1" si="10"/>
        <v>819.41150000000005</v>
      </c>
      <c r="AA52" s="127">
        <f t="shared" ca="1" si="10"/>
        <v>810.38829999999996</v>
      </c>
      <c r="AB52" s="127">
        <f t="shared" ca="1" si="10"/>
        <v>800.03189999999995</v>
      </c>
      <c r="AC52" s="127">
        <f t="shared" ca="1" si="10"/>
        <v>788.79139999999995</v>
      </c>
      <c r="AD52" s="127">
        <f t="shared" ca="1" si="10"/>
        <v>776.88080000000002</v>
      </c>
      <c r="AE52" s="127">
        <f t="shared" ca="1" si="10"/>
        <v>764.40949999999998</v>
      </c>
      <c r="AF52" s="127">
        <f t="shared" ca="1" si="10"/>
        <v>751.44979999999998</v>
      </c>
      <c r="AG52" s="127">
        <f t="shared" ca="1" si="10"/>
        <v>738.06079999999997</v>
      </c>
      <c r="AH52" s="127">
        <f t="shared" ca="1" si="10"/>
        <v>724.29340000000002</v>
      </c>
      <c r="AI52" s="127">
        <f t="shared" ca="1" si="10"/>
        <v>710.19150000000002</v>
      </c>
      <c r="AJ52" s="127">
        <f t="shared" ca="1" si="10"/>
        <v>695.79280000000006</v>
      </c>
      <c r="AK52" s="127">
        <f t="shared" ca="1" si="10"/>
        <v>681.12900000000002</v>
      </c>
      <c r="AL52" s="127">
        <f t="shared" ca="1" si="10"/>
        <v>666.22659999999996</v>
      </c>
      <c r="AM52" s="127">
        <f t="shared" ca="1" si="10"/>
        <v>651.10789999999997</v>
      </c>
      <c r="AN52" s="127">
        <f t="shared" ca="1" si="10"/>
        <v>635.79200000000003</v>
      </c>
      <c r="AO52" s="127">
        <f t="shared" ca="1" si="10"/>
        <v>620.29639999999995</v>
      </c>
      <c r="AP52" s="127">
        <f t="shared" ca="1" si="10"/>
        <v>604.6422</v>
      </c>
      <c r="AQ52" s="127">
        <f t="shared" ca="1" si="10"/>
        <v>588.8424</v>
      </c>
      <c r="AR52" s="127">
        <f t="shared" ca="1" si="10"/>
        <v>572.89970000000005</v>
      </c>
      <c r="AS52" s="127">
        <f t="shared" ca="1" si="10"/>
        <v>556.84010000000001</v>
      </c>
      <c r="AT52" s="127">
        <f t="shared" ca="1" si="10"/>
        <v>540.69259999999997</v>
      </c>
      <c r="AU52" s="127">
        <f t="shared" ca="1" si="10"/>
        <v>524.48760000000004</v>
      </c>
    </row>
    <row r="53" spans="2:47" x14ac:dyDescent="0.25">
      <c r="B53" t="s">
        <v>811</v>
      </c>
      <c r="C53" s="127">
        <f t="shared" ca="1" si="11"/>
        <v>12.11312</v>
      </c>
      <c r="D53" s="127">
        <f t="shared" ca="1" si="11"/>
        <v>14.57578</v>
      </c>
      <c r="E53" s="127">
        <f t="shared" ca="1" si="11"/>
        <v>21.2319</v>
      </c>
      <c r="F53" s="127">
        <f t="shared" ca="1" si="11"/>
        <v>31.3735</v>
      </c>
      <c r="G53" s="127">
        <f t="shared" ca="1" si="11"/>
        <v>42.929769999999998</v>
      </c>
      <c r="H53" s="127">
        <f t="shared" ca="1" si="11"/>
        <v>48.779350000000001</v>
      </c>
      <c r="I53" s="127">
        <f t="shared" ca="1" si="11"/>
        <v>52.09995</v>
      </c>
      <c r="J53" s="127">
        <f t="shared" ca="1" si="11"/>
        <v>54.503799999999998</v>
      </c>
      <c r="K53" s="127">
        <f t="shared" ca="1" si="11"/>
        <v>56.536969999999997</v>
      </c>
      <c r="L53" s="127">
        <f t="shared" ca="1" si="5"/>
        <v>58.380240000000001</v>
      </c>
      <c r="M53" s="127">
        <f t="shared" ca="1" si="10"/>
        <v>60.080860000000001</v>
      </c>
      <c r="N53" s="127">
        <f t="shared" ca="1" si="10"/>
        <v>61.610030000000002</v>
      </c>
      <c r="O53" s="127">
        <f t="shared" ca="1" si="10"/>
        <v>62.946710000000003</v>
      </c>
      <c r="P53" s="127">
        <f t="shared" ca="1" si="10"/>
        <v>64.078729999999993</v>
      </c>
      <c r="Q53" s="127">
        <f t="shared" ca="1" si="10"/>
        <v>65.018950000000004</v>
      </c>
      <c r="R53" s="127">
        <f t="shared" ca="1" si="10"/>
        <v>65.758709999999994</v>
      </c>
      <c r="S53" s="127">
        <f t="shared" ca="1" si="10"/>
        <v>66.293400000000005</v>
      </c>
      <c r="T53" s="127">
        <f t="shared" ca="1" si="10"/>
        <v>66.625479999999996</v>
      </c>
      <c r="U53" s="127">
        <f t="shared" ca="1" si="10"/>
        <v>66.762439999999998</v>
      </c>
      <c r="V53" s="127">
        <f t="shared" ca="1" si="10"/>
        <v>66.714579999999998</v>
      </c>
      <c r="W53" s="127">
        <f t="shared" ca="1" si="10"/>
        <v>66.493889999999993</v>
      </c>
      <c r="X53" s="127">
        <f t="shared" ca="1" si="10"/>
        <v>66.096279999999993</v>
      </c>
      <c r="Y53" s="127">
        <f t="shared" ca="1" si="10"/>
        <v>65.533230000000003</v>
      </c>
      <c r="Z53" s="127">
        <f t="shared" ca="1" si="10"/>
        <v>64.820800000000006</v>
      </c>
      <c r="AA53" s="127">
        <f t="shared" ca="1" si="10"/>
        <v>63.975740000000002</v>
      </c>
      <c r="AB53" s="127">
        <f t="shared" ca="1" si="10"/>
        <v>62.953569999999999</v>
      </c>
      <c r="AC53" s="127">
        <f t="shared" ca="1" si="10"/>
        <v>61.801340000000003</v>
      </c>
      <c r="AD53" s="127">
        <f t="shared" ca="1" si="10"/>
        <v>60.545409999999997</v>
      </c>
      <c r="AE53" s="127">
        <f t="shared" ca="1" si="10"/>
        <v>59.202939999999998</v>
      </c>
      <c r="AF53" s="127">
        <f t="shared" ca="1" si="10"/>
        <v>57.787730000000003</v>
      </c>
      <c r="AG53" s="127">
        <f t="shared" ca="1" si="10"/>
        <v>56.31203</v>
      </c>
      <c r="AH53" s="127">
        <f t="shared" ca="1" si="10"/>
        <v>54.787030000000001</v>
      </c>
      <c r="AI53" s="127">
        <f t="shared" ca="1" si="10"/>
        <v>53.222850000000001</v>
      </c>
      <c r="AJ53" s="127">
        <f t="shared" ca="1" si="10"/>
        <v>51.628579999999999</v>
      </c>
      <c r="AK53" s="127">
        <f t="shared" ca="1" si="10"/>
        <v>50.012360000000001</v>
      </c>
      <c r="AL53" s="127">
        <f t="shared" ca="1" si="10"/>
        <v>48.381340000000002</v>
      </c>
      <c r="AM53" s="127">
        <f t="shared" ca="1" si="10"/>
        <v>46.741869999999999</v>
      </c>
      <c r="AN53" s="127">
        <f t="shared" ca="1" si="10"/>
        <v>45.099550000000001</v>
      </c>
      <c r="AO53" s="127">
        <f t="shared" ca="1" si="10"/>
        <v>43.459400000000002</v>
      </c>
      <c r="AP53" s="127">
        <f t="shared" ca="1" si="10"/>
        <v>41.826210000000003</v>
      </c>
      <c r="AQ53" s="127">
        <f t="shared" ca="1" si="10"/>
        <v>40.203789999999998</v>
      </c>
      <c r="AR53" s="127">
        <f t="shared" ca="1" si="10"/>
        <v>38.594859999999997</v>
      </c>
      <c r="AS53" s="127">
        <f t="shared" ca="1" si="10"/>
        <v>37.003369999999997</v>
      </c>
      <c r="AT53" s="127">
        <f t="shared" ca="1" si="10"/>
        <v>35.43309</v>
      </c>
      <c r="AU53" s="127">
        <f t="shared" ca="1" si="10"/>
        <v>33.887479999999996</v>
      </c>
    </row>
    <row r="54" spans="2:47" x14ac:dyDescent="0.25">
      <c r="B54" t="s">
        <v>812</v>
      </c>
      <c r="C54" s="127">
        <f t="shared" ca="1" si="11"/>
        <v>88.337299999999999</v>
      </c>
      <c r="D54" s="127">
        <f t="shared" ca="1" si="11"/>
        <v>91.040059999999997</v>
      </c>
      <c r="E54" s="127">
        <f t="shared" ca="1" si="11"/>
        <v>98.636089999999996</v>
      </c>
      <c r="F54" s="127">
        <f t="shared" ca="1" si="11"/>
        <v>110.0086</v>
      </c>
      <c r="G54" s="127">
        <f t="shared" ca="1" si="11"/>
        <v>122.705</v>
      </c>
      <c r="H54" s="127">
        <f t="shared" ca="1" si="11"/>
        <v>127.7324</v>
      </c>
      <c r="I54" s="127">
        <f t="shared" ca="1" si="11"/>
        <v>130.11070000000001</v>
      </c>
      <c r="J54" s="127">
        <f t="shared" ca="1" si="11"/>
        <v>131.75059999999999</v>
      </c>
      <c r="K54" s="127">
        <f t="shared" ca="1" si="11"/>
        <v>133.2081</v>
      </c>
      <c r="L54" s="127">
        <f t="shared" ca="1" si="5"/>
        <v>134.65610000000001</v>
      </c>
      <c r="M54" s="127">
        <f t="shared" ca="1" si="10"/>
        <v>136.11969999999999</v>
      </c>
      <c r="N54" s="127">
        <f t="shared" ca="1" si="10"/>
        <v>137.50579999999999</v>
      </c>
      <c r="O54" s="127">
        <f t="shared" ca="1" si="10"/>
        <v>138.75649999999999</v>
      </c>
      <c r="P54" s="127">
        <f t="shared" ca="1" si="10"/>
        <v>139.83779999999999</v>
      </c>
      <c r="Q54" s="127">
        <f t="shared" ca="1" si="10"/>
        <v>140.76840000000001</v>
      </c>
      <c r="R54" s="127">
        <f t="shared" ca="1" si="10"/>
        <v>141.51920000000001</v>
      </c>
      <c r="S54" s="127">
        <f t="shared" ca="1" si="10"/>
        <v>142.06909999999999</v>
      </c>
      <c r="T54" s="127">
        <f t="shared" ca="1" si="10"/>
        <v>142.41030000000001</v>
      </c>
      <c r="U54" s="127">
        <f t="shared" ca="1" si="10"/>
        <v>142.54429999999999</v>
      </c>
      <c r="V54" s="127">
        <f t="shared" ca="1" si="10"/>
        <v>142.4769</v>
      </c>
      <c r="W54" s="127">
        <f t="shared" ca="1" si="10"/>
        <v>142.21680000000001</v>
      </c>
      <c r="X54" s="127">
        <f t="shared" ca="1" si="10"/>
        <v>141.73820000000001</v>
      </c>
      <c r="Y54" s="127">
        <f t="shared" ca="1" si="10"/>
        <v>141.04750000000001</v>
      </c>
      <c r="Z54" s="127">
        <f t="shared" ca="1" si="10"/>
        <v>140.16079999999999</v>
      </c>
      <c r="AA54" s="127">
        <f t="shared" ca="1" si="10"/>
        <v>139.096</v>
      </c>
      <c r="AB54" s="127">
        <f t="shared" ca="1" si="10"/>
        <v>137.73310000000001</v>
      </c>
      <c r="AC54" s="127">
        <f t="shared" ca="1" si="10"/>
        <v>136.1542</v>
      </c>
      <c r="AD54" s="127">
        <f t="shared" ca="1" si="10"/>
        <v>134.40039999999999</v>
      </c>
      <c r="AE54" s="127">
        <f t="shared" ca="1" si="10"/>
        <v>132.49430000000001</v>
      </c>
      <c r="AF54" s="127">
        <f t="shared" ca="1" si="10"/>
        <v>130.45249999999999</v>
      </c>
      <c r="AG54" s="127">
        <f t="shared" ca="1" si="10"/>
        <v>128.2893</v>
      </c>
      <c r="AH54" s="127">
        <f t="shared" ca="1" si="10"/>
        <v>126.01739999999999</v>
      </c>
      <c r="AI54" s="127">
        <f t="shared" ca="1" si="10"/>
        <v>123.6485</v>
      </c>
      <c r="AJ54" s="127">
        <f t="shared" ca="1" si="10"/>
        <v>121.193</v>
      </c>
      <c r="AK54" s="127">
        <f t="shared" ca="1" si="10"/>
        <v>118.6601</v>
      </c>
      <c r="AL54" s="127">
        <f t="shared" ca="1" si="10"/>
        <v>116.0581</v>
      </c>
      <c r="AM54" s="127">
        <f t="shared" ca="1" si="10"/>
        <v>113.3943</v>
      </c>
      <c r="AN54" s="127">
        <f t="shared" ca="1" si="10"/>
        <v>110.6754</v>
      </c>
      <c r="AO54" s="127">
        <f t="shared" ca="1" si="10"/>
        <v>107.90730000000001</v>
      </c>
      <c r="AP54" s="127">
        <f t="shared" ca="1" si="10"/>
        <v>105.09690000000001</v>
      </c>
      <c r="AQ54" s="127">
        <f t="shared" ca="1" si="10"/>
        <v>102.24890000000001</v>
      </c>
      <c r="AR54" s="127">
        <f t="shared" ca="1" si="10"/>
        <v>99.366579999999999</v>
      </c>
      <c r="AS54" s="127">
        <f t="shared" ca="1" si="10"/>
        <v>96.456760000000003</v>
      </c>
      <c r="AT54" s="127">
        <f t="shared" ca="1" si="10"/>
        <v>93.526730000000001</v>
      </c>
      <c r="AU54" s="127">
        <f t="shared" ca="1" si="10"/>
        <v>90.58381</v>
      </c>
    </row>
    <row r="55" spans="2:47" x14ac:dyDescent="0.25">
      <c r="B55" t="s">
        <v>813</v>
      </c>
      <c r="C55" s="127">
        <f t="shared" ca="1" si="11"/>
        <v>132.30760000000001</v>
      </c>
      <c r="D55" s="127">
        <f t="shared" ca="1" si="11"/>
        <v>158.10659999999999</v>
      </c>
      <c r="E55" s="127">
        <f t="shared" ca="1" si="11"/>
        <v>229.5899</v>
      </c>
      <c r="F55" s="127">
        <f t="shared" ca="1" si="11"/>
        <v>342.77179999999998</v>
      </c>
      <c r="G55" s="127">
        <f t="shared" ca="1" si="11"/>
        <v>481.67950000000002</v>
      </c>
      <c r="H55" s="127">
        <f t="shared" ca="1" si="11"/>
        <v>552.82129999999995</v>
      </c>
      <c r="I55" s="127">
        <f t="shared" ca="1" si="11"/>
        <v>593.08140000000003</v>
      </c>
      <c r="J55" s="127">
        <f t="shared" ca="1" si="11"/>
        <v>622.1146</v>
      </c>
      <c r="K55" s="127">
        <f t="shared" ca="1" si="11"/>
        <v>646.68280000000004</v>
      </c>
      <c r="L55" s="127">
        <f t="shared" ca="1" si="5"/>
        <v>669.03420000000006</v>
      </c>
      <c r="M55" s="127">
        <f t="shared" ca="1" si="10"/>
        <v>689.77210000000002</v>
      </c>
      <c r="N55" s="127">
        <f t="shared" ca="1" si="10"/>
        <v>708.58460000000002</v>
      </c>
      <c r="O55" s="127">
        <f t="shared" ca="1" si="10"/>
        <v>725.23130000000003</v>
      </c>
      <c r="P55" s="127">
        <f t="shared" ca="1" si="10"/>
        <v>739.56650000000002</v>
      </c>
      <c r="Q55" s="127">
        <f t="shared" ca="1" si="10"/>
        <v>751.73130000000003</v>
      </c>
      <c r="R55" s="127">
        <f t="shared" ca="1" si="10"/>
        <v>761.61839999999995</v>
      </c>
      <c r="S55" s="127">
        <f t="shared" ca="1" si="10"/>
        <v>769.16629999999998</v>
      </c>
      <c r="T55" s="127">
        <f t="shared" ca="1" si="10"/>
        <v>774.39599999999996</v>
      </c>
      <c r="U55" s="127">
        <f t="shared" ca="1" si="10"/>
        <v>777.38630000000001</v>
      </c>
      <c r="V55" s="127">
        <f t="shared" ca="1" si="10"/>
        <v>778.24940000000004</v>
      </c>
      <c r="W55" s="127">
        <f t="shared" ca="1" si="10"/>
        <v>777.1173</v>
      </c>
      <c r="X55" s="127">
        <f t="shared" ca="1" si="10"/>
        <v>773.93380000000002</v>
      </c>
      <c r="Y55" s="127">
        <f t="shared" ca="1" si="10"/>
        <v>768.82460000000003</v>
      </c>
      <c r="Z55" s="127">
        <f t="shared" ca="1" si="10"/>
        <v>761.96860000000004</v>
      </c>
      <c r="AA55" s="127">
        <f t="shared" ca="1" si="10"/>
        <v>753.55370000000005</v>
      </c>
      <c r="AB55" s="127">
        <f t="shared" ca="1" si="10"/>
        <v>743.02940000000001</v>
      </c>
      <c r="AC55" s="127">
        <f t="shared" ca="1" si="10"/>
        <v>730.94209999999998</v>
      </c>
      <c r="AD55" s="127">
        <f t="shared" ca="1" si="10"/>
        <v>717.59760000000006</v>
      </c>
      <c r="AE55" s="127">
        <f t="shared" ca="1" si="10"/>
        <v>703.19330000000002</v>
      </c>
      <c r="AF55" s="127">
        <f t="shared" ca="1" si="10"/>
        <v>687.88729999999998</v>
      </c>
      <c r="AG55" s="127">
        <f t="shared" ca="1" si="10"/>
        <v>671.81960000000004</v>
      </c>
      <c r="AH55" s="127">
        <f t="shared" ca="1" si="10"/>
        <v>655.11749999999995</v>
      </c>
      <c r="AI55" s="127">
        <f t="shared" ca="1" si="10"/>
        <v>637.89599999999996</v>
      </c>
      <c r="AJ55" s="127">
        <f t="shared" ca="1" si="10"/>
        <v>620.2586</v>
      </c>
      <c r="AK55" s="127">
        <f t="shared" ca="1" si="10"/>
        <v>602.29719999999998</v>
      </c>
      <c r="AL55" s="127">
        <f t="shared" ca="1" si="10"/>
        <v>584.09339999999997</v>
      </c>
      <c r="AM55" s="127">
        <f t="shared" ca="1" si="10"/>
        <v>565.7192</v>
      </c>
      <c r="AN55" s="127">
        <f t="shared" ca="1" si="10"/>
        <v>547.23850000000004</v>
      </c>
      <c r="AO55" s="127">
        <f t="shared" ca="1" si="10"/>
        <v>528.70870000000002</v>
      </c>
      <c r="AP55" s="127">
        <f t="shared" ca="1" si="10"/>
        <v>510.18529999999998</v>
      </c>
      <c r="AQ55" s="127">
        <f t="shared" ca="1" si="10"/>
        <v>491.7124</v>
      </c>
      <c r="AR55" s="127">
        <f t="shared" ca="1" si="10"/>
        <v>473.32159999999999</v>
      </c>
      <c r="AS55" s="127">
        <f t="shared" ca="1" si="10"/>
        <v>455.05959999999999</v>
      </c>
      <c r="AT55" s="127">
        <f t="shared" ca="1" si="10"/>
        <v>436.97199999999998</v>
      </c>
      <c r="AU55" s="127">
        <f t="shared" ca="1" si="10"/>
        <v>419.101</v>
      </c>
    </row>
    <row r="56" spans="2:47" x14ac:dyDescent="0.25">
      <c r="B56" t="s">
        <v>814</v>
      </c>
      <c r="C56" s="127">
        <f t="shared" ca="1" si="11"/>
        <v>120.2734</v>
      </c>
      <c r="D56" s="127">
        <f t="shared" ca="1" si="11"/>
        <v>122.2649</v>
      </c>
      <c r="E56" s="127">
        <f t="shared" ca="1" si="11"/>
        <v>127.3663</v>
      </c>
      <c r="F56" s="127">
        <f t="shared" ca="1" si="11"/>
        <v>133.8013</v>
      </c>
      <c r="G56" s="127">
        <f t="shared" ca="1" si="11"/>
        <v>138.4145</v>
      </c>
      <c r="H56" s="127">
        <f t="shared" ca="1" si="11"/>
        <v>139.78450000000001</v>
      </c>
      <c r="I56" s="127">
        <f t="shared" ca="1" si="11"/>
        <v>140.2226</v>
      </c>
      <c r="J56" s="127">
        <f t="shared" ca="1" si="11"/>
        <v>140.50919999999999</v>
      </c>
      <c r="K56" s="127">
        <f t="shared" ca="1" si="11"/>
        <v>140.8338</v>
      </c>
      <c r="L56" s="127">
        <f t="shared" ca="1" si="5"/>
        <v>141.25319999999999</v>
      </c>
      <c r="M56" s="127">
        <f t="shared" ca="1" si="10"/>
        <v>141.7542</v>
      </c>
      <c r="N56" s="127">
        <f t="shared" ca="1" si="10"/>
        <v>142.2276</v>
      </c>
      <c r="O56" s="127">
        <f t="shared" ca="1" si="10"/>
        <v>142.6104</v>
      </c>
      <c r="P56" s="127">
        <f t="shared" ca="1" si="10"/>
        <v>142.86670000000001</v>
      </c>
      <c r="Q56" s="127">
        <f t="shared" ca="1" si="10"/>
        <v>143.0155</v>
      </c>
      <c r="R56" s="127">
        <f t="shared" ca="1" si="10"/>
        <v>143.02719999999999</v>
      </c>
      <c r="S56" s="127">
        <f t="shared" ca="1" si="10"/>
        <v>142.881</v>
      </c>
      <c r="T56" s="127">
        <f t="shared" ca="1" si="10"/>
        <v>142.56950000000001</v>
      </c>
      <c r="U56" s="127">
        <f t="shared" ca="1" si="10"/>
        <v>142.0942</v>
      </c>
      <c r="V56" s="127">
        <f t="shared" ca="1" si="10"/>
        <v>141.46119999999999</v>
      </c>
      <c r="W56" s="127">
        <f t="shared" ca="1" si="10"/>
        <v>140.67840000000001</v>
      </c>
      <c r="X56" s="127">
        <f t="shared" ca="1" si="10"/>
        <v>139.7201</v>
      </c>
      <c r="Y56" s="127">
        <f t="shared" ca="1" si="10"/>
        <v>138.59229999999999</v>
      </c>
      <c r="Z56" s="127">
        <f t="shared" ca="1" si="10"/>
        <v>137.3098</v>
      </c>
      <c r="AA56" s="127">
        <f t="shared" ca="1" si="10"/>
        <v>135.88900000000001</v>
      </c>
      <c r="AB56" s="127">
        <f t="shared" ca="1" si="10"/>
        <v>134.2097</v>
      </c>
      <c r="AC56" s="127">
        <f t="shared" ca="1" si="10"/>
        <v>132.35079999999999</v>
      </c>
      <c r="AD56" s="127">
        <f t="shared" ca="1" si="10"/>
        <v>130.35130000000001</v>
      </c>
      <c r="AE56" s="127">
        <f t="shared" ca="1" si="10"/>
        <v>128.23249999999999</v>
      </c>
      <c r="AF56" s="127">
        <f t="shared" ca="1" si="10"/>
        <v>126.0091</v>
      </c>
      <c r="AG56" s="127">
        <f t="shared" ca="1" si="10"/>
        <v>123.6936</v>
      </c>
      <c r="AH56" s="127">
        <f t="shared" ca="1" si="10"/>
        <v>121.2972</v>
      </c>
      <c r="AI56" s="127">
        <f t="shared" ca="1" si="10"/>
        <v>118.82940000000001</v>
      </c>
      <c r="AJ56" s="127">
        <f t="shared" ca="1" si="10"/>
        <v>116.29900000000001</v>
      </c>
      <c r="AK56" s="127">
        <f t="shared" ca="1" si="10"/>
        <v>113.71339999999999</v>
      </c>
      <c r="AL56" s="127">
        <f t="shared" ca="1" si="10"/>
        <v>111.0789</v>
      </c>
      <c r="AM56" s="127">
        <f t="shared" ca="1" si="10"/>
        <v>108.4014</v>
      </c>
      <c r="AN56" s="127">
        <f t="shared" ca="1" si="10"/>
        <v>105.6858</v>
      </c>
      <c r="AO56" s="127">
        <f t="shared" ca="1" si="10"/>
        <v>102.93680000000001</v>
      </c>
      <c r="AP56" s="127">
        <f t="shared" ca="1" si="10"/>
        <v>100.1596</v>
      </c>
      <c r="AQ56" s="127">
        <f t="shared" ref="M56:AU64" ca="1" si="12">Output("SCEN_ADEMEhaut",$B56,AQ$1)</f>
        <v>97.357939999999999</v>
      </c>
      <c r="AR56" s="127">
        <f t="shared" ca="1" si="12"/>
        <v>94.533779999999993</v>
      </c>
      <c r="AS56" s="127">
        <f t="shared" ca="1" si="12"/>
        <v>91.692809999999994</v>
      </c>
      <c r="AT56" s="127">
        <f t="shared" ca="1" si="12"/>
        <v>88.841139999999996</v>
      </c>
      <c r="AU56" s="127">
        <f t="shared" ca="1" si="12"/>
        <v>85.984989999999996</v>
      </c>
    </row>
    <row r="57" spans="2:47" x14ac:dyDescent="0.25">
      <c r="B57" t="s">
        <v>870</v>
      </c>
      <c r="C57" s="127">
        <f t="shared" ca="1" si="11"/>
        <v>268900.3</v>
      </c>
      <c r="D57" s="127">
        <f t="shared" ca="1" si="11"/>
        <v>270490</v>
      </c>
      <c r="E57" s="127">
        <f t="shared" ca="1" si="11"/>
        <v>272466.59999999998</v>
      </c>
      <c r="F57" s="127">
        <f t="shared" ca="1" si="11"/>
        <v>274679.90000000002</v>
      </c>
      <c r="G57" s="127">
        <f t="shared" ca="1" si="11"/>
        <v>277051.09999999998</v>
      </c>
      <c r="H57" s="127">
        <f t="shared" ca="1" si="11"/>
        <v>280208.8</v>
      </c>
      <c r="I57" s="127">
        <f t="shared" ca="1" si="11"/>
        <v>283713.5</v>
      </c>
      <c r="J57" s="127">
        <f t="shared" ca="1" si="11"/>
        <v>287298.90000000002</v>
      </c>
      <c r="K57" s="127">
        <f t="shared" ca="1" si="11"/>
        <v>291023.2</v>
      </c>
      <c r="L57" s="127">
        <f t="shared" ca="1" si="5"/>
        <v>294902.40000000002</v>
      </c>
      <c r="M57" s="127">
        <f t="shared" ca="1" si="12"/>
        <v>299104.8</v>
      </c>
      <c r="N57" s="127">
        <f t="shared" ca="1" si="12"/>
        <v>303736.90000000002</v>
      </c>
      <c r="O57" s="127">
        <f t="shared" ca="1" si="12"/>
        <v>308833.8</v>
      </c>
      <c r="P57" s="127">
        <f t="shared" ca="1" si="12"/>
        <v>314314.3</v>
      </c>
      <c r="Q57" s="127">
        <f t="shared" ca="1" si="12"/>
        <v>320043.8</v>
      </c>
      <c r="R57" s="127">
        <f t="shared" ca="1" si="12"/>
        <v>325913.59999999998</v>
      </c>
      <c r="S57" s="127">
        <f t="shared" ca="1" si="12"/>
        <v>331882.3</v>
      </c>
      <c r="T57" s="127">
        <f t="shared" ca="1" si="12"/>
        <v>337901.7</v>
      </c>
      <c r="U57" s="127">
        <f t="shared" ca="1" si="12"/>
        <v>343938.9</v>
      </c>
      <c r="V57" s="127">
        <f t="shared" ca="1" si="12"/>
        <v>349971.8</v>
      </c>
      <c r="W57" s="127">
        <f t="shared" ca="1" si="12"/>
        <v>355987</v>
      </c>
      <c r="X57" s="127">
        <f t="shared" ca="1" si="12"/>
        <v>361968</v>
      </c>
      <c r="Y57" s="127">
        <f t="shared" ca="1" si="12"/>
        <v>367922.9</v>
      </c>
      <c r="Z57" s="127">
        <f t="shared" ca="1" si="12"/>
        <v>373864.8</v>
      </c>
      <c r="AA57" s="127">
        <f t="shared" ca="1" si="12"/>
        <v>379811.5</v>
      </c>
      <c r="AB57" s="127">
        <f t="shared" ca="1" si="12"/>
        <v>385730.9</v>
      </c>
      <c r="AC57" s="127">
        <f t="shared" ca="1" si="12"/>
        <v>391634.9</v>
      </c>
      <c r="AD57" s="127">
        <f t="shared" ca="1" si="12"/>
        <v>397537.8</v>
      </c>
      <c r="AE57" s="127">
        <f t="shared" ca="1" si="12"/>
        <v>403468.9</v>
      </c>
      <c r="AF57" s="127">
        <f t="shared" ca="1" si="12"/>
        <v>409469</v>
      </c>
      <c r="AG57" s="127">
        <f t="shared" ca="1" si="12"/>
        <v>415584.6</v>
      </c>
      <c r="AH57" s="127">
        <f t="shared" ca="1" si="12"/>
        <v>421863.7</v>
      </c>
      <c r="AI57" s="127">
        <f t="shared" ca="1" si="12"/>
        <v>428352.4</v>
      </c>
      <c r="AJ57" s="127">
        <f t="shared" ca="1" si="12"/>
        <v>435092.9</v>
      </c>
      <c r="AK57" s="127">
        <f t="shared" ca="1" si="12"/>
        <v>442123.6</v>
      </c>
      <c r="AL57" s="127">
        <f t="shared" ca="1" si="12"/>
        <v>449478</v>
      </c>
      <c r="AM57" s="127">
        <f t="shared" ca="1" si="12"/>
        <v>457185</v>
      </c>
      <c r="AN57" s="127">
        <f t="shared" ca="1" si="12"/>
        <v>465269.7</v>
      </c>
      <c r="AO57" s="127">
        <f t="shared" ca="1" si="12"/>
        <v>473754.4</v>
      </c>
      <c r="AP57" s="127">
        <f t="shared" ca="1" si="12"/>
        <v>482662.1</v>
      </c>
      <c r="AQ57" s="127">
        <f t="shared" ca="1" si="12"/>
        <v>492002.6</v>
      </c>
      <c r="AR57" s="127">
        <f t="shared" ca="1" si="12"/>
        <v>501779.6</v>
      </c>
      <c r="AS57" s="127">
        <f t="shared" ca="1" si="12"/>
        <v>512011.2</v>
      </c>
      <c r="AT57" s="127">
        <f t="shared" ca="1" si="12"/>
        <v>522717.7</v>
      </c>
      <c r="AU57" s="127">
        <f t="shared" ca="1" si="12"/>
        <v>533920.9</v>
      </c>
    </row>
    <row r="58" spans="2:47" x14ac:dyDescent="0.25">
      <c r="B58" t="s">
        <v>852</v>
      </c>
      <c r="C58" s="127">
        <f t="shared" ca="1" si="11"/>
        <v>5293.1170000000002</v>
      </c>
      <c r="D58" s="127">
        <f t="shared" ca="1" si="11"/>
        <v>4989.6220000000003</v>
      </c>
      <c r="E58" s="127">
        <f t="shared" ca="1" si="11"/>
        <v>5410.5780000000004</v>
      </c>
      <c r="F58" s="127">
        <f t="shared" ca="1" si="11"/>
        <v>5820.8249999999998</v>
      </c>
      <c r="G58" s="127">
        <f t="shared" ca="1" si="11"/>
        <v>6183.1329999999998</v>
      </c>
      <c r="H58" s="127">
        <f t="shared" ca="1" si="11"/>
        <v>6464.4120000000003</v>
      </c>
      <c r="I58" s="127">
        <f t="shared" ca="1" si="11"/>
        <v>6402.9210000000003</v>
      </c>
      <c r="J58" s="127">
        <f t="shared" ca="1" si="11"/>
        <v>6261.4430000000002</v>
      </c>
      <c r="K58" s="127">
        <f t="shared" ca="1" si="11"/>
        <v>6174.17</v>
      </c>
      <c r="L58" s="127">
        <f t="shared" ca="1" si="5"/>
        <v>6091.23</v>
      </c>
      <c r="M58" s="127">
        <f t="shared" ca="1" si="12"/>
        <v>6006.0140000000001</v>
      </c>
      <c r="N58" s="127">
        <f t="shared" ca="1" si="12"/>
        <v>6053.8370000000004</v>
      </c>
      <c r="O58" s="127">
        <f t="shared" ca="1" si="12"/>
        <v>6201.25</v>
      </c>
      <c r="P58" s="127">
        <f t="shared" ca="1" si="12"/>
        <v>6415.549</v>
      </c>
      <c r="Q58" s="127">
        <f t="shared" ca="1" si="12"/>
        <v>6662.0990000000002</v>
      </c>
      <c r="R58" s="127">
        <f t="shared" ca="1" si="12"/>
        <v>6898.1890000000003</v>
      </c>
      <c r="S58" s="127">
        <f t="shared" ca="1" si="12"/>
        <v>7155.5349999999999</v>
      </c>
      <c r="T58" s="127">
        <f t="shared" ca="1" si="12"/>
        <v>7428.183</v>
      </c>
      <c r="U58" s="127">
        <f t="shared" ca="1" si="12"/>
        <v>7710.3159999999998</v>
      </c>
      <c r="V58" s="127">
        <f t="shared" ca="1" si="12"/>
        <v>7997.0349999999999</v>
      </c>
      <c r="W58" s="127">
        <f t="shared" ca="1" si="12"/>
        <v>8284.4030000000002</v>
      </c>
      <c r="X58" s="127">
        <f t="shared" ca="1" si="12"/>
        <v>8543.3310000000001</v>
      </c>
      <c r="Y58" s="127">
        <f t="shared" ca="1" si="12"/>
        <v>8773.0249999999996</v>
      </c>
      <c r="Z58" s="127">
        <f t="shared" ca="1" si="12"/>
        <v>8978.8209999999999</v>
      </c>
      <c r="AA58" s="127">
        <f t="shared" ca="1" si="12"/>
        <v>9164.4120000000003</v>
      </c>
      <c r="AB58" s="127">
        <f t="shared" ca="1" si="12"/>
        <v>9281.8009999999995</v>
      </c>
      <c r="AC58" s="127">
        <f t="shared" ca="1" si="12"/>
        <v>9176.9269999999997</v>
      </c>
      <c r="AD58" s="127">
        <f t="shared" ca="1" si="12"/>
        <v>9027.0030000000006</v>
      </c>
      <c r="AE58" s="127">
        <f t="shared" ca="1" si="12"/>
        <v>8905.6450000000004</v>
      </c>
      <c r="AF58" s="127">
        <f t="shared" ca="1" si="12"/>
        <v>8834.93</v>
      </c>
      <c r="AG58" s="127">
        <f t="shared" ca="1" si="12"/>
        <v>8813.7170000000006</v>
      </c>
      <c r="AH58" s="127">
        <f t="shared" ca="1" si="12"/>
        <v>8832.348</v>
      </c>
      <c r="AI58" s="127">
        <f t="shared" ca="1" si="12"/>
        <v>8879.7810000000009</v>
      </c>
      <c r="AJ58" s="127">
        <f t="shared" ca="1" si="12"/>
        <v>8946.6440000000002</v>
      </c>
      <c r="AK58" s="127">
        <f t="shared" ca="1" si="12"/>
        <v>9026.2160000000003</v>
      </c>
      <c r="AL58" s="127">
        <f t="shared" ca="1" si="12"/>
        <v>9114.4040000000005</v>
      </c>
      <c r="AM58" s="127">
        <f t="shared" ca="1" si="12"/>
        <v>9209.3160000000007</v>
      </c>
      <c r="AN58" s="127">
        <f t="shared" ca="1" si="12"/>
        <v>9310.7019999999993</v>
      </c>
      <c r="AO58" s="127">
        <f t="shared" ca="1" si="12"/>
        <v>9419.4279999999999</v>
      </c>
      <c r="AP58" s="127">
        <f t="shared" ca="1" si="12"/>
        <v>9537.0360000000001</v>
      </c>
      <c r="AQ58" s="127">
        <f t="shared" ca="1" si="12"/>
        <v>9665.3649999999998</v>
      </c>
      <c r="AR58" s="127">
        <f t="shared" ca="1" si="12"/>
        <v>9805.5830000000005</v>
      </c>
      <c r="AS58" s="127">
        <f t="shared" ca="1" si="12"/>
        <v>9959.65</v>
      </c>
      <c r="AT58" s="127">
        <f t="shared" ca="1" si="12"/>
        <v>10129.23</v>
      </c>
      <c r="AU58" s="127">
        <f t="shared" ca="1" si="12"/>
        <v>10315.799999999999</v>
      </c>
    </row>
    <row r="59" spans="2:47" x14ac:dyDescent="0.25">
      <c r="B59" t="s">
        <v>853</v>
      </c>
      <c r="C59" s="127">
        <f t="shared" ca="1" si="11"/>
        <v>38763.65</v>
      </c>
      <c r="D59" s="127">
        <f t="shared" ca="1" si="11"/>
        <v>67813.649999999994</v>
      </c>
      <c r="E59" s="127">
        <f t="shared" ca="1" si="11"/>
        <v>68526.86</v>
      </c>
      <c r="F59" s="127">
        <f t="shared" ca="1" si="11"/>
        <v>68980.06</v>
      </c>
      <c r="G59" s="127">
        <f t="shared" ca="1" si="11"/>
        <v>69376.78</v>
      </c>
      <c r="H59" s="127">
        <f t="shared" ca="1" si="11"/>
        <v>69910.429999999993</v>
      </c>
      <c r="I59" s="127">
        <f t="shared" ca="1" si="11"/>
        <v>70483.3</v>
      </c>
      <c r="J59" s="127">
        <f t="shared" ca="1" si="11"/>
        <v>71062.570000000007</v>
      </c>
      <c r="K59" s="127">
        <f t="shared" ca="1" si="11"/>
        <v>71783.13</v>
      </c>
      <c r="L59" s="127">
        <f t="shared" ca="1" si="5"/>
        <v>72465.289999999994</v>
      </c>
      <c r="M59" s="127">
        <f t="shared" ca="1" si="12"/>
        <v>73077.36</v>
      </c>
      <c r="N59" s="127">
        <f t="shared" ca="1" si="12"/>
        <v>73697.72</v>
      </c>
      <c r="O59" s="127">
        <f t="shared" ca="1" si="12"/>
        <v>74324.960000000006</v>
      </c>
      <c r="P59" s="127">
        <f t="shared" ca="1" si="12"/>
        <v>74959.7</v>
      </c>
      <c r="Q59" s="127">
        <f t="shared" ca="1" si="12"/>
        <v>75630.039999999994</v>
      </c>
      <c r="R59" s="127">
        <f t="shared" ca="1" si="12"/>
        <v>76281.320000000007</v>
      </c>
      <c r="S59" s="127">
        <f t="shared" ca="1" si="12"/>
        <v>76935.039999999994</v>
      </c>
      <c r="T59" s="127">
        <f t="shared" ca="1" si="12"/>
        <v>77590.59</v>
      </c>
      <c r="U59" s="127">
        <f t="shared" ca="1" si="12"/>
        <v>78246.8</v>
      </c>
      <c r="V59" s="127">
        <f t="shared" ca="1" si="12"/>
        <v>78902.73</v>
      </c>
      <c r="W59" s="127">
        <f t="shared" ca="1" si="12"/>
        <v>79557.73</v>
      </c>
      <c r="X59" s="127">
        <f t="shared" ca="1" si="12"/>
        <v>79877.72</v>
      </c>
      <c r="Y59" s="127">
        <f t="shared" ca="1" si="12"/>
        <v>80196.56</v>
      </c>
      <c r="Z59" s="127">
        <f t="shared" ca="1" si="12"/>
        <v>80517.539999999994</v>
      </c>
      <c r="AA59" s="127">
        <f t="shared" ca="1" si="12"/>
        <v>80841.88</v>
      </c>
      <c r="AB59" s="127">
        <f t="shared" ca="1" si="12"/>
        <v>81277.62</v>
      </c>
      <c r="AC59" s="127">
        <f t="shared" ca="1" si="12"/>
        <v>81682.63</v>
      </c>
      <c r="AD59" s="127">
        <f t="shared" ca="1" si="12"/>
        <v>82071.92</v>
      </c>
      <c r="AE59" s="127">
        <f t="shared" ca="1" si="12"/>
        <v>82454.7</v>
      </c>
      <c r="AF59" s="127">
        <f t="shared" ca="1" si="12"/>
        <v>82835.149999999994</v>
      </c>
      <c r="AG59" s="127">
        <f t="shared" ca="1" si="12"/>
        <v>83214.69</v>
      </c>
      <c r="AH59" s="127">
        <f t="shared" ca="1" si="12"/>
        <v>83593.710000000006</v>
      </c>
      <c r="AI59" s="127">
        <f t="shared" ca="1" si="12"/>
        <v>83972.45</v>
      </c>
      <c r="AJ59" s="127">
        <f t="shared" ca="1" si="12"/>
        <v>84351.41</v>
      </c>
      <c r="AK59" s="127">
        <f t="shared" ca="1" si="12"/>
        <v>84731.39</v>
      </c>
      <c r="AL59" s="127">
        <f t="shared" ca="1" si="12"/>
        <v>85113.48</v>
      </c>
      <c r="AM59" s="127">
        <f t="shared" ca="1" si="12"/>
        <v>85498.91</v>
      </c>
      <c r="AN59" s="127">
        <f t="shared" ca="1" si="12"/>
        <v>85888.97</v>
      </c>
      <c r="AO59" s="127">
        <f t="shared" ca="1" si="12"/>
        <v>86284.92</v>
      </c>
      <c r="AP59" s="127">
        <f t="shared" ca="1" si="12"/>
        <v>86687.96</v>
      </c>
      <c r="AQ59" s="127">
        <f t="shared" ca="1" si="12"/>
        <v>87098.63</v>
      </c>
      <c r="AR59" s="127">
        <f t="shared" ca="1" si="12"/>
        <v>87512.11</v>
      </c>
      <c r="AS59" s="127">
        <f t="shared" ca="1" si="12"/>
        <v>87933.72</v>
      </c>
      <c r="AT59" s="127">
        <f t="shared" ca="1" si="12"/>
        <v>88363.92</v>
      </c>
      <c r="AU59" s="127">
        <f t="shared" ca="1" si="12"/>
        <v>88803.15</v>
      </c>
    </row>
    <row r="60" spans="2:47" x14ac:dyDescent="0.25">
      <c r="B60" t="s">
        <v>854</v>
      </c>
      <c r="C60" s="127">
        <f t="shared" ca="1" si="11"/>
        <v>33.596260000000001</v>
      </c>
      <c r="D60" s="127">
        <f t="shared" ca="1" si="11"/>
        <v>914.84280000000001</v>
      </c>
      <c r="E60" s="127">
        <f t="shared" ca="1" si="11"/>
        <v>2212.8580000000002</v>
      </c>
      <c r="F60" s="127">
        <f t="shared" ca="1" si="11"/>
        <v>3673.6509999999998</v>
      </c>
      <c r="G60" s="127">
        <f t="shared" ca="1" si="11"/>
        <v>5145.2430000000004</v>
      </c>
      <c r="H60" s="127">
        <f t="shared" ca="1" si="11"/>
        <v>6121.0680000000002</v>
      </c>
      <c r="I60" s="127">
        <f t="shared" ca="1" si="11"/>
        <v>6870.0479999999998</v>
      </c>
      <c r="J60" s="127">
        <f t="shared" ca="1" si="11"/>
        <v>7246.0290000000005</v>
      </c>
      <c r="K60" s="127">
        <f t="shared" ca="1" si="11"/>
        <v>7528.6909999999998</v>
      </c>
      <c r="L60" s="127">
        <f t="shared" ca="1" si="5"/>
        <v>7244.0309999999999</v>
      </c>
      <c r="M60" s="127">
        <f t="shared" ca="1" si="12"/>
        <v>7408.4989999999998</v>
      </c>
      <c r="N60" s="127">
        <f t="shared" ca="1" si="12"/>
        <v>7963.0950000000003</v>
      </c>
      <c r="O60" s="127">
        <f t="shared" ca="1" si="12"/>
        <v>8741.7540000000008</v>
      </c>
      <c r="P60" s="127">
        <f t="shared" ca="1" si="12"/>
        <v>9438.3760000000002</v>
      </c>
      <c r="Q60" s="127">
        <f t="shared" ca="1" si="12"/>
        <v>9976.3050000000003</v>
      </c>
      <c r="R60" s="127">
        <f t="shared" ca="1" si="12"/>
        <v>10180.81</v>
      </c>
      <c r="S60" s="127">
        <f t="shared" ca="1" si="12"/>
        <v>10426.200000000001</v>
      </c>
      <c r="T60" s="127">
        <f t="shared" ca="1" si="12"/>
        <v>10634.39</v>
      </c>
      <c r="U60" s="127">
        <f t="shared" ca="1" si="12"/>
        <v>10811.97</v>
      </c>
      <c r="V60" s="127">
        <f t="shared" ca="1" si="12"/>
        <v>10962.62</v>
      </c>
      <c r="W60" s="127">
        <f t="shared" ca="1" si="12"/>
        <v>11088.86</v>
      </c>
      <c r="X60" s="127">
        <f t="shared" ca="1" si="12"/>
        <v>11192.33</v>
      </c>
      <c r="Y60" s="127">
        <f t="shared" ca="1" si="12"/>
        <v>11274.94</v>
      </c>
      <c r="Z60" s="127">
        <f t="shared" ca="1" si="12"/>
        <v>11337.84</v>
      </c>
      <c r="AA60" s="127">
        <f t="shared" ca="1" si="12"/>
        <v>11382.06</v>
      </c>
      <c r="AB60" s="127">
        <f t="shared" ca="1" si="12"/>
        <v>11425.65</v>
      </c>
      <c r="AC60" s="127">
        <f t="shared" ca="1" si="12"/>
        <v>11480.52</v>
      </c>
      <c r="AD60" s="127">
        <f t="shared" ca="1" si="12"/>
        <v>11487.68</v>
      </c>
      <c r="AE60" s="127">
        <f t="shared" ca="1" si="12"/>
        <v>11451.48</v>
      </c>
      <c r="AF60" s="127">
        <f t="shared" ca="1" si="12"/>
        <v>11379.49</v>
      </c>
      <c r="AG60" s="127">
        <f t="shared" ca="1" si="12"/>
        <v>11274.53</v>
      </c>
      <c r="AH60" s="127">
        <f t="shared" ca="1" si="12"/>
        <v>11142.44</v>
      </c>
      <c r="AI60" s="127">
        <f t="shared" ca="1" si="12"/>
        <v>10988.48</v>
      </c>
      <c r="AJ60" s="127">
        <f t="shared" ca="1" si="12"/>
        <v>10816.09</v>
      </c>
      <c r="AK60" s="127">
        <f t="shared" ca="1" si="12"/>
        <v>10627.75</v>
      </c>
      <c r="AL60" s="127">
        <f t="shared" ca="1" si="12"/>
        <v>10425.4</v>
      </c>
      <c r="AM60" s="127">
        <f t="shared" ca="1" si="12"/>
        <v>10210.77</v>
      </c>
      <c r="AN60" s="127">
        <f t="shared" ca="1" si="12"/>
        <v>9985.4940000000006</v>
      </c>
      <c r="AO60" s="127">
        <f t="shared" ca="1" si="12"/>
        <v>9751.1669999999995</v>
      </c>
      <c r="AP60" s="127">
        <f t="shared" ca="1" si="12"/>
        <v>9621.9830000000002</v>
      </c>
      <c r="AQ60" s="127">
        <f t="shared" ca="1" si="12"/>
        <v>9496.2019999999993</v>
      </c>
      <c r="AR60" s="127">
        <f t="shared" ca="1" si="12"/>
        <v>9333.4779999999992</v>
      </c>
      <c r="AS60" s="127">
        <f t="shared" ca="1" si="12"/>
        <v>9156.9809999999998</v>
      </c>
      <c r="AT60" s="127">
        <f t="shared" ca="1" si="12"/>
        <v>8980.8130000000001</v>
      </c>
      <c r="AU60" s="127">
        <f t="shared" ca="1" si="12"/>
        <v>8809.5650000000005</v>
      </c>
    </row>
    <row r="61" spans="2:47" x14ac:dyDescent="0.25">
      <c r="B61" t="s">
        <v>855</v>
      </c>
      <c r="C61" s="127">
        <f t="shared" ca="1" si="11"/>
        <v>6872.4849999999997</v>
      </c>
      <c r="D61" s="127">
        <f t="shared" ca="1" si="11"/>
        <v>7556.98</v>
      </c>
      <c r="E61" s="127">
        <f t="shared" ca="1" si="11"/>
        <v>8547.7330000000002</v>
      </c>
      <c r="F61" s="127">
        <f t="shared" ca="1" si="11"/>
        <v>9632.5370000000003</v>
      </c>
      <c r="G61" s="127">
        <f t="shared" ca="1" si="11"/>
        <v>10688.69</v>
      </c>
      <c r="H61" s="127">
        <f t="shared" ca="1" si="11"/>
        <v>11800.25</v>
      </c>
      <c r="I61" s="127">
        <f t="shared" ca="1" si="11"/>
        <v>13003.83</v>
      </c>
      <c r="J61" s="127">
        <f t="shared" ca="1" si="11"/>
        <v>13810.25</v>
      </c>
      <c r="K61" s="127">
        <f t="shared" ca="1" si="11"/>
        <v>14466.09</v>
      </c>
      <c r="L61" s="127">
        <f t="shared" ca="1" si="5"/>
        <v>14524.25</v>
      </c>
      <c r="M61" s="127">
        <f t="shared" ca="1" si="12"/>
        <v>14684.38</v>
      </c>
      <c r="N61" s="127">
        <f t="shared" ca="1" si="12"/>
        <v>15122.24</v>
      </c>
      <c r="O61" s="127">
        <f t="shared" ca="1" si="12"/>
        <v>15691.31</v>
      </c>
      <c r="P61" s="127">
        <f t="shared" ca="1" si="12"/>
        <v>15988.17</v>
      </c>
      <c r="Q61" s="127">
        <f t="shared" ca="1" si="12"/>
        <v>16249.55</v>
      </c>
      <c r="R61" s="127">
        <f t="shared" ca="1" si="12"/>
        <v>15866.12</v>
      </c>
      <c r="S61" s="127">
        <f t="shared" ca="1" si="12"/>
        <v>15530.81</v>
      </c>
      <c r="T61" s="127">
        <f t="shared" ca="1" si="12"/>
        <v>15159.32</v>
      </c>
      <c r="U61" s="127">
        <f t="shared" ca="1" si="12"/>
        <v>14782.09</v>
      </c>
      <c r="V61" s="127">
        <f t="shared" ca="1" si="12"/>
        <v>14411.65</v>
      </c>
      <c r="W61" s="127">
        <f t="shared" ca="1" si="12"/>
        <v>14051.79</v>
      </c>
      <c r="X61" s="127">
        <f t="shared" ca="1" si="12"/>
        <v>13701.91</v>
      </c>
      <c r="Y61" s="127">
        <f t="shared" ca="1" si="12"/>
        <v>13360.63</v>
      </c>
      <c r="Z61" s="127">
        <f t="shared" ca="1" si="12"/>
        <v>13025.64</v>
      </c>
      <c r="AA61" s="127">
        <f t="shared" ca="1" si="12"/>
        <v>12694.93</v>
      </c>
      <c r="AB61" s="127">
        <f t="shared" ca="1" si="12"/>
        <v>12304.51</v>
      </c>
      <c r="AC61" s="127">
        <f t="shared" ca="1" si="12"/>
        <v>11952.32</v>
      </c>
      <c r="AD61" s="127">
        <f t="shared" ca="1" si="12"/>
        <v>11592.23</v>
      </c>
      <c r="AE61" s="127">
        <f t="shared" ca="1" si="12"/>
        <v>11226.68</v>
      </c>
      <c r="AF61" s="127">
        <f t="shared" ca="1" si="12"/>
        <v>10856.69</v>
      </c>
      <c r="AG61" s="127">
        <f t="shared" ca="1" si="12"/>
        <v>10479.64</v>
      </c>
      <c r="AH61" s="127">
        <f t="shared" ca="1" si="12"/>
        <v>10097.620000000001</v>
      </c>
      <c r="AI61" s="127">
        <f t="shared" ca="1" si="12"/>
        <v>9713.7279999999992</v>
      </c>
      <c r="AJ61" s="127">
        <f t="shared" ca="1" si="12"/>
        <v>9330.49</v>
      </c>
      <c r="AK61" s="127">
        <f t="shared" ca="1" si="12"/>
        <v>8950.1110000000008</v>
      </c>
      <c r="AL61" s="127">
        <f t="shared" ca="1" si="12"/>
        <v>8574.5810000000001</v>
      </c>
      <c r="AM61" s="127">
        <f t="shared" ca="1" si="12"/>
        <v>8205.6759999999995</v>
      </c>
      <c r="AN61" s="127">
        <f t="shared" ca="1" si="12"/>
        <v>7844.9359999999997</v>
      </c>
      <c r="AO61" s="127">
        <f t="shared" ca="1" si="12"/>
        <v>7493.6580000000004</v>
      </c>
      <c r="AP61" s="127">
        <f t="shared" ca="1" si="12"/>
        <v>7237.5959999999995</v>
      </c>
      <c r="AQ61" s="127">
        <f t="shared" ca="1" si="12"/>
        <v>6996.2370000000001</v>
      </c>
      <c r="AR61" s="127">
        <f t="shared" ca="1" si="12"/>
        <v>6781.8310000000001</v>
      </c>
      <c r="AS61" s="127">
        <f t="shared" ca="1" si="12"/>
        <v>6583.7079999999996</v>
      </c>
      <c r="AT61" s="127">
        <f t="shared" ca="1" si="12"/>
        <v>6399.3159999999998</v>
      </c>
      <c r="AU61" s="127">
        <f t="shared" ca="1" si="12"/>
        <v>6226.1530000000002</v>
      </c>
    </row>
    <row r="62" spans="2:47" x14ac:dyDescent="0.25">
      <c r="B62" t="s">
        <v>856</v>
      </c>
      <c r="C62" s="127">
        <f t="shared" ca="1" si="11"/>
        <v>12857.91</v>
      </c>
      <c r="D62" s="127">
        <f t="shared" ca="1" si="11"/>
        <v>12687.05</v>
      </c>
      <c r="E62" s="127">
        <f t="shared" ca="1" si="11"/>
        <v>12449.55</v>
      </c>
      <c r="F62" s="127">
        <f t="shared" ca="1" si="11"/>
        <v>12170.41</v>
      </c>
      <c r="G62" s="127">
        <f t="shared" ca="1" si="11"/>
        <v>11857.62</v>
      </c>
      <c r="H62" s="127">
        <f t="shared" ca="1" si="11"/>
        <v>11627.83</v>
      </c>
      <c r="I62" s="127">
        <f t="shared" ca="1" si="11"/>
        <v>11376.63</v>
      </c>
      <c r="J62" s="127">
        <f t="shared" ca="1" si="11"/>
        <v>10712.42</v>
      </c>
      <c r="K62" s="127">
        <f t="shared" ca="1" si="11"/>
        <v>9885.0040000000008</v>
      </c>
      <c r="L62" s="127">
        <f t="shared" ca="1" si="5"/>
        <v>9186.7009999999991</v>
      </c>
      <c r="M62" s="127">
        <f t="shared" ca="1" si="12"/>
        <v>8989.0079999999998</v>
      </c>
      <c r="N62" s="127">
        <f t="shared" ca="1" si="12"/>
        <v>9206.3780000000006</v>
      </c>
      <c r="O62" s="127">
        <f t="shared" ca="1" si="12"/>
        <v>9632.0769999999993</v>
      </c>
      <c r="P62" s="127">
        <f t="shared" ca="1" si="12"/>
        <v>9948.9509999999991</v>
      </c>
      <c r="Q62" s="127">
        <f t="shared" ca="1" si="12"/>
        <v>10204.52</v>
      </c>
      <c r="R62" s="127">
        <f t="shared" ca="1" si="12"/>
        <v>10082.59</v>
      </c>
      <c r="S62" s="127">
        <f t="shared" ca="1" si="12"/>
        <v>9995.4940000000006</v>
      </c>
      <c r="T62" s="127">
        <f t="shared" ca="1" si="12"/>
        <v>9878.9549999999999</v>
      </c>
      <c r="U62" s="127">
        <f t="shared" ca="1" si="12"/>
        <v>9747.2199999999993</v>
      </c>
      <c r="V62" s="127">
        <f t="shared" ca="1" si="12"/>
        <v>9606.7939999999999</v>
      </c>
      <c r="W62" s="127">
        <f t="shared" ca="1" si="12"/>
        <v>9460.4079999999994</v>
      </c>
      <c r="X62" s="127">
        <f t="shared" ca="1" si="12"/>
        <v>9308.7350000000006</v>
      </c>
      <c r="Y62" s="127">
        <f t="shared" ca="1" si="12"/>
        <v>9152.1939999999995</v>
      </c>
      <c r="Z62" s="127">
        <f t="shared" ca="1" si="12"/>
        <v>8990.5570000000007</v>
      </c>
      <c r="AA62" s="127">
        <f t="shared" ca="1" si="12"/>
        <v>8823.6679999999997</v>
      </c>
      <c r="AB62" s="127">
        <f t="shared" ca="1" si="12"/>
        <v>8595.6620000000003</v>
      </c>
      <c r="AC62" s="127">
        <f t="shared" ca="1" si="12"/>
        <v>8388.6990000000005</v>
      </c>
      <c r="AD62" s="127">
        <f t="shared" ca="1" si="12"/>
        <v>8174.7560000000003</v>
      </c>
      <c r="AE62" s="127">
        <f t="shared" ca="1" si="12"/>
        <v>7956.01</v>
      </c>
      <c r="AF62" s="127">
        <f t="shared" ca="1" si="12"/>
        <v>7732.6030000000001</v>
      </c>
      <c r="AG62" s="127">
        <f t="shared" ca="1" si="12"/>
        <v>7501.9059999999999</v>
      </c>
      <c r="AH62" s="127">
        <f t="shared" ca="1" si="12"/>
        <v>7264.8029999999999</v>
      </c>
      <c r="AI62" s="127">
        <f t="shared" ca="1" si="12"/>
        <v>7023.12</v>
      </c>
      <c r="AJ62" s="127">
        <f t="shared" ca="1" si="12"/>
        <v>6778.4369999999999</v>
      </c>
      <c r="AK62" s="127">
        <f t="shared" ca="1" si="12"/>
        <v>6532.2529999999997</v>
      </c>
      <c r="AL62" s="127">
        <f t="shared" ca="1" si="12"/>
        <v>6286.0079999999998</v>
      </c>
      <c r="AM62" s="127">
        <f t="shared" ca="1" si="12"/>
        <v>6041.0630000000001</v>
      </c>
      <c r="AN62" s="127">
        <f t="shared" ca="1" si="12"/>
        <v>5798.6629999999996</v>
      </c>
      <c r="AO62" s="127">
        <f t="shared" ca="1" si="12"/>
        <v>5559.9170000000004</v>
      </c>
      <c r="AP62" s="127">
        <f t="shared" ca="1" si="12"/>
        <v>5388.8559999999998</v>
      </c>
      <c r="AQ62" s="127">
        <f t="shared" ca="1" si="12"/>
        <v>5226.1580000000004</v>
      </c>
      <c r="AR62" s="127">
        <f t="shared" ca="1" si="12"/>
        <v>5094.701</v>
      </c>
      <c r="AS62" s="127">
        <f t="shared" ca="1" si="12"/>
        <v>4978.0169999999998</v>
      </c>
      <c r="AT62" s="127">
        <f t="shared" ca="1" si="12"/>
        <v>4870.4859999999999</v>
      </c>
      <c r="AU62" s="127">
        <f t="shared" ca="1" si="12"/>
        <v>4768.7759999999998</v>
      </c>
    </row>
    <row r="63" spans="2:47" x14ac:dyDescent="0.25">
      <c r="B63" t="s">
        <v>857</v>
      </c>
      <c r="C63" s="127">
        <f t="shared" ca="1" si="11"/>
        <v>14525.44</v>
      </c>
      <c r="D63" s="127">
        <f t="shared" ca="1" si="11"/>
        <v>13709.71</v>
      </c>
      <c r="E63" s="127">
        <f t="shared" ca="1" si="11"/>
        <v>12547.38</v>
      </c>
      <c r="F63" s="127">
        <f t="shared" ca="1" si="11"/>
        <v>11247.88</v>
      </c>
      <c r="G63" s="127">
        <f t="shared" ca="1" si="11"/>
        <v>9921.1180000000004</v>
      </c>
      <c r="H63" s="127">
        <f t="shared" ca="1" si="11"/>
        <v>8621.2049999999999</v>
      </c>
      <c r="I63" s="127">
        <f t="shared" ca="1" si="11"/>
        <v>7175.2489999999998</v>
      </c>
      <c r="J63" s="127">
        <f t="shared" ca="1" si="11"/>
        <v>5389.9960000000001</v>
      </c>
      <c r="K63" s="127">
        <f t="shared" ca="1" si="11"/>
        <v>3470.4389999999999</v>
      </c>
      <c r="L63" s="127">
        <f t="shared" ca="1" si="5"/>
        <v>2254.5770000000002</v>
      </c>
      <c r="M63" s="127">
        <f t="shared" ca="1" si="12"/>
        <v>1804.144</v>
      </c>
      <c r="N63" s="127">
        <f t="shared" ca="1" si="12"/>
        <v>1813.4860000000001</v>
      </c>
      <c r="O63" s="127">
        <f t="shared" ca="1" si="12"/>
        <v>2063.6289999999999</v>
      </c>
      <c r="P63" s="127">
        <f t="shared" ca="1" si="12"/>
        <v>2379.3829999999998</v>
      </c>
      <c r="Q63" s="127">
        <f t="shared" ca="1" si="12"/>
        <v>2610.6619999999998</v>
      </c>
      <c r="R63" s="127">
        <f t="shared" ca="1" si="12"/>
        <v>2788.9119999999998</v>
      </c>
      <c r="S63" s="127">
        <f t="shared" ca="1" si="12"/>
        <v>2982.989</v>
      </c>
      <c r="T63" s="127">
        <f t="shared" ca="1" si="12"/>
        <v>3158.2130000000002</v>
      </c>
      <c r="U63" s="127">
        <f t="shared" ca="1" si="12"/>
        <v>3310.3760000000002</v>
      </c>
      <c r="V63" s="127">
        <f t="shared" ca="1" si="12"/>
        <v>3438.9319999999998</v>
      </c>
      <c r="W63" s="127">
        <f t="shared" ca="1" si="12"/>
        <v>3545.14</v>
      </c>
      <c r="X63" s="127">
        <f t="shared" ca="1" si="12"/>
        <v>3630.8719999999998</v>
      </c>
      <c r="Y63" s="127">
        <f t="shared" ca="1" si="12"/>
        <v>3698.319</v>
      </c>
      <c r="Z63" s="127">
        <f t="shared" ca="1" si="12"/>
        <v>3749.4070000000002</v>
      </c>
      <c r="AA63" s="127">
        <f t="shared" ca="1" si="12"/>
        <v>3785.8620000000001</v>
      </c>
      <c r="AB63" s="127">
        <f t="shared" ca="1" si="12"/>
        <v>3773.3910000000001</v>
      </c>
      <c r="AC63" s="127">
        <f t="shared" ca="1" si="12"/>
        <v>3761.2080000000001</v>
      </c>
      <c r="AD63" s="127">
        <f t="shared" ca="1" si="12"/>
        <v>3741.4209999999998</v>
      </c>
      <c r="AE63" s="127">
        <f t="shared" ca="1" si="12"/>
        <v>3715.6840000000002</v>
      </c>
      <c r="AF63" s="127">
        <f t="shared" ca="1" si="12"/>
        <v>3683.6849999999999</v>
      </c>
      <c r="AG63" s="127">
        <f t="shared" ca="1" si="12"/>
        <v>3643.5439999999999</v>
      </c>
      <c r="AH63" s="127">
        <f t="shared" ca="1" si="12"/>
        <v>3595.136</v>
      </c>
      <c r="AI63" s="127">
        <f t="shared" ca="1" si="12"/>
        <v>3538.9650000000001</v>
      </c>
      <c r="AJ63" s="127">
        <f t="shared" ca="1" si="12"/>
        <v>3475.5680000000002</v>
      </c>
      <c r="AK63" s="127">
        <f t="shared" ca="1" si="12"/>
        <v>3405.5749999999998</v>
      </c>
      <c r="AL63" s="127">
        <f t="shared" ca="1" si="12"/>
        <v>3329.6950000000002</v>
      </c>
      <c r="AM63" s="127">
        <f t="shared" ca="1" si="12"/>
        <v>3248.6909999999998</v>
      </c>
      <c r="AN63" s="127">
        <f t="shared" ca="1" si="12"/>
        <v>3163.3440000000001</v>
      </c>
      <c r="AO63" s="127">
        <f t="shared" ca="1" si="12"/>
        <v>3074.4360000000001</v>
      </c>
      <c r="AP63" s="127">
        <f t="shared" ca="1" si="12"/>
        <v>3018.0540000000001</v>
      </c>
      <c r="AQ63" s="127">
        <f t="shared" ca="1" si="12"/>
        <v>2962.116</v>
      </c>
      <c r="AR63" s="127">
        <f t="shared" ca="1" si="12"/>
        <v>2928.5189999999998</v>
      </c>
      <c r="AS63" s="127">
        <f t="shared" ca="1" si="12"/>
        <v>2902.806</v>
      </c>
      <c r="AT63" s="127">
        <f t="shared" ca="1" si="12"/>
        <v>2879.6190000000001</v>
      </c>
      <c r="AU63" s="127">
        <f t="shared" ca="1" si="12"/>
        <v>2856.2849999999999</v>
      </c>
    </row>
    <row r="64" spans="2:47" x14ac:dyDescent="0.25">
      <c r="B64" t="s">
        <v>858</v>
      </c>
      <c r="C64" s="127">
        <f t="shared" ca="1" si="11"/>
        <v>13010.51</v>
      </c>
      <c r="D64" s="127">
        <f t="shared" ca="1" si="11"/>
        <v>12089.93</v>
      </c>
      <c r="E64" s="127">
        <f t="shared" ca="1" si="11"/>
        <v>10755.57</v>
      </c>
      <c r="F64" s="127">
        <f t="shared" ca="1" si="11"/>
        <v>9250.0660000000007</v>
      </c>
      <c r="G64" s="127">
        <f t="shared" ca="1" si="11"/>
        <v>7709.6670000000004</v>
      </c>
      <c r="H64" s="127">
        <f t="shared" ca="1" si="11"/>
        <v>6529.951</v>
      </c>
      <c r="I64" s="127">
        <f t="shared" ca="1" si="11"/>
        <v>5415.8190000000004</v>
      </c>
      <c r="J64" s="127">
        <f t="shared" ca="1" si="11"/>
        <v>4123.143</v>
      </c>
      <c r="K64" s="127">
        <f t="shared" ca="1" si="11"/>
        <v>2724.4560000000001</v>
      </c>
      <c r="L64" s="127">
        <f t="shared" ca="1" si="5"/>
        <v>2008.6379999999999</v>
      </c>
      <c r="M64" s="127">
        <f t="shared" ca="1" si="12"/>
        <v>1633.306</v>
      </c>
      <c r="N64" s="127">
        <f t="shared" ca="1" si="12"/>
        <v>1457.0709999999999</v>
      </c>
      <c r="O64" s="127">
        <f t="shared" ca="1" si="12"/>
        <v>1373.15</v>
      </c>
      <c r="P64" s="127">
        <f t="shared" ca="1" si="12"/>
        <v>1305.3399999999999</v>
      </c>
      <c r="Q64" s="127">
        <f t="shared" ca="1" si="12"/>
        <v>1262.482</v>
      </c>
      <c r="R64" s="127">
        <f t="shared" ref="M64:AU66" ca="1" si="13">Output("SCEN_ADEMEhaut",$B64,R$1)</f>
        <v>1174.5350000000001</v>
      </c>
      <c r="S64" s="127">
        <f t="shared" ca="1" si="13"/>
        <v>1093.1089999999999</v>
      </c>
      <c r="T64" s="127">
        <f t="shared" ca="1" si="13"/>
        <v>1010.745</v>
      </c>
      <c r="U64" s="127">
        <f t="shared" ca="1" si="13"/>
        <v>929.52650000000006</v>
      </c>
      <c r="V64" s="127">
        <f t="shared" ca="1" si="13"/>
        <v>850.33609999999999</v>
      </c>
      <c r="W64" s="127">
        <f t="shared" ca="1" si="13"/>
        <v>773.41790000000003</v>
      </c>
      <c r="X64" s="127">
        <f t="shared" ca="1" si="13"/>
        <v>698.67280000000005</v>
      </c>
      <c r="Y64" s="127">
        <f t="shared" ca="1" si="13"/>
        <v>625.92999999999995</v>
      </c>
      <c r="Z64" s="127">
        <f t="shared" ca="1" si="13"/>
        <v>554.98109999999997</v>
      </c>
      <c r="AA64" s="127">
        <f t="shared" ca="1" si="13"/>
        <v>485.66890000000001</v>
      </c>
      <c r="AB64" s="127">
        <f t="shared" ca="1" si="13"/>
        <v>389.00200000000001</v>
      </c>
      <c r="AC64" s="127">
        <f t="shared" ca="1" si="13"/>
        <v>296.8809</v>
      </c>
      <c r="AD64" s="127">
        <f t="shared" ca="1" si="13"/>
        <v>214.5241</v>
      </c>
      <c r="AE64" s="127">
        <f t="shared" ca="1" si="13"/>
        <v>141.7192</v>
      </c>
      <c r="AF64" s="127">
        <f t="shared" ca="1" si="13"/>
        <v>76.411770000000004</v>
      </c>
      <c r="AG64" s="127">
        <f t="shared" ca="1" si="13"/>
        <v>37.349290000000003</v>
      </c>
      <c r="AH64" s="127">
        <f t="shared" ca="1" si="13"/>
        <v>18.225010000000001</v>
      </c>
      <c r="AI64" s="127">
        <f t="shared" ca="1" si="13"/>
        <v>8.8785969999999992</v>
      </c>
      <c r="AJ64" s="127">
        <f t="shared" ca="1" si="13"/>
        <v>4.3185469999999997</v>
      </c>
      <c r="AK64" s="127">
        <f t="shared" ca="1" si="13"/>
        <v>2.097343</v>
      </c>
      <c r="AL64" s="127">
        <f t="shared" ca="1" si="13"/>
        <v>1.0170699999999999</v>
      </c>
      <c r="AM64" s="127">
        <f t="shared" ca="1" si="13"/>
        <v>0.49245699999999998</v>
      </c>
      <c r="AN64" s="127">
        <f t="shared" ca="1" si="13"/>
        <v>0.238041</v>
      </c>
      <c r="AO64" s="127">
        <f t="shared" ca="1" si="13"/>
        <v>0.114816</v>
      </c>
      <c r="AP64" s="127">
        <f t="shared" ca="1" si="13"/>
        <v>5.5858999999999999E-2</v>
      </c>
      <c r="AQ64" s="127">
        <f t="shared" ca="1" si="13"/>
        <v>2.7064999999999999E-2</v>
      </c>
      <c r="AR64" s="127">
        <f t="shared" ca="1" si="13"/>
        <v>1.3008E-2</v>
      </c>
      <c r="AS64" s="127">
        <f t="shared" ca="1" si="13"/>
        <v>6.1409999999999998E-3</v>
      </c>
      <c r="AT64" s="127">
        <f t="shared" ca="1" si="13"/>
        <v>2.787E-3</v>
      </c>
      <c r="AU64" s="127">
        <f t="shared" ca="1" si="13"/>
        <v>1.1490000000000001E-3</v>
      </c>
    </row>
    <row r="65" spans="2:47" x14ac:dyDescent="0.25">
      <c r="B65" t="s">
        <v>859</v>
      </c>
      <c r="C65" s="127">
        <f t="shared" ca="1" si="11"/>
        <v>6159.2650000000003</v>
      </c>
      <c r="D65" s="127">
        <f t="shared" ca="1" si="11"/>
        <v>5318.8810000000003</v>
      </c>
      <c r="E65" s="127">
        <f t="shared" ca="1" si="11"/>
        <v>4048.5839999999998</v>
      </c>
      <c r="F65" s="127">
        <f t="shared" ca="1" si="11"/>
        <v>2580.4009999999998</v>
      </c>
      <c r="G65" s="127">
        <f t="shared" ca="1" si="11"/>
        <v>1295.6300000000001</v>
      </c>
      <c r="H65" s="127">
        <f t="shared" ca="1" si="11"/>
        <v>793.62919999999997</v>
      </c>
      <c r="I65" s="127">
        <f t="shared" ca="1" si="11"/>
        <v>955.71990000000005</v>
      </c>
      <c r="J65" s="127">
        <f t="shared" ca="1" si="11"/>
        <v>1386.242</v>
      </c>
      <c r="K65" s="127">
        <f t="shared" ca="1" si="11"/>
        <v>1810.1780000000001</v>
      </c>
      <c r="L65" s="127">
        <f t="shared" ca="1" si="5"/>
        <v>2598.0120000000002</v>
      </c>
      <c r="M65" s="127">
        <f t="shared" ca="1" si="13"/>
        <v>2542.5160000000001</v>
      </c>
      <c r="N65" s="127">
        <f t="shared" ca="1" si="13"/>
        <v>1988.912</v>
      </c>
      <c r="O65" s="127">
        <f t="shared" ca="1" si="13"/>
        <v>1133.2940000000001</v>
      </c>
      <c r="P65" s="127">
        <f t="shared" ca="1" si="13"/>
        <v>564.49890000000005</v>
      </c>
      <c r="Q65" s="127">
        <f t="shared" ca="1" si="13"/>
        <v>285.12729999999999</v>
      </c>
      <c r="R65" s="127">
        <f t="shared" ca="1" si="13"/>
        <v>140.398</v>
      </c>
      <c r="S65" s="127">
        <f t="shared" ca="1" si="13"/>
        <v>69.764870000000002</v>
      </c>
      <c r="T65" s="127">
        <f t="shared" ca="1" si="13"/>
        <v>34.655149999999999</v>
      </c>
      <c r="U65" s="127">
        <f t="shared" ca="1" si="13"/>
        <v>17.206340000000001</v>
      </c>
      <c r="V65" s="127">
        <f t="shared" ca="1" si="13"/>
        <v>8.5377969999999994</v>
      </c>
      <c r="W65" s="127">
        <f t="shared" ca="1" si="13"/>
        <v>4.2334690000000004</v>
      </c>
      <c r="X65" s="127">
        <f t="shared" ca="1" si="13"/>
        <v>2.0974590000000002</v>
      </c>
      <c r="Y65" s="127">
        <f t="shared" ca="1" si="13"/>
        <v>1.0382929999999999</v>
      </c>
      <c r="Z65" s="127">
        <f t="shared" ca="1" si="13"/>
        <v>0.51350799999999996</v>
      </c>
      <c r="AA65" s="127">
        <f t="shared" ca="1" si="13"/>
        <v>0.25372099999999997</v>
      </c>
      <c r="AB65" s="127">
        <f t="shared" ca="1" si="13"/>
        <v>0.124775</v>
      </c>
      <c r="AC65" s="127">
        <f t="shared" ca="1" si="13"/>
        <v>6.1469999999999997E-2</v>
      </c>
      <c r="AD65" s="127">
        <f t="shared" ca="1" si="13"/>
        <v>3.0217000000000001E-2</v>
      </c>
      <c r="AE65" s="127">
        <f t="shared" ca="1" si="13"/>
        <v>1.4822999999999999E-2</v>
      </c>
      <c r="AF65" s="127">
        <f t="shared" ca="1" si="13"/>
        <v>7.2579999999999997E-3</v>
      </c>
      <c r="AG65" s="127">
        <f t="shared" ca="1" si="13"/>
        <v>3.5479999999999999E-3</v>
      </c>
      <c r="AH65" s="127">
        <f t="shared" ca="1" si="13"/>
        <v>1.7309999999999999E-3</v>
      </c>
      <c r="AI65" s="127">
        <f t="shared" ca="1" si="13"/>
        <v>8.43E-4</v>
      </c>
      <c r="AJ65" s="127">
        <f t="shared" ca="1" si="13"/>
        <v>4.0999999999999999E-4</v>
      </c>
      <c r="AK65" s="127">
        <f t="shared" ca="1" si="13"/>
        <v>1.9900000000000001E-4</v>
      </c>
      <c r="AL65" s="127">
        <f t="shared" ca="1" si="13"/>
        <v>9.6600000000000003E-5</v>
      </c>
      <c r="AM65" s="127">
        <f t="shared" ca="1" si="13"/>
        <v>4.6799999999999999E-5</v>
      </c>
      <c r="AN65" s="127">
        <f t="shared" ca="1" si="13"/>
        <v>2.27E-5</v>
      </c>
      <c r="AO65" s="127">
        <f t="shared" ca="1" si="13"/>
        <v>1.0900000000000001E-5</v>
      </c>
      <c r="AP65" s="127">
        <f t="shared" ca="1" si="13"/>
        <v>5.3499999999999996E-6</v>
      </c>
      <c r="AQ65" s="127">
        <f t="shared" ca="1" si="13"/>
        <v>2.61E-6</v>
      </c>
      <c r="AR65" s="127">
        <f t="shared" ca="1" si="13"/>
        <v>1.28E-6</v>
      </c>
      <c r="AS65" s="127">
        <f t="shared" ca="1" si="13"/>
        <v>6.2500000000000005E-7</v>
      </c>
      <c r="AT65" s="127">
        <f t="shared" ca="1" si="13"/>
        <v>3.0600000000000001E-7</v>
      </c>
      <c r="AU65" s="127">
        <f t="shared" ca="1" si="13"/>
        <v>1.4999999999999999E-7</v>
      </c>
    </row>
    <row r="66" spans="2:47" x14ac:dyDescent="0.25">
      <c r="B66" t="s">
        <v>860</v>
      </c>
      <c r="C66" s="127">
        <f t="shared" ca="1" si="11"/>
        <v>2034.432</v>
      </c>
      <c r="D66" s="127">
        <f t="shared" ca="1" si="11"/>
        <v>1013.359</v>
      </c>
      <c r="E66" s="127">
        <f t="shared" ca="1" si="11"/>
        <v>507.88580000000002</v>
      </c>
      <c r="F66" s="127">
        <f t="shared" ca="1" si="11"/>
        <v>254.8792</v>
      </c>
      <c r="G66" s="127">
        <f t="shared" ca="1" si="11"/>
        <v>127.9759</v>
      </c>
      <c r="H66" s="127">
        <f t="shared" ca="1" si="11"/>
        <v>64.391360000000006</v>
      </c>
      <c r="I66" s="127">
        <f t="shared" ca="1" si="11"/>
        <v>32.396729999999998</v>
      </c>
      <c r="J66" s="127">
        <f t="shared" ca="1" si="11"/>
        <v>4888.5</v>
      </c>
      <c r="K66" s="127">
        <f t="shared" ca="1" si="11"/>
        <v>11862.9</v>
      </c>
      <c r="L66" s="127">
        <f t="shared" ca="1" si="5"/>
        <v>19894.189999999999</v>
      </c>
      <c r="M66" s="127">
        <f t="shared" ca="1" si="13"/>
        <v>20504.189999999999</v>
      </c>
      <c r="N66" s="127">
        <f t="shared" ca="1" si="13"/>
        <v>16792.28</v>
      </c>
      <c r="O66" s="127">
        <f t="shared" ca="1" si="13"/>
        <v>10546.48</v>
      </c>
      <c r="P66" s="127">
        <f t="shared" ca="1" si="13"/>
        <v>5253.2470000000003</v>
      </c>
      <c r="Q66" s="127">
        <f t="shared" ca="1" si="13"/>
        <v>2653.4050000000002</v>
      </c>
      <c r="R66" s="127">
        <f t="shared" ca="1" si="13"/>
        <v>1306.548</v>
      </c>
      <c r="S66" s="127">
        <f t="shared" ca="1" si="13"/>
        <v>649.23429999999996</v>
      </c>
      <c r="T66" s="127">
        <f t="shared" ca="1" si="13"/>
        <v>322.50209999999998</v>
      </c>
      <c r="U66" s="127">
        <f t="shared" ca="1" si="13"/>
        <v>160.12280000000001</v>
      </c>
      <c r="V66" s="127">
        <f t="shared" ca="1" si="13"/>
        <v>79.453040000000001</v>
      </c>
      <c r="W66" s="127">
        <f t="shared" ca="1" si="13"/>
        <v>39.396810000000002</v>
      </c>
      <c r="X66" s="127">
        <f t="shared" ca="1" si="13"/>
        <v>19.519020000000001</v>
      </c>
      <c r="Y66" s="127">
        <f t="shared" ca="1" si="13"/>
        <v>9.6623940000000008</v>
      </c>
      <c r="Z66" s="127">
        <f t="shared" ca="1" si="13"/>
        <v>4.7787280000000001</v>
      </c>
      <c r="AA66" s="127">
        <f t="shared" ca="1" si="13"/>
        <v>2.3611369999999998</v>
      </c>
      <c r="AB66" s="127">
        <f t="shared" ca="1" si="13"/>
        <v>1.1611579999999999</v>
      </c>
      <c r="AC66" s="127">
        <f t="shared" ca="1" si="13"/>
        <v>0.572044</v>
      </c>
      <c r="AD66" s="127">
        <f t="shared" ca="1" si="13"/>
        <v>0.281196</v>
      </c>
      <c r="AE66" s="127">
        <f t="shared" ca="1" si="13"/>
        <v>0.13794799999999999</v>
      </c>
      <c r="AF66" s="127">
        <f t="shared" ca="1" si="13"/>
        <v>6.7546999999999996E-2</v>
      </c>
      <c r="AG66" s="127">
        <f t="shared" ca="1" si="13"/>
        <v>3.3016999999999998E-2</v>
      </c>
      <c r="AH66" s="127">
        <f t="shared" ca="1" si="13"/>
        <v>1.6111E-2</v>
      </c>
      <c r="AI66" s="127">
        <f t="shared" ca="1" si="13"/>
        <v>7.8490000000000001E-3</v>
      </c>
      <c r="AJ66" s="127">
        <f t="shared" ca="1" si="13"/>
        <v>3.8180000000000002E-3</v>
      </c>
      <c r="AK66" s="127">
        <f t="shared" ca="1" si="13"/>
        <v>1.854E-3</v>
      </c>
      <c r="AL66" s="127">
        <f t="shared" ca="1" si="13"/>
        <v>8.9899999999999995E-4</v>
      </c>
      <c r="AM66" s="127">
        <f t="shared" ca="1" si="13"/>
        <v>4.3600000000000003E-4</v>
      </c>
      <c r="AN66" s="127">
        <f t="shared" ca="1" si="13"/>
        <v>2.1100000000000001E-4</v>
      </c>
      <c r="AO66" s="127">
        <f t="shared" ca="1" si="13"/>
        <v>1.02E-4</v>
      </c>
      <c r="AP66" s="127">
        <f t="shared" ca="1" si="13"/>
        <v>4.9799999999999998E-5</v>
      </c>
      <c r="AQ66" s="127">
        <f t="shared" ca="1" si="13"/>
        <v>2.4300000000000001E-5</v>
      </c>
      <c r="AR66" s="127">
        <f t="shared" ca="1" si="13"/>
        <v>1.19E-5</v>
      </c>
      <c r="AS66" s="127">
        <f t="shared" ca="1" si="13"/>
        <v>5.8200000000000002E-6</v>
      </c>
      <c r="AT66" s="127">
        <f t="shared" ca="1" si="13"/>
        <v>2.8499999999999998E-6</v>
      </c>
      <c r="AU66" s="127">
        <f ca="1">Output("SCEN_ADEMEhaut",$B66,AU$1)</f>
        <v>1.39E-6</v>
      </c>
    </row>
    <row r="67" spans="2:47" x14ac:dyDescent="0.25">
      <c r="B67" t="s">
        <v>872</v>
      </c>
      <c r="C67" s="128">
        <f t="shared" ref="C67:K67" ca="1" si="14">SUM(C20:C56,C58:C66)</f>
        <v>368450.68949800002</v>
      </c>
      <c r="D67" s="128">
        <f t="shared" ca="1" si="14"/>
        <v>396583.99403299979</v>
      </c>
      <c r="E67" s="128">
        <f t="shared" ca="1" si="14"/>
        <v>397473.66500799998</v>
      </c>
      <c r="F67" s="128">
        <f t="shared" ca="1" si="14"/>
        <v>398290.70705600001</v>
      </c>
      <c r="G67" s="128">
        <f t="shared" ca="1" si="14"/>
        <v>399356.98207100003</v>
      </c>
      <c r="H67" s="128">
        <f t="shared" ca="1" si="14"/>
        <v>402141.94710799993</v>
      </c>
      <c r="I67" s="128">
        <f t="shared" ca="1" si="14"/>
        <v>405429.41866900009</v>
      </c>
      <c r="J67" s="128">
        <f t="shared" ca="1" si="14"/>
        <v>412179.4207880001</v>
      </c>
      <c r="K67" s="128">
        <f t="shared" ca="1" si="14"/>
        <v>420728.24901799997</v>
      </c>
      <c r="L67" s="128">
        <f ca="1">SUM(L20:L56,L58:L66)</f>
        <v>431169.34821900004</v>
      </c>
      <c r="M67" s="128">
        <f t="shared" ref="M67:AU67" ca="1" si="15">SUM(M20:M56,M58:M66)</f>
        <v>435754.23042299983</v>
      </c>
      <c r="N67" s="128">
        <f t="shared" ca="1" si="15"/>
        <v>437831.86160899978</v>
      </c>
      <c r="O67" s="128">
        <f t="shared" ca="1" si="15"/>
        <v>438541.74976800004</v>
      </c>
      <c r="P67" s="128">
        <f t="shared" ca="1" si="15"/>
        <v>440567.46712199994</v>
      </c>
      <c r="Q67" s="128">
        <f t="shared" ca="1" si="15"/>
        <v>445577.97873699997</v>
      </c>
      <c r="R67" s="128">
        <f t="shared" ca="1" si="15"/>
        <v>450633.01238199999</v>
      </c>
      <c r="S67" s="128">
        <f t="shared" ca="1" si="15"/>
        <v>456720.46297000005</v>
      </c>
      <c r="T67" s="128">
        <f t="shared" ca="1" si="15"/>
        <v>463119.26660700009</v>
      </c>
      <c r="U67" s="128">
        <f t="shared" ca="1" si="15"/>
        <v>469654.6039589998</v>
      </c>
      <c r="V67" s="128">
        <f t="shared" ca="1" si="15"/>
        <v>476229.93959600001</v>
      </c>
      <c r="W67" s="128">
        <f t="shared" ca="1" si="15"/>
        <v>482792.36457199993</v>
      </c>
      <c r="X67" s="128">
        <f t="shared" ca="1" si="15"/>
        <v>488943.22643699986</v>
      </c>
      <c r="Y67" s="128">
        <f t="shared" ca="1" si="15"/>
        <v>495015.26525299996</v>
      </c>
      <c r="Z67" s="128">
        <f t="shared" ca="1" si="15"/>
        <v>501024.92785599997</v>
      </c>
      <c r="AA67" s="128">
        <f t="shared" ca="1" si="15"/>
        <v>506992.51302400004</v>
      </c>
      <c r="AB67" s="128">
        <f t="shared" ca="1" si="15"/>
        <v>512779.89408499998</v>
      </c>
      <c r="AC67" s="128">
        <f t="shared" ca="1" si="15"/>
        <v>518374.7451590001</v>
      </c>
      <c r="AD67" s="128">
        <f t="shared" ca="1" si="15"/>
        <v>523847.6249099999</v>
      </c>
      <c r="AE67" s="128">
        <f t="shared" ca="1" si="15"/>
        <v>529321.00119500002</v>
      </c>
      <c r="AF67" s="128">
        <f t="shared" ca="1" si="15"/>
        <v>534867.94094099989</v>
      </c>
      <c r="AG67" s="128">
        <f t="shared" ca="1" si="15"/>
        <v>540550.0436819999</v>
      </c>
      <c r="AH67" s="128">
        <f t="shared" ca="1" si="15"/>
        <v>546408.02876699995</v>
      </c>
      <c r="AI67" s="128">
        <f t="shared" ca="1" si="15"/>
        <v>552477.76846600021</v>
      </c>
      <c r="AJ67" s="128">
        <f t="shared" ca="1" si="15"/>
        <v>558795.85797499993</v>
      </c>
      <c r="AK67" s="128">
        <f t="shared" ca="1" si="15"/>
        <v>565399.09912999999</v>
      </c>
      <c r="AL67" s="128">
        <f t="shared" ca="1" si="15"/>
        <v>572322.57889259991</v>
      </c>
      <c r="AM67" s="128">
        <f t="shared" ca="1" si="15"/>
        <v>579599.85692379985</v>
      </c>
      <c r="AN67" s="128">
        <f t="shared" ca="1" si="15"/>
        <v>587262.06244769983</v>
      </c>
      <c r="AO67" s="128">
        <f t="shared" ca="1" si="15"/>
        <v>595338.01773289999</v>
      </c>
      <c r="AP67" s="128">
        <f t="shared" ca="1" si="15"/>
        <v>604153.64842015016</v>
      </c>
      <c r="AQ67" s="128">
        <f t="shared" ca="1" si="15"/>
        <v>613447.36778891017</v>
      </c>
      <c r="AR67" s="128">
        <f t="shared" ca="1" si="15"/>
        <v>623235.87879818003</v>
      </c>
      <c r="AS67" s="128">
        <f t="shared" ca="1" si="15"/>
        <v>633526.09506944474</v>
      </c>
      <c r="AT67" s="128">
        <f t="shared" ca="1" si="15"/>
        <v>644341.17058515595</v>
      </c>
      <c r="AU67" s="128">
        <f t="shared" ca="1" si="15"/>
        <v>655700.62874254026</v>
      </c>
    </row>
    <row r="68" spans="2:47" x14ac:dyDescent="0.25">
      <c r="L68" s="128"/>
      <c r="M68" s="128"/>
      <c r="N68" s="128"/>
      <c r="O68" s="128"/>
      <c r="P68" s="128"/>
      <c r="Q68" s="128"/>
      <c r="R68" s="128"/>
      <c r="S68" s="128"/>
      <c r="T68" s="128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</row>
    <row r="69" spans="2:47" x14ac:dyDescent="0.25">
      <c r="B69" t="s">
        <v>815</v>
      </c>
      <c r="C69" s="127">
        <f t="shared" ref="C69:K84" ca="1" si="16">Output("SCEN_ADEMEhaut",$B69,C$1)</f>
        <v>9253.9619999999995</v>
      </c>
      <c r="D69" s="127">
        <f t="shared" ca="1" si="16"/>
        <v>9087.8559999999998</v>
      </c>
      <c r="E69" s="127">
        <f t="shared" ca="1" si="16"/>
        <v>9044.9689999999991</v>
      </c>
      <c r="F69" s="127">
        <f t="shared" ca="1" si="16"/>
        <v>9056.5020000000004</v>
      </c>
      <c r="G69" s="127">
        <f t="shared" ca="1" si="16"/>
        <v>9095.7009999999991</v>
      </c>
      <c r="H69" s="127">
        <f t="shared" ca="1" si="16"/>
        <v>9165.027</v>
      </c>
      <c r="I69" s="127">
        <f t="shared" ca="1" si="16"/>
        <v>9242.2569999999996</v>
      </c>
      <c r="J69" s="127">
        <f t="shared" ca="1" si="16"/>
        <v>9317.4680000000008</v>
      </c>
      <c r="K69" s="127">
        <f t="shared" ca="1" si="16"/>
        <v>9390.7389999999996</v>
      </c>
      <c r="L69" s="127">
        <f ca="1">Output("SCEN_ADEMEhaut",$B69,L$1)</f>
        <v>9494.0939999999991</v>
      </c>
      <c r="M69" s="127">
        <f t="shared" ref="M69:AU76" ca="1" si="17">Output("SCEN_ADEMEhaut",$B69,M$1)</f>
        <v>9618.0220000000008</v>
      </c>
      <c r="N69" s="127">
        <f t="shared" ca="1" si="17"/>
        <v>9756.5619999999999</v>
      </c>
      <c r="O69" s="127">
        <f t="shared" ca="1" si="17"/>
        <v>9907.2369999999992</v>
      </c>
      <c r="P69" s="127">
        <f t="shared" ca="1" si="17"/>
        <v>10068.66</v>
      </c>
      <c r="Q69" s="127">
        <f t="shared" ca="1" si="17"/>
        <v>10236.66</v>
      </c>
      <c r="R69" s="127">
        <f t="shared" ca="1" si="17"/>
        <v>10417.64</v>
      </c>
      <c r="S69" s="127">
        <f t="shared" ca="1" si="17"/>
        <v>10611.91</v>
      </c>
      <c r="T69" s="127">
        <f t="shared" ca="1" si="17"/>
        <v>10820.66</v>
      </c>
      <c r="U69" s="127">
        <f t="shared" ca="1" si="17"/>
        <v>11045.93</v>
      </c>
      <c r="V69" s="127">
        <f t="shared" ca="1" si="17"/>
        <v>11290.43</v>
      </c>
      <c r="W69" s="127">
        <f t="shared" ca="1" si="17"/>
        <v>11557.57</v>
      </c>
      <c r="X69" s="127">
        <f t="shared" ca="1" si="17"/>
        <v>11851.22</v>
      </c>
      <c r="Y69" s="127">
        <f t="shared" ca="1" si="17"/>
        <v>12176.15</v>
      </c>
      <c r="Z69" s="127">
        <f t="shared" ca="1" si="17"/>
        <v>12537.64</v>
      </c>
      <c r="AA69" s="127">
        <f t="shared" ca="1" si="17"/>
        <v>12941.42</v>
      </c>
      <c r="AB69" s="127">
        <f t="shared" ca="1" si="17"/>
        <v>13340.82</v>
      </c>
      <c r="AC69" s="127">
        <f t="shared" ca="1" si="17"/>
        <v>13742.8</v>
      </c>
      <c r="AD69" s="127">
        <f t="shared" ca="1" si="17"/>
        <v>14149.76</v>
      </c>
      <c r="AE69" s="127">
        <f t="shared" ca="1" si="17"/>
        <v>14562.76</v>
      </c>
      <c r="AF69" s="127">
        <f t="shared" ca="1" si="17"/>
        <v>14983.22</v>
      </c>
      <c r="AG69" s="127">
        <f t="shared" ca="1" si="17"/>
        <v>15413.7</v>
      </c>
      <c r="AH69" s="127">
        <f t="shared" ca="1" si="17"/>
        <v>15857.56</v>
      </c>
      <c r="AI69" s="127">
        <f t="shared" ca="1" si="17"/>
        <v>16318.65</v>
      </c>
      <c r="AJ69" s="127">
        <f t="shared" ca="1" si="17"/>
        <v>16801.330000000002</v>
      </c>
      <c r="AK69" s="127">
        <f t="shared" ca="1" si="17"/>
        <v>17310.45</v>
      </c>
      <c r="AL69" s="127">
        <f t="shared" ca="1" si="17"/>
        <v>17851.38</v>
      </c>
      <c r="AM69" s="127">
        <f t="shared" ca="1" si="17"/>
        <v>18429.98</v>
      </c>
      <c r="AN69" s="127">
        <f t="shared" ca="1" si="17"/>
        <v>19052.79</v>
      </c>
      <c r="AO69" s="127">
        <f t="shared" ca="1" si="17"/>
        <v>19727.11</v>
      </c>
      <c r="AP69" s="127">
        <f t="shared" ca="1" si="17"/>
        <v>20460.830000000002</v>
      </c>
      <c r="AQ69" s="127">
        <f t="shared" ca="1" si="17"/>
        <v>21262.91</v>
      </c>
      <c r="AR69" s="127">
        <f t="shared" ca="1" si="17"/>
        <v>22142.7</v>
      </c>
      <c r="AS69" s="127">
        <f t="shared" ca="1" si="17"/>
        <v>23110.89</v>
      </c>
      <c r="AT69" s="127">
        <f t="shared" ca="1" si="17"/>
        <v>24178.79</v>
      </c>
      <c r="AU69" s="127">
        <f t="shared" ca="1" si="17"/>
        <v>25357.94</v>
      </c>
    </row>
    <row r="70" spans="2:47" x14ac:dyDescent="0.25">
      <c r="B70" t="s">
        <v>816</v>
      </c>
      <c r="C70" s="127">
        <f t="shared" ca="1" si="16"/>
        <v>4576.3500000000004</v>
      </c>
      <c r="D70" s="127">
        <f t="shared" ca="1" si="16"/>
        <v>4583.7659999999996</v>
      </c>
      <c r="E70" s="127">
        <f t="shared" ca="1" si="16"/>
        <v>4604.0659999999998</v>
      </c>
      <c r="F70" s="127">
        <f t="shared" ca="1" si="16"/>
        <v>4627.9369999999999</v>
      </c>
      <c r="G70" s="127">
        <f t="shared" ca="1" si="16"/>
        <v>4652.0569999999998</v>
      </c>
      <c r="H70" s="127">
        <f t="shared" ca="1" si="16"/>
        <v>4699.8760000000002</v>
      </c>
      <c r="I70" s="127">
        <f t="shared" ca="1" si="16"/>
        <v>4755.9960000000001</v>
      </c>
      <c r="J70" s="127">
        <f t="shared" ca="1" si="16"/>
        <v>4814.0529999999999</v>
      </c>
      <c r="K70" s="127">
        <f t="shared" ca="1" si="16"/>
        <v>4875.1409999999996</v>
      </c>
      <c r="L70" s="127">
        <f t="shared" ref="L70:AA115" ca="1" si="18">Output("SCEN_ADEMEhaut",$B70,L$1)</f>
        <v>4968.0479999999998</v>
      </c>
      <c r="M70" s="127">
        <f t="shared" ca="1" si="18"/>
        <v>5077.6589999999997</v>
      </c>
      <c r="N70" s="127">
        <f t="shared" ca="1" si="18"/>
        <v>5196.6480000000001</v>
      </c>
      <c r="O70" s="127">
        <f t="shared" ca="1" si="18"/>
        <v>5322.6239999999998</v>
      </c>
      <c r="P70" s="127">
        <f t="shared" ca="1" si="18"/>
        <v>5454.4110000000001</v>
      </c>
      <c r="Q70" s="127">
        <f t="shared" ca="1" si="18"/>
        <v>5590.6670000000004</v>
      </c>
      <c r="R70" s="127">
        <f t="shared" ca="1" si="18"/>
        <v>5732.768</v>
      </c>
      <c r="S70" s="127">
        <f t="shared" ca="1" si="18"/>
        <v>5879.8379999999997</v>
      </c>
      <c r="T70" s="127">
        <f t="shared" ca="1" si="18"/>
        <v>6031.8969999999999</v>
      </c>
      <c r="U70" s="127">
        <f t="shared" ca="1" si="18"/>
        <v>6189.4459999999999</v>
      </c>
      <c r="V70" s="127">
        <f t="shared" ca="1" si="18"/>
        <v>6353.27</v>
      </c>
      <c r="W70" s="127">
        <f t="shared" ca="1" si="18"/>
        <v>6524.402</v>
      </c>
      <c r="X70" s="127">
        <f t="shared" ca="1" si="18"/>
        <v>6704.1719999999996</v>
      </c>
      <c r="Y70" s="127">
        <f t="shared" ca="1" si="18"/>
        <v>6894.1109999999999</v>
      </c>
      <c r="Z70" s="127">
        <f t="shared" ca="1" si="18"/>
        <v>7095.9979999999996</v>
      </c>
      <c r="AA70" s="127">
        <f t="shared" ca="1" si="18"/>
        <v>7311.8890000000001</v>
      </c>
      <c r="AB70" s="127">
        <f t="shared" ca="1" si="17"/>
        <v>7520.7740000000003</v>
      </c>
      <c r="AC70" s="127">
        <f t="shared" ca="1" si="17"/>
        <v>7731.2150000000001</v>
      </c>
      <c r="AD70" s="127">
        <f t="shared" ca="1" si="17"/>
        <v>7944.5469999999996</v>
      </c>
      <c r="AE70" s="127">
        <f t="shared" ca="1" si="17"/>
        <v>8160.83</v>
      </c>
      <c r="AF70" s="127">
        <f t="shared" ca="1" si="17"/>
        <v>8380.6880000000001</v>
      </c>
      <c r="AG70" s="127">
        <f t="shared" ca="1" si="17"/>
        <v>8605.527</v>
      </c>
      <c r="AH70" s="127">
        <f t="shared" ca="1" si="17"/>
        <v>8837.2469999999994</v>
      </c>
      <c r="AI70" s="127">
        <f t="shared" ca="1" si="17"/>
        <v>9077.9969999999994</v>
      </c>
      <c r="AJ70" s="127">
        <f t="shared" ca="1" si="17"/>
        <v>9330.1460000000006</v>
      </c>
      <c r="AK70" s="127">
        <f t="shared" ca="1" si="17"/>
        <v>9596.1460000000006</v>
      </c>
      <c r="AL70" s="127">
        <f t="shared" ca="1" si="17"/>
        <v>9878.4650000000001</v>
      </c>
      <c r="AM70" s="127">
        <f t="shared" ca="1" si="17"/>
        <v>10179.530000000001</v>
      </c>
      <c r="AN70" s="127">
        <f t="shared" ca="1" si="17"/>
        <v>10501.85</v>
      </c>
      <c r="AO70" s="127">
        <f t="shared" ca="1" si="17"/>
        <v>10847.98</v>
      </c>
      <c r="AP70" s="127">
        <f t="shared" ca="1" si="17"/>
        <v>11220.29</v>
      </c>
      <c r="AQ70" s="127">
        <f t="shared" ca="1" si="17"/>
        <v>11621.55</v>
      </c>
      <c r="AR70" s="127">
        <f t="shared" ca="1" si="17"/>
        <v>12054.28</v>
      </c>
      <c r="AS70" s="127">
        <f t="shared" ca="1" si="17"/>
        <v>12521.76</v>
      </c>
      <c r="AT70" s="127">
        <f t="shared" ca="1" si="17"/>
        <v>13027.67</v>
      </c>
      <c r="AU70" s="127">
        <f t="shared" ca="1" si="17"/>
        <v>13576.16</v>
      </c>
    </row>
    <row r="71" spans="2:47" x14ac:dyDescent="0.25">
      <c r="B71" t="s">
        <v>817</v>
      </c>
      <c r="C71" s="127">
        <f t="shared" ca="1" si="16"/>
        <v>4309.2579999999998</v>
      </c>
      <c r="D71" s="127">
        <f t="shared" ca="1" si="16"/>
        <v>4240.1019999999999</v>
      </c>
      <c r="E71" s="127">
        <f t="shared" ca="1" si="16"/>
        <v>4224.848</v>
      </c>
      <c r="F71" s="127">
        <f t="shared" ca="1" si="16"/>
        <v>4233.1909999999998</v>
      </c>
      <c r="G71" s="127">
        <f t="shared" ca="1" si="16"/>
        <v>4253.3209999999999</v>
      </c>
      <c r="H71" s="127">
        <f t="shared" ca="1" si="16"/>
        <v>4294.8289999999997</v>
      </c>
      <c r="I71" s="127">
        <f t="shared" ca="1" si="16"/>
        <v>4347.3050000000003</v>
      </c>
      <c r="J71" s="127">
        <f t="shared" ca="1" si="16"/>
        <v>4406.2190000000001</v>
      </c>
      <c r="K71" s="127">
        <f t="shared" ca="1" si="16"/>
        <v>4469.66</v>
      </c>
      <c r="L71" s="127">
        <f t="shared" ca="1" si="18"/>
        <v>4532.3850000000002</v>
      </c>
      <c r="M71" s="127">
        <f t="shared" ca="1" si="17"/>
        <v>4602.9560000000001</v>
      </c>
      <c r="N71" s="127">
        <f t="shared" ca="1" si="17"/>
        <v>4671.18</v>
      </c>
      <c r="O71" s="127">
        <f t="shared" ca="1" si="17"/>
        <v>4737.4340000000002</v>
      </c>
      <c r="P71" s="127">
        <f t="shared" ca="1" si="17"/>
        <v>4801.4520000000002</v>
      </c>
      <c r="Q71" s="127">
        <f t="shared" ca="1" si="17"/>
        <v>4871.3950000000004</v>
      </c>
      <c r="R71" s="127">
        <f t="shared" ca="1" si="17"/>
        <v>4919.0950000000003</v>
      </c>
      <c r="S71" s="127">
        <f t="shared" ca="1" si="17"/>
        <v>4965.692</v>
      </c>
      <c r="T71" s="127">
        <f t="shared" ca="1" si="17"/>
        <v>5008.473</v>
      </c>
      <c r="U71" s="127">
        <f t="shared" ca="1" si="17"/>
        <v>5046.01</v>
      </c>
      <c r="V71" s="127">
        <f t="shared" ca="1" si="17"/>
        <v>5077.7510000000002</v>
      </c>
      <c r="W71" s="127">
        <f t="shared" ca="1" si="17"/>
        <v>5103.616</v>
      </c>
      <c r="X71" s="127">
        <f t="shared" ca="1" si="17"/>
        <v>5123.82</v>
      </c>
      <c r="Y71" s="127">
        <f t="shared" ca="1" si="17"/>
        <v>5138.982</v>
      </c>
      <c r="Z71" s="127">
        <f t="shared" ca="1" si="17"/>
        <v>5150.0429999999997</v>
      </c>
      <c r="AA71" s="127">
        <f t="shared" ca="1" si="17"/>
        <v>5158.1109999999999</v>
      </c>
      <c r="AB71" s="127">
        <f t="shared" ca="1" si="17"/>
        <v>5266.3239999999996</v>
      </c>
      <c r="AC71" s="127">
        <f t="shared" ca="1" si="17"/>
        <v>5328.0039999999999</v>
      </c>
      <c r="AD71" s="127">
        <f t="shared" ca="1" si="17"/>
        <v>5371.8270000000002</v>
      </c>
      <c r="AE71" s="127">
        <f t="shared" ca="1" si="17"/>
        <v>5409.7569999999996</v>
      </c>
      <c r="AF71" s="127">
        <f t="shared" ca="1" si="17"/>
        <v>5445.7910000000002</v>
      </c>
      <c r="AG71" s="127">
        <f t="shared" ca="1" si="17"/>
        <v>5481.4049999999997</v>
      </c>
      <c r="AH71" s="127">
        <f t="shared" ca="1" si="17"/>
        <v>5517.2650000000003</v>
      </c>
      <c r="AI71" s="127">
        <f t="shared" ca="1" si="17"/>
        <v>5553.7370000000001</v>
      </c>
      <c r="AJ71" s="127">
        <f t="shared" ca="1" si="17"/>
        <v>5591.04</v>
      </c>
      <c r="AK71" s="127">
        <f t="shared" ca="1" si="17"/>
        <v>5629.2690000000002</v>
      </c>
      <c r="AL71" s="127">
        <f t="shared" ca="1" si="17"/>
        <v>5668.3980000000001</v>
      </c>
      <c r="AM71" s="127">
        <f t="shared" ca="1" si="17"/>
        <v>5708.2910000000002</v>
      </c>
      <c r="AN71" s="127">
        <f t="shared" ca="1" si="17"/>
        <v>5748.7610000000004</v>
      </c>
      <c r="AO71" s="127">
        <f t="shared" ca="1" si="17"/>
        <v>5789.6289999999999</v>
      </c>
      <c r="AP71" s="127">
        <f t="shared" ca="1" si="17"/>
        <v>5835.7250000000004</v>
      </c>
      <c r="AQ71" s="127">
        <f t="shared" ca="1" si="17"/>
        <v>5885.3860000000004</v>
      </c>
      <c r="AR71" s="127">
        <f t="shared" ca="1" si="17"/>
        <v>5938.9440000000004</v>
      </c>
      <c r="AS71" s="127">
        <f t="shared" ca="1" si="17"/>
        <v>5996.3770000000004</v>
      </c>
      <c r="AT71" s="127">
        <f t="shared" ca="1" si="17"/>
        <v>6058.9070000000002</v>
      </c>
      <c r="AU71" s="127">
        <f t="shared" ca="1" si="17"/>
        <v>6127.875</v>
      </c>
    </row>
    <row r="72" spans="2:47" x14ac:dyDescent="0.25">
      <c r="B72" t="s">
        <v>818</v>
      </c>
      <c r="C72" s="127">
        <f t="shared" ca="1" si="16"/>
        <v>383.59320000000002</v>
      </c>
      <c r="D72" s="127">
        <f t="shared" ca="1" si="16"/>
        <v>380.5317</v>
      </c>
      <c r="E72" s="127">
        <f t="shared" ca="1" si="16"/>
        <v>380.69299999999998</v>
      </c>
      <c r="F72" s="127">
        <f t="shared" ca="1" si="16"/>
        <v>382.26190000000003</v>
      </c>
      <c r="G72" s="127">
        <f t="shared" ca="1" si="16"/>
        <v>384.5838</v>
      </c>
      <c r="H72" s="127">
        <f t="shared" ca="1" si="16"/>
        <v>389.05259999999998</v>
      </c>
      <c r="I72" s="127">
        <f t="shared" ca="1" si="16"/>
        <v>394.54259999999999</v>
      </c>
      <c r="J72" s="127">
        <f t="shared" ca="1" si="16"/>
        <v>400.57929999999999</v>
      </c>
      <c r="K72" s="127">
        <f t="shared" ca="1" si="16"/>
        <v>406.9966</v>
      </c>
      <c r="L72" s="127">
        <f t="shared" ca="1" si="18"/>
        <v>415.6705</v>
      </c>
      <c r="M72" s="127">
        <f t="shared" ca="1" si="17"/>
        <v>425.48910000000001</v>
      </c>
      <c r="N72" s="127">
        <f t="shared" ca="1" si="17"/>
        <v>435.92140000000001</v>
      </c>
      <c r="O72" s="127">
        <f t="shared" ca="1" si="17"/>
        <v>446.76990000000001</v>
      </c>
      <c r="P72" s="127">
        <f t="shared" ca="1" si="17"/>
        <v>457.94779999999997</v>
      </c>
      <c r="Q72" s="127">
        <f t="shared" ca="1" si="17"/>
        <v>469.44229999999999</v>
      </c>
      <c r="R72" s="127">
        <f t="shared" ca="1" si="17"/>
        <v>481.23</v>
      </c>
      <c r="S72" s="127">
        <f t="shared" ca="1" si="17"/>
        <v>493.44720000000001</v>
      </c>
      <c r="T72" s="127">
        <f t="shared" ca="1" si="17"/>
        <v>506.16269999999997</v>
      </c>
      <c r="U72" s="127">
        <f t="shared" ca="1" si="17"/>
        <v>519.47389999999996</v>
      </c>
      <c r="V72" s="127">
        <f t="shared" ca="1" si="17"/>
        <v>533.51499999999999</v>
      </c>
      <c r="W72" s="127">
        <f t="shared" ca="1" si="17"/>
        <v>548.45939999999996</v>
      </c>
      <c r="X72" s="127">
        <f t="shared" ca="1" si="17"/>
        <v>564.50310000000002</v>
      </c>
      <c r="Y72" s="127">
        <f t="shared" ca="1" si="17"/>
        <v>581.92290000000003</v>
      </c>
      <c r="Z72" s="127">
        <f t="shared" ca="1" si="17"/>
        <v>601.04960000000005</v>
      </c>
      <c r="AA72" s="127">
        <f t="shared" ca="1" si="17"/>
        <v>622.27009999999996</v>
      </c>
      <c r="AB72" s="127">
        <f t="shared" ca="1" si="17"/>
        <v>641.92430000000002</v>
      </c>
      <c r="AC72" s="127">
        <f t="shared" ca="1" si="17"/>
        <v>659.3297</v>
      </c>
      <c r="AD72" s="127">
        <f t="shared" ca="1" si="17"/>
        <v>674.90959999999995</v>
      </c>
      <c r="AE72" s="127">
        <f t="shared" ca="1" si="17"/>
        <v>689.1114</v>
      </c>
      <c r="AF72" s="127">
        <f t="shared" ca="1" si="17"/>
        <v>702.3152</v>
      </c>
      <c r="AG72" s="127">
        <f t="shared" ca="1" si="17"/>
        <v>714.85540000000003</v>
      </c>
      <c r="AH72" s="127">
        <f t="shared" ca="1" si="17"/>
        <v>727.02859999999998</v>
      </c>
      <c r="AI72" s="127">
        <f t="shared" ca="1" si="17"/>
        <v>739.09820000000002</v>
      </c>
      <c r="AJ72" s="127">
        <f t="shared" ca="1" si="17"/>
        <v>751.30499999999995</v>
      </c>
      <c r="AK72" s="127">
        <f t="shared" ca="1" si="17"/>
        <v>763.87009999999998</v>
      </c>
      <c r="AL72" s="127">
        <f t="shared" ca="1" si="17"/>
        <v>776.99900000000002</v>
      </c>
      <c r="AM72" s="127">
        <f t="shared" ca="1" si="17"/>
        <v>790.88559999999995</v>
      </c>
      <c r="AN72" s="127">
        <f t="shared" ca="1" si="17"/>
        <v>805.72270000000003</v>
      </c>
      <c r="AO72" s="127">
        <f t="shared" ca="1" si="17"/>
        <v>821.71010000000001</v>
      </c>
      <c r="AP72" s="127">
        <f t="shared" ca="1" si="17"/>
        <v>839.09190000000001</v>
      </c>
      <c r="AQ72" s="127">
        <f t="shared" ca="1" si="17"/>
        <v>858.10119999999995</v>
      </c>
      <c r="AR72" s="127">
        <f t="shared" ca="1" si="17"/>
        <v>879.00099999999998</v>
      </c>
      <c r="AS72" s="127">
        <f t="shared" ca="1" si="17"/>
        <v>902.12689999999998</v>
      </c>
      <c r="AT72" s="127">
        <f t="shared" ca="1" si="17"/>
        <v>927.89020000000005</v>
      </c>
      <c r="AU72" s="127">
        <f t="shared" ca="1" si="17"/>
        <v>956.78420000000006</v>
      </c>
    </row>
    <row r="73" spans="2:47" x14ac:dyDescent="0.25">
      <c r="B73" t="s">
        <v>819</v>
      </c>
      <c r="C73" s="127">
        <f t="shared" ca="1" si="16"/>
        <v>1116.9829999999999</v>
      </c>
      <c r="D73" s="127">
        <f t="shared" ca="1" si="16"/>
        <v>1165.2070000000001</v>
      </c>
      <c r="E73" s="127">
        <f t="shared" ca="1" si="16"/>
        <v>1195.3789999999999</v>
      </c>
      <c r="F73" s="127">
        <f t="shared" ca="1" si="16"/>
        <v>1214.5809999999999</v>
      </c>
      <c r="G73" s="127">
        <f t="shared" ca="1" si="16"/>
        <v>1229.9739999999999</v>
      </c>
      <c r="H73" s="127">
        <f t="shared" ca="1" si="16"/>
        <v>1246.9269999999999</v>
      </c>
      <c r="I73" s="127">
        <f t="shared" ca="1" si="16"/>
        <v>1264.0899999999999</v>
      </c>
      <c r="J73" s="127">
        <f t="shared" ca="1" si="16"/>
        <v>1281.184</v>
      </c>
      <c r="K73" s="127">
        <f t="shared" ca="1" si="16"/>
        <v>1298.3900000000001</v>
      </c>
      <c r="L73" s="127">
        <f t="shared" ca="1" si="18"/>
        <v>1321.7670000000001</v>
      </c>
      <c r="M73" s="127">
        <f t="shared" ca="1" si="17"/>
        <v>1348.2739999999999</v>
      </c>
      <c r="N73" s="127">
        <f t="shared" ca="1" si="17"/>
        <v>1377.181</v>
      </c>
      <c r="O73" s="127">
        <f t="shared" ca="1" si="17"/>
        <v>1407.999</v>
      </c>
      <c r="P73" s="127">
        <f t="shared" ca="1" si="17"/>
        <v>1440.58</v>
      </c>
      <c r="Q73" s="127">
        <f t="shared" ca="1" si="17"/>
        <v>1474.7470000000001</v>
      </c>
      <c r="R73" s="127">
        <f t="shared" ca="1" si="17"/>
        <v>1511.2819999999999</v>
      </c>
      <c r="S73" s="127">
        <f t="shared" ca="1" si="17"/>
        <v>1550.7629999999999</v>
      </c>
      <c r="T73" s="127">
        <f t="shared" ca="1" si="17"/>
        <v>1593.787</v>
      </c>
      <c r="U73" s="127">
        <f t="shared" ca="1" si="17"/>
        <v>1641.098</v>
      </c>
      <c r="V73" s="127">
        <f t="shared" ca="1" si="17"/>
        <v>1693.6389999999999</v>
      </c>
      <c r="W73" s="127">
        <f t="shared" ca="1" si="17"/>
        <v>1752.587</v>
      </c>
      <c r="X73" s="127">
        <f t="shared" ca="1" si="17"/>
        <v>1818.7349999999999</v>
      </c>
      <c r="Y73" s="127">
        <f t="shared" ca="1" si="17"/>
        <v>1894.116</v>
      </c>
      <c r="Z73" s="127">
        <f t="shared" ca="1" si="17"/>
        <v>1981.038</v>
      </c>
      <c r="AA73" s="127">
        <f t="shared" ca="1" si="17"/>
        <v>2082.1149999999998</v>
      </c>
      <c r="AB73" s="127">
        <f t="shared" ca="1" si="17"/>
        <v>2180.6770000000001</v>
      </c>
      <c r="AC73" s="127">
        <f t="shared" ca="1" si="17"/>
        <v>2275.1959999999999</v>
      </c>
      <c r="AD73" s="127">
        <f t="shared" ca="1" si="17"/>
        <v>2366.2139999999999</v>
      </c>
      <c r="AE73" s="127">
        <f t="shared" ca="1" si="17"/>
        <v>2454.6469999999999</v>
      </c>
      <c r="AF73" s="127">
        <f t="shared" ca="1" si="17"/>
        <v>2541.337</v>
      </c>
      <c r="AG73" s="127">
        <f t="shared" ca="1" si="17"/>
        <v>2627.0439999999999</v>
      </c>
      <c r="AH73" s="127">
        <f t="shared" ca="1" si="17"/>
        <v>2712.4839999999999</v>
      </c>
      <c r="AI73" s="127">
        <f t="shared" ca="1" si="17"/>
        <v>2798.364</v>
      </c>
      <c r="AJ73" s="127">
        <f t="shared" ca="1" si="17"/>
        <v>2885.442</v>
      </c>
      <c r="AK73" s="127">
        <f t="shared" ca="1" si="17"/>
        <v>2974.56</v>
      </c>
      <c r="AL73" s="127">
        <f t="shared" ca="1" si="17"/>
        <v>3066.6779999999999</v>
      </c>
      <c r="AM73" s="127">
        <f t="shared" ca="1" si="17"/>
        <v>3162.9090000000001</v>
      </c>
      <c r="AN73" s="127">
        <f t="shared" ca="1" si="17"/>
        <v>3264.5929999999998</v>
      </c>
      <c r="AO73" s="127">
        <f t="shared" ca="1" si="17"/>
        <v>3373.3560000000002</v>
      </c>
      <c r="AP73" s="127">
        <f t="shared" ca="1" si="17"/>
        <v>3491.2260000000001</v>
      </c>
      <c r="AQ73" s="127">
        <f t="shared" ca="1" si="17"/>
        <v>3620.663</v>
      </c>
      <c r="AR73" s="127">
        <f t="shared" ca="1" si="17"/>
        <v>3764.6970000000001</v>
      </c>
      <c r="AS73" s="127">
        <f t="shared" ca="1" si="17"/>
        <v>3927.136</v>
      </c>
      <c r="AT73" s="127">
        <f t="shared" ca="1" si="17"/>
        <v>4112.7439999999997</v>
      </c>
      <c r="AU73" s="127">
        <f t="shared" ca="1" si="17"/>
        <v>4327.442</v>
      </c>
    </row>
    <row r="74" spans="2:47" x14ac:dyDescent="0.25">
      <c r="B74" t="s">
        <v>820</v>
      </c>
      <c r="C74" s="127">
        <f t="shared" ca="1" si="16"/>
        <v>965.1644</v>
      </c>
      <c r="D74" s="127">
        <f t="shared" ca="1" si="16"/>
        <v>954.59749999999997</v>
      </c>
      <c r="E74" s="127">
        <f t="shared" ca="1" si="16"/>
        <v>953.15480000000002</v>
      </c>
      <c r="F74" s="127">
        <f t="shared" ca="1" si="16"/>
        <v>956.12599999999998</v>
      </c>
      <c r="G74" s="127">
        <f t="shared" ca="1" si="16"/>
        <v>961.33119999999997</v>
      </c>
      <c r="H74" s="127">
        <f t="shared" ca="1" si="16"/>
        <v>972.10289999999998</v>
      </c>
      <c r="I74" s="127">
        <f t="shared" ca="1" si="16"/>
        <v>985.74829999999997</v>
      </c>
      <c r="J74" s="127">
        <f t="shared" ca="1" si="16"/>
        <v>1000.876</v>
      </c>
      <c r="K74" s="127">
        <f t="shared" ca="1" si="16"/>
        <v>1017.078</v>
      </c>
      <c r="L74" s="127">
        <f t="shared" ca="1" si="18"/>
        <v>1036.7619999999999</v>
      </c>
      <c r="M74" s="127">
        <f t="shared" ca="1" si="17"/>
        <v>1058.9069999999999</v>
      </c>
      <c r="N74" s="127">
        <f t="shared" ca="1" si="17"/>
        <v>1082.393</v>
      </c>
      <c r="O74" s="127">
        <f t="shared" ca="1" si="17"/>
        <v>1106.6849999999999</v>
      </c>
      <c r="P74" s="127">
        <f t="shared" ca="1" si="17"/>
        <v>1131.4949999999999</v>
      </c>
      <c r="Q74" s="127">
        <f t="shared" ca="1" si="17"/>
        <v>1156.694</v>
      </c>
      <c r="R74" s="127">
        <f t="shared" ca="1" si="17"/>
        <v>1182.318</v>
      </c>
      <c r="S74" s="127">
        <f t="shared" ca="1" si="17"/>
        <v>1208.404</v>
      </c>
      <c r="T74" s="127">
        <f t="shared" ca="1" si="17"/>
        <v>1235.03</v>
      </c>
      <c r="U74" s="127">
        <f t="shared" ca="1" si="17"/>
        <v>1262.346</v>
      </c>
      <c r="V74" s="127">
        <f t="shared" ca="1" si="17"/>
        <v>1290.58</v>
      </c>
      <c r="W74" s="127">
        <f t="shared" ca="1" si="17"/>
        <v>1320.039</v>
      </c>
      <c r="X74" s="127">
        <f t="shared" ca="1" si="17"/>
        <v>1351.097</v>
      </c>
      <c r="Y74" s="127">
        <f t="shared" ca="1" si="17"/>
        <v>1384.2660000000001</v>
      </c>
      <c r="Z74" s="127">
        <f t="shared" ca="1" si="17"/>
        <v>1420.1769999999999</v>
      </c>
      <c r="AA74" s="127">
        <f t="shared" ca="1" si="17"/>
        <v>1459.59</v>
      </c>
      <c r="AB74" s="127">
        <f t="shared" ca="1" si="17"/>
        <v>1494.0360000000001</v>
      </c>
      <c r="AC74" s="127">
        <f t="shared" ca="1" si="17"/>
        <v>1523.6569999999999</v>
      </c>
      <c r="AD74" s="127">
        <f t="shared" ca="1" si="17"/>
        <v>1549.3789999999999</v>
      </c>
      <c r="AE74" s="127">
        <f t="shared" ca="1" si="17"/>
        <v>1572.146</v>
      </c>
      <c r="AF74" s="127">
        <f t="shared" ca="1" si="17"/>
        <v>1592.8</v>
      </c>
      <c r="AG74" s="127">
        <f t="shared" ca="1" si="17"/>
        <v>1612.1010000000001</v>
      </c>
      <c r="AH74" s="127">
        <f t="shared" ca="1" si="17"/>
        <v>1630.7239999999999</v>
      </c>
      <c r="AI74" s="127">
        <f t="shared" ca="1" si="17"/>
        <v>1649.2639999999999</v>
      </c>
      <c r="AJ74" s="127">
        <f t="shared" ca="1" si="17"/>
        <v>1668.2570000000001</v>
      </c>
      <c r="AK74" s="127">
        <f t="shared" ca="1" si="17"/>
        <v>1688.1859999999999</v>
      </c>
      <c r="AL74" s="127">
        <f t="shared" ca="1" si="17"/>
        <v>1709.49</v>
      </c>
      <c r="AM74" s="127">
        <f t="shared" ca="1" si="17"/>
        <v>1732.567</v>
      </c>
      <c r="AN74" s="127">
        <f t="shared" ca="1" si="17"/>
        <v>1757.8009999999999</v>
      </c>
      <c r="AO74" s="127">
        <f t="shared" ca="1" si="17"/>
        <v>1785.5719999999999</v>
      </c>
      <c r="AP74" s="127">
        <f t="shared" ca="1" si="17"/>
        <v>1816.2739999999999</v>
      </c>
      <c r="AQ74" s="127">
        <f t="shared" ca="1" si="17"/>
        <v>1850.336</v>
      </c>
      <c r="AR74" s="127">
        <f t="shared" ca="1" si="17"/>
        <v>1888.211</v>
      </c>
      <c r="AS74" s="127">
        <f t="shared" ca="1" si="17"/>
        <v>1930.491</v>
      </c>
      <c r="AT74" s="127">
        <f t="shared" ca="1" si="17"/>
        <v>1977.8989999999999</v>
      </c>
      <c r="AU74" s="127">
        <f t="shared" ca="1" si="17"/>
        <v>2031.3140000000001</v>
      </c>
    </row>
    <row r="75" spans="2:47" x14ac:dyDescent="0.25">
      <c r="B75" t="s">
        <v>821</v>
      </c>
      <c r="C75" s="127">
        <f t="shared" ca="1" si="16"/>
        <v>244.5257</v>
      </c>
      <c r="D75" s="127">
        <f t="shared" ca="1" si="16"/>
        <v>239.63849999999999</v>
      </c>
      <c r="E75" s="127">
        <f t="shared" ca="1" si="16"/>
        <v>238.2406</v>
      </c>
      <c r="F75" s="127">
        <f t="shared" ca="1" si="16"/>
        <v>238.74969999999999</v>
      </c>
      <c r="G75" s="127">
        <f t="shared" ca="1" si="16"/>
        <v>240.33619999999999</v>
      </c>
      <c r="H75" s="127">
        <f t="shared" ca="1" si="16"/>
        <v>243.35210000000001</v>
      </c>
      <c r="I75" s="127">
        <f t="shared" ca="1" si="16"/>
        <v>246.99789999999999</v>
      </c>
      <c r="J75" s="127">
        <f t="shared" ca="1" si="16"/>
        <v>251.17160000000001</v>
      </c>
      <c r="K75" s="127">
        <f t="shared" ca="1" si="16"/>
        <v>255.57149999999999</v>
      </c>
      <c r="L75" s="127">
        <f t="shared" ca="1" si="18"/>
        <v>264.96699999999998</v>
      </c>
      <c r="M75" s="127">
        <f t="shared" ca="1" si="17"/>
        <v>274.85390000000001</v>
      </c>
      <c r="N75" s="127">
        <f t="shared" ca="1" si="17"/>
        <v>285.05630000000002</v>
      </c>
      <c r="O75" s="127">
        <f t="shared" ca="1" si="17"/>
        <v>295.69979999999998</v>
      </c>
      <c r="P75" s="127">
        <f t="shared" ca="1" si="17"/>
        <v>306.88420000000002</v>
      </c>
      <c r="Q75" s="127">
        <f t="shared" ca="1" si="17"/>
        <v>318.58659999999998</v>
      </c>
      <c r="R75" s="127">
        <f t="shared" ca="1" si="17"/>
        <v>330.83800000000002</v>
      </c>
      <c r="S75" s="127">
        <f t="shared" ca="1" si="17"/>
        <v>343.76420000000002</v>
      </c>
      <c r="T75" s="127">
        <f t="shared" ca="1" si="17"/>
        <v>357.4753</v>
      </c>
      <c r="U75" s="127">
        <f t="shared" ca="1" si="17"/>
        <v>372.1046</v>
      </c>
      <c r="V75" s="127">
        <f t="shared" ca="1" si="17"/>
        <v>387.82549999999998</v>
      </c>
      <c r="W75" s="127">
        <f t="shared" ca="1" si="17"/>
        <v>404.86669999999998</v>
      </c>
      <c r="X75" s="127">
        <f t="shared" ca="1" si="17"/>
        <v>423.52080000000001</v>
      </c>
      <c r="Y75" s="127">
        <f t="shared" ca="1" si="17"/>
        <v>444.18200000000002</v>
      </c>
      <c r="Z75" s="127">
        <f t="shared" ca="1" si="17"/>
        <v>467.3571</v>
      </c>
      <c r="AA75" s="127">
        <f t="shared" ca="1" si="17"/>
        <v>493.69279999999998</v>
      </c>
      <c r="AB75" s="127">
        <f t="shared" ca="1" si="17"/>
        <v>517.35289999999998</v>
      </c>
      <c r="AC75" s="127">
        <f t="shared" ca="1" si="17"/>
        <v>538.51589999999999</v>
      </c>
      <c r="AD75" s="127">
        <f t="shared" ca="1" si="17"/>
        <v>557.79520000000002</v>
      </c>
      <c r="AE75" s="127">
        <f t="shared" ca="1" si="17"/>
        <v>575.76570000000004</v>
      </c>
      <c r="AF75" s="127">
        <f t="shared" ca="1" si="17"/>
        <v>592.9067</v>
      </c>
      <c r="AG75" s="127">
        <f t="shared" ca="1" si="17"/>
        <v>609.63210000000004</v>
      </c>
      <c r="AH75" s="127">
        <f t="shared" ca="1" si="17"/>
        <v>626.31299999999999</v>
      </c>
      <c r="AI75" s="127">
        <f t="shared" ca="1" si="17"/>
        <v>643.29380000000003</v>
      </c>
      <c r="AJ75" s="127">
        <f t="shared" ca="1" si="17"/>
        <v>660.90790000000004</v>
      </c>
      <c r="AK75" s="127">
        <f t="shared" ca="1" si="17"/>
        <v>679.48839999999996</v>
      </c>
      <c r="AL75" s="127">
        <f t="shared" ca="1" si="17"/>
        <v>699.37630000000001</v>
      </c>
      <c r="AM75" s="127">
        <f t="shared" ca="1" si="17"/>
        <v>720.92899999999997</v>
      </c>
      <c r="AN75" s="127">
        <f t="shared" ca="1" si="17"/>
        <v>744.53210000000001</v>
      </c>
      <c r="AO75" s="127">
        <f t="shared" ca="1" si="17"/>
        <v>770.61210000000005</v>
      </c>
      <c r="AP75" s="127">
        <f t="shared" ca="1" si="17"/>
        <v>799.66269999999997</v>
      </c>
      <c r="AQ75" s="127">
        <f t="shared" ca="1" si="17"/>
        <v>832.23609999999996</v>
      </c>
      <c r="AR75" s="127">
        <f t="shared" ca="1" si="17"/>
        <v>868.97649999999999</v>
      </c>
      <c r="AS75" s="127">
        <f t="shared" ca="1" si="17"/>
        <v>910.64919999999995</v>
      </c>
      <c r="AT75" s="127">
        <f t="shared" ca="1" si="17"/>
        <v>958.17100000000005</v>
      </c>
      <c r="AU75" s="127">
        <f t="shared" ca="1" si="17"/>
        <v>1012.633</v>
      </c>
    </row>
    <row r="76" spans="2:47" x14ac:dyDescent="0.25">
      <c r="B76" t="s">
        <v>822</v>
      </c>
      <c r="C76" s="127">
        <f t="shared" ca="1" si="16"/>
        <v>969.60419999999999</v>
      </c>
      <c r="D76" s="127">
        <f t="shared" ca="1" si="16"/>
        <v>942.59699999999998</v>
      </c>
      <c r="E76" s="127">
        <f t="shared" ca="1" si="16"/>
        <v>935.63729999999998</v>
      </c>
      <c r="F76" s="127">
        <f t="shared" ca="1" si="16"/>
        <v>937.45150000000001</v>
      </c>
      <c r="G76" s="127">
        <f t="shared" ca="1" si="16"/>
        <v>943.73230000000001</v>
      </c>
      <c r="H76" s="127">
        <f t="shared" ca="1" si="16"/>
        <v>955.48670000000004</v>
      </c>
      <c r="I76" s="127">
        <f t="shared" ca="1" si="16"/>
        <v>969.93849999999998</v>
      </c>
      <c r="J76" s="127">
        <f t="shared" ca="1" si="16"/>
        <v>986.13369999999998</v>
      </c>
      <c r="K76" s="127">
        <f t="shared" ca="1" si="16"/>
        <v>1003.653</v>
      </c>
      <c r="L76" s="127">
        <f t="shared" ca="1" si="18"/>
        <v>1023.519</v>
      </c>
      <c r="M76" s="127">
        <f t="shared" ca="1" si="17"/>
        <v>1045.6500000000001</v>
      </c>
      <c r="N76" s="127">
        <f t="shared" ca="1" si="17"/>
        <v>1069.0160000000001</v>
      </c>
      <c r="O76" s="127">
        <f t="shared" ca="1" si="17"/>
        <v>1092.8779999999999</v>
      </c>
      <c r="P76" s="127">
        <f t="shared" ca="1" si="17"/>
        <v>1116.819</v>
      </c>
      <c r="Q76" s="127">
        <f t="shared" ca="1" si="17"/>
        <v>1140.0609999999999</v>
      </c>
      <c r="R76" s="127">
        <f t="shared" ca="1" si="17"/>
        <v>1163.3530000000001</v>
      </c>
      <c r="S76" s="127">
        <f t="shared" ca="1" si="17"/>
        <v>1186.7349999999999</v>
      </c>
      <c r="T76" s="127">
        <f t="shared" ca="1" si="17"/>
        <v>1210.27</v>
      </c>
      <c r="U76" s="127">
        <f t="shared" ca="1" si="17"/>
        <v>1234.097</v>
      </c>
      <c r="V76" s="127">
        <f t="shared" ca="1" si="17"/>
        <v>1258.442</v>
      </c>
      <c r="W76" s="127">
        <f t="shared" ca="1" si="17"/>
        <v>1283.6079999999999</v>
      </c>
      <c r="X76" s="127">
        <f t="shared" ca="1" si="17"/>
        <v>1309.962</v>
      </c>
      <c r="Y76" s="127">
        <f t="shared" ca="1" si="17"/>
        <v>1337.9639999999999</v>
      </c>
      <c r="Z76" s="127">
        <f t="shared" ca="1" si="17"/>
        <v>1368.1410000000001</v>
      </c>
      <c r="AA76" s="127">
        <f t="shared" ca="1" si="17"/>
        <v>1401.087</v>
      </c>
      <c r="AB76" s="127">
        <f t="shared" ca="1" si="17"/>
        <v>1430.6469999999999</v>
      </c>
      <c r="AC76" s="127">
        <f t="shared" ca="1" si="17"/>
        <v>1456.5920000000001</v>
      </c>
      <c r="AD76" s="127">
        <f t="shared" ca="1" si="17"/>
        <v>1480.2180000000001</v>
      </c>
      <c r="AE76" s="127">
        <f t="shared" ca="1" si="17"/>
        <v>1502.9280000000001</v>
      </c>
      <c r="AF76" s="127">
        <f t="shared" ca="1" si="17"/>
        <v>1525.98</v>
      </c>
      <c r="AG76" s="127">
        <f t="shared" ca="1" si="17"/>
        <v>1550.5309999999999</v>
      </c>
      <c r="AH76" s="127">
        <f t="shared" ca="1" si="17"/>
        <v>1577.6949999999999</v>
      </c>
      <c r="AI76" s="127">
        <f t="shared" ca="1" si="17"/>
        <v>1608.6120000000001</v>
      </c>
      <c r="AJ76" s="127">
        <f t="shared" ca="1" si="17"/>
        <v>1644.5160000000001</v>
      </c>
      <c r="AK76" s="127">
        <f t="shared" ca="1" si="17"/>
        <v>1686.8</v>
      </c>
      <c r="AL76" s="127">
        <f t="shared" ref="M76:AU83" ca="1" si="19">Output("SCEN_ADEMEhaut",$B76,AL$1)</f>
        <v>1737.0889999999999</v>
      </c>
      <c r="AM76" s="127">
        <f t="shared" ca="1" si="19"/>
        <v>1797.33</v>
      </c>
      <c r="AN76" s="127">
        <f t="shared" ca="1" si="19"/>
        <v>1869.9179999999999</v>
      </c>
      <c r="AO76" s="127">
        <f t="shared" ca="1" si="19"/>
        <v>1957.847</v>
      </c>
      <c r="AP76" s="127">
        <f t="shared" ca="1" si="19"/>
        <v>2064.944</v>
      </c>
      <c r="AQ76" s="127">
        <f t="shared" ca="1" si="19"/>
        <v>2196.0949999999998</v>
      </c>
      <c r="AR76" s="127">
        <f t="shared" ca="1" si="19"/>
        <v>2357.6370000000002</v>
      </c>
      <c r="AS76" s="127">
        <f t="shared" ca="1" si="19"/>
        <v>2557.788</v>
      </c>
      <c r="AT76" s="127">
        <f t="shared" ca="1" si="19"/>
        <v>2807.2649999999999</v>
      </c>
      <c r="AU76" s="127">
        <f t="shared" ca="1" si="19"/>
        <v>3120.0050000000001</v>
      </c>
    </row>
    <row r="77" spans="2:47" x14ac:dyDescent="0.25">
      <c r="B77" t="s">
        <v>823</v>
      </c>
      <c r="C77" s="127">
        <f t="shared" ca="1" si="16"/>
        <v>1026.925</v>
      </c>
      <c r="D77" s="127">
        <f t="shared" ca="1" si="16"/>
        <v>1023.8579999999999</v>
      </c>
      <c r="E77" s="127">
        <f t="shared" ca="1" si="16"/>
        <v>1025.9570000000001</v>
      </c>
      <c r="F77" s="127">
        <f t="shared" ca="1" si="16"/>
        <v>1030.527</v>
      </c>
      <c r="G77" s="127">
        <f t="shared" ca="1" si="16"/>
        <v>1036.5550000000001</v>
      </c>
      <c r="H77" s="127">
        <f t="shared" ca="1" si="16"/>
        <v>1047.9110000000001</v>
      </c>
      <c r="I77" s="127">
        <f t="shared" ca="1" si="16"/>
        <v>1062.0609999999999</v>
      </c>
      <c r="J77" s="127">
        <f t="shared" ca="1" si="16"/>
        <v>1077.636</v>
      </c>
      <c r="K77" s="127">
        <f t="shared" ca="1" si="16"/>
        <v>1094.356</v>
      </c>
      <c r="L77" s="127">
        <f t="shared" ca="1" si="18"/>
        <v>1111.9580000000001</v>
      </c>
      <c r="M77" s="127">
        <f t="shared" ca="1" si="19"/>
        <v>1132.2180000000001</v>
      </c>
      <c r="N77" s="127">
        <f t="shared" ca="1" si="19"/>
        <v>1153.731</v>
      </c>
      <c r="O77" s="127">
        <f t="shared" ca="1" si="19"/>
        <v>1175.69</v>
      </c>
      <c r="P77" s="127">
        <f t="shared" ca="1" si="19"/>
        <v>1197.6410000000001</v>
      </c>
      <c r="Q77" s="127">
        <f t="shared" ca="1" si="19"/>
        <v>1219.567</v>
      </c>
      <c r="R77" s="127">
        <f t="shared" ca="1" si="19"/>
        <v>1240.6869999999999</v>
      </c>
      <c r="S77" s="127">
        <f t="shared" ca="1" si="19"/>
        <v>1261.33</v>
      </c>
      <c r="T77" s="127">
        <f t="shared" ca="1" si="19"/>
        <v>1281.451</v>
      </c>
      <c r="U77" s="127">
        <f t="shared" ca="1" si="19"/>
        <v>1301.021</v>
      </c>
      <c r="V77" s="127">
        <f t="shared" ca="1" si="19"/>
        <v>1320.059</v>
      </c>
      <c r="W77" s="127">
        <f t="shared" ca="1" si="19"/>
        <v>1338.6189999999999</v>
      </c>
      <c r="X77" s="127">
        <f t="shared" ca="1" si="19"/>
        <v>1356.6849999999999</v>
      </c>
      <c r="Y77" s="127">
        <f t="shared" ca="1" si="19"/>
        <v>1374.42</v>
      </c>
      <c r="Z77" s="127">
        <f t="shared" ca="1" si="19"/>
        <v>1392.0029999999999</v>
      </c>
      <c r="AA77" s="127">
        <f t="shared" ca="1" si="19"/>
        <v>1409.6179999999999</v>
      </c>
      <c r="AB77" s="127">
        <f t="shared" ca="1" si="19"/>
        <v>1427.2660000000001</v>
      </c>
      <c r="AC77" s="127">
        <f t="shared" ca="1" si="19"/>
        <v>1441.3050000000001</v>
      </c>
      <c r="AD77" s="127">
        <f t="shared" ca="1" si="19"/>
        <v>1452.377</v>
      </c>
      <c r="AE77" s="127">
        <f t="shared" ca="1" si="19"/>
        <v>1461.3589999999999</v>
      </c>
      <c r="AF77" s="127">
        <f t="shared" ca="1" si="19"/>
        <v>1468.9680000000001</v>
      </c>
      <c r="AG77" s="127">
        <f t="shared" ca="1" si="19"/>
        <v>1475.8050000000001</v>
      </c>
      <c r="AH77" s="127">
        <f t="shared" ca="1" si="19"/>
        <v>1482.384</v>
      </c>
      <c r="AI77" s="127">
        <f t="shared" ca="1" si="19"/>
        <v>1489.1410000000001</v>
      </c>
      <c r="AJ77" s="127">
        <f t="shared" ca="1" si="19"/>
        <v>1496.453</v>
      </c>
      <c r="AK77" s="127">
        <f t="shared" ca="1" si="19"/>
        <v>1504.644</v>
      </c>
      <c r="AL77" s="127">
        <f t="shared" ca="1" si="19"/>
        <v>1513.9860000000001</v>
      </c>
      <c r="AM77" s="127">
        <f t="shared" ca="1" si="19"/>
        <v>1524.704</v>
      </c>
      <c r="AN77" s="127">
        <f t="shared" ca="1" si="19"/>
        <v>1536.9880000000001</v>
      </c>
      <c r="AO77" s="127">
        <f t="shared" ca="1" si="19"/>
        <v>1551.0070000000001</v>
      </c>
      <c r="AP77" s="127">
        <f t="shared" ca="1" si="19"/>
        <v>1567.0170000000001</v>
      </c>
      <c r="AQ77" s="127">
        <f t="shared" ca="1" si="19"/>
        <v>1585.1389999999999</v>
      </c>
      <c r="AR77" s="127">
        <f t="shared" ca="1" si="19"/>
        <v>1605.5309999999999</v>
      </c>
      <c r="AS77" s="127">
        <f t="shared" ca="1" si="19"/>
        <v>1628.3489999999999</v>
      </c>
      <c r="AT77" s="127">
        <f t="shared" ca="1" si="19"/>
        <v>1653.8230000000001</v>
      </c>
      <c r="AU77" s="127">
        <f t="shared" ca="1" si="19"/>
        <v>1682.2370000000001</v>
      </c>
    </row>
    <row r="78" spans="2:47" x14ac:dyDescent="0.25">
      <c r="B78" t="s">
        <v>824</v>
      </c>
      <c r="C78" s="127">
        <f t="shared" ca="1" si="16"/>
        <v>1032.98</v>
      </c>
      <c r="D78" s="127">
        <f t="shared" ca="1" si="16"/>
        <v>1014.803</v>
      </c>
      <c r="E78" s="127">
        <f t="shared" ca="1" si="16"/>
        <v>967.58540000000005</v>
      </c>
      <c r="F78" s="127">
        <f t="shared" ca="1" si="16"/>
        <v>915.78549999999996</v>
      </c>
      <c r="G78" s="127">
        <f t="shared" ca="1" si="16"/>
        <v>866.71410000000003</v>
      </c>
      <c r="H78" s="127">
        <f t="shared" ca="1" si="16"/>
        <v>856.34870000000001</v>
      </c>
      <c r="I78" s="127">
        <f t="shared" ca="1" si="16"/>
        <v>859.37519999999995</v>
      </c>
      <c r="J78" s="127">
        <f t="shared" ca="1" si="16"/>
        <v>867.69439999999997</v>
      </c>
      <c r="K78" s="127">
        <f t="shared" ca="1" si="16"/>
        <v>878.55700000000002</v>
      </c>
      <c r="L78" s="127">
        <f t="shared" ca="1" si="18"/>
        <v>910.06970000000001</v>
      </c>
      <c r="M78" s="127">
        <f t="shared" ca="1" si="19"/>
        <v>941.72860000000003</v>
      </c>
      <c r="N78" s="127">
        <f t="shared" ca="1" si="19"/>
        <v>973.6259</v>
      </c>
      <c r="O78" s="127">
        <f t="shared" ca="1" si="19"/>
        <v>1006.366</v>
      </c>
      <c r="P78" s="127">
        <f t="shared" ca="1" si="19"/>
        <v>1040.395</v>
      </c>
      <c r="Q78" s="127">
        <f t="shared" ca="1" si="19"/>
        <v>1076.213</v>
      </c>
      <c r="R78" s="127">
        <f t="shared" ca="1" si="19"/>
        <v>1112.2629999999999</v>
      </c>
      <c r="S78" s="127">
        <f t="shared" ca="1" si="19"/>
        <v>1149.1859999999999</v>
      </c>
      <c r="T78" s="127">
        <f t="shared" ca="1" si="19"/>
        <v>1187.223</v>
      </c>
      <c r="U78" s="127">
        <f t="shared" ca="1" si="19"/>
        <v>1226.575</v>
      </c>
      <c r="V78" s="127">
        <f t="shared" ca="1" si="19"/>
        <v>1267.4670000000001</v>
      </c>
      <c r="W78" s="127">
        <f t="shared" ca="1" si="19"/>
        <v>1310.1690000000001</v>
      </c>
      <c r="X78" s="127">
        <f t="shared" ca="1" si="19"/>
        <v>1354.9480000000001</v>
      </c>
      <c r="Y78" s="127">
        <f t="shared" ca="1" si="19"/>
        <v>1402.2429999999999</v>
      </c>
      <c r="Z78" s="127">
        <f t="shared" ca="1" si="19"/>
        <v>1452.5740000000001</v>
      </c>
      <c r="AA78" s="127">
        <f t="shared" ca="1" si="19"/>
        <v>1506.548</v>
      </c>
      <c r="AB78" s="127">
        <f t="shared" ca="1" si="19"/>
        <v>1553.873</v>
      </c>
      <c r="AC78" s="127">
        <f t="shared" ca="1" si="19"/>
        <v>1592.1769999999999</v>
      </c>
      <c r="AD78" s="127">
        <f t="shared" ca="1" si="19"/>
        <v>1623.3150000000001</v>
      </c>
      <c r="AE78" s="127">
        <f t="shared" ca="1" si="19"/>
        <v>1649.17</v>
      </c>
      <c r="AF78" s="127">
        <f t="shared" ca="1" si="19"/>
        <v>1671.1869999999999</v>
      </c>
      <c r="AG78" s="127">
        <f t="shared" ca="1" si="19"/>
        <v>1690.4860000000001</v>
      </c>
      <c r="AH78" s="127">
        <f t="shared" ca="1" si="19"/>
        <v>1707.9639999999999</v>
      </c>
      <c r="AI78" s="127">
        <f t="shared" ca="1" si="19"/>
        <v>1724.3489999999999</v>
      </c>
      <c r="AJ78" s="127">
        <f t="shared" ca="1" si="19"/>
        <v>1740.249</v>
      </c>
      <c r="AK78" s="127">
        <f t="shared" ca="1" si="19"/>
        <v>1756.1669999999999</v>
      </c>
      <c r="AL78" s="127">
        <f t="shared" ca="1" si="19"/>
        <v>1772.511</v>
      </c>
      <c r="AM78" s="127">
        <f t="shared" ca="1" si="19"/>
        <v>1789.6020000000001</v>
      </c>
      <c r="AN78" s="127">
        <f t="shared" ca="1" si="19"/>
        <v>1807.682</v>
      </c>
      <c r="AO78" s="127">
        <f t="shared" ca="1" si="19"/>
        <v>1826.9159999999999</v>
      </c>
      <c r="AP78" s="127">
        <f t="shared" ca="1" si="19"/>
        <v>1847.529</v>
      </c>
      <c r="AQ78" s="127">
        <f t="shared" ca="1" si="19"/>
        <v>1869.5219999999999</v>
      </c>
      <c r="AR78" s="127">
        <f t="shared" ca="1" si="19"/>
        <v>1892.8620000000001</v>
      </c>
      <c r="AS78" s="127">
        <f t="shared" ca="1" si="19"/>
        <v>1917.45</v>
      </c>
      <c r="AT78" s="127">
        <f t="shared" ca="1" si="19"/>
        <v>1943.174</v>
      </c>
      <c r="AU78" s="127">
        <f t="shared" ca="1" si="19"/>
        <v>1969.874</v>
      </c>
    </row>
    <row r="79" spans="2:47" x14ac:dyDescent="0.25">
      <c r="B79" t="s">
        <v>825</v>
      </c>
      <c r="C79" s="127">
        <f t="shared" ca="1" si="16"/>
        <v>477.3897</v>
      </c>
      <c r="D79" s="127">
        <f t="shared" ca="1" si="16"/>
        <v>461.31240000000003</v>
      </c>
      <c r="E79" s="127">
        <f t="shared" ca="1" si="16"/>
        <v>456.2244</v>
      </c>
      <c r="F79" s="127">
        <f t="shared" ca="1" si="16"/>
        <v>455.89339999999999</v>
      </c>
      <c r="G79" s="127">
        <f t="shared" ca="1" si="16"/>
        <v>458.00990000000002</v>
      </c>
      <c r="H79" s="127">
        <f t="shared" ca="1" si="16"/>
        <v>463.75139999999999</v>
      </c>
      <c r="I79" s="127">
        <f t="shared" ca="1" si="16"/>
        <v>471.18419999999998</v>
      </c>
      <c r="J79" s="127">
        <f t="shared" ca="1" si="16"/>
        <v>480.03469999999999</v>
      </c>
      <c r="K79" s="127">
        <f t="shared" ca="1" si="16"/>
        <v>489.7004</v>
      </c>
      <c r="L79" s="127">
        <f t="shared" ca="1" si="18"/>
        <v>501.12450000000001</v>
      </c>
      <c r="M79" s="127">
        <f t="shared" ca="1" si="19"/>
        <v>513.69159999999999</v>
      </c>
      <c r="N79" s="127">
        <f t="shared" ca="1" si="19"/>
        <v>526.56910000000005</v>
      </c>
      <c r="O79" s="127">
        <f t="shared" ca="1" si="19"/>
        <v>539.6078</v>
      </c>
      <c r="P79" s="127">
        <f t="shared" ca="1" si="19"/>
        <v>552.73170000000005</v>
      </c>
      <c r="Q79" s="127">
        <f t="shared" ca="1" si="19"/>
        <v>565.90589999999997</v>
      </c>
      <c r="R79" s="127">
        <f t="shared" ca="1" si="19"/>
        <v>578.99480000000005</v>
      </c>
      <c r="S79" s="127">
        <f t="shared" ca="1" si="19"/>
        <v>592.01670000000001</v>
      </c>
      <c r="T79" s="127">
        <f t="shared" ca="1" si="19"/>
        <v>604.97370000000001</v>
      </c>
      <c r="U79" s="127">
        <f t="shared" ca="1" si="19"/>
        <v>617.88319999999999</v>
      </c>
      <c r="V79" s="127">
        <f t="shared" ca="1" si="19"/>
        <v>630.78520000000003</v>
      </c>
      <c r="W79" s="127">
        <f t="shared" ca="1" si="19"/>
        <v>643.74530000000004</v>
      </c>
      <c r="X79" s="127">
        <f t="shared" ca="1" si="19"/>
        <v>656.84310000000005</v>
      </c>
      <c r="Y79" s="127">
        <f t="shared" ca="1" si="19"/>
        <v>670.21360000000004</v>
      </c>
      <c r="Z79" s="127">
        <f t="shared" ca="1" si="19"/>
        <v>684.02250000000004</v>
      </c>
      <c r="AA79" s="127">
        <f t="shared" ca="1" si="19"/>
        <v>698.46759999999995</v>
      </c>
      <c r="AB79" s="127">
        <f t="shared" ca="1" si="19"/>
        <v>709.45360000000005</v>
      </c>
      <c r="AC79" s="127">
        <f t="shared" ca="1" si="19"/>
        <v>717.10659999999996</v>
      </c>
      <c r="AD79" s="127">
        <f t="shared" ca="1" si="19"/>
        <v>722.23059999999998</v>
      </c>
      <c r="AE79" s="127">
        <f t="shared" ca="1" si="19"/>
        <v>725.56889999999999</v>
      </c>
      <c r="AF79" s="127">
        <f t="shared" ca="1" si="19"/>
        <v>727.70069999999998</v>
      </c>
      <c r="AG79" s="127">
        <f t="shared" ca="1" si="19"/>
        <v>729.08029999999997</v>
      </c>
      <c r="AH79" s="127">
        <f t="shared" ca="1" si="19"/>
        <v>730.0675</v>
      </c>
      <c r="AI79" s="127">
        <f t="shared" ca="1" si="19"/>
        <v>730.94870000000003</v>
      </c>
      <c r="AJ79" s="127">
        <f t="shared" ca="1" si="19"/>
        <v>731.95759999999996</v>
      </c>
      <c r="AK79" s="127">
        <f t="shared" ca="1" si="19"/>
        <v>733.28530000000001</v>
      </c>
      <c r="AL79" s="127">
        <f t="shared" ca="1" si="19"/>
        <v>735.08420000000001</v>
      </c>
      <c r="AM79" s="127">
        <f t="shared" ca="1" si="19"/>
        <v>737.47149999999999</v>
      </c>
      <c r="AN79" s="127">
        <f t="shared" ca="1" si="19"/>
        <v>740.53099999999995</v>
      </c>
      <c r="AO79" s="127">
        <f t="shared" ca="1" si="19"/>
        <v>744.31579999999997</v>
      </c>
      <c r="AP79" s="127">
        <f t="shared" ca="1" si="19"/>
        <v>748.85709999999995</v>
      </c>
      <c r="AQ79" s="127">
        <f t="shared" ca="1" si="19"/>
        <v>754.14760000000001</v>
      </c>
      <c r="AR79" s="127">
        <f t="shared" ca="1" si="19"/>
        <v>760.15020000000004</v>
      </c>
      <c r="AS79" s="127">
        <f t="shared" ca="1" si="19"/>
        <v>766.80610000000001</v>
      </c>
      <c r="AT79" s="127">
        <f t="shared" ca="1" si="19"/>
        <v>774.03570000000002</v>
      </c>
      <c r="AU79" s="127">
        <f t="shared" ca="1" si="19"/>
        <v>781.73410000000001</v>
      </c>
    </row>
    <row r="80" spans="2:47" x14ac:dyDescent="0.25">
      <c r="B80" t="s">
        <v>826</v>
      </c>
      <c r="C80" s="127">
        <f t="shared" ca="1" si="16"/>
        <v>15465.99</v>
      </c>
      <c r="D80" s="127">
        <f t="shared" ca="1" si="16"/>
        <v>15318.89</v>
      </c>
      <c r="E80" s="127">
        <f t="shared" ca="1" si="16"/>
        <v>15310.47</v>
      </c>
      <c r="F80" s="127">
        <f t="shared" ca="1" si="16"/>
        <v>15364.74</v>
      </c>
      <c r="G80" s="127">
        <f t="shared" ca="1" si="16"/>
        <v>15453.63</v>
      </c>
      <c r="H80" s="127">
        <f t="shared" ca="1" si="16"/>
        <v>15630.12</v>
      </c>
      <c r="I80" s="127">
        <f t="shared" ca="1" si="16"/>
        <v>15847.95</v>
      </c>
      <c r="J80" s="127">
        <f t="shared" ca="1" si="16"/>
        <v>16086.05</v>
      </c>
      <c r="K80" s="127">
        <f t="shared" ca="1" si="16"/>
        <v>16338.71</v>
      </c>
      <c r="L80" s="127">
        <f t="shared" ca="1" si="18"/>
        <v>16637.669999999998</v>
      </c>
      <c r="M80" s="127">
        <f t="shared" ca="1" si="19"/>
        <v>16968.46</v>
      </c>
      <c r="N80" s="127">
        <f t="shared" ca="1" si="19"/>
        <v>17317.54</v>
      </c>
      <c r="O80" s="127">
        <f t="shared" ca="1" si="19"/>
        <v>17678.12</v>
      </c>
      <c r="P80" s="127">
        <f t="shared" ca="1" si="19"/>
        <v>18046.34</v>
      </c>
      <c r="Q80" s="127">
        <f t="shared" ca="1" si="19"/>
        <v>18420.04</v>
      </c>
      <c r="R80" s="127">
        <f t="shared" ca="1" si="19"/>
        <v>18795.77</v>
      </c>
      <c r="S80" s="127">
        <f t="shared" ca="1" si="19"/>
        <v>19174.73</v>
      </c>
      <c r="T80" s="127">
        <f t="shared" ca="1" si="19"/>
        <v>19556.22</v>
      </c>
      <c r="U80" s="127">
        <f t="shared" ca="1" si="19"/>
        <v>19939.87</v>
      </c>
      <c r="V80" s="127">
        <f t="shared" ca="1" si="19"/>
        <v>20325.73</v>
      </c>
      <c r="W80" s="127">
        <f t="shared" ca="1" si="19"/>
        <v>20714.240000000002</v>
      </c>
      <c r="X80" s="127">
        <f t="shared" ca="1" si="19"/>
        <v>21105.37</v>
      </c>
      <c r="Y80" s="127">
        <f t="shared" ca="1" si="19"/>
        <v>21500.54</v>
      </c>
      <c r="Z80" s="127">
        <f t="shared" ca="1" si="19"/>
        <v>21901.43</v>
      </c>
      <c r="AA80" s="127">
        <f t="shared" ca="1" si="19"/>
        <v>22309.94</v>
      </c>
      <c r="AB80" s="127">
        <f t="shared" ca="1" si="19"/>
        <v>22678.42</v>
      </c>
      <c r="AC80" s="127">
        <f t="shared" ca="1" si="19"/>
        <v>22987.85</v>
      </c>
      <c r="AD80" s="127">
        <f t="shared" ca="1" si="19"/>
        <v>23248.17</v>
      </c>
      <c r="AE80" s="127">
        <f t="shared" ca="1" si="19"/>
        <v>23471.25</v>
      </c>
      <c r="AF80" s="127">
        <f t="shared" ca="1" si="19"/>
        <v>23667.75</v>
      </c>
      <c r="AG80" s="127">
        <f t="shared" ca="1" si="19"/>
        <v>23847.4</v>
      </c>
      <c r="AH80" s="127">
        <f t="shared" ca="1" si="19"/>
        <v>24019.03</v>
      </c>
      <c r="AI80" s="127">
        <f t="shared" ca="1" si="19"/>
        <v>24190.54</v>
      </c>
      <c r="AJ80" s="127">
        <f t="shared" ca="1" si="19"/>
        <v>24369.15</v>
      </c>
      <c r="AK80" s="127">
        <f t="shared" ca="1" si="19"/>
        <v>24561.38</v>
      </c>
      <c r="AL80" s="127">
        <f t="shared" ca="1" si="19"/>
        <v>24773.08</v>
      </c>
      <c r="AM80" s="127">
        <f t="shared" ca="1" si="19"/>
        <v>25009.46</v>
      </c>
      <c r="AN80" s="127">
        <f t="shared" ca="1" si="19"/>
        <v>25275.33</v>
      </c>
      <c r="AO80" s="127">
        <f t="shared" ca="1" si="19"/>
        <v>25575.14</v>
      </c>
      <c r="AP80" s="127">
        <f t="shared" ca="1" si="19"/>
        <v>25913.68</v>
      </c>
      <c r="AQ80" s="127">
        <f t="shared" ca="1" si="19"/>
        <v>26295</v>
      </c>
      <c r="AR80" s="127">
        <f t="shared" ca="1" si="19"/>
        <v>26722.77</v>
      </c>
      <c r="AS80" s="127">
        <f t="shared" ca="1" si="19"/>
        <v>27201.65</v>
      </c>
      <c r="AT80" s="127">
        <f t="shared" ca="1" si="19"/>
        <v>27737</v>
      </c>
      <c r="AU80" s="127">
        <f t="shared" ca="1" si="19"/>
        <v>28334.77</v>
      </c>
    </row>
    <row r="81" spans="2:47" x14ac:dyDescent="0.25">
      <c r="B81" t="s">
        <v>827</v>
      </c>
      <c r="C81" s="127">
        <f t="shared" ca="1" si="16"/>
        <v>4782.7150000000001</v>
      </c>
      <c r="D81" s="127">
        <f t="shared" ca="1" si="16"/>
        <v>5209.9949999999999</v>
      </c>
      <c r="E81" s="127">
        <f t="shared" ca="1" si="16"/>
        <v>5415.5550000000003</v>
      </c>
      <c r="F81" s="127">
        <f t="shared" ca="1" si="16"/>
        <v>5535.7370000000001</v>
      </c>
      <c r="G81" s="127">
        <f t="shared" ca="1" si="16"/>
        <v>5626.5649999999996</v>
      </c>
      <c r="H81" s="127">
        <f t="shared" ca="1" si="16"/>
        <v>5713.6459999999997</v>
      </c>
      <c r="I81" s="127">
        <f t="shared" ca="1" si="16"/>
        <v>5792.8</v>
      </c>
      <c r="J81" s="127">
        <f t="shared" ca="1" si="16"/>
        <v>5866.44</v>
      </c>
      <c r="K81" s="127">
        <f t="shared" ca="1" si="16"/>
        <v>5938.0619999999999</v>
      </c>
      <c r="L81" s="127">
        <f t="shared" ca="1" si="18"/>
        <v>6018.5029999999997</v>
      </c>
      <c r="M81" s="127">
        <f t="shared" ca="1" si="19"/>
        <v>6112.424</v>
      </c>
      <c r="N81" s="127">
        <f t="shared" ca="1" si="19"/>
        <v>6216.7969999999996</v>
      </c>
      <c r="O81" s="127">
        <f t="shared" ca="1" si="19"/>
        <v>6327.933</v>
      </c>
      <c r="P81" s="127">
        <f t="shared" ca="1" si="19"/>
        <v>6444.4089999999997</v>
      </c>
      <c r="Q81" s="127">
        <f t="shared" ca="1" si="19"/>
        <v>6564.13</v>
      </c>
      <c r="R81" s="127">
        <f t="shared" ca="1" si="19"/>
        <v>6688.2690000000002</v>
      </c>
      <c r="S81" s="127">
        <f t="shared" ca="1" si="19"/>
        <v>6817.4719999999998</v>
      </c>
      <c r="T81" s="127">
        <f t="shared" ca="1" si="19"/>
        <v>6952.1049999999996</v>
      </c>
      <c r="U81" s="127">
        <f t="shared" ca="1" si="19"/>
        <v>7092.4920000000002</v>
      </c>
      <c r="V81" s="127">
        <f t="shared" ca="1" si="19"/>
        <v>7239.0110000000004</v>
      </c>
      <c r="W81" s="127">
        <f t="shared" ca="1" si="19"/>
        <v>7392.1149999999998</v>
      </c>
      <c r="X81" s="127">
        <f t="shared" ca="1" si="19"/>
        <v>7547.6469999999999</v>
      </c>
      <c r="Y81" s="127">
        <f t="shared" ca="1" si="19"/>
        <v>7708.7820000000002</v>
      </c>
      <c r="Z81" s="127">
        <f t="shared" ca="1" si="19"/>
        <v>7877.2</v>
      </c>
      <c r="AA81" s="127">
        <f t="shared" ca="1" si="19"/>
        <v>8054.027</v>
      </c>
      <c r="AB81" s="127">
        <f t="shared" ca="1" si="19"/>
        <v>8235.7189999999991</v>
      </c>
      <c r="AC81" s="127">
        <f t="shared" ca="1" si="19"/>
        <v>8413.9590000000007</v>
      </c>
      <c r="AD81" s="127">
        <f t="shared" ca="1" si="19"/>
        <v>8589.3349999999991</v>
      </c>
      <c r="AE81" s="127">
        <f t="shared" ca="1" si="19"/>
        <v>8764.4750000000004</v>
      </c>
      <c r="AF81" s="127">
        <f t="shared" ca="1" si="19"/>
        <v>8942.0840000000007</v>
      </c>
      <c r="AG81" s="127">
        <f t="shared" ca="1" si="19"/>
        <v>9124.77</v>
      </c>
      <c r="AH81" s="127">
        <f t="shared" ca="1" si="19"/>
        <v>9315.1380000000008</v>
      </c>
      <c r="AI81" s="127">
        <f t="shared" ca="1" si="19"/>
        <v>9515.91</v>
      </c>
      <c r="AJ81" s="127">
        <f t="shared" ca="1" si="19"/>
        <v>9730.0859999999993</v>
      </c>
      <c r="AK81" s="127">
        <f t="shared" ca="1" si="19"/>
        <v>9960.9809999999998</v>
      </c>
      <c r="AL81" s="127">
        <f t="shared" ca="1" si="19"/>
        <v>10212.299999999999</v>
      </c>
      <c r="AM81" s="127">
        <f t="shared" ca="1" si="19"/>
        <v>10488.2</v>
      </c>
      <c r="AN81" s="127">
        <f t="shared" ca="1" si="19"/>
        <v>10793.46</v>
      </c>
      <c r="AO81" s="127">
        <f t="shared" ca="1" si="19"/>
        <v>11133.62</v>
      </c>
      <c r="AP81" s="127">
        <f t="shared" ca="1" si="19"/>
        <v>11515.15</v>
      </c>
      <c r="AQ81" s="127">
        <f t="shared" ca="1" si="19"/>
        <v>11945.66</v>
      </c>
      <c r="AR81" s="127">
        <f t="shared" ca="1" si="19"/>
        <v>12434.1</v>
      </c>
      <c r="AS81" s="127">
        <f t="shared" ca="1" si="19"/>
        <v>12991.32</v>
      </c>
      <c r="AT81" s="127">
        <f t="shared" ca="1" si="19"/>
        <v>13630.47</v>
      </c>
      <c r="AU81" s="127">
        <f t="shared" ca="1" si="19"/>
        <v>14367.6</v>
      </c>
    </row>
    <row r="82" spans="2:47" x14ac:dyDescent="0.25">
      <c r="B82" t="s">
        <v>828</v>
      </c>
      <c r="C82" s="127">
        <f t="shared" ca="1" si="16"/>
        <v>1090.308</v>
      </c>
      <c r="D82" s="127">
        <f t="shared" ca="1" si="16"/>
        <v>1085.8510000000001</v>
      </c>
      <c r="E82" s="127">
        <f t="shared" ca="1" si="16"/>
        <v>1081.2370000000001</v>
      </c>
      <c r="F82" s="127">
        <f t="shared" ca="1" si="16"/>
        <v>1075.683</v>
      </c>
      <c r="G82" s="127">
        <f t="shared" ca="1" si="16"/>
        <v>1069.3219999999999</v>
      </c>
      <c r="H82" s="127">
        <f t="shared" ca="1" si="16"/>
        <v>1064.037</v>
      </c>
      <c r="I82" s="127">
        <f t="shared" ca="1" si="16"/>
        <v>1058.672</v>
      </c>
      <c r="J82" s="127">
        <f t="shared" ca="1" si="16"/>
        <v>1052.4749999999999</v>
      </c>
      <c r="K82" s="127">
        <f t="shared" ca="1" si="16"/>
        <v>1045.7380000000001</v>
      </c>
      <c r="L82" s="127">
        <f t="shared" ca="1" si="18"/>
        <v>1043.403</v>
      </c>
      <c r="M82" s="127">
        <f t="shared" ca="1" si="19"/>
        <v>1042.7909999999999</v>
      </c>
      <c r="N82" s="127">
        <f t="shared" ca="1" si="19"/>
        <v>1046.1279999999999</v>
      </c>
      <c r="O82" s="127">
        <f t="shared" ca="1" si="19"/>
        <v>1053.075</v>
      </c>
      <c r="P82" s="127">
        <f t="shared" ca="1" si="19"/>
        <v>1063.355</v>
      </c>
      <c r="Q82" s="127">
        <f t="shared" ca="1" si="19"/>
        <v>1076.2270000000001</v>
      </c>
      <c r="R82" s="127">
        <f t="shared" ca="1" si="19"/>
        <v>1092.8889999999999</v>
      </c>
      <c r="S82" s="127">
        <f t="shared" ca="1" si="19"/>
        <v>1113.4760000000001</v>
      </c>
      <c r="T82" s="127">
        <f t="shared" ca="1" si="19"/>
        <v>1138.05</v>
      </c>
      <c r="U82" s="127">
        <f t="shared" ca="1" si="19"/>
        <v>1166.7940000000001</v>
      </c>
      <c r="V82" s="127">
        <f t="shared" ca="1" si="19"/>
        <v>1199.9870000000001</v>
      </c>
      <c r="W82" s="127">
        <f t="shared" ca="1" si="19"/>
        <v>1237.9860000000001</v>
      </c>
      <c r="X82" s="127">
        <f t="shared" ca="1" si="19"/>
        <v>1281.203</v>
      </c>
      <c r="Y82" s="127">
        <f t="shared" ca="1" si="19"/>
        <v>1330.144</v>
      </c>
      <c r="Z82" s="127">
        <f t="shared" ca="1" si="19"/>
        <v>1385.3869999999999</v>
      </c>
      <c r="AA82" s="127">
        <f t="shared" ca="1" si="19"/>
        <v>1447.59</v>
      </c>
      <c r="AB82" s="127">
        <f t="shared" ca="1" si="19"/>
        <v>1507.9449999999999</v>
      </c>
      <c r="AC82" s="127">
        <f t="shared" ca="1" si="19"/>
        <v>1567.5540000000001</v>
      </c>
      <c r="AD82" s="127">
        <f t="shared" ca="1" si="19"/>
        <v>1627.91</v>
      </c>
      <c r="AE82" s="127">
        <f t="shared" ca="1" si="19"/>
        <v>1689.749</v>
      </c>
      <c r="AF82" s="127">
        <f t="shared" ca="1" si="19"/>
        <v>1753.575</v>
      </c>
      <c r="AG82" s="127">
        <f t="shared" ca="1" si="19"/>
        <v>1819.866</v>
      </c>
      <c r="AH82" s="127">
        <f t="shared" ca="1" si="19"/>
        <v>1889.136</v>
      </c>
      <c r="AI82" s="127">
        <f t="shared" ca="1" si="19"/>
        <v>1961.9639999999999</v>
      </c>
      <c r="AJ82" s="127">
        <f t="shared" ca="1" si="19"/>
        <v>2039.01</v>
      </c>
      <c r="AK82" s="127">
        <f t="shared" ca="1" si="19"/>
        <v>2121.0439999999999</v>
      </c>
      <c r="AL82" s="127">
        <f t="shared" ca="1" si="19"/>
        <v>2208.9609999999998</v>
      </c>
      <c r="AM82" s="127">
        <f t="shared" ca="1" si="19"/>
        <v>2303.808</v>
      </c>
      <c r="AN82" s="127">
        <f t="shared" ca="1" si="19"/>
        <v>2406.8240000000001</v>
      </c>
      <c r="AO82" s="127">
        <f t="shared" ca="1" si="19"/>
        <v>2519.4679999999998</v>
      </c>
      <c r="AP82" s="127">
        <f t="shared" ca="1" si="19"/>
        <v>2643.038</v>
      </c>
      <c r="AQ82" s="127">
        <f t="shared" ca="1" si="19"/>
        <v>2779.14</v>
      </c>
      <c r="AR82" s="127">
        <f t="shared" ca="1" si="19"/>
        <v>2929.6689999999999</v>
      </c>
      <c r="AS82" s="127">
        <f t="shared" ca="1" si="19"/>
        <v>3096.837</v>
      </c>
      <c r="AT82" s="127">
        <f t="shared" ca="1" si="19"/>
        <v>3283.1289999999999</v>
      </c>
      <c r="AU82" s="127">
        <f t="shared" ca="1" si="19"/>
        <v>3491.2869999999998</v>
      </c>
    </row>
    <row r="83" spans="2:47" x14ac:dyDescent="0.25">
      <c r="B83" t="s">
        <v>829</v>
      </c>
      <c r="C83" s="127">
        <f t="shared" ca="1" si="16"/>
        <v>1715.6780000000001</v>
      </c>
      <c r="D83" s="127">
        <f t="shared" ca="1" si="16"/>
        <v>1731.578</v>
      </c>
      <c r="E83" s="127">
        <f t="shared" ca="1" si="16"/>
        <v>1744.509</v>
      </c>
      <c r="F83" s="127">
        <f t="shared" ca="1" si="16"/>
        <v>1756.44</v>
      </c>
      <c r="G83" s="127">
        <f t="shared" ca="1" si="16"/>
        <v>1768.0119999999999</v>
      </c>
      <c r="H83" s="127">
        <f t="shared" ca="1" si="16"/>
        <v>1779.481</v>
      </c>
      <c r="I83" s="127">
        <f t="shared" ca="1" si="16"/>
        <v>1790.579</v>
      </c>
      <c r="J83" s="127">
        <f t="shared" ca="1" si="16"/>
        <v>1801.2260000000001</v>
      </c>
      <c r="K83" s="127">
        <f t="shared" ca="1" si="16"/>
        <v>1811.3579999999999</v>
      </c>
      <c r="L83" s="127">
        <f t="shared" ca="1" si="18"/>
        <v>1824.2360000000001</v>
      </c>
      <c r="M83" s="127">
        <f t="shared" ca="1" si="19"/>
        <v>1838.578</v>
      </c>
      <c r="N83" s="127">
        <f t="shared" ca="1" si="19"/>
        <v>1855.329</v>
      </c>
      <c r="O83" s="127">
        <f t="shared" ca="1" si="19"/>
        <v>1874.971</v>
      </c>
      <c r="P83" s="127">
        <f t="shared" ca="1" si="19"/>
        <v>1897.8219999999999</v>
      </c>
      <c r="Q83" s="127">
        <f t="shared" ca="1" si="19"/>
        <v>1921.6690000000001</v>
      </c>
      <c r="R83" s="127">
        <f t="shared" ca="1" si="19"/>
        <v>1952.192</v>
      </c>
      <c r="S83" s="127">
        <f t="shared" ca="1" si="19"/>
        <v>1989.1030000000001</v>
      </c>
      <c r="T83" s="127">
        <f t="shared" ca="1" si="19"/>
        <v>2032.8530000000001</v>
      </c>
      <c r="U83" s="127">
        <f t="shared" ca="1" si="19"/>
        <v>2084.3159999999998</v>
      </c>
      <c r="V83" s="127">
        <f t="shared" ca="1" si="19"/>
        <v>2144.62</v>
      </c>
      <c r="W83" s="127">
        <f t="shared" ca="1" si="19"/>
        <v>2215.0909999999999</v>
      </c>
      <c r="X83" s="127">
        <f t="shared" ca="1" si="19"/>
        <v>2297.2330000000002</v>
      </c>
      <c r="Y83" s="127">
        <f t="shared" ca="1" si="19"/>
        <v>2392.732</v>
      </c>
      <c r="Z83" s="127">
        <f t="shared" ca="1" si="19"/>
        <v>2503.4290000000001</v>
      </c>
      <c r="AA83" s="127">
        <f t="shared" ca="1" si="19"/>
        <v>2631.3409999999999</v>
      </c>
      <c r="AB83" s="127">
        <f t="shared" ca="1" si="19"/>
        <v>2741.6759999999999</v>
      </c>
      <c r="AC83" s="127">
        <f t="shared" ca="1" si="19"/>
        <v>2847.8919999999998</v>
      </c>
      <c r="AD83" s="127">
        <f t="shared" ca="1" si="19"/>
        <v>2955.1779999999999</v>
      </c>
      <c r="AE83" s="127">
        <f t="shared" ca="1" si="19"/>
        <v>3065.4209999999998</v>
      </c>
      <c r="AF83" s="127">
        <f t="shared" ca="1" si="19"/>
        <v>3179.6</v>
      </c>
      <c r="AG83" s="127">
        <f t="shared" ca="1" si="19"/>
        <v>3298.5970000000002</v>
      </c>
      <c r="AH83" s="127">
        <f t="shared" ca="1" si="19"/>
        <v>3423.491</v>
      </c>
      <c r="AI83" s="127">
        <f t="shared" ca="1" si="19"/>
        <v>3555.6889999999999</v>
      </c>
      <c r="AJ83" s="127">
        <f t="shared" ca="1" si="19"/>
        <v>3697.0250000000001</v>
      </c>
      <c r="AK83" s="127">
        <f t="shared" ca="1" si="19"/>
        <v>3849.8519999999999</v>
      </c>
      <c r="AL83" s="127">
        <f t="shared" ca="1" si="19"/>
        <v>4017.145</v>
      </c>
      <c r="AM83" s="127">
        <f t="shared" ca="1" si="19"/>
        <v>4202.6189999999997</v>
      </c>
      <c r="AN83" s="127">
        <f t="shared" ca="1" si="19"/>
        <v>4410.8770000000004</v>
      </c>
      <c r="AO83" s="127">
        <f t="shared" ca="1" si="19"/>
        <v>4647.5690000000004</v>
      </c>
      <c r="AP83" s="127">
        <f t="shared" ca="1" si="19"/>
        <v>4917.4229999999998</v>
      </c>
      <c r="AQ83" s="127">
        <f t="shared" ca="1" si="19"/>
        <v>5227.2039999999997</v>
      </c>
      <c r="AR83" s="127">
        <f t="shared" ca="1" si="19"/>
        <v>5585.1030000000001</v>
      </c>
      <c r="AS83" s="127">
        <f t="shared" ca="1" si="19"/>
        <v>6001.3779999999997</v>
      </c>
      <c r="AT83" s="127">
        <f t="shared" ca="1" si="19"/>
        <v>6488.1009999999997</v>
      </c>
      <c r="AU83" s="127">
        <f t="shared" ca="1" si="19"/>
        <v>7059.4530000000004</v>
      </c>
    </row>
    <row r="84" spans="2:47" x14ac:dyDescent="0.25">
      <c r="B84" t="s">
        <v>830</v>
      </c>
      <c r="C84" s="127">
        <f t="shared" ca="1" si="16"/>
        <v>4849.3729999999996</v>
      </c>
      <c r="D84" s="127">
        <f t="shared" ca="1" si="16"/>
        <v>4836.1580000000004</v>
      </c>
      <c r="E84" s="127">
        <f t="shared" ca="1" si="16"/>
        <v>4841.701</v>
      </c>
      <c r="F84" s="127">
        <f t="shared" ca="1" si="16"/>
        <v>4856.5619999999999</v>
      </c>
      <c r="G84" s="127">
        <f t="shared" ca="1" si="16"/>
        <v>4877.0320000000002</v>
      </c>
      <c r="H84" s="127">
        <f t="shared" ca="1" si="16"/>
        <v>4921.9009999999998</v>
      </c>
      <c r="I84" s="127">
        <f t="shared" ca="1" si="16"/>
        <v>4978.9049999999997</v>
      </c>
      <c r="J84" s="127">
        <f t="shared" ca="1" si="16"/>
        <v>5040.8059999999996</v>
      </c>
      <c r="K84" s="127">
        <f t="shared" ca="1" si="16"/>
        <v>5107.0370000000003</v>
      </c>
      <c r="L84" s="127">
        <f t="shared" ca="1" si="18"/>
        <v>5196.9669999999996</v>
      </c>
      <c r="M84" s="127">
        <f t="shared" ref="M84:AU91" ca="1" si="20">Output("SCEN_ADEMEhaut",$B84,M$1)</f>
        <v>5297.7359999999999</v>
      </c>
      <c r="N84" s="127">
        <f t="shared" ca="1" si="20"/>
        <v>5405.3919999999998</v>
      </c>
      <c r="O84" s="127">
        <f t="shared" ca="1" si="20"/>
        <v>5518.2550000000001</v>
      </c>
      <c r="P84" s="127">
        <f t="shared" ca="1" si="20"/>
        <v>5635.9030000000002</v>
      </c>
      <c r="Q84" s="127">
        <f t="shared" ca="1" si="20"/>
        <v>5757.8590000000004</v>
      </c>
      <c r="R84" s="127">
        <f t="shared" ca="1" si="20"/>
        <v>5887.6139999999996</v>
      </c>
      <c r="S84" s="127">
        <f t="shared" ca="1" si="20"/>
        <v>6028.9620000000004</v>
      </c>
      <c r="T84" s="127">
        <f t="shared" ca="1" si="20"/>
        <v>6185.0069999999996</v>
      </c>
      <c r="U84" s="127">
        <f t="shared" ca="1" si="20"/>
        <v>6360.1809999999996</v>
      </c>
      <c r="V84" s="127">
        <f t="shared" ca="1" si="20"/>
        <v>6560.3710000000001</v>
      </c>
      <c r="W84" s="127">
        <f t="shared" ca="1" si="20"/>
        <v>6793.0709999999999</v>
      </c>
      <c r="X84" s="127">
        <f t="shared" ca="1" si="20"/>
        <v>7067.3639999999996</v>
      </c>
      <c r="Y84" s="127">
        <f t="shared" ca="1" si="20"/>
        <v>7394.701</v>
      </c>
      <c r="Z84" s="127">
        <f t="shared" ca="1" si="20"/>
        <v>7788.7330000000002</v>
      </c>
      <c r="AA84" s="127">
        <f t="shared" ca="1" si="20"/>
        <v>8265.3850000000002</v>
      </c>
      <c r="AB84" s="127">
        <f t="shared" ca="1" si="20"/>
        <v>8743.0280000000002</v>
      </c>
      <c r="AC84" s="127">
        <f t="shared" ca="1" si="20"/>
        <v>9212.4760000000006</v>
      </c>
      <c r="AD84" s="127">
        <f t="shared" ca="1" si="20"/>
        <v>9678.7099999999991</v>
      </c>
      <c r="AE84" s="127">
        <f t="shared" ca="1" si="20"/>
        <v>10144.91</v>
      </c>
      <c r="AF84" s="127">
        <f t="shared" ca="1" si="20"/>
        <v>10613.73</v>
      </c>
      <c r="AG84" s="127">
        <f t="shared" ca="1" si="20"/>
        <v>11088.15</v>
      </c>
      <c r="AH84" s="127">
        <f t="shared" ca="1" si="20"/>
        <v>11571.81</v>
      </c>
      <c r="AI84" s="127">
        <f t="shared" ca="1" si="20"/>
        <v>12068.95</v>
      </c>
      <c r="AJ84" s="127">
        <f t="shared" ca="1" si="20"/>
        <v>12584.64</v>
      </c>
      <c r="AK84" s="127">
        <f t="shared" ca="1" si="20"/>
        <v>13124.84</v>
      </c>
      <c r="AL84" s="127">
        <f t="shared" ca="1" si="20"/>
        <v>13696.6</v>
      </c>
      <c r="AM84" s="127">
        <f t="shared" ca="1" si="20"/>
        <v>14308.3</v>
      </c>
      <c r="AN84" s="127">
        <f t="shared" ca="1" si="20"/>
        <v>14970.17</v>
      </c>
      <c r="AO84" s="127">
        <f t="shared" ca="1" si="20"/>
        <v>15694.78</v>
      </c>
      <c r="AP84" s="127">
        <f t="shared" ca="1" si="20"/>
        <v>16498.14</v>
      </c>
      <c r="AQ84" s="127">
        <f t="shared" ca="1" si="20"/>
        <v>17399.07</v>
      </c>
      <c r="AR84" s="127">
        <f t="shared" ca="1" si="20"/>
        <v>18420.78</v>
      </c>
      <c r="AS84" s="127">
        <f t="shared" ca="1" si="20"/>
        <v>19590.87</v>
      </c>
      <c r="AT84" s="127">
        <f t="shared" ca="1" si="20"/>
        <v>20941.689999999999</v>
      </c>
      <c r="AU84" s="127">
        <f t="shared" ca="1" si="20"/>
        <v>22509.08</v>
      </c>
    </row>
    <row r="85" spans="2:47" x14ac:dyDescent="0.25">
      <c r="B85" t="s">
        <v>831</v>
      </c>
      <c r="C85" s="127">
        <f t="shared" ref="C85:K100" ca="1" si="21">Output("SCEN_ADEMEhaut",$B85,C$1)</f>
        <v>1103.3119999999999</v>
      </c>
      <c r="D85" s="127">
        <f t="shared" ca="1" si="21"/>
        <v>1084.318</v>
      </c>
      <c r="E85" s="127">
        <f t="shared" ca="1" si="21"/>
        <v>1077.7170000000001</v>
      </c>
      <c r="F85" s="127">
        <f t="shared" ca="1" si="21"/>
        <v>1076.2360000000001</v>
      </c>
      <c r="G85" s="127">
        <f t="shared" ca="1" si="21"/>
        <v>1077.4269999999999</v>
      </c>
      <c r="H85" s="127">
        <f t="shared" ca="1" si="21"/>
        <v>1085.328</v>
      </c>
      <c r="I85" s="127">
        <f t="shared" ca="1" si="21"/>
        <v>1096.9780000000001</v>
      </c>
      <c r="J85" s="127">
        <f t="shared" ca="1" si="21"/>
        <v>1111.1679999999999</v>
      </c>
      <c r="K85" s="127">
        <f t="shared" ca="1" si="21"/>
        <v>1127.473</v>
      </c>
      <c r="L85" s="127">
        <f t="shared" ca="1" si="18"/>
        <v>1142.9829999999999</v>
      </c>
      <c r="M85" s="127">
        <f t="shared" ca="1" si="20"/>
        <v>1158.712</v>
      </c>
      <c r="N85" s="127">
        <f t="shared" ca="1" si="20"/>
        <v>1175.2760000000001</v>
      </c>
      <c r="O85" s="127">
        <f t="shared" ca="1" si="20"/>
        <v>1192.5419999999999</v>
      </c>
      <c r="P85" s="127">
        <f t="shared" ca="1" si="20"/>
        <v>1210.3910000000001</v>
      </c>
      <c r="Q85" s="127">
        <f t="shared" ca="1" si="20"/>
        <v>1228.6969999999999</v>
      </c>
      <c r="R85" s="127">
        <f t="shared" ca="1" si="20"/>
        <v>1248.1300000000001</v>
      </c>
      <c r="S85" s="127">
        <f t="shared" ca="1" si="20"/>
        <v>1269.279</v>
      </c>
      <c r="T85" s="127">
        <f t="shared" ca="1" si="20"/>
        <v>1292.9179999999999</v>
      </c>
      <c r="U85" s="127">
        <f t="shared" ca="1" si="20"/>
        <v>1320.1410000000001</v>
      </c>
      <c r="V85" s="127">
        <f t="shared" ca="1" si="20"/>
        <v>1352.336</v>
      </c>
      <c r="W85" s="127">
        <f t="shared" ca="1" si="20"/>
        <v>1391.18</v>
      </c>
      <c r="X85" s="127">
        <f t="shared" ca="1" si="20"/>
        <v>1438.59</v>
      </c>
      <c r="Y85" s="127">
        <f t="shared" ca="1" si="20"/>
        <v>1496.7919999999999</v>
      </c>
      <c r="Z85" s="127">
        <f t="shared" ca="1" si="20"/>
        <v>1568.2170000000001</v>
      </c>
      <c r="AA85" s="127">
        <f t="shared" ca="1" si="20"/>
        <v>1655.4090000000001</v>
      </c>
      <c r="AB85" s="127">
        <f t="shared" ca="1" si="20"/>
        <v>1738.97</v>
      </c>
      <c r="AC85" s="127">
        <f t="shared" ca="1" si="20"/>
        <v>1819.079</v>
      </c>
      <c r="AD85" s="127">
        <f t="shared" ca="1" si="20"/>
        <v>1896.7529999999999</v>
      </c>
      <c r="AE85" s="127">
        <f t="shared" ca="1" si="20"/>
        <v>1972.701</v>
      </c>
      <c r="AF85" s="127">
        <f t="shared" ca="1" si="20"/>
        <v>2047.508</v>
      </c>
      <c r="AG85" s="127">
        <f t="shared" ca="1" si="20"/>
        <v>2121.7460000000001</v>
      </c>
      <c r="AH85" s="127">
        <f t="shared" ca="1" si="20"/>
        <v>2195.991</v>
      </c>
      <c r="AI85" s="127">
        <f t="shared" ca="1" si="20"/>
        <v>2270.8319999999999</v>
      </c>
      <c r="AJ85" s="127">
        <f t="shared" ca="1" si="20"/>
        <v>2346.884</v>
      </c>
      <c r="AK85" s="127">
        <f t="shared" ca="1" si="20"/>
        <v>2424.799</v>
      </c>
      <c r="AL85" s="127">
        <f t="shared" ca="1" si="20"/>
        <v>2505.2869999999998</v>
      </c>
      <c r="AM85" s="127">
        <f t="shared" ca="1" si="20"/>
        <v>2589.1350000000002</v>
      </c>
      <c r="AN85" s="127">
        <f t="shared" ca="1" si="20"/>
        <v>2677.25</v>
      </c>
      <c r="AO85" s="127">
        <f t="shared" ca="1" si="20"/>
        <v>2770.6959999999999</v>
      </c>
      <c r="AP85" s="127">
        <f t="shared" ca="1" si="20"/>
        <v>2870.808</v>
      </c>
      <c r="AQ85" s="127">
        <f t="shared" ca="1" si="20"/>
        <v>2979.0889999999999</v>
      </c>
      <c r="AR85" s="127">
        <f t="shared" ca="1" si="20"/>
        <v>3097.4679999999998</v>
      </c>
      <c r="AS85" s="127">
        <f t="shared" ca="1" si="20"/>
        <v>3227.9859999999999</v>
      </c>
      <c r="AT85" s="127">
        <f t="shared" ca="1" si="20"/>
        <v>3372.9929999999999</v>
      </c>
      <c r="AU85" s="127">
        <f t="shared" ca="1" si="20"/>
        <v>3534.982</v>
      </c>
    </row>
    <row r="86" spans="2:47" x14ac:dyDescent="0.25">
      <c r="B86" t="s">
        <v>832</v>
      </c>
      <c r="C86" s="127">
        <f t="shared" ca="1" si="21"/>
        <v>2003.67</v>
      </c>
      <c r="D86" s="127">
        <f t="shared" ca="1" si="21"/>
        <v>1978.192</v>
      </c>
      <c r="E86" s="127">
        <f t="shared" ca="1" si="21"/>
        <v>1973.2829999999999</v>
      </c>
      <c r="F86" s="127">
        <f t="shared" ca="1" si="21"/>
        <v>1977.557</v>
      </c>
      <c r="G86" s="127">
        <f t="shared" ca="1" si="21"/>
        <v>1986.6610000000001</v>
      </c>
      <c r="H86" s="127">
        <f t="shared" ca="1" si="21"/>
        <v>2006.2529999999999</v>
      </c>
      <c r="I86" s="127">
        <f t="shared" ca="1" si="21"/>
        <v>2031.144</v>
      </c>
      <c r="J86" s="127">
        <f t="shared" ca="1" si="21"/>
        <v>2058.953</v>
      </c>
      <c r="K86" s="127">
        <f t="shared" ca="1" si="21"/>
        <v>2088.8580000000002</v>
      </c>
      <c r="L86" s="127">
        <f t="shared" ca="1" si="18"/>
        <v>2124.0729999999999</v>
      </c>
      <c r="M86" s="127">
        <f t="shared" ca="1" si="20"/>
        <v>2162.9839999999999</v>
      </c>
      <c r="N86" s="127">
        <f t="shared" ca="1" si="20"/>
        <v>2204.6869999999999</v>
      </c>
      <c r="O86" s="127">
        <f t="shared" ca="1" si="20"/>
        <v>2248.723</v>
      </c>
      <c r="P86" s="127">
        <f t="shared" ca="1" si="20"/>
        <v>2295.12</v>
      </c>
      <c r="Q86" s="127">
        <f t="shared" ca="1" si="20"/>
        <v>2343.8609999999999</v>
      </c>
      <c r="R86" s="127">
        <f t="shared" ca="1" si="20"/>
        <v>2397.5569999999998</v>
      </c>
      <c r="S86" s="127">
        <f t="shared" ca="1" si="20"/>
        <v>2458.4389999999999</v>
      </c>
      <c r="T86" s="127">
        <f t="shared" ca="1" si="20"/>
        <v>2529.0340000000001</v>
      </c>
      <c r="U86" s="127">
        <f t="shared" ca="1" si="20"/>
        <v>2612.6909999999998</v>
      </c>
      <c r="V86" s="127">
        <f t="shared" ca="1" si="20"/>
        <v>2713.7310000000002</v>
      </c>
      <c r="W86" s="127">
        <f t="shared" ca="1" si="20"/>
        <v>2837.61</v>
      </c>
      <c r="X86" s="127">
        <f t="shared" ca="1" si="20"/>
        <v>2991.058</v>
      </c>
      <c r="Y86" s="127">
        <f t="shared" ca="1" si="20"/>
        <v>3182.3629999999998</v>
      </c>
      <c r="Z86" s="127">
        <f t="shared" ca="1" si="20"/>
        <v>3421.4740000000002</v>
      </c>
      <c r="AA86" s="127">
        <f t="shared" ca="1" si="20"/>
        <v>3720.0360000000001</v>
      </c>
      <c r="AB86" s="127">
        <f t="shared" ca="1" si="20"/>
        <v>4018.0250000000001</v>
      </c>
      <c r="AC86" s="127">
        <f t="shared" ca="1" si="20"/>
        <v>4312.1559999999999</v>
      </c>
      <c r="AD86" s="127">
        <f t="shared" ca="1" si="20"/>
        <v>4602.9369999999999</v>
      </c>
      <c r="AE86" s="127">
        <f t="shared" ca="1" si="20"/>
        <v>4890.8990000000003</v>
      </c>
      <c r="AF86" s="127">
        <f t="shared" ca="1" si="20"/>
        <v>5176.6170000000002</v>
      </c>
      <c r="AG86" s="127">
        <f t="shared" ca="1" si="20"/>
        <v>5460.8429999999998</v>
      </c>
      <c r="AH86" s="127">
        <f t="shared" ca="1" si="20"/>
        <v>5744.518</v>
      </c>
      <c r="AI86" s="127">
        <f t="shared" ca="1" si="20"/>
        <v>6028.7939999999999</v>
      </c>
      <c r="AJ86" s="127">
        <f t="shared" ca="1" si="20"/>
        <v>6315.1120000000001</v>
      </c>
      <c r="AK86" s="127">
        <f t="shared" ca="1" si="20"/>
        <v>6605.2579999999998</v>
      </c>
      <c r="AL86" s="127">
        <f t="shared" ca="1" si="20"/>
        <v>6901.4589999999998</v>
      </c>
      <c r="AM86" s="127">
        <f t="shared" ca="1" si="20"/>
        <v>7206.4880000000003</v>
      </c>
      <c r="AN86" s="127">
        <f t="shared" ca="1" si="20"/>
        <v>7523.8209999999999</v>
      </c>
      <c r="AO86" s="127">
        <f t="shared" ca="1" si="20"/>
        <v>7857.7969999999996</v>
      </c>
      <c r="AP86" s="127">
        <f t="shared" ca="1" si="20"/>
        <v>8213.9179999999997</v>
      </c>
      <c r="AQ86" s="127">
        <f t="shared" ca="1" si="20"/>
        <v>8598.6119999999992</v>
      </c>
      <c r="AR86" s="127">
        <f t="shared" ca="1" si="20"/>
        <v>9019.5679999999993</v>
      </c>
      <c r="AS86" s="127">
        <f t="shared" ca="1" si="20"/>
        <v>9485.518</v>
      </c>
      <c r="AT86" s="127">
        <f t="shared" ca="1" si="20"/>
        <v>10005.9</v>
      </c>
      <c r="AU86" s="127">
        <f t="shared" ca="1" si="20"/>
        <v>10590</v>
      </c>
    </row>
    <row r="87" spans="2:47" x14ac:dyDescent="0.25">
      <c r="B87" t="s">
        <v>833</v>
      </c>
      <c r="C87" s="127">
        <f t="shared" ca="1" si="21"/>
        <v>146880</v>
      </c>
      <c r="D87" s="127">
        <f t="shared" ca="1" si="21"/>
        <v>147563.5</v>
      </c>
      <c r="E87" s="127">
        <f t="shared" ca="1" si="21"/>
        <v>148351.20000000001</v>
      </c>
      <c r="F87" s="127">
        <f t="shared" ca="1" si="21"/>
        <v>149162.4</v>
      </c>
      <c r="G87" s="127">
        <f t="shared" ca="1" si="21"/>
        <v>149976.6</v>
      </c>
      <c r="H87" s="127">
        <f t="shared" ca="1" si="21"/>
        <v>151449.1</v>
      </c>
      <c r="I87" s="127">
        <f t="shared" ca="1" si="21"/>
        <v>153219.9</v>
      </c>
      <c r="J87" s="127">
        <f t="shared" ca="1" si="21"/>
        <v>155056.9</v>
      </c>
      <c r="K87" s="127">
        <f t="shared" ca="1" si="21"/>
        <v>156987.70000000001</v>
      </c>
      <c r="L87" s="127">
        <f t="shared" ca="1" si="18"/>
        <v>159421.29999999999</v>
      </c>
      <c r="M87" s="127">
        <f t="shared" ca="1" si="20"/>
        <v>162237.6</v>
      </c>
      <c r="N87" s="127">
        <f t="shared" ca="1" si="20"/>
        <v>165290.29999999999</v>
      </c>
      <c r="O87" s="127">
        <f t="shared" ca="1" si="20"/>
        <v>168498.6</v>
      </c>
      <c r="P87" s="127">
        <f t="shared" ca="1" si="20"/>
        <v>171817.4</v>
      </c>
      <c r="Q87" s="127">
        <f t="shared" ca="1" si="20"/>
        <v>175224.3</v>
      </c>
      <c r="R87" s="127">
        <f t="shared" ca="1" si="20"/>
        <v>178700.4</v>
      </c>
      <c r="S87" s="127">
        <f t="shared" ca="1" si="20"/>
        <v>182241.8</v>
      </c>
      <c r="T87" s="127">
        <f t="shared" ca="1" si="20"/>
        <v>185837.7</v>
      </c>
      <c r="U87" s="127">
        <f t="shared" ca="1" si="20"/>
        <v>189486.1</v>
      </c>
      <c r="V87" s="127">
        <f t="shared" ca="1" si="20"/>
        <v>193190.39999999999</v>
      </c>
      <c r="W87" s="127">
        <f t="shared" ca="1" si="20"/>
        <v>196957.3</v>
      </c>
      <c r="X87" s="127">
        <f t="shared" ca="1" si="20"/>
        <v>200791.6</v>
      </c>
      <c r="Y87" s="127">
        <f t="shared" ca="1" si="20"/>
        <v>204706.3</v>
      </c>
      <c r="Z87" s="127">
        <f t="shared" ca="1" si="20"/>
        <v>208715</v>
      </c>
      <c r="AA87" s="127">
        <f t="shared" ca="1" si="20"/>
        <v>212832</v>
      </c>
      <c r="AB87" s="127">
        <f t="shared" ca="1" si="20"/>
        <v>216987.9</v>
      </c>
      <c r="AC87" s="127">
        <f t="shared" ca="1" si="20"/>
        <v>221082.6</v>
      </c>
      <c r="AD87" s="127">
        <f t="shared" ca="1" si="20"/>
        <v>225133.9</v>
      </c>
      <c r="AE87" s="127">
        <f t="shared" ca="1" si="20"/>
        <v>229152.7</v>
      </c>
      <c r="AF87" s="127">
        <f t="shared" ca="1" si="20"/>
        <v>233160.3</v>
      </c>
      <c r="AG87" s="127">
        <f t="shared" ca="1" si="20"/>
        <v>237193.1</v>
      </c>
      <c r="AH87" s="127">
        <f t="shared" ca="1" si="20"/>
        <v>241296.2</v>
      </c>
      <c r="AI87" s="127">
        <f t="shared" ca="1" si="20"/>
        <v>245517.6</v>
      </c>
      <c r="AJ87" s="127">
        <f t="shared" ca="1" si="20"/>
        <v>249907.9</v>
      </c>
      <c r="AK87" s="127">
        <f t="shared" ca="1" si="20"/>
        <v>254516.5</v>
      </c>
      <c r="AL87" s="127">
        <f t="shared" ca="1" si="20"/>
        <v>259390.6</v>
      </c>
      <c r="AM87" s="127">
        <f t="shared" ca="1" si="20"/>
        <v>264573.59999999998</v>
      </c>
      <c r="AN87" s="127">
        <f t="shared" ca="1" si="20"/>
        <v>270107.40000000002</v>
      </c>
      <c r="AO87" s="127">
        <f t="shared" ca="1" si="20"/>
        <v>276032.3</v>
      </c>
      <c r="AP87" s="127">
        <f t="shared" ca="1" si="20"/>
        <v>282388.8</v>
      </c>
      <c r="AQ87" s="127">
        <f t="shared" ca="1" si="20"/>
        <v>289213.40000000002</v>
      </c>
      <c r="AR87" s="127">
        <f t="shared" ca="1" si="20"/>
        <v>296537.2</v>
      </c>
      <c r="AS87" s="127">
        <f t="shared" ca="1" si="20"/>
        <v>304401.09999999998</v>
      </c>
      <c r="AT87" s="127">
        <f t="shared" ca="1" si="20"/>
        <v>312851.20000000001</v>
      </c>
      <c r="AU87" s="127">
        <f t="shared" ca="1" si="20"/>
        <v>321938.09999999998</v>
      </c>
    </row>
    <row r="88" spans="2:47" x14ac:dyDescent="0.25">
      <c r="B88" t="s">
        <v>834</v>
      </c>
      <c r="C88" s="127">
        <f t="shared" ca="1" si="21"/>
        <v>60600.959999999999</v>
      </c>
      <c r="D88" s="127">
        <f t="shared" ca="1" si="21"/>
        <v>61459.09</v>
      </c>
      <c r="E88" s="127">
        <f t="shared" ca="1" si="21"/>
        <v>62330.77</v>
      </c>
      <c r="F88" s="127">
        <f t="shared" ca="1" si="21"/>
        <v>63218.11</v>
      </c>
      <c r="G88" s="127">
        <f t="shared" ca="1" si="21"/>
        <v>64121.88</v>
      </c>
      <c r="H88" s="127">
        <f t="shared" ca="1" si="21"/>
        <v>65079.28</v>
      </c>
      <c r="I88" s="127">
        <f t="shared" ca="1" si="21"/>
        <v>66072.62</v>
      </c>
      <c r="J88" s="127">
        <f t="shared" ca="1" si="21"/>
        <v>67096.34</v>
      </c>
      <c r="K88" s="127">
        <f t="shared" ca="1" si="21"/>
        <v>68141.679999999993</v>
      </c>
      <c r="L88" s="127">
        <f t="shared" ca="1" si="18"/>
        <v>69236.539999999994</v>
      </c>
      <c r="M88" s="127">
        <f t="shared" ca="1" si="20"/>
        <v>70377.97</v>
      </c>
      <c r="N88" s="127">
        <f t="shared" ca="1" si="20"/>
        <v>71553.149999999994</v>
      </c>
      <c r="O88" s="127">
        <f t="shared" ca="1" si="20"/>
        <v>72758.91</v>
      </c>
      <c r="P88" s="127">
        <f t="shared" ca="1" si="20"/>
        <v>73993.81</v>
      </c>
      <c r="Q88" s="127">
        <f t="shared" ca="1" si="20"/>
        <v>75256.52</v>
      </c>
      <c r="R88" s="127">
        <f t="shared" ca="1" si="20"/>
        <v>76546.17</v>
      </c>
      <c r="S88" s="127">
        <f t="shared" ca="1" si="20"/>
        <v>77862.149999999994</v>
      </c>
      <c r="T88" s="127">
        <f t="shared" ca="1" si="20"/>
        <v>79204.17</v>
      </c>
      <c r="U88" s="127">
        <f t="shared" ca="1" si="20"/>
        <v>80572.570000000007</v>
      </c>
      <c r="V88" s="127">
        <f t="shared" ca="1" si="20"/>
        <v>81968.259999999995</v>
      </c>
      <c r="W88" s="127">
        <f t="shared" ca="1" si="20"/>
        <v>83392.639999999999</v>
      </c>
      <c r="X88" s="127">
        <f t="shared" ca="1" si="20"/>
        <v>84847.86</v>
      </c>
      <c r="Y88" s="127">
        <f t="shared" ca="1" si="20"/>
        <v>86336.59</v>
      </c>
      <c r="Z88" s="127">
        <f t="shared" ca="1" si="20"/>
        <v>87862.11</v>
      </c>
      <c r="AA88" s="127">
        <f t="shared" ca="1" si="20"/>
        <v>89428.53</v>
      </c>
      <c r="AB88" s="127">
        <f t="shared" ca="1" si="20"/>
        <v>91017.87</v>
      </c>
      <c r="AC88" s="127">
        <f t="shared" ca="1" si="20"/>
        <v>92631.039999999994</v>
      </c>
      <c r="AD88" s="127">
        <f t="shared" ca="1" si="20"/>
        <v>94267.43</v>
      </c>
      <c r="AE88" s="127">
        <f t="shared" ca="1" si="20"/>
        <v>95925.48</v>
      </c>
      <c r="AF88" s="127">
        <f t="shared" ca="1" si="20"/>
        <v>97604.82</v>
      </c>
      <c r="AG88" s="127">
        <f t="shared" ca="1" si="20"/>
        <v>99306.77</v>
      </c>
      <c r="AH88" s="127">
        <f t="shared" ca="1" si="20"/>
        <v>101034</v>
      </c>
      <c r="AI88" s="127">
        <f t="shared" ca="1" si="20"/>
        <v>102790.1</v>
      </c>
      <c r="AJ88" s="127">
        <f t="shared" ca="1" si="20"/>
        <v>104579.6</v>
      </c>
      <c r="AK88" s="127">
        <f t="shared" ca="1" si="20"/>
        <v>106407.3</v>
      </c>
      <c r="AL88" s="127">
        <f t="shared" ca="1" si="20"/>
        <v>108278.3</v>
      </c>
      <c r="AM88" s="127">
        <f t="shared" ca="1" si="20"/>
        <v>110197.9</v>
      </c>
      <c r="AN88" s="127">
        <f t="shared" ca="1" si="20"/>
        <v>112171.2</v>
      </c>
      <c r="AO88" s="127">
        <f t="shared" ca="1" si="20"/>
        <v>114203.3</v>
      </c>
      <c r="AP88" s="127">
        <f t="shared" ca="1" si="20"/>
        <v>116298.8</v>
      </c>
      <c r="AQ88" s="127">
        <f t="shared" ca="1" si="20"/>
        <v>118462.39999999999</v>
      </c>
      <c r="AR88" s="127">
        <f t="shared" ca="1" si="20"/>
        <v>120697.60000000001</v>
      </c>
      <c r="AS88" s="127">
        <f t="shared" ca="1" si="20"/>
        <v>123008.7</v>
      </c>
      <c r="AT88" s="127">
        <f t="shared" ca="1" si="20"/>
        <v>125399.7</v>
      </c>
      <c r="AU88" s="127">
        <f t="shared" ca="1" si="20"/>
        <v>127874.4</v>
      </c>
    </row>
    <row r="89" spans="2:47" x14ac:dyDescent="0.25">
      <c r="B89" t="s">
        <v>835</v>
      </c>
      <c r="C89" s="127">
        <f t="shared" ca="1" si="21"/>
        <v>1.7605580000000001</v>
      </c>
      <c r="D89" s="127">
        <f t="shared" ca="1" si="21"/>
        <v>1.7718700000000001</v>
      </c>
      <c r="E89" s="127">
        <f t="shared" ca="1" si="21"/>
        <v>1.7592639999999999</v>
      </c>
      <c r="F89" s="127">
        <f t="shared" ca="1" si="21"/>
        <v>1.734515</v>
      </c>
      <c r="G89" s="127">
        <f t="shared" ca="1" si="21"/>
        <v>1.699692</v>
      </c>
      <c r="H89" s="127">
        <f t="shared" ca="1" si="21"/>
        <v>1.667046</v>
      </c>
      <c r="I89" s="127">
        <f t="shared" ca="1" si="21"/>
        <v>1.6292869999999999</v>
      </c>
      <c r="J89" s="127">
        <f t="shared" ca="1" si="21"/>
        <v>1.582981</v>
      </c>
      <c r="K89" s="127">
        <f t="shared" ca="1" si="21"/>
        <v>1.528373</v>
      </c>
      <c r="L89" s="127">
        <f t="shared" ca="1" si="18"/>
        <v>1.402531</v>
      </c>
      <c r="M89" s="127">
        <f t="shared" ca="1" si="20"/>
        <v>1.2839670000000001</v>
      </c>
      <c r="N89" s="127">
        <f t="shared" ca="1" si="20"/>
        <v>1.1785079999999999</v>
      </c>
      <c r="O89" s="127">
        <f t="shared" ca="1" si="20"/>
        <v>1.0848420000000001</v>
      </c>
      <c r="P89" s="127">
        <f t="shared" ca="1" si="20"/>
        <v>1.0018910000000001</v>
      </c>
      <c r="Q89" s="127">
        <f t="shared" ca="1" si="20"/>
        <v>0.92951099999999998</v>
      </c>
      <c r="R89" s="127">
        <f t="shared" ca="1" si="20"/>
        <v>0.86988399999999999</v>
      </c>
      <c r="S89" s="127">
        <f t="shared" ca="1" si="20"/>
        <v>0.82213800000000004</v>
      </c>
      <c r="T89" s="127">
        <f t="shared" ca="1" si="20"/>
        <v>0.78460099999999999</v>
      </c>
      <c r="U89" s="127">
        <f t="shared" ca="1" si="20"/>
        <v>0.75559500000000002</v>
      </c>
      <c r="V89" s="127">
        <f t="shared" ca="1" si="20"/>
        <v>0.73359399999999997</v>
      </c>
      <c r="W89" s="127">
        <f t="shared" ca="1" si="20"/>
        <v>0.71713899999999997</v>
      </c>
      <c r="X89" s="127">
        <f t="shared" ca="1" si="20"/>
        <v>0.704928</v>
      </c>
      <c r="Y89" s="127">
        <f t="shared" ca="1" si="20"/>
        <v>0.69597399999999998</v>
      </c>
      <c r="Z89" s="127">
        <f t="shared" ca="1" si="20"/>
        <v>0.68930000000000002</v>
      </c>
      <c r="AA89" s="127">
        <f t="shared" ca="1" si="20"/>
        <v>0.68389500000000003</v>
      </c>
      <c r="AB89" s="127">
        <f t="shared" ca="1" si="20"/>
        <v>0.68094200000000005</v>
      </c>
      <c r="AC89" s="127">
        <f t="shared" ca="1" si="20"/>
        <v>0.67884599999999995</v>
      </c>
      <c r="AD89" s="127">
        <f t="shared" ca="1" si="20"/>
        <v>0.67720800000000003</v>
      </c>
      <c r="AE89" s="127">
        <f t="shared" ca="1" si="20"/>
        <v>0.67595099999999997</v>
      </c>
      <c r="AF89" s="127">
        <f t="shared" ca="1" si="20"/>
        <v>0.67507399999999995</v>
      </c>
      <c r="AG89" s="127">
        <f t="shared" ca="1" si="20"/>
        <v>0.67460100000000001</v>
      </c>
      <c r="AH89" s="127">
        <f t="shared" ca="1" si="20"/>
        <v>0.67457400000000001</v>
      </c>
      <c r="AI89" s="127">
        <f t="shared" ca="1" si="20"/>
        <v>0.67505400000000004</v>
      </c>
      <c r="AJ89" s="127">
        <f t="shared" ca="1" si="20"/>
        <v>0.67611500000000002</v>
      </c>
      <c r="AK89" s="127">
        <f t="shared" ca="1" si="20"/>
        <v>0.67783599999999999</v>
      </c>
      <c r="AL89" s="127">
        <f t="shared" ca="1" si="20"/>
        <v>0.68029600000000001</v>
      </c>
      <c r="AM89" s="127">
        <f t="shared" ca="1" si="20"/>
        <v>0.68357199999999996</v>
      </c>
      <c r="AN89" s="127">
        <f t="shared" ca="1" si="20"/>
        <v>0.68773700000000004</v>
      </c>
      <c r="AO89" s="127">
        <f t="shared" ca="1" si="20"/>
        <v>0.69286099999999995</v>
      </c>
      <c r="AP89" s="127">
        <f t="shared" ca="1" si="20"/>
        <v>0.69902299999999995</v>
      </c>
      <c r="AQ89" s="127">
        <f t="shared" ca="1" si="20"/>
        <v>0.70627799999999996</v>
      </c>
      <c r="AR89" s="127">
        <f t="shared" ca="1" si="20"/>
        <v>0.71465000000000001</v>
      </c>
      <c r="AS89" s="127">
        <f t="shared" ca="1" si="20"/>
        <v>0.72418499999999997</v>
      </c>
      <c r="AT89" s="127">
        <f t="shared" ca="1" si="20"/>
        <v>0.734927</v>
      </c>
      <c r="AU89" s="127">
        <f t="shared" ca="1" si="20"/>
        <v>0.74690800000000002</v>
      </c>
    </row>
    <row r="90" spans="2:47" x14ac:dyDescent="0.25">
      <c r="B90" t="s">
        <v>836</v>
      </c>
      <c r="C90" s="127">
        <f t="shared" ca="1" si="21"/>
        <v>653.32470000000001</v>
      </c>
      <c r="D90" s="127">
        <f t="shared" ca="1" si="21"/>
        <v>651.83180000000004</v>
      </c>
      <c r="E90" s="127">
        <f t="shared" ca="1" si="21"/>
        <v>644.52970000000005</v>
      </c>
      <c r="F90" s="127">
        <f t="shared" ca="1" si="21"/>
        <v>633.94280000000003</v>
      </c>
      <c r="G90" s="127">
        <f t="shared" ca="1" si="21"/>
        <v>621.61400000000003</v>
      </c>
      <c r="H90" s="127">
        <f t="shared" ca="1" si="21"/>
        <v>611.67759999999998</v>
      </c>
      <c r="I90" s="127">
        <f t="shared" ca="1" si="21"/>
        <v>604.12170000000003</v>
      </c>
      <c r="J90" s="127">
        <f t="shared" ca="1" si="21"/>
        <v>599.13689999999997</v>
      </c>
      <c r="K90" s="127">
        <f t="shared" ca="1" si="21"/>
        <v>596.83199999999999</v>
      </c>
      <c r="L90" s="127">
        <f t="shared" ca="1" si="18"/>
        <v>592.26469999999995</v>
      </c>
      <c r="M90" s="127">
        <f t="shared" ca="1" si="20"/>
        <v>588.73519999999996</v>
      </c>
      <c r="N90" s="127">
        <f t="shared" ca="1" si="20"/>
        <v>585.06020000000001</v>
      </c>
      <c r="O90" s="127">
        <f t="shared" ca="1" si="20"/>
        <v>580.8596</v>
      </c>
      <c r="P90" s="127">
        <f t="shared" ca="1" si="20"/>
        <v>576.02959999999996</v>
      </c>
      <c r="Q90" s="127">
        <f t="shared" ca="1" si="20"/>
        <v>571.01790000000005</v>
      </c>
      <c r="R90" s="127">
        <f t="shared" ca="1" si="20"/>
        <v>564.90290000000005</v>
      </c>
      <c r="S90" s="127">
        <f t="shared" ca="1" si="20"/>
        <v>557.54319999999996</v>
      </c>
      <c r="T90" s="127">
        <f t="shared" ca="1" si="20"/>
        <v>548.71910000000003</v>
      </c>
      <c r="U90" s="127">
        <f t="shared" ca="1" si="20"/>
        <v>538.21259999999995</v>
      </c>
      <c r="V90" s="127">
        <f t="shared" ca="1" si="20"/>
        <v>525.83169999999996</v>
      </c>
      <c r="W90" s="127">
        <f t="shared" ca="1" si="20"/>
        <v>511.42290000000003</v>
      </c>
      <c r="X90" s="127">
        <f t="shared" ca="1" si="20"/>
        <v>494.84870000000001</v>
      </c>
      <c r="Y90" s="127">
        <f t="shared" ca="1" si="20"/>
        <v>476.08150000000001</v>
      </c>
      <c r="Z90" s="127">
        <f t="shared" ca="1" si="20"/>
        <v>455.1671</v>
      </c>
      <c r="AA90" s="127">
        <f t="shared" ca="1" si="20"/>
        <v>432.22800000000001</v>
      </c>
      <c r="AB90" s="127">
        <f t="shared" ca="1" si="20"/>
        <v>410.62810000000002</v>
      </c>
      <c r="AC90" s="127">
        <f t="shared" ca="1" si="20"/>
        <v>388.98860000000002</v>
      </c>
      <c r="AD90" s="127">
        <f t="shared" ca="1" si="20"/>
        <v>367.0865</v>
      </c>
      <c r="AE90" s="127">
        <f t="shared" ca="1" si="20"/>
        <v>345.02409999999998</v>
      </c>
      <c r="AF90" s="127">
        <f t="shared" ca="1" si="20"/>
        <v>322.98660000000001</v>
      </c>
      <c r="AG90" s="127">
        <f t="shared" ca="1" si="20"/>
        <v>301.17469999999997</v>
      </c>
      <c r="AH90" s="127">
        <f t="shared" ca="1" si="20"/>
        <v>279.78030000000001</v>
      </c>
      <c r="AI90" s="127">
        <f t="shared" ca="1" si="20"/>
        <v>258.97789999999998</v>
      </c>
      <c r="AJ90" s="127">
        <f t="shared" ca="1" si="20"/>
        <v>238.92310000000001</v>
      </c>
      <c r="AK90" s="127">
        <f t="shared" ca="1" si="20"/>
        <v>219.75219999999999</v>
      </c>
      <c r="AL90" s="127">
        <f t="shared" ca="1" si="20"/>
        <v>201.5821</v>
      </c>
      <c r="AM90" s="127">
        <f t="shared" ca="1" si="20"/>
        <v>184.51130000000001</v>
      </c>
      <c r="AN90" s="127">
        <f t="shared" ca="1" si="20"/>
        <v>168.6207</v>
      </c>
      <c r="AO90" s="127">
        <f t="shared" ca="1" si="20"/>
        <v>153.97280000000001</v>
      </c>
      <c r="AP90" s="127">
        <f t="shared" ca="1" si="20"/>
        <v>140.61529999999999</v>
      </c>
      <c r="AQ90" s="127">
        <f t="shared" ca="1" si="20"/>
        <v>128.57040000000001</v>
      </c>
      <c r="AR90" s="127">
        <f t="shared" ca="1" si="20"/>
        <v>117.88290000000001</v>
      </c>
      <c r="AS90" s="127">
        <f t="shared" ca="1" si="20"/>
        <v>108.4873</v>
      </c>
      <c r="AT90" s="127">
        <f t="shared" ca="1" si="20"/>
        <v>100.3267</v>
      </c>
      <c r="AU90" s="127">
        <f t="shared" ca="1" si="20"/>
        <v>93.33108</v>
      </c>
    </row>
    <row r="91" spans="2:47" x14ac:dyDescent="0.25">
      <c r="B91" t="s">
        <v>837</v>
      </c>
      <c r="C91" s="127">
        <f t="shared" ca="1" si="21"/>
        <v>22.53838</v>
      </c>
      <c r="D91" s="127">
        <f t="shared" ca="1" si="21"/>
        <v>26.499110000000002</v>
      </c>
      <c r="E91" s="127">
        <f t="shared" ca="1" si="21"/>
        <v>37.896949999999997</v>
      </c>
      <c r="F91" s="127">
        <f t="shared" ca="1" si="21"/>
        <v>55.954749999999997</v>
      </c>
      <c r="G91" s="127">
        <f t="shared" ca="1" si="21"/>
        <v>78.096819999999994</v>
      </c>
      <c r="H91" s="127">
        <f t="shared" ca="1" si="21"/>
        <v>100.8236</v>
      </c>
      <c r="I91" s="127">
        <f t="shared" ca="1" si="21"/>
        <v>121.7278</v>
      </c>
      <c r="J91" s="127">
        <f t="shared" ca="1" si="21"/>
        <v>139.7518</v>
      </c>
      <c r="K91" s="127">
        <f t="shared" ca="1" si="21"/>
        <v>154.3973</v>
      </c>
      <c r="L91" s="127">
        <f t="shared" ca="1" si="18"/>
        <v>163.572</v>
      </c>
      <c r="M91" s="127">
        <f t="shared" ca="1" si="20"/>
        <v>168.113</v>
      </c>
      <c r="N91" s="127">
        <f t="shared" ca="1" si="20"/>
        <v>167.75309999999999</v>
      </c>
      <c r="O91" s="127">
        <f t="shared" ca="1" si="20"/>
        <v>162.67529999999999</v>
      </c>
      <c r="P91" s="127">
        <f t="shared" ca="1" si="20"/>
        <v>153.36760000000001</v>
      </c>
      <c r="Q91" s="127">
        <f t="shared" ca="1" si="20"/>
        <v>140.67699999999999</v>
      </c>
      <c r="R91" s="127">
        <f t="shared" ca="1" si="20"/>
        <v>125.3304</v>
      </c>
      <c r="S91" s="127">
        <f t="shared" ca="1" si="20"/>
        <v>109.1461</v>
      </c>
      <c r="T91" s="127">
        <f t="shared" ca="1" si="20"/>
        <v>94.247060000000005</v>
      </c>
      <c r="U91" s="127">
        <f t="shared" ca="1" si="20"/>
        <v>82.586960000000005</v>
      </c>
      <c r="V91" s="127">
        <f t="shared" ca="1" si="20"/>
        <v>75.684899999999999</v>
      </c>
      <c r="W91" s="127">
        <f t="shared" ref="M91:AU98" ca="1" si="22">Output("SCEN_ADEMEhaut",$B91,W$1)</f>
        <v>74.544600000000003</v>
      </c>
      <c r="X91" s="127">
        <f t="shared" ca="1" si="22"/>
        <v>79.784490000000005</v>
      </c>
      <c r="Y91" s="127">
        <f t="shared" ca="1" si="22"/>
        <v>91.915360000000007</v>
      </c>
      <c r="Z91" s="127">
        <f t="shared" ca="1" si="22"/>
        <v>111.52760000000001</v>
      </c>
      <c r="AA91" s="127">
        <f t="shared" ca="1" si="22"/>
        <v>139.3278</v>
      </c>
      <c r="AB91" s="127">
        <f t="shared" ca="1" si="22"/>
        <v>177.79419999999999</v>
      </c>
      <c r="AC91" s="127">
        <f t="shared" ca="1" si="22"/>
        <v>227.19280000000001</v>
      </c>
      <c r="AD91" s="127">
        <f t="shared" ca="1" si="22"/>
        <v>287.39120000000003</v>
      </c>
      <c r="AE91" s="127">
        <f t="shared" ca="1" si="22"/>
        <v>357.98149999999998</v>
      </c>
      <c r="AF91" s="127">
        <f t="shared" ca="1" si="22"/>
        <v>438.25400000000002</v>
      </c>
      <c r="AG91" s="127">
        <f t="shared" ca="1" si="22"/>
        <v>527.13580000000002</v>
      </c>
      <c r="AH91" s="127">
        <f t="shared" ca="1" si="22"/>
        <v>623.1354</v>
      </c>
      <c r="AI91" s="127">
        <f t="shared" ca="1" si="22"/>
        <v>724.31219999999996</v>
      </c>
      <c r="AJ91" s="127">
        <f t="shared" ca="1" si="22"/>
        <v>828.27919999999995</v>
      </c>
      <c r="AK91" s="127">
        <f t="shared" ca="1" si="22"/>
        <v>932.22910000000002</v>
      </c>
      <c r="AL91" s="127">
        <f t="shared" ca="1" si="22"/>
        <v>1032.9870000000001</v>
      </c>
      <c r="AM91" s="127">
        <f t="shared" ca="1" si="22"/>
        <v>1127.085</v>
      </c>
      <c r="AN91" s="127">
        <f t="shared" ca="1" si="22"/>
        <v>1210.876</v>
      </c>
      <c r="AO91" s="127">
        <f t="shared" ca="1" si="22"/>
        <v>1280.674</v>
      </c>
      <c r="AP91" s="127">
        <f t="shared" ca="1" si="22"/>
        <v>1333.0409999999999</v>
      </c>
      <c r="AQ91" s="127">
        <f t="shared" ca="1" si="22"/>
        <v>1364.8610000000001</v>
      </c>
      <c r="AR91" s="127">
        <f t="shared" ca="1" si="22"/>
        <v>1376.193</v>
      </c>
      <c r="AS91" s="127">
        <f t="shared" ca="1" si="22"/>
        <v>1363.9659999999999</v>
      </c>
      <c r="AT91" s="127">
        <f t="shared" ca="1" si="22"/>
        <v>1327.039</v>
      </c>
      <c r="AU91" s="127">
        <f t="shared" ca="1" si="22"/>
        <v>1265.875</v>
      </c>
    </row>
    <row r="92" spans="2:47" x14ac:dyDescent="0.25">
      <c r="B92" t="s">
        <v>838</v>
      </c>
      <c r="C92" s="127">
        <f t="shared" ca="1" si="21"/>
        <v>1403.4570000000001</v>
      </c>
      <c r="D92" s="127">
        <f t="shared" ca="1" si="21"/>
        <v>1402.66</v>
      </c>
      <c r="E92" s="127">
        <f t="shared" ca="1" si="21"/>
        <v>1388.8340000000001</v>
      </c>
      <c r="F92" s="127">
        <f t="shared" ca="1" si="21"/>
        <v>1366.691</v>
      </c>
      <c r="G92" s="127">
        <f t="shared" ca="1" si="21"/>
        <v>1341.1379999999999</v>
      </c>
      <c r="H92" s="127">
        <f t="shared" ca="1" si="21"/>
        <v>1318.366</v>
      </c>
      <c r="I92" s="127">
        <f t="shared" ca="1" si="21"/>
        <v>1299.001</v>
      </c>
      <c r="J92" s="127">
        <f t="shared" ca="1" si="21"/>
        <v>1276.6759999999999</v>
      </c>
      <c r="K92" s="127">
        <f t="shared" ca="1" si="21"/>
        <v>1258.7349999999999</v>
      </c>
      <c r="L92" s="127">
        <f t="shared" ca="1" si="18"/>
        <v>1248.855</v>
      </c>
      <c r="M92" s="127">
        <f t="shared" ca="1" si="22"/>
        <v>1238</v>
      </c>
      <c r="N92" s="127">
        <f t="shared" ca="1" si="22"/>
        <v>1234.5899999999999</v>
      </c>
      <c r="O92" s="127">
        <f t="shared" ca="1" si="22"/>
        <v>1234.2049999999999</v>
      </c>
      <c r="P92" s="127">
        <f t="shared" ca="1" si="22"/>
        <v>1235.1369999999999</v>
      </c>
      <c r="Q92" s="127">
        <f t="shared" ca="1" si="22"/>
        <v>1235.395</v>
      </c>
      <c r="R92" s="127">
        <f t="shared" ca="1" si="22"/>
        <v>1233.82</v>
      </c>
      <c r="S92" s="127">
        <f t="shared" ca="1" si="22"/>
        <v>1229.4449999999999</v>
      </c>
      <c r="T92" s="127">
        <f t="shared" ca="1" si="22"/>
        <v>1221.9839999999999</v>
      </c>
      <c r="U92" s="127">
        <f t="shared" ca="1" si="22"/>
        <v>1211.4069999999999</v>
      </c>
      <c r="V92" s="127">
        <f t="shared" ca="1" si="22"/>
        <v>1197.864</v>
      </c>
      <c r="W92" s="127">
        <f t="shared" ca="1" si="22"/>
        <v>1181.6610000000001</v>
      </c>
      <c r="X92" s="127">
        <f t="shared" ca="1" si="22"/>
        <v>1163.164</v>
      </c>
      <c r="Y92" s="127">
        <f t="shared" ca="1" si="22"/>
        <v>1142.982</v>
      </c>
      <c r="Z92" s="127">
        <f t="shared" ca="1" si="22"/>
        <v>1121.912</v>
      </c>
      <c r="AA92" s="127">
        <f t="shared" ca="1" si="22"/>
        <v>1100.8989999999999</v>
      </c>
      <c r="AB92" s="127">
        <f t="shared" ca="1" si="22"/>
        <v>1089.181</v>
      </c>
      <c r="AC92" s="127">
        <f t="shared" ca="1" si="22"/>
        <v>1081.5730000000001</v>
      </c>
      <c r="AD92" s="127">
        <f t="shared" ca="1" si="22"/>
        <v>1077.232</v>
      </c>
      <c r="AE92" s="127">
        <f t="shared" ca="1" si="22"/>
        <v>1075.617</v>
      </c>
      <c r="AF92" s="127">
        <f t="shared" ca="1" si="22"/>
        <v>1076.3309999999999</v>
      </c>
      <c r="AG92" s="127">
        <f t="shared" ca="1" si="22"/>
        <v>1078.96</v>
      </c>
      <c r="AH92" s="127">
        <f t="shared" ca="1" si="22"/>
        <v>1083.1600000000001</v>
      </c>
      <c r="AI92" s="127">
        <f t="shared" ca="1" si="22"/>
        <v>1088.5550000000001</v>
      </c>
      <c r="AJ92" s="127">
        <f t="shared" ca="1" si="22"/>
        <v>1094.732</v>
      </c>
      <c r="AK92" s="127">
        <f t="shared" ca="1" si="22"/>
        <v>1101.229</v>
      </c>
      <c r="AL92" s="127">
        <f t="shared" ca="1" si="22"/>
        <v>1107.5409999999999</v>
      </c>
      <c r="AM92" s="127">
        <f t="shared" ca="1" si="22"/>
        <v>1113.1199999999999</v>
      </c>
      <c r="AN92" s="127">
        <f t="shared" ca="1" si="22"/>
        <v>1117.383</v>
      </c>
      <c r="AO92" s="127">
        <f t="shared" ca="1" si="22"/>
        <v>1119.723</v>
      </c>
      <c r="AP92" s="127">
        <f t="shared" ca="1" si="22"/>
        <v>1119.57</v>
      </c>
      <c r="AQ92" s="127">
        <f t="shared" ca="1" si="22"/>
        <v>1116.3309999999999</v>
      </c>
      <c r="AR92" s="127">
        <f t="shared" ca="1" si="22"/>
        <v>1107.992</v>
      </c>
      <c r="AS92" s="127">
        <f t="shared" ca="1" si="22"/>
        <v>1094.914</v>
      </c>
      <c r="AT92" s="127">
        <f t="shared" ca="1" si="22"/>
        <v>1076.999</v>
      </c>
      <c r="AU92" s="127">
        <f t="shared" ca="1" si="22"/>
        <v>1054.03</v>
      </c>
    </row>
    <row r="93" spans="2:47" x14ac:dyDescent="0.25">
      <c r="B93" t="s">
        <v>839</v>
      </c>
      <c r="C93" s="127">
        <f t="shared" ca="1" si="21"/>
        <v>633.08040000000005</v>
      </c>
      <c r="D93" s="127">
        <f t="shared" ca="1" si="21"/>
        <v>626.83730000000003</v>
      </c>
      <c r="E93" s="127">
        <f t="shared" ca="1" si="21"/>
        <v>602.30970000000002</v>
      </c>
      <c r="F93" s="127">
        <f t="shared" ca="1" si="21"/>
        <v>561.9991</v>
      </c>
      <c r="G93" s="127">
        <f t="shared" ca="1" si="21"/>
        <v>511.03379999999999</v>
      </c>
      <c r="H93" s="127">
        <f t="shared" ca="1" si="21"/>
        <v>455.53469999999999</v>
      </c>
      <c r="I93" s="127">
        <f t="shared" ca="1" si="21"/>
        <v>398.22460000000001</v>
      </c>
      <c r="J93" s="127">
        <f t="shared" ca="1" si="21"/>
        <v>339.22809999999998</v>
      </c>
      <c r="K93" s="127">
        <f t="shared" ca="1" si="21"/>
        <v>281.58870000000002</v>
      </c>
      <c r="L93" s="127">
        <f t="shared" ca="1" si="18"/>
        <v>227.74449999999999</v>
      </c>
      <c r="M93" s="127">
        <f t="shared" ca="1" si="22"/>
        <v>177.52510000000001</v>
      </c>
      <c r="N93" s="127">
        <f t="shared" ca="1" si="22"/>
        <v>133.2586</v>
      </c>
      <c r="O93" s="127">
        <f t="shared" ca="1" si="22"/>
        <v>95.67989</v>
      </c>
      <c r="P93" s="127">
        <f t="shared" ca="1" si="22"/>
        <v>65.286950000000004</v>
      </c>
      <c r="Q93" s="127">
        <f t="shared" ca="1" si="22"/>
        <v>42.30733</v>
      </c>
      <c r="R93" s="127">
        <f t="shared" ca="1" si="22"/>
        <v>26.491209999999999</v>
      </c>
      <c r="S93" s="127">
        <f t="shared" ca="1" si="22"/>
        <v>16.62979</v>
      </c>
      <c r="T93" s="127">
        <f t="shared" ca="1" si="22"/>
        <v>11.16011</v>
      </c>
      <c r="U93" s="127">
        <f t="shared" ca="1" si="22"/>
        <v>8.587923</v>
      </c>
      <c r="V93" s="127">
        <f t="shared" ca="1" si="22"/>
        <v>7.7272509999999999</v>
      </c>
      <c r="W93" s="127">
        <f t="shared" ca="1" si="22"/>
        <v>7.7924730000000002</v>
      </c>
      <c r="X93" s="127">
        <f t="shared" ca="1" si="22"/>
        <v>8.2985190000000006</v>
      </c>
      <c r="Y93" s="127">
        <f t="shared" ca="1" si="22"/>
        <v>8.9289760000000005</v>
      </c>
      <c r="Z93" s="127">
        <f t="shared" ca="1" si="22"/>
        <v>9.4639150000000001</v>
      </c>
      <c r="AA93" s="127">
        <f t="shared" ca="1" si="22"/>
        <v>9.7492680000000007</v>
      </c>
      <c r="AB93" s="127">
        <f t="shared" ca="1" si="22"/>
        <v>9.7751319999999993</v>
      </c>
      <c r="AC93" s="127">
        <f t="shared" ca="1" si="22"/>
        <v>9.5468720000000005</v>
      </c>
      <c r="AD93" s="127">
        <f t="shared" ca="1" si="22"/>
        <v>9.1146440000000002</v>
      </c>
      <c r="AE93" s="127">
        <f t="shared" ca="1" si="22"/>
        <v>8.5322569999999995</v>
      </c>
      <c r="AF93" s="127">
        <f t="shared" ca="1" si="22"/>
        <v>7.8466430000000003</v>
      </c>
      <c r="AG93" s="127">
        <f t="shared" ca="1" si="22"/>
        <v>7.0968910000000003</v>
      </c>
      <c r="AH93" s="127">
        <f t="shared" ca="1" si="22"/>
        <v>6.3152939999999997</v>
      </c>
      <c r="AI93" s="127">
        <f t="shared" ca="1" si="22"/>
        <v>5.5285570000000002</v>
      </c>
      <c r="AJ93" s="127">
        <f t="shared" ca="1" si="22"/>
        <v>4.7587719999999996</v>
      </c>
      <c r="AK93" s="127">
        <f t="shared" ca="1" si="22"/>
        <v>4.0240830000000001</v>
      </c>
      <c r="AL93" s="127">
        <f t="shared" ca="1" si="22"/>
        <v>3.339124</v>
      </c>
      <c r="AM93" s="127">
        <f t="shared" ca="1" si="22"/>
        <v>2.7152949999999998</v>
      </c>
      <c r="AN93" s="127">
        <f t="shared" ca="1" si="22"/>
        <v>2.160917</v>
      </c>
      <c r="AO93" s="127">
        <f t="shared" ca="1" si="22"/>
        <v>1.6813020000000001</v>
      </c>
      <c r="AP93" s="127">
        <f t="shared" ca="1" si="22"/>
        <v>1.2788459999999999</v>
      </c>
      <c r="AQ93" s="127">
        <f t="shared" ca="1" si="22"/>
        <v>0.95293799999999995</v>
      </c>
      <c r="AR93" s="127">
        <f t="shared" ca="1" si="22"/>
        <v>0.69921</v>
      </c>
      <c r="AS93" s="127">
        <f t="shared" ca="1" si="22"/>
        <v>0.51270099999999996</v>
      </c>
      <c r="AT93" s="127">
        <f t="shared" ca="1" si="22"/>
        <v>0.38516299999999998</v>
      </c>
      <c r="AU93" s="127">
        <f t="shared" ca="1" si="22"/>
        <v>0.30652499999999999</v>
      </c>
    </row>
    <row r="94" spans="2:47" x14ac:dyDescent="0.25">
      <c r="B94" t="s">
        <v>840</v>
      </c>
      <c r="C94" s="127">
        <f t="shared" ca="1" si="21"/>
        <v>137.00450000000001</v>
      </c>
      <c r="D94" s="127">
        <f t="shared" ca="1" si="21"/>
        <v>138.36369999999999</v>
      </c>
      <c r="E94" s="127">
        <f t="shared" ca="1" si="21"/>
        <v>141.10550000000001</v>
      </c>
      <c r="F94" s="127">
        <f t="shared" ca="1" si="21"/>
        <v>145.1104</v>
      </c>
      <c r="G94" s="127">
        <f t="shared" ca="1" si="21"/>
        <v>149.65309999999999</v>
      </c>
      <c r="H94" s="127">
        <f t="shared" ca="1" si="21"/>
        <v>154.1311</v>
      </c>
      <c r="I94" s="127">
        <f t="shared" ca="1" si="21"/>
        <v>158.11150000000001</v>
      </c>
      <c r="J94" s="127">
        <f t="shared" ca="1" si="21"/>
        <v>160.74180000000001</v>
      </c>
      <c r="K94" s="127">
        <f t="shared" ca="1" si="21"/>
        <v>162.465</v>
      </c>
      <c r="L94" s="127">
        <f t="shared" ca="1" si="18"/>
        <v>163.87280000000001</v>
      </c>
      <c r="M94" s="127">
        <f t="shared" ca="1" si="22"/>
        <v>164.09880000000001</v>
      </c>
      <c r="N94" s="127">
        <f t="shared" ca="1" si="22"/>
        <v>164.0453</v>
      </c>
      <c r="O94" s="127">
        <f t="shared" ca="1" si="22"/>
        <v>163.79310000000001</v>
      </c>
      <c r="P94" s="127">
        <f t="shared" ca="1" si="22"/>
        <v>163.3861</v>
      </c>
      <c r="Q94" s="127">
        <f t="shared" ca="1" si="22"/>
        <v>162.8511</v>
      </c>
      <c r="R94" s="127">
        <f t="shared" ca="1" si="22"/>
        <v>162.30770000000001</v>
      </c>
      <c r="S94" s="127">
        <f t="shared" ca="1" si="22"/>
        <v>161.7749</v>
      </c>
      <c r="T94" s="127">
        <f t="shared" ca="1" si="22"/>
        <v>161.23480000000001</v>
      </c>
      <c r="U94" s="127">
        <f t="shared" ca="1" si="22"/>
        <v>160.66120000000001</v>
      </c>
      <c r="V94" s="127">
        <f t="shared" ca="1" si="22"/>
        <v>160.0241</v>
      </c>
      <c r="W94" s="127">
        <f t="shared" ca="1" si="22"/>
        <v>159.29</v>
      </c>
      <c r="X94" s="127">
        <f t="shared" ca="1" si="22"/>
        <v>158.40819999999999</v>
      </c>
      <c r="Y94" s="127">
        <f t="shared" ca="1" si="22"/>
        <v>157.3365</v>
      </c>
      <c r="Z94" s="127">
        <f t="shared" ca="1" si="22"/>
        <v>156.03540000000001</v>
      </c>
      <c r="AA94" s="127">
        <f t="shared" ca="1" si="22"/>
        <v>154.46789999999999</v>
      </c>
      <c r="AB94" s="127">
        <f t="shared" ca="1" si="22"/>
        <v>153.79040000000001</v>
      </c>
      <c r="AC94" s="127">
        <f t="shared" ca="1" si="22"/>
        <v>153.6936</v>
      </c>
      <c r="AD94" s="127">
        <f t="shared" ca="1" si="22"/>
        <v>153.98750000000001</v>
      </c>
      <c r="AE94" s="127">
        <f t="shared" ca="1" si="22"/>
        <v>154.5498</v>
      </c>
      <c r="AF94" s="127">
        <f t="shared" ca="1" si="22"/>
        <v>155.29390000000001</v>
      </c>
      <c r="AG94" s="127">
        <f t="shared" ca="1" si="22"/>
        <v>156.15309999999999</v>
      </c>
      <c r="AH94" s="127">
        <f t="shared" ca="1" si="22"/>
        <v>157.071</v>
      </c>
      <c r="AI94" s="127">
        <f t="shared" ca="1" si="22"/>
        <v>157.99539999999999</v>
      </c>
      <c r="AJ94" s="127">
        <f t="shared" ca="1" si="22"/>
        <v>158.87569999999999</v>
      </c>
      <c r="AK94" s="127">
        <f t="shared" ca="1" si="22"/>
        <v>159.66069999999999</v>
      </c>
      <c r="AL94" s="127">
        <f t="shared" ca="1" si="22"/>
        <v>160.2978</v>
      </c>
      <c r="AM94" s="127">
        <f t="shared" ca="1" si="22"/>
        <v>160.7321</v>
      </c>
      <c r="AN94" s="127">
        <f t="shared" ca="1" si="22"/>
        <v>160.90700000000001</v>
      </c>
      <c r="AO94" s="127">
        <f t="shared" ca="1" si="22"/>
        <v>160.76480000000001</v>
      </c>
      <c r="AP94" s="127">
        <f t="shared" ca="1" si="22"/>
        <v>160.25479999999999</v>
      </c>
      <c r="AQ94" s="127">
        <f t="shared" ca="1" si="22"/>
        <v>159.32409999999999</v>
      </c>
      <c r="AR94" s="127">
        <f t="shared" ca="1" si="22"/>
        <v>157.7174</v>
      </c>
      <c r="AS94" s="127">
        <f t="shared" ca="1" si="22"/>
        <v>155.5179</v>
      </c>
      <c r="AT94" s="127">
        <f t="shared" ca="1" si="22"/>
        <v>152.7406</v>
      </c>
      <c r="AU94" s="127">
        <f t="shared" ca="1" si="22"/>
        <v>149.38050000000001</v>
      </c>
    </row>
    <row r="95" spans="2:47" x14ac:dyDescent="0.25">
      <c r="B95" t="s">
        <v>841</v>
      </c>
      <c r="C95" s="127">
        <f t="shared" ca="1" si="21"/>
        <v>271.13749999999999</v>
      </c>
      <c r="D95" s="127">
        <f t="shared" ca="1" si="21"/>
        <v>271.71850000000001</v>
      </c>
      <c r="E95" s="127">
        <f t="shared" ca="1" si="21"/>
        <v>270.39929999999998</v>
      </c>
      <c r="F95" s="127">
        <f t="shared" ca="1" si="21"/>
        <v>266.48649999999998</v>
      </c>
      <c r="G95" s="127">
        <f t="shared" ca="1" si="21"/>
        <v>258.76949999999999</v>
      </c>
      <c r="H95" s="127">
        <f t="shared" ca="1" si="21"/>
        <v>246.4648</v>
      </c>
      <c r="I95" s="127">
        <f t="shared" ca="1" si="21"/>
        <v>229.35560000000001</v>
      </c>
      <c r="J95" s="127">
        <f t="shared" ca="1" si="21"/>
        <v>207.0652</v>
      </c>
      <c r="K95" s="127">
        <f t="shared" ca="1" si="21"/>
        <v>181.39490000000001</v>
      </c>
      <c r="L95" s="127">
        <f t="shared" ca="1" si="18"/>
        <v>154.11099999999999</v>
      </c>
      <c r="M95" s="127">
        <f t="shared" ca="1" si="22"/>
        <v>125.6661</v>
      </c>
      <c r="N95" s="127">
        <f t="shared" ca="1" si="22"/>
        <v>98.180779999999999</v>
      </c>
      <c r="O95" s="127">
        <f t="shared" ca="1" si="22"/>
        <v>72.832610000000003</v>
      </c>
      <c r="P95" s="127">
        <f t="shared" ca="1" si="22"/>
        <v>50.701259999999998</v>
      </c>
      <c r="Q95" s="127">
        <f t="shared" ca="1" si="22"/>
        <v>32.713679999999997</v>
      </c>
      <c r="R95" s="127">
        <f t="shared" ca="1" si="22"/>
        <v>19.415310000000002</v>
      </c>
      <c r="S95" s="127">
        <f t="shared" ca="1" si="22"/>
        <v>10.436389999999999</v>
      </c>
      <c r="T95" s="127">
        <f t="shared" ca="1" si="22"/>
        <v>4.9775150000000004</v>
      </c>
      <c r="U95" s="127">
        <f t="shared" ca="1" si="22"/>
        <v>2.1388660000000002</v>
      </c>
      <c r="V95" s="127">
        <f t="shared" ca="1" si="22"/>
        <v>1.027523</v>
      </c>
      <c r="W95" s="127">
        <f t="shared" ca="1" si="22"/>
        <v>0.80212600000000001</v>
      </c>
      <c r="X95" s="127">
        <f t="shared" ca="1" si="22"/>
        <v>0.91348099999999999</v>
      </c>
      <c r="Y95" s="127">
        <f t="shared" ca="1" si="22"/>
        <v>1.1474059999999999</v>
      </c>
      <c r="Z95" s="127">
        <f t="shared" ca="1" si="22"/>
        <v>1.391065</v>
      </c>
      <c r="AA95" s="127">
        <f t="shared" ca="1" si="22"/>
        <v>1.5665770000000001</v>
      </c>
      <c r="AB95" s="127">
        <f t="shared" ca="1" si="22"/>
        <v>1.6462559999999999</v>
      </c>
      <c r="AC95" s="127">
        <f t="shared" ca="1" si="22"/>
        <v>1.6366860000000001</v>
      </c>
      <c r="AD95" s="127">
        <f t="shared" ca="1" si="22"/>
        <v>1.561493</v>
      </c>
      <c r="AE95" s="127">
        <f t="shared" ca="1" si="22"/>
        <v>1.443236</v>
      </c>
      <c r="AF95" s="127">
        <f t="shared" ca="1" si="22"/>
        <v>1.299523</v>
      </c>
      <c r="AG95" s="127">
        <f t="shared" ca="1" si="22"/>
        <v>1.1434029999999999</v>
      </c>
      <c r="AH95" s="127">
        <f t="shared" ca="1" si="22"/>
        <v>0.984429</v>
      </c>
      <c r="AI95" s="127">
        <f t="shared" ca="1" si="22"/>
        <v>0.82954499999999998</v>
      </c>
      <c r="AJ95" s="127">
        <f t="shared" ca="1" si="22"/>
        <v>0.683724</v>
      </c>
      <c r="AK95" s="127">
        <f t="shared" ca="1" si="22"/>
        <v>0.55040299999999998</v>
      </c>
      <c r="AL95" s="127">
        <f t="shared" ca="1" si="22"/>
        <v>0.43179400000000001</v>
      </c>
      <c r="AM95" s="127">
        <f t="shared" ca="1" si="22"/>
        <v>0.32911200000000002</v>
      </c>
      <c r="AN95" s="127">
        <f t="shared" ca="1" si="22"/>
        <v>0.24274399999999999</v>
      </c>
      <c r="AO95" s="127">
        <f t="shared" ca="1" si="22"/>
        <v>0.17238899999999999</v>
      </c>
      <c r="AP95" s="127">
        <f t="shared" ca="1" si="22"/>
        <v>0.117173</v>
      </c>
      <c r="AQ95" s="127">
        <f t="shared" ca="1" si="22"/>
        <v>7.5745999999999994E-2</v>
      </c>
      <c r="AR95" s="127">
        <f t="shared" ca="1" si="22"/>
        <v>4.6331999999999998E-2</v>
      </c>
      <c r="AS95" s="127">
        <f t="shared" ca="1" si="22"/>
        <v>2.7052E-2</v>
      </c>
      <c r="AT95" s="127">
        <f t="shared" ca="1" si="22"/>
        <v>1.5764E-2</v>
      </c>
      <c r="AU95" s="127">
        <f t="shared" ca="1" si="22"/>
        <v>1.0245000000000001E-2</v>
      </c>
    </row>
    <row r="96" spans="2:47" x14ac:dyDescent="0.25">
      <c r="B96" t="s">
        <v>842</v>
      </c>
      <c r="C96" s="127">
        <f t="shared" ca="1" si="21"/>
        <v>208.90190000000001</v>
      </c>
      <c r="D96" s="127">
        <f t="shared" ca="1" si="21"/>
        <v>217.2415</v>
      </c>
      <c r="E96" s="127">
        <f t="shared" ca="1" si="21"/>
        <v>244.63239999999999</v>
      </c>
      <c r="F96" s="127">
        <f t="shared" ca="1" si="21"/>
        <v>298.98039999999997</v>
      </c>
      <c r="G96" s="127">
        <f t="shared" ca="1" si="21"/>
        <v>388.13639999999998</v>
      </c>
      <c r="H96" s="127">
        <f t="shared" ca="1" si="21"/>
        <v>522.00509999999997</v>
      </c>
      <c r="I96" s="127">
        <f t="shared" ca="1" si="21"/>
        <v>709.24900000000002</v>
      </c>
      <c r="J96" s="127">
        <f t="shared" ca="1" si="21"/>
        <v>953.73770000000002</v>
      </c>
      <c r="K96" s="127">
        <f t="shared" ca="1" si="21"/>
        <v>1262.8489999999999</v>
      </c>
      <c r="L96" s="127">
        <f t="shared" ca="1" si="18"/>
        <v>1645.6690000000001</v>
      </c>
      <c r="M96" s="127">
        <f t="shared" ca="1" si="22"/>
        <v>2097.6819999999998</v>
      </c>
      <c r="N96" s="127">
        <f t="shared" ca="1" si="22"/>
        <v>2628.8440000000001</v>
      </c>
      <c r="O96" s="127">
        <f t="shared" ca="1" si="22"/>
        <v>3240.752</v>
      </c>
      <c r="P96" s="127">
        <f t="shared" ca="1" si="22"/>
        <v>3931.6819999999998</v>
      </c>
      <c r="Q96" s="127">
        <f t="shared" ca="1" si="22"/>
        <v>4695.8860000000004</v>
      </c>
      <c r="R96" s="127">
        <f t="shared" ca="1" si="22"/>
        <v>5526.1279999999997</v>
      </c>
      <c r="S96" s="127">
        <f t="shared" ca="1" si="22"/>
        <v>6408.3159999999998</v>
      </c>
      <c r="T96" s="127">
        <f t="shared" ca="1" si="22"/>
        <v>7322.6170000000002</v>
      </c>
      <c r="U96" s="127">
        <f t="shared" ca="1" si="22"/>
        <v>8244.6830000000009</v>
      </c>
      <c r="V96" s="127">
        <f t="shared" ca="1" si="22"/>
        <v>9146.5280000000002</v>
      </c>
      <c r="W96" s="127">
        <f t="shared" ca="1" si="22"/>
        <v>9997.41</v>
      </c>
      <c r="X96" s="127">
        <f t="shared" ca="1" si="22"/>
        <v>10764.03</v>
      </c>
      <c r="Y96" s="127">
        <f t="shared" ca="1" si="22"/>
        <v>11413.47</v>
      </c>
      <c r="Z96" s="127">
        <f t="shared" ca="1" si="22"/>
        <v>11914.58</v>
      </c>
      <c r="AA96" s="127">
        <f t="shared" ca="1" si="22"/>
        <v>12239.77</v>
      </c>
      <c r="AB96" s="127">
        <f t="shared" ca="1" si="22"/>
        <v>12469.23</v>
      </c>
      <c r="AC96" s="127">
        <f t="shared" ca="1" si="22"/>
        <v>12582.58</v>
      </c>
      <c r="AD96" s="127">
        <f t="shared" ca="1" si="22"/>
        <v>12573.79</v>
      </c>
      <c r="AE96" s="127">
        <f t="shared" ca="1" si="22"/>
        <v>12446.83</v>
      </c>
      <c r="AF96" s="127">
        <f t="shared" ca="1" si="22"/>
        <v>12211.04</v>
      </c>
      <c r="AG96" s="127">
        <f t="shared" ca="1" si="22"/>
        <v>11879.1</v>
      </c>
      <c r="AH96" s="127">
        <f t="shared" ca="1" si="22"/>
        <v>11465.71</v>
      </c>
      <c r="AI96" s="127">
        <f t="shared" ca="1" si="22"/>
        <v>10986.43</v>
      </c>
      <c r="AJ96" s="127">
        <f t="shared" ca="1" si="22"/>
        <v>10457.049999999999</v>
      </c>
      <c r="AK96" s="127">
        <f t="shared" ca="1" si="22"/>
        <v>9892.9449999999997</v>
      </c>
      <c r="AL96" s="127">
        <f t="shared" ca="1" si="22"/>
        <v>9308.6659999999993</v>
      </c>
      <c r="AM96" s="127">
        <f t="shared" ca="1" si="22"/>
        <v>8717.6080000000002</v>
      </c>
      <c r="AN96" s="127">
        <f t="shared" ca="1" si="22"/>
        <v>8131.8239999999996</v>
      </c>
      <c r="AO96" s="127">
        <f t="shared" ca="1" si="22"/>
        <v>7561.875</v>
      </c>
      <c r="AP96" s="127">
        <f t="shared" ca="1" si="22"/>
        <v>7017.0659999999998</v>
      </c>
      <c r="AQ96" s="127">
        <f t="shared" ca="1" si="22"/>
        <v>6504.8810000000003</v>
      </c>
      <c r="AR96" s="127">
        <f t="shared" ca="1" si="22"/>
        <v>6023.3490000000002</v>
      </c>
      <c r="AS96" s="127">
        <f t="shared" ca="1" si="22"/>
        <v>5582.8249999999998</v>
      </c>
      <c r="AT96" s="127">
        <f t="shared" ca="1" si="22"/>
        <v>5188.2290000000003</v>
      </c>
      <c r="AU96" s="127">
        <f t="shared" ca="1" si="22"/>
        <v>4841.7309999999998</v>
      </c>
    </row>
    <row r="97" spans="2:47" x14ac:dyDescent="0.25">
      <c r="B97" t="s">
        <v>843</v>
      </c>
      <c r="C97" s="127">
        <f t="shared" ca="1" si="21"/>
        <v>91.044179999999997</v>
      </c>
      <c r="D97" s="127">
        <f t="shared" ca="1" si="21"/>
        <v>92.96875</v>
      </c>
      <c r="E97" s="127">
        <f t="shared" ca="1" si="21"/>
        <v>96.399270000000001</v>
      </c>
      <c r="F97" s="127">
        <f t="shared" ca="1" si="21"/>
        <v>98.715800000000002</v>
      </c>
      <c r="G97" s="127">
        <f t="shared" ca="1" si="21"/>
        <v>95.809550000000002</v>
      </c>
      <c r="H97" s="127">
        <f t="shared" ca="1" si="21"/>
        <v>84.248000000000005</v>
      </c>
      <c r="I97" s="127">
        <f t="shared" ca="1" si="21"/>
        <v>66.12791</v>
      </c>
      <c r="J97" s="127">
        <f t="shared" ca="1" si="21"/>
        <v>47.286720000000003</v>
      </c>
      <c r="K97" s="127">
        <f t="shared" ca="1" si="21"/>
        <v>35.13758</v>
      </c>
      <c r="L97" s="127">
        <f t="shared" ca="1" si="18"/>
        <v>35.040930000000003</v>
      </c>
      <c r="M97" s="127">
        <f t="shared" ca="1" si="22"/>
        <v>49.523299999999999</v>
      </c>
      <c r="N97" s="127">
        <f t="shared" ca="1" si="22"/>
        <v>83.831869999999995</v>
      </c>
      <c r="O97" s="127">
        <f t="shared" ca="1" si="22"/>
        <v>147.49180000000001</v>
      </c>
      <c r="P97" s="127">
        <f t="shared" ca="1" si="22"/>
        <v>254.02010000000001</v>
      </c>
      <c r="Q97" s="127">
        <f t="shared" ca="1" si="22"/>
        <v>421.09309999999999</v>
      </c>
      <c r="R97" s="127">
        <f t="shared" ca="1" si="22"/>
        <v>669.39149999999995</v>
      </c>
      <c r="S97" s="127">
        <f t="shared" ca="1" si="22"/>
        <v>1014.597</v>
      </c>
      <c r="T97" s="127">
        <f t="shared" ca="1" si="22"/>
        <v>1464.644</v>
      </c>
      <c r="U97" s="127">
        <f t="shared" ca="1" si="22"/>
        <v>2019.0809999999999</v>
      </c>
      <c r="V97" s="127">
        <f t="shared" ca="1" si="22"/>
        <v>2668.6060000000002</v>
      </c>
      <c r="W97" s="127">
        <f t="shared" ca="1" si="22"/>
        <v>3394.91</v>
      </c>
      <c r="X97" s="127">
        <f t="shared" ca="1" si="22"/>
        <v>4170.6639999999998</v>
      </c>
      <c r="Y97" s="127">
        <f t="shared" ca="1" si="22"/>
        <v>4960.93</v>
      </c>
      <c r="Z97" s="127">
        <f t="shared" ca="1" si="22"/>
        <v>5724.8609999999999</v>
      </c>
      <c r="AA97" s="127">
        <f t="shared" ca="1" si="22"/>
        <v>6418.0550000000003</v>
      </c>
      <c r="AB97" s="127">
        <f t="shared" ca="1" si="22"/>
        <v>7059.6379999999999</v>
      </c>
      <c r="AC97" s="127">
        <f t="shared" ca="1" si="22"/>
        <v>7620.8540000000003</v>
      </c>
      <c r="AD97" s="127">
        <f t="shared" ca="1" si="22"/>
        <v>8088.1170000000002</v>
      </c>
      <c r="AE97" s="127">
        <f t="shared" ca="1" si="22"/>
        <v>8453.35</v>
      </c>
      <c r="AF97" s="127">
        <f t="shared" ca="1" si="22"/>
        <v>8713.7980000000007</v>
      </c>
      <c r="AG97" s="127">
        <f t="shared" ca="1" si="22"/>
        <v>8870.9979999999996</v>
      </c>
      <c r="AH97" s="127">
        <f t="shared" ca="1" si="22"/>
        <v>8929.9159999999993</v>
      </c>
      <c r="AI97" s="127">
        <f t="shared" ca="1" si="22"/>
        <v>8898.16</v>
      </c>
      <c r="AJ97" s="127">
        <f t="shared" ca="1" si="22"/>
        <v>8785.3050000000003</v>
      </c>
      <c r="AK97" s="127">
        <f t="shared" ca="1" si="22"/>
        <v>8602.2450000000008</v>
      </c>
      <c r="AL97" s="127">
        <f t="shared" ca="1" si="22"/>
        <v>8360.6239999999998</v>
      </c>
      <c r="AM97" s="127">
        <f t="shared" ca="1" si="22"/>
        <v>8072.348</v>
      </c>
      <c r="AN97" s="127">
        <f t="shared" ca="1" si="22"/>
        <v>7749.1980000000003</v>
      </c>
      <c r="AO97" s="127">
        <f t="shared" ca="1" si="22"/>
        <v>7402.4970000000003</v>
      </c>
      <c r="AP97" s="127">
        <f t="shared" ca="1" si="22"/>
        <v>7043.1610000000001</v>
      </c>
      <c r="AQ97" s="127">
        <f t="shared" ca="1" si="22"/>
        <v>6680.9880000000003</v>
      </c>
      <c r="AR97" s="127">
        <f t="shared" ca="1" si="22"/>
        <v>6316.4480000000003</v>
      </c>
      <c r="AS97" s="127">
        <f t="shared" ca="1" si="22"/>
        <v>5963.0519999999997</v>
      </c>
      <c r="AT97" s="127">
        <f t="shared" ca="1" si="22"/>
        <v>5629.2749999999996</v>
      </c>
      <c r="AU97" s="127">
        <f t="shared" ca="1" si="22"/>
        <v>5320.9340000000002</v>
      </c>
    </row>
    <row r="98" spans="2:47" x14ac:dyDescent="0.25">
      <c r="B98" t="s">
        <v>844</v>
      </c>
      <c r="C98" s="127">
        <f t="shared" ca="1" si="21"/>
        <v>533.33820000000003</v>
      </c>
      <c r="D98" s="127">
        <f t="shared" ca="1" si="21"/>
        <v>535.61850000000004</v>
      </c>
      <c r="E98" s="127">
        <f t="shared" ca="1" si="21"/>
        <v>539.17660000000001</v>
      </c>
      <c r="F98" s="127">
        <f t="shared" ca="1" si="21"/>
        <v>546.29060000000004</v>
      </c>
      <c r="G98" s="127">
        <f t="shared" ca="1" si="21"/>
        <v>558.98040000000003</v>
      </c>
      <c r="H98" s="127">
        <f t="shared" ca="1" si="21"/>
        <v>579.55430000000001</v>
      </c>
      <c r="I98" s="127">
        <f t="shared" ca="1" si="21"/>
        <v>607.63459999999998</v>
      </c>
      <c r="J98" s="127">
        <f t="shared" ca="1" si="21"/>
        <v>639.15689999999995</v>
      </c>
      <c r="K98" s="127">
        <f t="shared" ca="1" si="21"/>
        <v>674.14520000000005</v>
      </c>
      <c r="L98" s="127">
        <f t="shared" ca="1" si="18"/>
        <v>712.5847</v>
      </c>
      <c r="M98" s="127">
        <f t="shared" ca="1" si="22"/>
        <v>749.05730000000005</v>
      </c>
      <c r="N98" s="127">
        <f t="shared" ca="1" si="22"/>
        <v>784.94899999999996</v>
      </c>
      <c r="O98" s="127">
        <f t="shared" ca="1" si="22"/>
        <v>817.97170000000006</v>
      </c>
      <c r="P98" s="127">
        <f t="shared" ca="1" si="22"/>
        <v>845.33429999999998</v>
      </c>
      <c r="Q98" s="127">
        <f t="shared" ca="1" si="22"/>
        <v>863.8116</v>
      </c>
      <c r="R98" s="127">
        <f t="shared" ca="1" si="22"/>
        <v>870.87800000000004</v>
      </c>
      <c r="S98" s="127">
        <f t="shared" ca="1" si="22"/>
        <v>865.69169999999997</v>
      </c>
      <c r="T98" s="127">
        <f t="shared" ca="1" si="22"/>
        <v>848.6848</v>
      </c>
      <c r="U98" s="127">
        <f t="shared" ca="1" si="22"/>
        <v>820.97670000000005</v>
      </c>
      <c r="V98" s="127">
        <f t="shared" ca="1" si="22"/>
        <v>784.16150000000005</v>
      </c>
      <c r="W98" s="127">
        <f t="shared" ca="1" si="22"/>
        <v>740.20550000000003</v>
      </c>
      <c r="X98" s="127">
        <f t="shared" ca="1" si="22"/>
        <v>691.303</v>
      </c>
      <c r="Y98" s="127">
        <f t="shared" ca="1" si="22"/>
        <v>639.89760000000001</v>
      </c>
      <c r="Z98" s="127">
        <f t="shared" ca="1" si="22"/>
        <v>588.50930000000005</v>
      </c>
      <c r="AA98" s="127">
        <f t="shared" ca="1" si="22"/>
        <v>539.57309999999995</v>
      </c>
      <c r="AB98" s="127">
        <f t="shared" ca="1" si="22"/>
        <v>499.09089999999998</v>
      </c>
      <c r="AC98" s="127">
        <f t="shared" ca="1" si="22"/>
        <v>465.59559999999999</v>
      </c>
      <c r="AD98" s="127">
        <f t="shared" ca="1" si="22"/>
        <v>438.45639999999997</v>
      </c>
      <c r="AE98" s="127">
        <f t="shared" ca="1" si="22"/>
        <v>416.7552</v>
      </c>
      <c r="AF98" s="127">
        <f t="shared" ca="1" si="22"/>
        <v>399.69080000000002</v>
      </c>
      <c r="AG98" s="127">
        <f t="shared" ref="M98:AU105" ca="1" si="23">Output("SCEN_ADEMEhaut",$B98,AG$1)</f>
        <v>386.5487</v>
      </c>
      <c r="AH98" s="127">
        <f t="shared" ca="1" si="23"/>
        <v>376.67930000000001</v>
      </c>
      <c r="AI98" s="127">
        <f t="shared" ca="1" si="23"/>
        <v>369.48610000000002</v>
      </c>
      <c r="AJ98" s="127">
        <f t="shared" ca="1" si="23"/>
        <v>364.4194</v>
      </c>
      <c r="AK98" s="127">
        <f t="shared" ca="1" si="23"/>
        <v>360.96980000000002</v>
      </c>
      <c r="AL98" s="127">
        <f t="shared" ca="1" si="23"/>
        <v>358.66300000000001</v>
      </c>
      <c r="AM98" s="127">
        <f t="shared" ca="1" si="23"/>
        <v>357.05399999999997</v>
      </c>
      <c r="AN98" s="127">
        <f t="shared" ca="1" si="23"/>
        <v>355.72269999999997</v>
      </c>
      <c r="AO98" s="127">
        <f t="shared" ca="1" si="23"/>
        <v>354.27080000000001</v>
      </c>
      <c r="AP98" s="127">
        <f t="shared" ca="1" si="23"/>
        <v>352.33510000000001</v>
      </c>
      <c r="AQ98" s="127">
        <f t="shared" ca="1" si="23"/>
        <v>349.56459999999998</v>
      </c>
      <c r="AR98" s="127">
        <f t="shared" ca="1" si="23"/>
        <v>345.17959999999999</v>
      </c>
      <c r="AS98" s="127">
        <f t="shared" ca="1" si="23"/>
        <v>339.16059999999999</v>
      </c>
      <c r="AT98" s="127">
        <f t="shared" ca="1" si="23"/>
        <v>331.35419999999999</v>
      </c>
      <c r="AU98" s="127">
        <f t="shared" ca="1" si="23"/>
        <v>321.58330000000001</v>
      </c>
    </row>
    <row r="99" spans="2:47" x14ac:dyDescent="0.25">
      <c r="B99" t="s">
        <v>845</v>
      </c>
      <c r="C99" s="127">
        <f t="shared" ca="1" si="21"/>
        <v>260.85340000000002</v>
      </c>
      <c r="D99" s="127">
        <f t="shared" ca="1" si="21"/>
        <v>303.21859999999998</v>
      </c>
      <c r="E99" s="127">
        <f t="shared" ca="1" si="21"/>
        <v>418.25450000000001</v>
      </c>
      <c r="F99" s="127">
        <f t="shared" ca="1" si="21"/>
        <v>593.86620000000005</v>
      </c>
      <c r="G99" s="127">
        <f t="shared" ca="1" si="21"/>
        <v>796.99850000000004</v>
      </c>
      <c r="H99" s="127">
        <f t="shared" ca="1" si="21"/>
        <v>980.84109999999998</v>
      </c>
      <c r="I99" s="127">
        <f t="shared" ca="1" si="21"/>
        <v>1115.7239999999999</v>
      </c>
      <c r="J99" s="127">
        <f t="shared" ca="1" si="21"/>
        <v>1185.4010000000001</v>
      </c>
      <c r="K99" s="127">
        <f t="shared" ca="1" si="21"/>
        <v>1192.6679999999999</v>
      </c>
      <c r="L99" s="127">
        <f t="shared" ca="1" si="18"/>
        <v>1147.2080000000001</v>
      </c>
      <c r="M99" s="127">
        <f t="shared" ca="1" si="23"/>
        <v>1055.069</v>
      </c>
      <c r="N99" s="127">
        <f t="shared" ca="1" si="23"/>
        <v>937.21870000000001</v>
      </c>
      <c r="O99" s="127">
        <f t="shared" ca="1" si="23"/>
        <v>810.88379999999995</v>
      </c>
      <c r="P99" s="127">
        <f t="shared" ca="1" si="23"/>
        <v>694.28150000000005</v>
      </c>
      <c r="Q99" s="127">
        <f t="shared" ca="1" si="23"/>
        <v>605.27719999999999</v>
      </c>
      <c r="R99" s="127">
        <f t="shared" ca="1" si="23"/>
        <v>557.4212</v>
      </c>
      <c r="S99" s="127">
        <f t="shared" ca="1" si="23"/>
        <v>550.82979999999998</v>
      </c>
      <c r="T99" s="127">
        <f t="shared" ca="1" si="23"/>
        <v>579.99519999999995</v>
      </c>
      <c r="U99" s="127">
        <f t="shared" ca="1" si="23"/>
        <v>638.80610000000001</v>
      </c>
      <c r="V99" s="127">
        <f t="shared" ca="1" si="23"/>
        <v>721.39250000000004</v>
      </c>
      <c r="W99" s="127">
        <f t="shared" ca="1" si="23"/>
        <v>821.827</v>
      </c>
      <c r="X99" s="127">
        <f t="shared" ca="1" si="23"/>
        <v>933.63220000000001</v>
      </c>
      <c r="Y99" s="127">
        <f t="shared" ca="1" si="23"/>
        <v>1049.614</v>
      </c>
      <c r="Z99" s="127">
        <f t="shared" ca="1" si="23"/>
        <v>1161.7370000000001</v>
      </c>
      <c r="AA99" s="127">
        <f t="shared" ca="1" si="23"/>
        <v>1261.203</v>
      </c>
      <c r="AB99" s="127">
        <f t="shared" ca="1" si="23"/>
        <v>1350.777</v>
      </c>
      <c r="AC99" s="127">
        <f t="shared" ca="1" si="23"/>
        <v>1425.549</v>
      </c>
      <c r="AD99" s="127">
        <f t="shared" ca="1" si="23"/>
        <v>1483.57</v>
      </c>
      <c r="AE99" s="127">
        <f t="shared" ca="1" si="23"/>
        <v>1524.097</v>
      </c>
      <c r="AF99" s="127">
        <f t="shared" ca="1" si="23"/>
        <v>1547.143</v>
      </c>
      <c r="AG99" s="127">
        <f t="shared" ca="1" si="23"/>
        <v>1553.2840000000001</v>
      </c>
      <c r="AH99" s="127">
        <f t="shared" ca="1" si="23"/>
        <v>1543.559</v>
      </c>
      <c r="AI99" s="127">
        <f t="shared" ca="1" si="23"/>
        <v>1519.386</v>
      </c>
      <c r="AJ99" s="127">
        <f t="shared" ca="1" si="23"/>
        <v>1482.4949999999999</v>
      </c>
      <c r="AK99" s="127">
        <f t="shared" ca="1" si="23"/>
        <v>1434.85</v>
      </c>
      <c r="AL99" s="127">
        <f t="shared" ca="1" si="23"/>
        <v>1378.577</v>
      </c>
      <c r="AM99" s="127">
        <f t="shared" ca="1" si="23"/>
        <v>1315.8910000000001</v>
      </c>
      <c r="AN99" s="127">
        <f t="shared" ca="1" si="23"/>
        <v>1249.029</v>
      </c>
      <c r="AO99" s="127">
        <f t="shared" ca="1" si="23"/>
        <v>1180.191</v>
      </c>
      <c r="AP99" s="127">
        <f t="shared" ca="1" si="23"/>
        <v>1111.5219999999999</v>
      </c>
      <c r="AQ99" s="127">
        <f t="shared" ca="1" si="23"/>
        <v>1044.9860000000001</v>
      </c>
      <c r="AR99" s="127">
        <f t="shared" ca="1" si="23"/>
        <v>981.07060000000001</v>
      </c>
      <c r="AS99" s="127">
        <f t="shared" ca="1" si="23"/>
        <v>922.24990000000003</v>
      </c>
      <c r="AT99" s="127">
        <f t="shared" ca="1" si="23"/>
        <v>870.12980000000005</v>
      </c>
      <c r="AU99" s="127">
        <f t="shared" ca="1" si="23"/>
        <v>825.82780000000002</v>
      </c>
    </row>
    <row r="100" spans="2:47" x14ac:dyDescent="0.25">
      <c r="B100" t="s">
        <v>846</v>
      </c>
      <c r="C100" s="127">
        <f t="shared" ca="1" si="21"/>
        <v>556.32809999999995</v>
      </c>
      <c r="D100" s="127">
        <f t="shared" ca="1" si="21"/>
        <v>551.72199999999998</v>
      </c>
      <c r="E100" s="127">
        <f t="shared" ca="1" si="21"/>
        <v>540.53499999999997</v>
      </c>
      <c r="F100" s="127">
        <f t="shared" ca="1" si="21"/>
        <v>525.46590000000003</v>
      </c>
      <c r="G100" s="127">
        <f t="shared" ca="1" si="21"/>
        <v>509.25850000000003</v>
      </c>
      <c r="H100" s="127">
        <f t="shared" ca="1" si="21"/>
        <v>496.03</v>
      </c>
      <c r="I100" s="127">
        <f t="shared" ca="1" si="21"/>
        <v>486.1234</v>
      </c>
      <c r="J100" s="127">
        <f t="shared" ca="1" si="21"/>
        <v>479.12959999999998</v>
      </c>
      <c r="K100" s="127">
        <f t="shared" ca="1" si="21"/>
        <v>474.34019999999998</v>
      </c>
      <c r="L100" s="127">
        <f t="shared" ca="1" si="18"/>
        <v>465.3383</v>
      </c>
      <c r="M100" s="127">
        <f t="shared" ca="1" si="23"/>
        <v>458.46030000000002</v>
      </c>
      <c r="N100" s="127">
        <f t="shared" ca="1" si="23"/>
        <v>451.79689999999999</v>
      </c>
      <c r="O100" s="127">
        <f t="shared" ca="1" si="23"/>
        <v>444.21379999999999</v>
      </c>
      <c r="P100" s="127">
        <f t="shared" ca="1" si="23"/>
        <v>434.91860000000003</v>
      </c>
      <c r="Q100" s="127">
        <f t="shared" ca="1" si="23"/>
        <v>423.42399999999998</v>
      </c>
      <c r="R100" s="127">
        <f t="shared" ca="1" si="23"/>
        <v>409.45530000000002</v>
      </c>
      <c r="S100" s="127">
        <f t="shared" ca="1" si="23"/>
        <v>393.08870000000002</v>
      </c>
      <c r="T100" s="127">
        <f t="shared" ca="1" si="23"/>
        <v>374.71629999999999</v>
      </c>
      <c r="U100" s="127">
        <f t="shared" ca="1" si="23"/>
        <v>354.8383</v>
      </c>
      <c r="V100" s="127">
        <f t="shared" ca="1" si="23"/>
        <v>333.97039999999998</v>
      </c>
      <c r="W100" s="127">
        <f t="shared" ca="1" si="23"/>
        <v>312.60449999999997</v>
      </c>
      <c r="X100" s="127">
        <f t="shared" ca="1" si="23"/>
        <v>291.1232</v>
      </c>
      <c r="Y100" s="127">
        <f t="shared" ca="1" si="23"/>
        <v>269.93669999999997</v>
      </c>
      <c r="Z100" s="127">
        <f t="shared" ca="1" si="23"/>
        <v>249.4203</v>
      </c>
      <c r="AA100" s="127">
        <f t="shared" ca="1" si="23"/>
        <v>229.89529999999999</v>
      </c>
      <c r="AB100" s="127">
        <f t="shared" ca="1" si="23"/>
        <v>211.65870000000001</v>
      </c>
      <c r="AC100" s="127">
        <f t="shared" ca="1" si="23"/>
        <v>194.77619999999999</v>
      </c>
      <c r="AD100" s="127">
        <f t="shared" ca="1" si="23"/>
        <v>179.24930000000001</v>
      </c>
      <c r="AE100" s="127">
        <f t="shared" ca="1" si="23"/>
        <v>165.03460000000001</v>
      </c>
      <c r="AF100" s="127">
        <f t="shared" ca="1" si="23"/>
        <v>152.06780000000001</v>
      </c>
      <c r="AG100" s="127">
        <f t="shared" ca="1" si="23"/>
        <v>140.2749</v>
      </c>
      <c r="AH100" s="127">
        <f t="shared" ca="1" si="23"/>
        <v>129.57640000000001</v>
      </c>
      <c r="AI100" s="127">
        <f t="shared" ca="1" si="23"/>
        <v>119.88849999999999</v>
      </c>
      <c r="AJ100" s="127">
        <f t="shared" ca="1" si="23"/>
        <v>111.1263</v>
      </c>
      <c r="AK100" s="127">
        <f t="shared" ca="1" si="23"/>
        <v>103.205</v>
      </c>
      <c r="AL100" s="127">
        <f t="shared" ca="1" si="23"/>
        <v>96.041340000000005</v>
      </c>
      <c r="AM100" s="127">
        <f t="shared" ca="1" si="23"/>
        <v>89.554850000000002</v>
      </c>
      <c r="AN100" s="127">
        <f t="shared" ca="1" si="23"/>
        <v>83.669079999999994</v>
      </c>
      <c r="AO100" s="127">
        <f t="shared" ca="1" si="23"/>
        <v>78.312219999999996</v>
      </c>
      <c r="AP100" s="127">
        <f t="shared" ca="1" si="23"/>
        <v>73.418390000000002</v>
      </c>
      <c r="AQ100" s="127">
        <f t="shared" ca="1" si="23"/>
        <v>68.92595</v>
      </c>
      <c r="AR100" s="127">
        <f t="shared" ca="1" si="23"/>
        <v>64.775760000000005</v>
      </c>
      <c r="AS100" s="127">
        <f t="shared" ca="1" si="23"/>
        <v>60.919890000000002</v>
      </c>
      <c r="AT100" s="127">
        <f t="shared" ca="1" si="23"/>
        <v>57.315730000000002</v>
      </c>
      <c r="AU100" s="127">
        <f t="shared" ca="1" si="23"/>
        <v>53.925989999999999</v>
      </c>
    </row>
    <row r="101" spans="2:47" x14ac:dyDescent="0.25">
      <c r="B101" t="s">
        <v>847</v>
      </c>
      <c r="C101" s="127">
        <f t="shared" ref="C101:K115" ca="1" si="24">Output("SCEN_ADEMEhaut",$B101,C$1)</f>
        <v>925.74279999999999</v>
      </c>
      <c r="D101" s="127">
        <f t="shared" ca="1" si="24"/>
        <v>923.71820000000002</v>
      </c>
      <c r="E101" s="127">
        <f t="shared" ca="1" si="24"/>
        <v>918.37139999999999</v>
      </c>
      <c r="F101" s="127">
        <f t="shared" ca="1" si="24"/>
        <v>911.59370000000001</v>
      </c>
      <c r="G101" s="127">
        <f t="shared" ca="1" si="24"/>
        <v>903.17939999999999</v>
      </c>
      <c r="H101" s="127">
        <f t="shared" ca="1" si="24"/>
        <v>895.62220000000002</v>
      </c>
      <c r="I101" s="127">
        <f t="shared" ca="1" si="24"/>
        <v>888.60889999999995</v>
      </c>
      <c r="J101" s="127">
        <f t="shared" ca="1" si="24"/>
        <v>882.46730000000002</v>
      </c>
      <c r="K101" s="127">
        <f t="shared" ca="1" si="24"/>
        <v>877.49199999999996</v>
      </c>
      <c r="L101" s="127">
        <f t="shared" ca="1" si="18"/>
        <v>862.49530000000004</v>
      </c>
      <c r="M101" s="127">
        <f t="shared" ca="1" si="23"/>
        <v>852.35820000000001</v>
      </c>
      <c r="N101" s="127">
        <f t="shared" ca="1" si="23"/>
        <v>845.31359999999995</v>
      </c>
      <c r="O101" s="127">
        <f t="shared" ca="1" si="23"/>
        <v>841.05859999999996</v>
      </c>
      <c r="P101" s="127">
        <f t="shared" ca="1" si="23"/>
        <v>839.86429999999996</v>
      </c>
      <c r="Q101" s="127">
        <f t="shared" ca="1" si="23"/>
        <v>842.49699999999996</v>
      </c>
      <c r="R101" s="127">
        <f t="shared" ca="1" si="23"/>
        <v>849.62840000000006</v>
      </c>
      <c r="S101" s="127">
        <f t="shared" ca="1" si="23"/>
        <v>860.76969999999994</v>
      </c>
      <c r="T101" s="127">
        <f t="shared" ca="1" si="23"/>
        <v>875.05899999999997</v>
      </c>
      <c r="U101" s="127">
        <f t="shared" ca="1" si="23"/>
        <v>891.56759999999997</v>
      </c>
      <c r="V101" s="127">
        <f t="shared" ca="1" si="23"/>
        <v>909.35130000000004</v>
      </c>
      <c r="W101" s="127">
        <f t="shared" ca="1" si="23"/>
        <v>927.44399999999996</v>
      </c>
      <c r="X101" s="127">
        <f t="shared" ca="1" si="23"/>
        <v>944.58780000000002</v>
      </c>
      <c r="Y101" s="127">
        <f t="shared" ca="1" si="23"/>
        <v>959.66629999999998</v>
      </c>
      <c r="Z101" s="127">
        <f t="shared" ca="1" si="23"/>
        <v>971.55259999999998</v>
      </c>
      <c r="AA101" s="127">
        <f t="shared" ca="1" si="23"/>
        <v>979.04669999999999</v>
      </c>
      <c r="AB101" s="127">
        <f t="shared" ca="1" si="23"/>
        <v>982.02980000000002</v>
      </c>
      <c r="AC101" s="127">
        <f t="shared" ca="1" si="23"/>
        <v>980.34730000000002</v>
      </c>
      <c r="AD101" s="127">
        <f t="shared" ca="1" si="23"/>
        <v>974.23180000000002</v>
      </c>
      <c r="AE101" s="127">
        <f t="shared" ca="1" si="23"/>
        <v>964.00210000000004</v>
      </c>
      <c r="AF101" s="127">
        <f t="shared" ca="1" si="23"/>
        <v>950.02380000000005</v>
      </c>
      <c r="AG101" s="127">
        <f t="shared" ca="1" si="23"/>
        <v>932.70510000000002</v>
      </c>
      <c r="AH101" s="127">
        <f t="shared" ca="1" si="23"/>
        <v>912.47749999999996</v>
      </c>
      <c r="AI101" s="127">
        <f t="shared" ca="1" si="23"/>
        <v>889.77700000000004</v>
      </c>
      <c r="AJ101" s="127">
        <f t="shared" ca="1" si="23"/>
        <v>865.03480000000002</v>
      </c>
      <c r="AK101" s="127">
        <f t="shared" ca="1" si="23"/>
        <v>838.66669999999999</v>
      </c>
      <c r="AL101" s="127">
        <f t="shared" ca="1" si="23"/>
        <v>811.06619999999998</v>
      </c>
      <c r="AM101" s="127">
        <f t="shared" ca="1" si="23"/>
        <v>782.59960000000001</v>
      </c>
      <c r="AN101" s="127">
        <f t="shared" ca="1" si="23"/>
        <v>753.60659999999996</v>
      </c>
      <c r="AO101" s="127">
        <f t="shared" ca="1" si="23"/>
        <v>724.39869999999996</v>
      </c>
      <c r="AP101" s="127">
        <f t="shared" ca="1" si="23"/>
        <v>695.26559999999995</v>
      </c>
      <c r="AQ101" s="127">
        <f t="shared" ca="1" si="23"/>
        <v>666.45920000000001</v>
      </c>
      <c r="AR101" s="127">
        <f t="shared" ca="1" si="23"/>
        <v>638.16589999999997</v>
      </c>
      <c r="AS101" s="127">
        <f t="shared" ca="1" si="23"/>
        <v>610.60559999999998</v>
      </c>
      <c r="AT101" s="127">
        <f t="shared" ca="1" si="23"/>
        <v>583.96680000000003</v>
      </c>
      <c r="AU101" s="127">
        <f t="shared" ca="1" si="23"/>
        <v>558.40689999999995</v>
      </c>
    </row>
    <row r="102" spans="2:47" x14ac:dyDescent="0.25">
      <c r="B102" t="s">
        <v>848</v>
      </c>
      <c r="C102" s="127">
        <f t="shared" ca="1" si="24"/>
        <v>12.11312</v>
      </c>
      <c r="D102" s="127">
        <f t="shared" ca="1" si="24"/>
        <v>14.57583</v>
      </c>
      <c r="E102" s="127">
        <f t="shared" ca="1" si="24"/>
        <v>21.23218</v>
      </c>
      <c r="F102" s="127">
        <f t="shared" ca="1" si="24"/>
        <v>31.374469999999999</v>
      </c>
      <c r="G102" s="127">
        <f t="shared" ca="1" si="24"/>
        <v>42.932130000000001</v>
      </c>
      <c r="H102" s="127">
        <f t="shared" ca="1" si="24"/>
        <v>53.10745</v>
      </c>
      <c r="I102" s="127">
        <f t="shared" ca="1" si="24"/>
        <v>60.356630000000003</v>
      </c>
      <c r="J102" s="127">
        <f t="shared" ca="1" si="24"/>
        <v>64.491590000000002</v>
      </c>
      <c r="K102" s="127">
        <f t="shared" ca="1" si="24"/>
        <v>66.026960000000003</v>
      </c>
      <c r="L102" s="127">
        <f t="shared" ca="1" si="18"/>
        <v>64.957269999999994</v>
      </c>
      <c r="M102" s="127">
        <f t="shared" ca="1" si="23"/>
        <v>63.688650000000003</v>
      </c>
      <c r="N102" s="127">
        <f t="shared" ca="1" si="23"/>
        <v>63.432740000000003</v>
      </c>
      <c r="O102" s="127">
        <f t="shared" ca="1" si="23"/>
        <v>65.563079999999999</v>
      </c>
      <c r="P102" s="127">
        <f t="shared" ca="1" si="23"/>
        <v>71.501909999999995</v>
      </c>
      <c r="Q102" s="127">
        <f t="shared" ca="1" si="23"/>
        <v>82.754329999999996</v>
      </c>
      <c r="R102" s="127">
        <f t="shared" ca="1" si="23"/>
        <v>100.72620000000001</v>
      </c>
      <c r="S102" s="127">
        <f t="shared" ca="1" si="23"/>
        <v>125.8537</v>
      </c>
      <c r="T102" s="127">
        <f t="shared" ca="1" si="23"/>
        <v>157.9538</v>
      </c>
      <c r="U102" s="127">
        <f t="shared" ca="1" si="23"/>
        <v>196.4598</v>
      </c>
      <c r="V102" s="127">
        <f t="shared" ca="1" si="23"/>
        <v>240.46600000000001</v>
      </c>
      <c r="W102" s="127">
        <f t="shared" ca="1" si="23"/>
        <v>288.73849999999999</v>
      </c>
      <c r="X102" s="127">
        <f t="shared" ca="1" si="23"/>
        <v>339.63440000000003</v>
      </c>
      <c r="Y102" s="127">
        <f t="shared" ca="1" si="23"/>
        <v>391.25439999999998</v>
      </c>
      <c r="Z102" s="127">
        <f t="shared" ca="1" si="23"/>
        <v>441.46879999999999</v>
      </c>
      <c r="AA102" s="127">
        <f t="shared" ca="1" si="23"/>
        <v>487.95800000000003</v>
      </c>
      <c r="AB102" s="127">
        <f t="shared" ca="1" si="23"/>
        <v>529.18690000000004</v>
      </c>
      <c r="AC102" s="127">
        <f t="shared" ca="1" si="23"/>
        <v>564.10990000000004</v>
      </c>
      <c r="AD102" s="127">
        <f t="shared" ca="1" si="23"/>
        <v>592.31539999999995</v>
      </c>
      <c r="AE102" s="127">
        <f t="shared" ca="1" si="23"/>
        <v>613.70960000000002</v>
      </c>
      <c r="AF102" s="127">
        <f t="shared" ca="1" si="23"/>
        <v>628.41790000000003</v>
      </c>
      <c r="AG102" s="127">
        <f t="shared" ca="1" si="23"/>
        <v>636.74099999999999</v>
      </c>
      <c r="AH102" s="127">
        <f t="shared" ca="1" si="23"/>
        <v>639.11339999999996</v>
      </c>
      <c r="AI102" s="127">
        <f t="shared" ca="1" si="23"/>
        <v>636.06269999999995</v>
      </c>
      <c r="AJ102" s="127">
        <f t="shared" ca="1" si="23"/>
        <v>628.17759999999998</v>
      </c>
      <c r="AK102" s="127">
        <f t="shared" ca="1" si="23"/>
        <v>616.07849999999996</v>
      </c>
      <c r="AL102" s="127">
        <f t="shared" ca="1" si="23"/>
        <v>600.39229999999998</v>
      </c>
      <c r="AM102" s="127">
        <f t="shared" ca="1" si="23"/>
        <v>581.73329999999999</v>
      </c>
      <c r="AN102" s="127">
        <f t="shared" ca="1" si="23"/>
        <v>560.69140000000004</v>
      </c>
      <c r="AO102" s="127">
        <f t="shared" ca="1" si="23"/>
        <v>537.82190000000003</v>
      </c>
      <c r="AP102" s="127">
        <f t="shared" ca="1" si="23"/>
        <v>513.64359999999999</v>
      </c>
      <c r="AQ102" s="127">
        <f t="shared" ca="1" si="23"/>
        <v>488.62310000000002</v>
      </c>
      <c r="AR102" s="127">
        <f t="shared" ca="1" si="23"/>
        <v>463.1515</v>
      </c>
      <c r="AS102" s="127">
        <f t="shared" ca="1" si="23"/>
        <v>437.61900000000003</v>
      </c>
      <c r="AT102" s="127">
        <f t="shared" ca="1" si="23"/>
        <v>412.36410000000001</v>
      </c>
      <c r="AU102" s="127">
        <f t="shared" ca="1" si="23"/>
        <v>387.67419999999998</v>
      </c>
    </row>
    <row r="103" spans="2:47" x14ac:dyDescent="0.25">
      <c r="B103" t="s">
        <v>849</v>
      </c>
      <c r="C103" s="127">
        <f t="shared" ca="1" si="24"/>
        <v>88.337299999999999</v>
      </c>
      <c r="D103" s="127">
        <f t="shared" ca="1" si="24"/>
        <v>91.040350000000004</v>
      </c>
      <c r="E103" s="127">
        <f t="shared" ca="1" si="24"/>
        <v>98.637370000000004</v>
      </c>
      <c r="F103" s="127">
        <f t="shared" ca="1" si="24"/>
        <v>110.012</v>
      </c>
      <c r="G103" s="127">
        <f t="shared" ca="1" si="24"/>
        <v>122.7118</v>
      </c>
      <c r="H103" s="127">
        <f t="shared" ca="1" si="24"/>
        <v>134.5453</v>
      </c>
      <c r="I103" s="127">
        <f t="shared" ca="1" si="24"/>
        <v>144.38839999999999</v>
      </c>
      <c r="J103" s="127">
        <f t="shared" ca="1" si="24"/>
        <v>152.06819999999999</v>
      </c>
      <c r="K103" s="127">
        <f t="shared" ca="1" si="24"/>
        <v>157.7073</v>
      </c>
      <c r="L103" s="127">
        <f t="shared" ca="1" si="18"/>
        <v>159.375</v>
      </c>
      <c r="M103" s="127">
        <f t="shared" ca="1" si="23"/>
        <v>160.0735</v>
      </c>
      <c r="N103" s="127">
        <f t="shared" ca="1" si="23"/>
        <v>159.8535</v>
      </c>
      <c r="O103" s="127">
        <f t="shared" ca="1" si="23"/>
        <v>159.06379999999999</v>
      </c>
      <c r="P103" s="127">
        <f t="shared" ca="1" si="23"/>
        <v>158.19710000000001</v>
      </c>
      <c r="Q103" s="127">
        <f t="shared" ca="1" si="23"/>
        <v>157.86580000000001</v>
      </c>
      <c r="R103" s="127">
        <f t="shared" ca="1" si="23"/>
        <v>158.62700000000001</v>
      </c>
      <c r="S103" s="127">
        <f t="shared" ca="1" si="23"/>
        <v>160.6087</v>
      </c>
      <c r="T103" s="127">
        <f t="shared" ca="1" si="23"/>
        <v>163.74539999999999</v>
      </c>
      <c r="U103" s="127">
        <f t="shared" ca="1" si="23"/>
        <v>167.91290000000001</v>
      </c>
      <c r="V103" s="127">
        <f t="shared" ca="1" si="23"/>
        <v>172.964</v>
      </c>
      <c r="W103" s="127">
        <f t="shared" ca="1" si="23"/>
        <v>178.73759999999999</v>
      </c>
      <c r="X103" s="127">
        <f t="shared" ca="1" si="23"/>
        <v>185.0087</v>
      </c>
      <c r="Y103" s="127">
        <f t="shared" ca="1" si="23"/>
        <v>191.57249999999999</v>
      </c>
      <c r="Z103" s="127">
        <f t="shared" ca="1" si="23"/>
        <v>198.21449999999999</v>
      </c>
      <c r="AA103" s="127">
        <f t="shared" ca="1" si="23"/>
        <v>204.6961</v>
      </c>
      <c r="AB103" s="127">
        <f t="shared" ca="1" si="23"/>
        <v>210.9708</v>
      </c>
      <c r="AC103" s="127">
        <f t="shared" ca="1" si="23"/>
        <v>216.94730000000001</v>
      </c>
      <c r="AD103" s="127">
        <f t="shared" ca="1" si="23"/>
        <v>222.57380000000001</v>
      </c>
      <c r="AE103" s="127">
        <f t="shared" ca="1" si="23"/>
        <v>227.80070000000001</v>
      </c>
      <c r="AF103" s="127">
        <f t="shared" ca="1" si="23"/>
        <v>232.5804</v>
      </c>
      <c r="AG103" s="127">
        <f t="shared" ca="1" si="23"/>
        <v>236.8707</v>
      </c>
      <c r="AH103" s="127">
        <f t="shared" ca="1" si="23"/>
        <v>240.63210000000001</v>
      </c>
      <c r="AI103" s="127">
        <f t="shared" ca="1" si="23"/>
        <v>243.8254</v>
      </c>
      <c r="AJ103" s="127">
        <f t="shared" ca="1" si="23"/>
        <v>246.40989999999999</v>
      </c>
      <c r="AK103" s="127">
        <f t="shared" ca="1" si="23"/>
        <v>248.3426</v>
      </c>
      <c r="AL103" s="127">
        <f t="shared" ca="1" si="23"/>
        <v>249.57660000000001</v>
      </c>
      <c r="AM103" s="127">
        <f t="shared" ca="1" si="23"/>
        <v>250.06110000000001</v>
      </c>
      <c r="AN103" s="127">
        <f t="shared" ca="1" si="23"/>
        <v>249.74270000000001</v>
      </c>
      <c r="AO103" s="127">
        <f t="shared" ca="1" si="23"/>
        <v>248.5668</v>
      </c>
      <c r="AP103" s="127">
        <f t="shared" ca="1" si="23"/>
        <v>246.48179999999999</v>
      </c>
      <c r="AQ103" s="127">
        <f t="shared" ca="1" si="23"/>
        <v>243.4366</v>
      </c>
      <c r="AR103" s="127">
        <f t="shared" ca="1" si="23"/>
        <v>239.37280000000001</v>
      </c>
      <c r="AS103" s="127">
        <f t="shared" ca="1" si="23"/>
        <v>234.26589999999999</v>
      </c>
      <c r="AT103" s="127">
        <f t="shared" ca="1" si="23"/>
        <v>228.10599999999999</v>
      </c>
      <c r="AU103" s="127">
        <f t="shared" ca="1" si="23"/>
        <v>220.90180000000001</v>
      </c>
    </row>
    <row r="104" spans="2:47" x14ac:dyDescent="0.25">
      <c r="B104" t="s">
        <v>850</v>
      </c>
      <c r="C104" s="127">
        <f t="shared" ca="1" si="24"/>
        <v>132.30760000000001</v>
      </c>
      <c r="D104" s="127">
        <f t="shared" ca="1" si="24"/>
        <v>158.1071</v>
      </c>
      <c r="E104" s="127">
        <f t="shared" ca="1" si="24"/>
        <v>229.59289999999999</v>
      </c>
      <c r="F104" s="127">
        <f t="shared" ca="1" si="24"/>
        <v>342.78250000000003</v>
      </c>
      <c r="G104" s="127">
        <f t="shared" ca="1" si="24"/>
        <v>481.70589999999999</v>
      </c>
      <c r="H104" s="127">
        <f t="shared" ca="1" si="24"/>
        <v>623.52840000000003</v>
      </c>
      <c r="I104" s="127">
        <f t="shared" ca="1" si="24"/>
        <v>752.67679999999996</v>
      </c>
      <c r="J104" s="127">
        <f t="shared" ca="1" si="24"/>
        <v>862.05930000000001</v>
      </c>
      <c r="K104" s="127">
        <f t="shared" ca="1" si="24"/>
        <v>948.30190000000005</v>
      </c>
      <c r="L104" s="127">
        <f t="shared" ca="1" si="18"/>
        <v>995.71310000000005</v>
      </c>
      <c r="M104" s="127">
        <f t="shared" ca="1" si="23"/>
        <v>1021.169</v>
      </c>
      <c r="N104" s="127">
        <f t="shared" ca="1" si="23"/>
        <v>1024.5119999999999</v>
      </c>
      <c r="O104" s="127">
        <f t="shared" ca="1" si="23"/>
        <v>1008.218</v>
      </c>
      <c r="P104" s="127">
        <f t="shared" ca="1" si="23"/>
        <v>976.54570000000001</v>
      </c>
      <c r="Q104" s="127">
        <f t="shared" ca="1" si="23"/>
        <v>935.22040000000004</v>
      </c>
      <c r="R104" s="127">
        <f t="shared" ca="1" si="23"/>
        <v>890.26390000000004</v>
      </c>
      <c r="S104" s="127">
        <f t="shared" ca="1" si="23"/>
        <v>846.12189999999998</v>
      </c>
      <c r="T104" s="127">
        <f t="shared" ca="1" si="23"/>
        <v>806.45370000000003</v>
      </c>
      <c r="U104" s="127">
        <f t="shared" ca="1" si="23"/>
        <v>774.42560000000003</v>
      </c>
      <c r="V104" s="127">
        <f t="shared" ca="1" si="23"/>
        <v>752.74059999999997</v>
      </c>
      <c r="W104" s="127">
        <f t="shared" ca="1" si="23"/>
        <v>743.66700000000003</v>
      </c>
      <c r="X104" s="127">
        <f t="shared" ca="1" si="23"/>
        <v>748.90710000000001</v>
      </c>
      <c r="Y104" s="127">
        <f t="shared" ca="1" si="23"/>
        <v>770.06200000000001</v>
      </c>
      <c r="Z104" s="127">
        <f t="shared" ca="1" si="23"/>
        <v>808.60720000000003</v>
      </c>
      <c r="AA104" s="127">
        <f t="shared" ca="1" si="23"/>
        <v>865.93439999999998</v>
      </c>
      <c r="AB104" s="127">
        <f t="shared" ca="1" si="23"/>
        <v>943.69230000000005</v>
      </c>
      <c r="AC104" s="127">
        <f t="shared" ca="1" si="23"/>
        <v>1041.271</v>
      </c>
      <c r="AD104" s="127">
        <f t="shared" ca="1" si="23"/>
        <v>1157.057</v>
      </c>
      <c r="AE104" s="127">
        <f t="shared" ca="1" si="23"/>
        <v>1289.096</v>
      </c>
      <c r="AF104" s="127">
        <f t="shared" ca="1" si="23"/>
        <v>1435.258</v>
      </c>
      <c r="AG104" s="127">
        <f t="shared" ca="1" si="23"/>
        <v>1593.2449999999999</v>
      </c>
      <c r="AH104" s="127">
        <f t="shared" ca="1" si="23"/>
        <v>1760.529</v>
      </c>
      <c r="AI104" s="127">
        <f t="shared" ca="1" si="23"/>
        <v>1934.2809999999999</v>
      </c>
      <c r="AJ104" s="127">
        <f t="shared" ca="1" si="23"/>
        <v>2111.3380000000002</v>
      </c>
      <c r="AK104" s="127">
        <f t="shared" ca="1" si="23"/>
        <v>2288.1729999999998</v>
      </c>
      <c r="AL104" s="127">
        <f t="shared" ca="1" si="23"/>
        <v>2460.8989999999999</v>
      </c>
      <c r="AM104" s="127">
        <f t="shared" ca="1" si="23"/>
        <v>2625.297</v>
      </c>
      <c r="AN104" s="127">
        <f t="shared" ca="1" si="23"/>
        <v>2776.8789999999999</v>
      </c>
      <c r="AO104" s="127">
        <f t="shared" ca="1" si="23"/>
        <v>2910.9789999999998</v>
      </c>
      <c r="AP104" s="127">
        <f t="shared" ca="1" si="23"/>
        <v>3022.91</v>
      </c>
      <c r="AQ104" s="127">
        <f t="shared" ca="1" si="23"/>
        <v>3108.0479999999998</v>
      </c>
      <c r="AR104" s="127">
        <f t="shared" ca="1" si="23"/>
        <v>3161.8649999999998</v>
      </c>
      <c r="AS104" s="127">
        <f t="shared" ca="1" si="23"/>
        <v>3180.6210000000001</v>
      </c>
      <c r="AT104" s="127">
        <f t="shared" ca="1" si="23"/>
        <v>3161.3110000000001</v>
      </c>
      <c r="AU104" s="127">
        <f t="shared" ca="1" si="23"/>
        <v>3101.8829999999998</v>
      </c>
    </row>
    <row r="105" spans="2:47" x14ac:dyDescent="0.25">
      <c r="B105" t="s">
        <v>851</v>
      </c>
      <c r="C105" s="127">
        <f t="shared" ca="1" si="24"/>
        <v>120.2734</v>
      </c>
      <c r="D105" s="127">
        <f t="shared" ca="1" si="24"/>
        <v>122.2653</v>
      </c>
      <c r="E105" s="127">
        <f t="shared" ca="1" si="24"/>
        <v>127.36799999999999</v>
      </c>
      <c r="F105" s="127">
        <f t="shared" ca="1" si="24"/>
        <v>133.80549999999999</v>
      </c>
      <c r="G105" s="127">
        <f t="shared" ca="1" si="24"/>
        <v>138.4221</v>
      </c>
      <c r="H105" s="127">
        <f t="shared" ca="1" si="24"/>
        <v>138.6979</v>
      </c>
      <c r="I105" s="127">
        <f t="shared" ca="1" si="24"/>
        <v>134.4871</v>
      </c>
      <c r="J105" s="127">
        <f t="shared" ca="1" si="24"/>
        <v>127.48560000000001</v>
      </c>
      <c r="K105" s="127">
        <f t="shared" ca="1" si="24"/>
        <v>120.02970000000001</v>
      </c>
      <c r="L105" s="127">
        <f t="shared" ca="1" si="18"/>
        <v>113.2062</v>
      </c>
      <c r="M105" s="127">
        <f t="shared" ca="1" si="23"/>
        <v>111.426</v>
      </c>
      <c r="N105" s="127">
        <f t="shared" ca="1" si="23"/>
        <v>116.67619999999999</v>
      </c>
      <c r="O105" s="127">
        <f t="shared" ca="1" si="23"/>
        <v>131.12029999999999</v>
      </c>
      <c r="P105" s="127">
        <f t="shared" ca="1" si="23"/>
        <v>157.22819999999999</v>
      </c>
      <c r="Q105" s="127">
        <f t="shared" ca="1" si="23"/>
        <v>198.0881</v>
      </c>
      <c r="R105" s="127">
        <f t="shared" ca="1" si="23"/>
        <v>257.03280000000001</v>
      </c>
      <c r="S105" s="127">
        <f t="shared" ca="1" si="23"/>
        <v>335.54480000000001</v>
      </c>
      <c r="T105" s="127">
        <f t="shared" ca="1" si="23"/>
        <v>433.71929999999998</v>
      </c>
      <c r="U105" s="127">
        <f t="shared" ca="1" si="23"/>
        <v>550.67830000000004</v>
      </c>
      <c r="V105" s="127">
        <f t="shared" ca="1" si="23"/>
        <v>684.58069999999998</v>
      </c>
      <c r="W105" s="127">
        <f t="shared" ca="1" si="23"/>
        <v>832.52689999999996</v>
      </c>
      <c r="X105" s="127">
        <f t="shared" ca="1" si="23"/>
        <v>990.20429999999999</v>
      </c>
      <c r="Y105" s="127">
        <f t="shared" ca="1" si="23"/>
        <v>1152.2270000000001</v>
      </c>
      <c r="Z105" s="127">
        <f t="shared" ca="1" si="23"/>
        <v>1312.1579999999999</v>
      </c>
      <c r="AA105" s="127">
        <f t="shared" ca="1" si="23"/>
        <v>1462.6110000000001</v>
      </c>
      <c r="AB105" s="127">
        <f t="shared" ca="1" si="23"/>
        <v>1597.91</v>
      </c>
      <c r="AC105" s="127">
        <f t="shared" ca="1" si="23"/>
        <v>1714.0809999999999</v>
      </c>
      <c r="AD105" s="127">
        <f t="shared" ca="1" si="23"/>
        <v>1809.152</v>
      </c>
      <c r="AE105" s="127">
        <f t="shared" ca="1" si="23"/>
        <v>1882.2349999999999</v>
      </c>
      <c r="AF105" s="127">
        <f t="shared" ca="1" si="23"/>
        <v>1933.2570000000001</v>
      </c>
      <c r="AG105" s="127">
        <f t="shared" ca="1" si="23"/>
        <v>1962.838</v>
      </c>
      <c r="AH105" s="127">
        <f t="shared" ca="1" si="23"/>
        <v>1972.17</v>
      </c>
      <c r="AI105" s="127">
        <f t="shared" ca="1" si="23"/>
        <v>1962.886</v>
      </c>
      <c r="AJ105" s="127">
        <f t="shared" ca="1" si="23"/>
        <v>1936.9459999999999</v>
      </c>
      <c r="AK105" s="127">
        <f t="shared" ca="1" si="23"/>
        <v>1896.5260000000001</v>
      </c>
      <c r="AL105" s="127">
        <f t="shared" ca="1" si="23"/>
        <v>1843.921</v>
      </c>
      <c r="AM105" s="127">
        <f t="shared" ca="1" si="23"/>
        <v>1781.454</v>
      </c>
      <c r="AN105" s="127">
        <f t="shared" ca="1" si="23"/>
        <v>1711.4159999999999</v>
      </c>
      <c r="AO105" s="127">
        <f t="shared" ca="1" si="23"/>
        <v>1636.0119999999999</v>
      </c>
      <c r="AP105" s="127">
        <f t="shared" ca="1" si="23"/>
        <v>1557.32</v>
      </c>
      <c r="AQ105" s="127">
        <f t="shared" ref="M105:AU113" ca="1" si="25">Output("SCEN_ADEMEhaut",$B105,AQ$1)</f>
        <v>1477.2280000000001</v>
      </c>
      <c r="AR105" s="127">
        <f t="shared" ca="1" si="25"/>
        <v>1397.34</v>
      </c>
      <c r="AS105" s="127">
        <f t="shared" ca="1" si="25"/>
        <v>1319.18</v>
      </c>
      <c r="AT105" s="127">
        <f t="shared" ca="1" si="25"/>
        <v>1244.0250000000001</v>
      </c>
      <c r="AU105" s="127">
        <f t="shared" ca="1" si="25"/>
        <v>1172.8979999999999</v>
      </c>
    </row>
    <row r="106" spans="2:47" x14ac:dyDescent="0.25">
      <c r="B106" t="s">
        <v>871</v>
      </c>
      <c r="C106" s="127">
        <f t="shared" ca="1" si="24"/>
        <v>268900.3</v>
      </c>
      <c r="D106" s="127">
        <f t="shared" ca="1" si="24"/>
        <v>270492</v>
      </c>
      <c r="E106" s="127">
        <f t="shared" ca="1" si="24"/>
        <v>272474.3</v>
      </c>
      <c r="F106" s="127">
        <f t="shared" ca="1" si="24"/>
        <v>274697.2</v>
      </c>
      <c r="G106" s="127">
        <f t="shared" ca="1" si="24"/>
        <v>277079.59999999998</v>
      </c>
      <c r="H106" s="127">
        <f t="shared" ca="1" si="24"/>
        <v>280460.59999999998</v>
      </c>
      <c r="I106" s="127">
        <f t="shared" ca="1" si="24"/>
        <v>284266.59999999998</v>
      </c>
      <c r="J106" s="127">
        <f t="shared" ca="1" si="24"/>
        <v>288170.90000000002</v>
      </c>
      <c r="K106" s="127">
        <f t="shared" ca="1" si="24"/>
        <v>292212.09999999998</v>
      </c>
      <c r="L106" s="127">
        <f t="shared" ca="1" si="18"/>
        <v>296979.40000000002</v>
      </c>
      <c r="M106" s="127">
        <f t="shared" ca="1" si="25"/>
        <v>302318.59999999998</v>
      </c>
      <c r="N106" s="127">
        <f t="shared" ca="1" si="25"/>
        <v>308073</v>
      </c>
      <c r="O106" s="127">
        <f t="shared" ca="1" si="25"/>
        <v>314167.59999999998</v>
      </c>
      <c r="P106" s="127">
        <f t="shared" ca="1" si="25"/>
        <v>320582.09999999998</v>
      </c>
      <c r="Q106" s="127">
        <f t="shared" ca="1" si="25"/>
        <v>327325</v>
      </c>
      <c r="R106" s="127">
        <f t="shared" ca="1" si="25"/>
        <v>334402.09999999998</v>
      </c>
      <c r="S106" s="127">
        <f t="shared" ca="1" si="25"/>
        <v>341845.7</v>
      </c>
      <c r="T106" s="127">
        <f t="shared" ca="1" si="25"/>
        <v>349636.2</v>
      </c>
      <c r="U106" s="127">
        <f t="shared" ca="1" si="25"/>
        <v>357755</v>
      </c>
      <c r="V106" s="127">
        <f t="shared" ca="1" si="25"/>
        <v>366181.9</v>
      </c>
      <c r="W106" s="127">
        <f t="shared" ca="1" si="25"/>
        <v>374893.2</v>
      </c>
      <c r="X106" s="127">
        <f t="shared" ca="1" si="25"/>
        <v>383848.7</v>
      </c>
      <c r="Y106" s="127">
        <f t="shared" ca="1" si="25"/>
        <v>393025.2</v>
      </c>
      <c r="Z106" s="127">
        <f t="shared" ca="1" si="25"/>
        <v>402400.3</v>
      </c>
      <c r="AA106" s="127">
        <f t="shared" ca="1" si="25"/>
        <v>411956.7</v>
      </c>
      <c r="AB106" s="127">
        <f t="shared" ca="1" si="25"/>
        <v>421450.4</v>
      </c>
      <c r="AC106" s="127">
        <f t="shared" ca="1" si="25"/>
        <v>430549.9</v>
      </c>
      <c r="AD106" s="127">
        <f t="shared" ca="1" si="25"/>
        <v>439308.5</v>
      </c>
      <c r="AE106" s="127">
        <f t="shared" ca="1" si="25"/>
        <v>447768.3</v>
      </c>
      <c r="AF106" s="127">
        <f t="shared" ca="1" si="25"/>
        <v>455984.8</v>
      </c>
      <c r="AG106" s="127">
        <f t="shared" ca="1" si="25"/>
        <v>464036.4</v>
      </c>
      <c r="AH106" s="127">
        <f t="shared" ca="1" si="25"/>
        <v>472017.5</v>
      </c>
      <c r="AI106" s="127">
        <f t="shared" ca="1" si="25"/>
        <v>480030.9</v>
      </c>
      <c r="AJ106" s="127">
        <f t="shared" ca="1" si="25"/>
        <v>488186.2</v>
      </c>
      <c r="AK106" s="127">
        <f t="shared" ca="1" si="25"/>
        <v>496594.9</v>
      </c>
      <c r="AL106" s="127">
        <f t="shared" ca="1" si="25"/>
        <v>505368.5</v>
      </c>
      <c r="AM106" s="127">
        <f t="shared" ca="1" si="25"/>
        <v>514616.5</v>
      </c>
      <c r="AN106" s="127">
        <f t="shared" ca="1" si="25"/>
        <v>524450.1</v>
      </c>
      <c r="AO106" s="127">
        <f t="shared" ca="1" si="25"/>
        <v>534983.30000000005</v>
      </c>
      <c r="AP106" s="127">
        <f t="shared" ca="1" si="25"/>
        <v>546339.9</v>
      </c>
      <c r="AQ106" s="127">
        <f t="shared" ca="1" si="25"/>
        <v>558639.6</v>
      </c>
      <c r="AR106" s="127">
        <f t="shared" ca="1" si="25"/>
        <v>571989.19999999995</v>
      </c>
      <c r="AS106" s="127">
        <f t="shared" ca="1" si="25"/>
        <v>586549.9</v>
      </c>
      <c r="AT106" s="127">
        <f t="shared" ca="1" si="25"/>
        <v>602494.9</v>
      </c>
      <c r="AU106" s="127">
        <f t="shared" ca="1" si="25"/>
        <v>620013.1</v>
      </c>
    </row>
    <row r="107" spans="2:47" x14ac:dyDescent="0.25">
      <c r="B107" t="s">
        <v>861</v>
      </c>
      <c r="C107" s="127">
        <f t="shared" ca="1" si="24"/>
        <v>5293.1170000000002</v>
      </c>
      <c r="D107" s="127">
        <f t="shared" ca="1" si="24"/>
        <v>4989.5940000000001</v>
      </c>
      <c r="E107" s="127">
        <f t="shared" ca="1" si="24"/>
        <v>5410.57</v>
      </c>
      <c r="F107" s="127">
        <f t="shared" ca="1" si="24"/>
        <v>5820.902</v>
      </c>
      <c r="G107" s="127">
        <f t="shared" ca="1" si="24"/>
        <v>6183.317</v>
      </c>
      <c r="H107" s="127">
        <f t="shared" ca="1" si="24"/>
        <v>6465.893</v>
      </c>
      <c r="I107" s="127">
        <f t="shared" ca="1" si="24"/>
        <v>6409.366</v>
      </c>
      <c r="J107" s="127">
        <f t="shared" ca="1" si="24"/>
        <v>6271.5649999999996</v>
      </c>
      <c r="K107" s="127">
        <f t="shared" ca="1" si="24"/>
        <v>6182.1620000000003</v>
      </c>
      <c r="L107" s="127">
        <f t="shared" ca="1" si="18"/>
        <v>6192.893</v>
      </c>
      <c r="M107" s="127">
        <f t="shared" ca="1" si="25"/>
        <v>6545.9949999999999</v>
      </c>
      <c r="N107" s="127">
        <f t="shared" ca="1" si="25"/>
        <v>7026.049</v>
      </c>
      <c r="O107" s="127">
        <f t="shared" ca="1" si="25"/>
        <v>7498.6409999999996</v>
      </c>
      <c r="P107" s="127">
        <f t="shared" ca="1" si="25"/>
        <v>7971.6689999999999</v>
      </c>
      <c r="Q107" s="127">
        <f t="shared" ca="1" si="25"/>
        <v>8442.0589999999993</v>
      </c>
      <c r="R107" s="127">
        <f t="shared" ca="1" si="25"/>
        <v>8890.1299999999992</v>
      </c>
      <c r="S107" s="127">
        <f t="shared" ca="1" si="25"/>
        <v>9366.9950000000008</v>
      </c>
      <c r="T107" s="127">
        <f t="shared" ca="1" si="25"/>
        <v>9876.4940000000006</v>
      </c>
      <c r="U107" s="127">
        <f t="shared" ca="1" si="25"/>
        <v>10422.98</v>
      </c>
      <c r="V107" s="127">
        <f t="shared" ca="1" si="25"/>
        <v>11012.12</v>
      </c>
      <c r="W107" s="127">
        <f t="shared" ca="1" si="25"/>
        <v>11650.98</v>
      </c>
      <c r="X107" s="127">
        <f t="shared" ca="1" si="25"/>
        <v>12323.88</v>
      </c>
      <c r="Y107" s="127">
        <f t="shared" ca="1" si="25"/>
        <v>13042.36</v>
      </c>
      <c r="Z107" s="127">
        <f t="shared" ca="1" si="25"/>
        <v>13823.71</v>
      </c>
      <c r="AA107" s="127">
        <f t="shared" ca="1" si="25"/>
        <v>14682.07</v>
      </c>
      <c r="AB107" s="127">
        <f t="shared" ca="1" si="25"/>
        <v>15546.33</v>
      </c>
      <c r="AC107" s="127">
        <f t="shared" ca="1" si="25"/>
        <v>15921.02</v>
      </c>
      <c r="AD107" s="127">
        <f t="shared" ca="1" si="25"/>
        <v>16037.54</v>
      </c>
      <c r="AE107" s="127">
        <f t="shared" ca="1" si="25"/>
        <v>16023.4</v>
      </c>
      <c r="AF107" s="127">
        <f t="shared" ca="1" si="25"/>
        <v>15950.25</v>
      </c>
      <c r="AG107" s="127">
        <f t="shared" ca="1" si="25"/>
        <v>15857.89</v>
      </c>
      <c r="AH107" s="127">
        <f t="shared" ca="1" si="25"/>
        <v>15768.53</v>
      </c>
      <c r="AI107" s="127">
        <f t="shared" ca="1" si="25"/>
        <v>15694.87</v>
      </c>
      <c r="AJ107" s="127">
        <f t="shared" ca="1" si="25"/>
        <v>15644.8</v>
      </c>
      <c r="AK107" s="127">
        <f t="shared" ca="1" si="25"/>
        <v>15623.92</v>
      </c>
      <c r="AL107" s="127">
        <f t="shared" ca="1" si="25"/>
        <v>15636.94</v>
      </c>
      <c r="AM107" s="127">
        <f t="shared" ca="1" si="25"/>
        <v>15688.36</v>
      </c>
      <c r="AN107" s="127">
        <f t="shared" ca="1" si="25"/>
        <v>15782.7</v>
      </c>
      <c r="AO107" s="127">
        <f t="shared" ca="1" si="25"/>
        <v>15924.58</v>
      </c>
      <c r="AP107" s="127">
        <f t="shared" ca="1" si="25"/>
        <v>16118.82</v>
      </c>
      <c r="AQ107" s="127">
        <f t="shared" ca="1" si="25"/>
        <v>16369.7</v>
      </c>
      <c r="AR107" s="127">
        <f t="shared" ca="1" si="25"/>
        <v>16678.93</v>
      </c>
      <c r="AS107" s="127">
        <f t="shared" ca="1" si="25"/>
        <v>17052.02</v>
      </c>
      <c r="AT107" s="127">
        <f t="shared" ca="1" si="25"/>
        <v>17492.63</v>
      </c>
      <c r="AU107" s="127">
        <f t="shared" ca="1" si="25"/>
        <v>18004.37</v>
      </c>
    </row>
    <row r="108" spans="2:47" x14ac:dyDescent="0.25">
      <c r="B108" t="s">
        <v>862</v>
      </c>
      <c r="C108" s="127">
        <f t="shared" ca="1" si="24"/>
        <v>38763.65</v>
      </c>
      <c r="D108" s="127">
        <f t="shared" ca="1" si="24"/>
        <v>67813.61</v>
      </c>
      <c r="E108" s="127">
        <f t="shared" ca="1" si="24"/>
        <v>68526.759999999995</v>
      </c>
      <c r="F108" s="127">
        <f t="shared" ca="1" si="24"/>
        <v>68979.95</v>
      </c>
      <c r="G108" s="127">
        <f t="shared" ca="1" si="24"/>
        <v>69376.850000000006</v>
      </c>
      <c r="H108" s="127">
        <f t="shared" ca="1" si="24"/>
        <v>69909.87</v>
      </c>
      <c r="I108" s="127">
        <f t="shared" ca="1" si="24"/>
        <v>70483.320000000007</v>
      </c>
      <c r="J108" s="127">
        <f t="shared" ca="1" si="24"/>
        <v>71065.210000000006</v>
      </c>
      <c r="K108" s="127">
        <f t="shared" ca="1" si="24"/>
        <v>71788.33</v>
      </c>
      <c r="L108" s="127">
        <f t="shared" ca="1" si="18"/>
        <v>72213.75</v>
      </c>
      <c r="M108" s="127">
        <f t="shared" ca="1" si="25"/>
        <v>72721.89</v>
      </c>
      <c r="N108" s="127">
        <f t="shared" ca="1" si="25"/>
        <v>73278.22</v>
      </c>
      <c r="O108" s="127">
        <f t="shared" ca="1" si="25"/>
        <v>73840.7</v>
      </c>
      <c r="P108" s="127">
        <f t="shared" ca="1" si="25"/>
        <v>74403.16</v>
      </c>
      <c r="Q108" s="127">
        <f t="shared" ca="1" si="25"/>
        <v>74985.210000000006</v>
      </c>
      <c r="R108" s="127">
        <f t="shared" ca="1" si="25"/>
        <v>75520.429999999993</v>
      </c>
      <c r="S108" s="127">
        <f t="shared" ca="1" si="25"/>
        <v>76038.41</v>
      </c>
      <c r="T108" s="127">
        <f t="shared" ca="1" si="25"/>
        <v>76536.289999999994</v>
      </c>
      <c r="U108" s="127">
        <f t="shared" ca="1" si="25"/>
        <v>77010.81</v>
      </c>
      <c r="V108" s="127">
        <f t="shared" ca="1" si="25"/>
        <v>77458.66</v>
      </c>
      <c r="W108" s="127">
        <f t="shared" ca="1" si="25"/>
        <v>77876.81</v>
      </c>
      <c r="X108" s="127">
        <f t="shared" ca="1" si="25"/>
        <v>77949.740000000005</v>
      </c>
      <c r="Y108" s="127">
        <f t="shared" ca="1" si="25"/>
        <v>77993.919999999998</v>
      </c>
      <c r="Z108" s="127">
        <f t="shared" ca="1" si="25"/>
        <v>78011.5</v>
      </c>
      <c r="AA108" s="127">
        <f t="shared" ca="1" si="25"/>
        <v>78003.14</v>
      </c>
      <c r="AB108" s="127">
        <f t="shared" ca="1" si="25"/>
        <v>78325.490000000005</v>
      </c>
      <c r="AC108" s="127">
        <f t="shared" ca="1" si="25"/>
        <v>78627.740000000005</v>
      </c>
      <c r="AD108" s="127">
        <f t="shared" ca="1" si="25"/>
        <v>78939.63</v>
      </c>
      <c r="AE108" s="127">
        <f t="shared" ca="1" si="25"/>
        <v>79268.78</v>
      </c>
      <c r="AF108" s="127">
        <f t="shared" ca="1" si="25"/>
        <v>79619.240000000005</v>
      </c>
      <c r="AG108" s="127">
        <f t="shared" ca="1" si="25"/>
        <v>79991.94</v>
      </c>
      <c r="AH108" s="127">
        <f t="shared" ca="1" si="25"/>
        <v>80385.94</v>
      </c>
      <c r="AI108" s="127">
        <f t="shared" ca="1" si="25"/>
        <v>80799.58</v>
      </c>
      <c r="AJ108" s="127">
        <f t="shared" ca="1" si="25"/>
        <v>81231.070000000007</v>
      </c>
      <c r="AK108" s="127">
        <f t="shared" ca="1" si="25"/>
        <v>81678.850000000006</v>
      </c>
      <c r="AL108" s="127">
        <f t="shared" ca="1" si="25"/>
        <v>82141.64</v>
      </c>
      <c r="AM108" s="127">
        <f t="shared" ca="1" si="25"/>
        <v>82618.55</v>
      </c>
      <c r="AN108" s="127">
        <f t="shared" ca="1" si="25"/>
        <v>83109.100000000006</v>
      </c>
      <c r="AO108" s="127">
        <f t="shared" ca="1" si="25"/>
        <v>83613.16</v>
      </c>
      <c r="AP108" s="127">
        <f t="shared" ca="1" si="25"/>
        <v>84132.04</v>
      </c>
      <c r="AQ108" s="127">
        <f t="shared" ca="1" si="25"/>
        <v>84665.16</v>
      </c>
      <c r="AR108" s="127">
        <f t="shared" ca="1" si="25"/>
        <v>85200.66</v>
      </c>
      <c r="AS108" s="127">
        <f t="shared" ca="1" si="25"/>
        <v>85750.25</v>
      </c>
      <c r="AT108" s="127">
        <f t="shared" ca="1" si="25"/>
        <v>86315.45</v>
      </c>
      <c r="AU108" s="127">
        <f t="shared" ca="1" si="25"/>
        <v>86898.31</v>
      </c>
    </row>
    <row r="109" spans="2:47" x14ac:dyDescent="0.25">
      <c r="B109" t="s">
        <v>863</v>
      </c>
      <c r="C109" s="127">
        <f t="shared" ca="1" si="24"/>
        <v>33.596260000000001</v>
      </c>
      <c r="D109" s="127">
        <f t="shared" ca="1" si="24"/>
        <v>969.96619999999996</v>
      </c>
      <c r="E109" s="127">
        <f t="shared" ca="1" si="24"/>
        <v>2344.8629999999998</v>
      </c>
      <c r="F109" s="127">
        <f t="shared" ca="1" si="24"/>
        <v>3889.848</v>
      </c>
      <c r="G109" s="127">
        <f t="shared" ca="1" si="24"/>
        <v>5439.3419999999996</v>
      </c>
      <c r="H109" s="127">
        <f t="shared" ca="1" si="24"/>
        <v>6491.0339999999997</v>
      </c>
      <c r="I109" s="127">
        <f t="shared" ca="1" si="24"/>
        <v>7300.741</v>
      </c>
      <c r="J109" s="127">
        <f t="shared" ca="1" si="24"/>
        <v>7700.1750000000002</v>
      </c>
      <c r="K109" s="127">
        <f t="shared" ca="1" si="24"/>
        <v>7979.07</v>
      </c>
      <c r="L109" s="127">
        <f t="shared" ca="1" si="18"/>
        <v>9161.9770000000008</v>
      </c>
      <c r="M109" s="127">
        <f t="shared" ca="1" si="25"/>
        <v>9878.3639999999996</v>
      </c>
      <c r="N109" s="127">
        <f t="shared" ca="1" si="25"/>
        <v>10337.64</v>
      </c>
      <c r="O109" s="127">
        <f t="shared" ca="1" si="25"/>
        <v>10694.63</v>
      </c>
      <c r="P109" s="127">
        <f t="shared" ca="1" si="25"/>
        <v>10985.76</v>
      </c>
      <c r="Q109" s="127">
        <f t="shared" ca="1" si="25"/>
        <v>11310.57</v>
      </c>
      <c r="R109" s="127">
        <f t="shared" ca="1" si="25"/>
        <v>11296.14</v>
      </c>
      <c r="S109" s="127">
        <f t="shared" ca="1" si="25"/>
        <v>11417.15</v>
      </c>
      <c r="T109" s="127">
        <f t="shared" ca="1" si="25"/>
        <v>11491.92</v>
      </c>
      <c r="U109" s="127">
        <f t="shared" ca="1" si="25"/>
        <v>11505.72</v>
      </c>
      <c r="V109" s="127">
        <f t="shared" ca="1" si="25"/>
        <v>11450.74</v>
      </c>
      <c r="W109" s="127">
        <f t="shared" ca="1" si="25"/>
        <v>11324.4</v>
      </c>
      <c r="X109" s="127">
        <f t="shared" ca="1" si="25"/>
        <v>11121.78</v>
      </c>
      <c r="Y109" s="127">
        <f t="shared" ca="1" si="25"/>
        <v>10852.96</v>
      </c>
      <c r="Z109" s="127">
        <f t="shared" ca="1" si="25"/>
        <v>10531.84</v>
      </c>
      <c r="AA109" s="127">
        <f t="shared" ca="1" si="25"/>
        <v>10172.469999999999</v>
      </c>
      <c r="AB109" s="127">
        <f t="shared" ca="1" si="25"/>
        <v>11849.7</v>
      </c>
      <c r="AC109" s="127">
        <f t="shared" ca="1" si="25"/>
        <v>11886.09</v>
      </c>
      <c r="AD109" s="127">
        <f t="shared" ca="1" si="25"/>
        <v>11885.19</v>
      </c>
      <c r="AE109" s="127">
        <f t="shared" ca="1" si="25"/>
        <v>11861.58</v>
      </c>
      <c r="AF109" s="127">
        <f t="shared" ca="1" si="25"/>
        <v>11818.75</v>
      </c>
      <c r="AG109" s="127">
        <f t="shared" ca="1" si="25"/>
        <v>11756.12</v>
      </c>
      <c r="AH109" s="127">
        <f t="shared" ca="1" si="25"/>
        <v>11670.41</v>
      </c>
      <c r="AI109" s="127">
        <f t="shared" ca="1" si="25"/>
        <v>11556.38</v>
      </c>
      <c r="AJ109" s="127">
        <f t="shared" ca="1" si="25"/>
        <v>11407.36</v>
      </c>
      <c r="AK109" s="127">
        <f t="shared" ca="1" si="25"/>
        <v>11215.63</v>
      </c>
      <c r="AL109" s="127">
        <f t="shared" ca="1" si="25"/>
        <v>10972.75</v>
      </c>
      <c r="AM109" s="127">
        <f t="shared" ca="1" si="25"/>
        <v>10670.05</v>
      </c>
      <c r="AN109" s="127">
        <f t="shared" ca="1" si="25"/>
        <v>10299.4</v>
      </c>
      <c r="AO109" s="127">
        <f t="shared" ca="1" si="25"/>
        <v>9854.0239999999994</v>
      </c>
      <c r="AP109" s="127">
        <f t="shared" ca="1" si="25"/>
        <v>9434.2669999999998</v>
      </c>
      <c r="AQ109" s="127">
        <f t="shared" ca="1" si="25"/>
        <v>8964.0360000000001</v>
      </c>
      <c r="AR109" s="127">
        <f t="shared" ca="1" si="25"/>
        <v>8417.9889999999996</v>
      </c>
      <c r="AS109" s="127">
        <f t="shared" ca="1" si="25"/>
        <v>7820.7169999999996</v>
      </c>
      <c r="AT109" s="127">
        <f t="shared" ca="1" si="25"/>
        <v>7207.5389999999998</v>
      </c>
      <c r="AU109" s="127">
        <f t="shared" ca="1" si="25"/>
        <v>6598.0479999999998</v>
      </c>
    </row>
    <row r="110" spans="2:47" x14ac:dyDescent="0.25">
      <c r="B110" t="s">
        <v>864</v>
      </c>
      <c r="C110" s="127">
        <f t="shared" ca="1" si="24"/>
        <v>6872.4849999999997</v>
      </c>
      <c r="D110" s="127">
        <f t="shared" ca="1" si="24"/>
        <v>7544.1369999999997</v>
      </c>
      <c r="E110" s="127">
        <f t="shared" ca="1" si="24"/>
        <v>8516.0830000000005</v>
      </c>
      <c r="F110" s="127">
        <f t="shared" ca="1" si="24"/>
        <v>9579.2289999999994</v>
      </c>
      <c r="G110" s="127">
        <f t="shared" ca="1" si="24"/>
        <v>10601.24</v>
      </c>
      <c r="H110" s="127">
        <f t="shared" ca="1" si="24"/>
        <v>11697.43</v>
      </c>
      <c r="I110" s="127">
        <f t="shared" ca="1" si="24"/>
        <v>12885.18</v>
      </c>
      <c r="J110" s="127">
        <f t="shared" ca="1" si="24"/>
        <v>13701.22</v>
      </c>
      <c r="K110" s="127">
        <f t="shared" ca="1" si="24"/>
        <v>14364.48</v>
      </c>
      <c r="L110" s="127">
        <f t="shared" ca="1" si="18"/>
        <v>15277.09</v>
      </c>
      <c r="M110" s="127">
        <f t="shared" ca="1" si="25"/>
        <v>15635.78</v>
      </c>
      <c r="N110" s="127">
        <f t="shared" ca="1" si="25"/>
        <v>15472.04</v>
      </c>
      <c r="O110" s="127">
        <f t="shared" ca="1" si="25"/>
        <v>15093.29</v>
      </c>
      <c r="P110" s="127">
        <f t="shared" ca="1" si="25"/>
        <v>14615.57</v>
      </c>
      <c r="Q110" s="127">
        <f t="shared" ca="1" si="25"/>
        <v>14353.63</v>
      </c>
      <c r="R110" s="127">
        <f t="shared" ca="1" si="25"/>
        <v>13536.21</v>
      </c>
      <c r="S110" s="127">
        <f t="shared" ca="1" si="25"/>
        <v>12871.34</v>
      </c>
      <c r="T110" s="127">
        <f t="shared" ca="1" si="25"/>
        <v>12188.22</v>
      </c>
      <c r="U110" s="127">
        <f t="shared" ca="1" si="25"/>
        <v>11501.89</v>
      </c>
      <c r="V110" s="127">
        <f t="shared" ca="1" si="25"/>
        <v>10820.96</v>
      </c>
      <c r="W110" s="127">
        <f t="shared" ca="1" si="25"/>
        <v>10151.530000000001</v>
      </c>
      <c r="X110" s="127">
        <f t="shared" ca="1" si="25"/>
        <v>9493.66</v>
      </c>
      <c r="Y110" s="127">
        <f t="shared" ca="1" si="25"/>
        <v>8857.0310000000009</v>
      </c>
      <c r="Z110" s="127">
        <f t="shared" ca="1" si="25"/>
        <v>8251.2440000000006</v>
      </c>
      <c r="AA110" s="127">
        <f t="shared" ca="1" si="25"/>
        <v>7683.2969999999996</v>
      </c>
      <c r="AB110" s="127">
        <f t="shared" ca="1" si="25"/>
        <v>8729.0339999999997</v>
      </c>
      <c r="AC110" s="127">
        <f t="shared" ca="1" si="25"/>
        <v>8599.768</v>
      </c>
      <c r="AD110" s="127">
        <f t="shared" ca="1" si="25"/>
        <v>8480.6620000000003</v>
      </c>
      <c r="AE110" s="127">
        <f t="shared" ca="1" si="25"/>
        <v>8366.8680000000004</v>
      </c>
      <c r="AF110" s="127">
        <f t="shared" ca="1" si="25"/>
        <v>8251.8029999999999</v>
      </c>
      <c r="AG110" s="127">
        <f t="shared" ca="1" si="25"/>
        <v>8129.7550000000001</v>
      </c>
      <c r="AH110" s="127">
        <f t="shared" ca="1" si="25"/>
        <v>7995.1589999999997</v>
      </c>
      <c r="AI110" s="127">
        <f t="shared" ca="1" si="25"/>
        <v>7842.2169999999996</v>
      </c>
      <c r="AJ110" s="127">
        <f t="shared" ca="1" si="25"/>
        <v>7664.7889999999998</v>
      </c>
      <c r="AK110" s="127">
        <f t="shared" ca="1" si="25"/>
        <v>7456.4629999999997</v>
      </c>
      <c r="AL110" s="127">
        <f t="shared" ca="1" si="25"/>
        <v>7210.8490000000002</v>
      </c>
      <c r="AM110" s="127">
        <f t="shared" ca="1" si="25"/>
        <v>6922.0990000000002</v>
      </c>
      <c r="AN110" s="127">
        <f t="shared" ca="1" si="25"/>
        <v>6585.6490000000003</v>
      </c>
      <c r="AO110" s="127">
        <f t="shared" ca="1" si="25"/>
        <v>6199.0860000000002</v>
      </c>
      <c r="AP110" s="127">
        <f t="shared" ca="1" si="25"/>
        <v>5827.7039999999997</v>
      </c>
      <c r="AQ110" s="127">
        <f t="shared" ca="1" si="25"/>
        <v>5426.3459999999995</v>
      </c>
      <c r="AR110" s="127">
        <f t="shared" ca="1" si="25"/>
        <v>5021.2240000000002</v>
      </c>
      <c r="AS110" s="127">
        <f t="shared" ca="1" si="25"/>
        <v>4601.76</v>
      </c>
      <c r="AT110" s="127">
        <f t="shared" ca="1" si="25"/>
        <v>4180.5479999999998</v>
      </c>
      <c r="AU110" s="127">
        <f t="shared" ca="1" si="25"/>
        <v>3768.0770000000002</v>
      </c>
    </row>
    <row r="111" spans="2:47" x14ac:dyDescent="0.25">
      <c r="B111" t="s">
        <v>865</v>
      </c>
      <c r="C111" s="127">
        <f t="shared" ca="1" si="24"/>
        <v>12857.91</v>
      </c>
      <c r="D111" s="127">
        <f t="shared" ca="1" si="24"/>
        <v>12671.06</v>
      </c>
      <c r="E111" s="127">
        <f t="shared" ca="1" si="24"/>
        <v>12411.18</v>
      </c>
      <c r="F111" s="127">
        <f t="shared" ca="1" si="24"/>
        <v>12107.44</v>
      </c>
      <c r="G111" s="127">
        <f t="shared" ca="1" si="24"/>
        <v>11758.75</v>
      </c>
      <c r="H111" s="127">
        <f t="shared" ca="1" si="24"/>
        <v>11512.95</v>
      </c>
      <c r="I111" s="127">
        <f t="shared" ca="1" si="24"/>
        <v>11246.81</v>
      </c>
      <c r="J111" s="127">
        <f t="shared" ca="1" si="24"/>
        <v>10589.97</v>
      </c>
      <c r="K111" s="127">
        <f t="shared" ca="1" si="24"/>
        <v>9769.6290000000008</v>
      </c>
      <c r="L111" s="127">
        <f t="shared" ca="1" si="18"/>
        <v>9949.6110000000008</v>
      </c>
      <c r="M111" s="127">
        <f t="shared" ca="1" si="25"/>
        <v>10079.18</v>
      </c>
      <c r="N111" s="127">
        <f t="shared" ca="1" si="25"/>
        <v>10022.040000000001</v>
      </c>
      <c r="O111" s="127">
        <f t="shared" ca="1" si="25"/>
        <v>9894.8989999999994</v>
      </c>
      <c r="P111" s="127">
        <f t="shared" ca="1" si="25"/>
        <v>9727.3359999999993</v>
      </c>
      <c r="Q111" s="127">
        <f t="shared" ca="1" si="25"/>
        <v>9673.2039999999997</v>
      </c>
      <c r="R111" s="127">
        <f t="shared" ca="1" si="25"/>
        <v>9274.1139999999996</v>
      </c>
      <c r="S111" s="127">
        <f t="shared" ca="1" si="25"/>
        <v>8979.4750000000004</v>
      </c>
      <c r="T111" s="127">
        <f t="shared" ca="1" si="25"/>
        <v>8660.1460000000006</v>
      </c>
      <c r="U111" s="127">
        <f t="shared" ca="1" si="25"/>
        <v>8319.7009999999991</v>
      </c>
      <c r="V111" s="127">
        <f t="shared" ca="1" si="25"/>
        <v>7961.35</v>
      </c>
      <c r="W111" s="127">
        <f t="shared" ca="1" si="25"/>
        <v>7588.7809999999999</v>
      </c>
      <c r="X111" s="127">
        <f t="shared" ca="1" si="25"/>
        <v>7202.3919999999998</v>
      </c>
      <c r="Y111" s="127">
        <f t="shared" ca="1" si="25"/>
        <v>6810.6880000000001</v>
      </c>
      <c r="Z111" s="127">
        <f t="shared" ca="1" si="25"/>
        <v>6422.8040000000001</v>
      </c>
      <c r="AA111" s="127">
        <f t="shared" ca="1" si="25"/>
        <v>6046.4070000000002</v>
      </c>
      <c r="AB111" s="127">
        <f t="shared" ca="1" si="25"/>
        <v>6892.0529999999999</v>
      </c>
      <c r="AC111" s="127">
        <f t="shared" ca="1" si="25"/>
        <v>6788.9979999999996</v>
      </c>
      <c r="AD111" s="127">
        <f t="shared" ca="1" si="25"/>
        <v>6684.3509999999997</v>
      </c>
      <c r="AE111" s="127">
        <f t="shared" ca="1" si="25"/>
        <v>6580.8770000000004</v>
      </c>
      <c r="AF111" s="127">
        <f t="shared" ca="1" si="25"/>
        <v>6476.3270000000002</v>
      </c>
      <c r="AG111" s="127">
        <f t="shared" ca="1" si="25"/>
        <v>6367.527</v>
      </c>
      <c r="AH111" s="127">
        <f t="shared" ca="1" si="25"/>
        <v>6250.7349999999997</v>
      </c>
      <c r="AI111" s="127">
        <f t="shared" ca="1" si="25"/>
        <v>6121.7430000000004</v>
      </c>
      <c r="AJ111" s="127">
        <f t="shared" ca="1" si="25"/>
        <v>5975.9570000000003</v>
      </c>
      <c r="AK111" s="127">
        <f t="shared" ca="1" si="25"/>
        <v>5808.4809999999998</v>
      </c>
      <c r="AL111" s="127">
        <f t="shared" ca="1" si="25"/>
        <v>5614.3360000000002</v>
      </c>
      <c r="AM111" s="127">
        <f t="shared" ca="1" si="25"/>
        <v>5388.8239999999996</v>
      </c>
      <c r="AN111" s="127">
        <f t="shared" ca="1" si="25"/>
        <v>5128.0749999999998</v>
      </c>
      <c r="AO111" s="127">
        <f t="shared" ca="1" si="25"/>
        <v>4829.7079999999996</v>
      </c>
      <c r="AP111" s="127">
        <f t="shared" ca="1" si="25"/>
        <v>4543.982</v>
      </c>
      <c r="AQ111" s="127">
        <f t="shared" ca="1" si="25"/>
        <v>4235.0550000000003</v>
      </c>
      <c r="AR111" s="127">
        <f t="shared" ca="1" si="25"/>
        <v>3933.36</v>
      </c>
      <c r="AS111" s="127">
        <f t="shared" ca="1" si="25"/>
        <v>3621.777</v>
      </c>
      <c r="AT111" s="127">
        <f t="shared" ca="1" si="25"/>
        <v>3306.2370000000001</v>
      </c>
      <c r="AU111" s="127">
        <f t="shared" ca="1" si="25"/>
        <v>2993.5790000000002</v>
      </c>
    </row>
    <row r="112" spans="2:47" x14ac:dyDescent="0.25">
      <c r="B112" t="s">
        <v>866</v>
      </c>
      <c r="C112" s="127">
        <f t="shared" ca="1" si="24"/>
        <v>14525.44</v>
      </c>
      <c r="D112" s="127">
        <f t="shared" ca="1" si="24"/>
        <v>13691.79</v>
      </c>
      <c r="E112" s="127">
        <f t="shared" ca="1" si="24"/>
        <v>12505.02</v>
      </c>
      <c r="F112" s="127">
        <f t="shared" ca="1" si="24"/>
        <v>11179.36</v>
      </c>
      <c r="G112" s="127">
        <f t="shared" ca="1" si="24"/>
        <v>9818.7459999999992</v>
      </c>
      <c r="H112" s="127">
        <f t="shared" ca="1" si="24"/>
        <v>8501.6839999999993</v>
      </c>
      <c r="I112" s="127">
        <f t="shared" ca="1" si="24"/>
        <v>7041.4279999999999</v>
      </c>
      <c r="J112" s="127">
        <f t="shared" ca="1" si="24"/>
        <v>5258.7209999999995</v>
      </c>
      <c r="K112" s="127">
        <f t="shared" ca="1" si="24"/>
        <v>3344.6610000000001</v>
      </c>
      <c r="L112" s="127">
        <f t="shared" ca="1" si="18"/>
        <v>2911.346</v>
      </c>
      <c r="M112" s="127">
        <f t="shared" ca="1" si="25"/>
        <v>2870.03</v>
      </c>
      <c r="N112" s="127">
        <f t="shared" ca="1" si="25"/>
        <v>2976.837</v>
      </c>
      <c r="O112" s="127">
        <f t="shared" ca="1" si="25"/>
        <v>3154.0149999999999</v>
      </c>
      <c r="P112" s="127">
        <f t="shared" ca="1" si="25"/>
        <v>3347.5</v>
      </c>
      <c r="Q112" s="127">
        <f t="shared" ca="1" si="25"/>
        <v>3528.259</v>
      </c>
      <c r="R112" s="127">
        <f t="shared" ca="1" si="25"/>
        <v>3626.6750000000002</v>
      </c>
      <c r="S112" s="127">
        <f t="shared" ca="1" si="25"/>
        <v>3764.9369999999999</v>
      </c>
      <c r="T112" s="127">
        <f t="shared" ca="1" si="25"/>
        <v>3874.7289999999998</v>
      </c>
      <c r="U112" s="127">
        <f t="shared" ca="1" si="25"/>
        <v>3947.2449999999999</v>
      </c>
      <c r="V112" s="127">
        <f t="shared" ca="1" si="25"/>
        <v>3979.5450000000001</v>
      </c>
      <c r="W112" s="127">
        <f t="shared" ca="1" si="25"/>
        <v>3972.165</v>
      </c>
      <c r="X112" s="127">
        <f t="shared" ca="1" si="25"/>
        <v>3925.5549999999998</v>
      </c>
      <c r="Y112" s="127">
        <f t="shared" ca="1" si="25"/>
        <v>3845.7379999999998</v>
      </c>
      <c r="Z112" s="127">
        <f t="shared" ca="1" si="25"/>
        <v>3740.0740000000001</v>
      </c>
      <c r="AA112" s="127">
        <f t="shared" ca="1" si="25"/>
        <v>3615.88</v>
      </c>
      <c r="AB112" s="127">
        <f t="shared" ca="1" si="25"/>
        <v>4161.2139999999999</v>
      </c>
      <c r="AC112" s="127">
        <f t="shared" ca="1" si="25"/>
        <v>4107.0140000000001</v>
      </c>
      <c r="AD112" s="127">
        <f t="shared" ca="1" si="25"/>
        <v>4038.337</v>
      </c>
      <c r="AE112" s="127">
        <f t="shared" ca="1" si="25"/>
        <v>3965.556</v>
      </c>
      <c r="AF112" s="127">
        <f t="shared" ca="1" si="25"/>
        <v>3891.3240000000001</v>
      </c>
      <c r="AG112" s="127">
        <f t="shared" ca="1" si="25"/>
        <v>3815.607</v>
      </c>
      <c r="AH112" s="127">
        <f t="shared" ca="1" si="25"/>
        <v>3737.09</v>
      </c>
      <c r="AI112" s="127">
        <f t="shared" ca="1" si="25"/>
        <v>3653.7820000000002</v>
      </c>
      <c r="AJ112" s="127">
        <f t="shared" ca="1" si="25"/>
        <v>3563.27</v>
      </c>
      <c r="AK112" s="127">
        <f t="shared" ca="1" si="25"/>
        <v>3462.83</v>
      </c>
      <c r="AL112" s="127">
        <f t="shared" ca="1" si="25"/>
        <v>3349.5329999999999</v>
      </c>
      <c r="AM112" s="127">
        <f t="shared" ca="1" si="25"/>
        <v>3220.4119999999998</v>
      </c>
      <c r="AN112" s="127">
        <f t="shared" ca="1" si="25"/>
        <v>3072.732</v>
      </c>
      <c r="AO112" s="127">
        <f t="shared" ca="1" si="25"/>
        <v>2904.3560000000002</v>
      </c>
      <c r="AP112" s="127">
        <f t="shared" ca="1" si="25"/>
        <v>2744.6680000000001</v>
      </c>
      <c r="AQ112" s="127">
        <f t="shared" ca="1" si="25"/>
        <v>2571.2040000000002</v>
      </c>
      <c r="AR112" s="127">
        <f t="shared" ca="1" si="25"/>
        <v>2408.8989999999999</v>
      </c>
      <c r="AS112" s="127">
        <f t="shared" ca="1" si="25"/>
        <v>2240.48</v>
      </c>
      <c r="AT112" s="127">
        <f t="shared" ca="1" si="25"/>
        <v>2066.29</v>
      </c>
      <c r="AU112" s="127">
        <f t="shared" ca="1" si="25"/>
        <v>1889.2339999999999</v>
      </c>
    </row>
    <row r="113" spans="2:47" x14ac:dyDescent="0.25">
      <c r="B113" t="s">
        <v>867</v>
      </c>
      <c r="C113" s="127">
        <f t="shared" ca="1" si="24"/>
        <v>13010.51</v>
      </c>
      <c r="D113" s="127">
        <f t="shared" ca="1" si="24"/>
        <v>12066.87</v>
      </c>
      <c r="E113" s="127">
        <f t="shared" ca="1" si="24"/>
        <v>10700.94</v>
      </c>
      <c r="F113" s="127">
        <f t="shared" ca="1" si="24"/>
        <v>9161.5689999999995</v>
      </c>
      <c r="G113" s="127">
        <f t="shared" ca="1" si="24"/>
        <v>7582.0330000000004</v>
      </c>
      <c r="H113" s="127">
        <f t="shared" ca="1" si="24"/>
        <v>6376.9560000000001</v>
      </c>
      <c r="I113" s="127">
        <f t="shared" ca="1" si="24"/>
        <v>5242.0230000000001</v>
      </c>
      <c r="J113" s="127">
        <f t="shared" ca="1" si="24"/>
        <v>3948.8519999999999</v>
      </c>
      <c r="K113" s="127">
        <f t="shared" ca="1" si="24"/>
        <v>2555.5230000000001</v>
      </c>
      <c r="L113" s="127">
        <f t="shared" ca="1" si="18"/>
        <v>1838.6410000000001</v>
      </c>
      <c r="M113" s="127">
        <f t="shared" ca="1" si="25"/>
        <v>1481.835</v>
      </c>
      <c r="N113" s="127">
        <f t="shared" ca="1" si="25"/>
        <v>1244.626</v>
      </c>
      <c r="O113" s="127">
        <f t="shared" ca="1" si="25"/>
        <v>1069.5640000000001</v>
      </c>
      <c r="P113" s="127">
        <f t="shared" ca="1" si="25"/>
        <v>925.54039999999998</v>
      </c>
      <c r="Q113" s="127">
        <f t="shared" ca="1" si="25"/>
        <v>824.9588</v>
      </c>
      <c r="R113" s="127">
        <f t="shared" ref="M113:AU115" ca="1" si="26">Output("SCEN_ADEMEhaut",$B113,R$1)</f>
        <v>689.0462</v>
      </c>
      <c r="S113" s="127">
        <f t="shared" ca="1" si="26"/>
        <v>561.99009999999998</v>
      </c>
      <c r="T113" s="127">
        <f t="shared" ca="1" si="26"/>
        <v>437.07859999999999</v>
      </c>
      <c r="U113" s="127">
        <f t="shared" ca="1" si="26"/>
        <v>317.7833</v>
      </c>
      <c r="V113" s="127">
        <f t="shared" ca="1" si="26"/>
        <v>206.63380000000001</v>
      </c>
      <c r="W113" s="127">
        <f t="shared" ca="1" si="26"/>
        <v>105.5044</v>
      </c>
      <c r="X113" s="127">
        <f t="shared" ca="1" si="26"/>
        <v>50.671939999999999</v>
      </c>
      <c r="Y113" s="127">
        <f t="shared" ca="1" si="26"/>
        <v>24.240670000000001</v>
      </c>
      <c r="Z113" s="127">
        <f t="shared" ca="1" si="26"/>
        <v>11.55758</v>
      </c>
      <c r="AA113" s="127">
        <f t="shared" ca="1" si="26"/>
        <v>5.4963980000000001</v>
      </c>
      <c r="AB113" s="127">
        <f t="shared" ca="1" si="26"/>
        <v>3.1615150000000001</v>
      </c>
      <c r="AC113" s="127">
        <f t="shared" ca="1" si="26"/>
        <v>1.569536</v>
      </c>
      <c r="AD113" s="127">
        <f t="shared" ca="1" si="26"/>
        <v>0.77795199999999998</v>
      </c>
      <c r="AE113" s="127">
        <f t="shared" ca="1" si="26"/>
        <v>0.38519300000000001</v>
      </c>
      <c r="AF113" s="127">
        <f t="shared" ca="1" si="26"/>
        <v>0.19045899999999999</v>
      </c>
      <c r="AG113" s="127">
        <f t="shared" ca="1" si="26"/>
        <v>9.3966999999999995E-2</v>
      </c>
      <c r="AH113" s="127">
        <f t="shared" ca="1" si="26"/>
        <v>4.6114000000000002E-2</v>
      </c>
      <c r="AI113" s="127">
        <f t="shared" ca="1" si="26"/>
        <v>2.2439000000000001E-2</v>
      </c>
      <c r="AJ113" s="127">
        <f t="shared" ca="1" si="26"/>
        <v>1.0730999999999999E-2</v>
      </c>
      <c r="AK113" s="127">
        <f t="shared" ca="1" si="26"/>
        <v>4.9350000000000002E-3</v>
      </c>
      <c r="AL113" s="127">
        <f t="shared" ca="1" si="26"/>
        <v>2.0530000000000001E-3</v>
      </c>
      <c r="AM113" s="127">
        <f t="shared" ca="1" si="26"/>
        <v>6.1499999999999999E-4</v>
      </c>
      <c r="AN113" s="127">
        <f t="shared" ca="1" si="26"/>
        <v>-7.08E-5</v>
      </c>
      <c r="AO113" s="127">
        <f t="shared" ca="1" si="26"/>
        <v>-1.27E-4</v>
      </c>
      <c r="AP113" s="127">
        <f t="shared" ca="1" si="26"/>
        <v>-2.5999999999999998E-4</v>
      </c>
      <c r="AQ113" s="127">
        <f t="shared" ca="1" si="26"/>
        <v>-4.9799999999999996E-4</v>
      </c>
      <c r="AR113" s="127">
        <f t="shared" ca="1" si="26"/>
        <v>-1.95E-4</v>
      </c>
      <c r="AS113" s="127">
        <f t="shared" ca="1" si="26"/>
        <v>-3.57E-5</v>
      </c>
      <c r="AT113" s="127">
        <f t="shared" ca="1" si="26"/>
        <v>-5.3600000000000002E-4</v>
      </c>
      <c r="AU113" s="127">
        <f t="shared" ca="1" si="26"/>
        <v>-1.6699999999999999E-4</v>
      </c>
    </row>
    <row r="114" spans="2:47" x14ac:dyDescent="0.25">
      <c r="B114" t="s">
        <v>868</v>
      </c>
      <c r="C114" s="127">
        <f t="shared" ca="1" si="24"/>
        <v>6159.2650000000003</v>
      </c>
      <c r="D114" s="127">
        <f t="shared" ca="1" si="24"/>
        <v>5289.3220000000001</v>
      </c>
      <c r="E114" s="127">
        <f t="shared" ca="1" si="24"/>
        <v>3978.2719999999999</v>
      </c>
      <c r="F114" s="127">
        <f t="shared" ca="1" si="24"/>
        <v>2466.08</v>
      </c>
      <c r="G114" s="127">
        <f t="shared" ca="1" si="24"/>
        <v>1238.22</v>
      </c>
      <c r="H114" s="127">
        <f t="shared" ca="1" si="24"/>
        <v>647.79300000000001</v>
      </c>
      <c r="I114" s="127">
        <f t="shared" ca="1" si="24"/>
        <v>753.32309999999995</v>
      </c>
      <c r="J114" s="127">
        <f t="shared" ca="1" si="24"/>
        <v>1164.7750000000001</v>
      </c>
      <c r="K114" s="127">
        <f t="shared" ca="1" si="24"/>
        <v>1586.5409999999999</v>
      </c>
      <c r="L114" s="127">
        <f t="shared" ca="1" si="18"/>
        <v>788.49109999999996</v>
      </c>
      <c r="M114" s="127">
        <f t="shared" ca="1" si="26"/>
        <v>395.2867</v>
      </c>
      <c r="N114" s="127">
        <f t="shared" ca="1" si="26"/>
        <v>196.52510000000001</v>
      </c>
      <c r="O114" s="127">
        <f t="shared" ca="1" si="26"/>
        <v>97.547120000000007</v>
      </c>
      <c r="P114" s="127">
        <f t="shared" ca="1" si="26"/>
        <v>48.342750000000002</v>
      </c>
      <c r="Q114" s="127">
        <f t="shared" ca="1" si="26"/>
        <v>24.223379999999999</v>
      </c>
      <c r="R114" s="127">
        <f t="shared" ca="1" si="26"/>
        <v>11.73368</v>
      </c>
      <c r="S114" s="127">
        <f t="shared" ca="1" si="26"/>
        <v>5.7478290000000003</v>
      </c>
      <c r="T114" s="127">
        <f t="shared" ca="1" si="26"/>
        <v>2.8062170000000002</v>
      </c>
      <c r="U114" s="127">
        <f t="shared" ca="1" si="26"/>
        <v>1.364886</v>
      </c>
      <c r="V114" s="127">
        <f t="shared" ca="1" si="26"/>
        <v>0.66113900000000003</v>
      </c>
      <c r="W114" s="127">
        <f t="shared" ca="1" si="26"/>
        <v>0.318888</v>
      </c>
      <c r="X114" s="127">
        <f t="shared" ca="1" si="26"/>
        <v>0.15315699999999999</v>
      </c>
      <c r="Y114" s="127">
        <f t="shared" ca="1" si="26"/>
        <v>7.3268E-2</v>
      </c>
      <c r="Z114" s="127">
        <f t="shared" ca="1" si="26"/>
        <v>3.4932999999999999E-2</v>
      </c>
      <c r="AA114" s="127">
        <f t="shared" ca="1" si="26"/>
        <v>1.6612999999999999E-2</v>
      </c>
      <c r="AB114" s="127">
        <f t="shared" ca="1" si="26"/>
        <v>9.5569999999999995E-3</v>
      </c>
      <c r="AC114" s="127">
        <f t="shared" ca="1" si="26"/>
        <v>4.7450000000000001E-3</v>
      </c>
      <c r="AD114" s="127">
        <f t="shared" ca="1" si="26"/>
        <v>2.3530000000000001E-3</v>
      </c>
      <c r="AE114" s="127">
        <f t="shared" ca="1" si="26"/>
        <v>1.165E-3</v>
      </c>
      <c r="AF114" s="127">
        <f t="shared" ca="1" si="26"/>
        <v>5.7700000000000004E-4</v>
      </c>
      <c r="AG114" s="127">
        <f t="shared" ca="1" si="26"/>
        <v>2.8499999999999999E-4</v>
      </c>
      <c r="AH114" s="127">
        <f t="shared" ca="1" si="26"/>
        <v>1.4100000000000001E-4</v>
      </c>
      <c r="AI114" s="127">
        <f t="shared" ca="1" si="26"/>
        <v>6.9300000000000004E-5</v>
      </c>
      <c r="AJ114" s="127">
        <f t="shared" ca="1" si="26"/>
        <v>3.4E-5</v>
      </c>
      <c r="AK114" s="127">
        <f t="shared" ca="1" si="26"/>
        <v>1.66E-5</v>
      </c>
      <c r="AL114" s="127">
        <f t="shared" ca="1" si="26"/>
        <v>8.0700000000000007E-6</v>
      </c>
      <c r="AM114" s="127">
        <f t="shared" ca="1" si="26"/>
        <v>3.8999999999999999E-6</v>
      </c>
      <c r="AN114" s="127">
        <f t="shared" ca="1" si="26"/>
        <v>1.8700000000000001E-6</v>
      </c>
      <c r="AO114" s="127">
        <f t="shared" ca="1" si="26"/>
        <v>8.8599999999999997E-7</v>
      </c>
      <c r="AP114" s="127">
        <f t="shared" ca="1" si="26"/>
        <v>4.2100000000000002E-7</v>
      </c>
      <c r="AQ114" s="127">
        <f t="shared" ca="1" si="26"/>
        <v>1.98E-7</v>
      </c>
      <c r="AR114" s="127">
        <f t="shared" ca="1" si="26"/>
        <v>9.2299999999999999E-8</v>
      </c>
      <c r="AS114" s="127">
        <f t="shared" ca="1" si="26"/>
        <v>4.2699999999999999E-8</v>
      </c>
      <c r="AT114" s="127">
        <f t="shared" ca="1" si="26"/>
        <v>1.96E-8</v>
      </c>
      <c r="AU114" s="127">
        <f t="shared" ca="1" si="26"/>
        <v>8.91E-9</v>
      </c>
    </row>
    <row r="115" spans="2:47" x14ac:dyDescent="0.25">
      <c r="B115" t="s">
        <v>869</v>
      </c>
      <c r="C115" s="127">
        <f t="shared" ca="1" si="24"/>
        <v>2034.432</v>
      </c>
      <c r="D115" s="127">
        <f t="shared" ca="1" si="24"/>
        <v>1013.3579999999999</v>
      </c>
      <c r="E115" s="127">
        <f t="shared" ca="1" si="24"/>
        <v>507.88339999999999</v>
      </c>
      <c r="F115" s="127">
        <f t="shared" ca="1" si="24"/>
        <v>254.87639999999999</v>
      </c>
      <c r="G115" s="127">
        <f t="shared" ca="1" si="24"/>
        <v>127.9735</v>
      </c>
      <c r="H115" s="127">
        <f t="shared" ca="1" si="24"/>
        <v>64.387550000000005</v>
      </c>
      <c r="I115" s="127">
        <f t="shared" ca="1" si="24"/>
        <v>32.3932</v>
      </c>
      <c r="J115" s="127">
        <f t="shared" ca="1" si="24"/>
        <v>4750.777</v>
      </c>
      <c r="K115" s="127">
        <f t="shared" ca="1" si="24"/>
        <v>11662.45</v>
      </c>
      <c r="L115" s="127">
        <f t="shared" ca="1" si="18"/>
        <v>5796.09</v>
      </c>
      <c r="M115" s="127">
        <f t="shared" ca="1" si="26"/>
        <v>2905.6979999999999</v>
      </c>
      <c r="N115" s="127">
        <f t="shared" ca="1" si="26"/>
        <v>1444.6289999999999</v>
      </c>
      <c r="O115" s="127">
        <f t="shared" ca="1" si="26"/>
        <v>717.05550000000005</v>
      </c>
      <c r="P115" s="127">
        <f t="shared" ca="1" si="26"/>
        <v>355.36090000000002</v>
      </c>
      <c r="Q115" s="127">
        <f t="shared" ca="1" si="26"/>
        <v>178.06270000000001</v>
      </c>
      <c r="R115" s="127">
        <f t="shared" ca="1" si="26"/>
        <v>86.252709999999993</v>
      </c>
      <c r="S115" s="127">
        <f t="shared" ca="1" si="26"/>
        <v>42.2515</v>
      </c>
      <c r="T115" s="127">
        <f t="shared" ca="1" si="26"/>
        <v>20.628119999999999</v>
      </c>
      <c r="U115" s="127">
        <f t="shared" ca="1" si="26"/>
        <v>10.03309</v>
      </c>
      <c r="V115" s="127">
        <f t="shared" ca="1" si="26"/>
        <v>4.8599449999999997</v>
      </c>
      <c r="W115" s="127">
        <f t="shared" ca="1" si="26"/>
        <v>2.3441049999999999</v>
      </c>
      <c r="X115" s="127">
        <f t="shared" ca="1" si="26"/>
        <v>1.1258349999999999</v>
      </c>
      <c r="Y115" s="127">
        <f t="shared" ca="1" si="26"/>
        <v>0.53858399999999995</v>
      </c>
      <c r="Z115" s="127">
        <f t="shared" ca="1" si="26"/>
        <v>0.25679099999999999</v>
      </c>
      <c r="AA115" s="127">
        <f t="shared" ca="1" si="26"/>
        <v>0.122117</v>
      </c>
      <c r="AB115" s="127">
        <f t="shared" ca="1" si="26"/>
        <v>7.0249000000000006E-2</v>
      </c>
      <c r="AC115" s="127">
        <f t="shared" ca="1" si="26"/>
        <v>3.4881000000000002E-2</v>
      </c>
      <c r="AD115" s="127">
        <f t="shared" ca="1" si="26"/>
        <v>1.7294E-2</v>
      </c>
      <c r="AE115" s="127">
        <f t="shared" ca="1" si="26"/>
        <v>8.567E-3</v>
      </c>
      <c r="AF115" s="127">
        <f t="shared" ca="1" si="26"/>
        <v>4.2399999999999998E-3</v>
      </c>
      <c r="AG115" s="127">
        <f t="shared" ca="1" si="26"/>
        <v>2.0960000000000002E-3</v>
      </c>
      <c r="AH115" s="127">
        <f t="shared" ca="1" si="26"/>
        <v>1.034E-3</v>
      </c>
      <c r="AI115" s="127">
        <f t="shared" ca="1" si="26"/>
        <v>5.0900000000000001E-4</v>
      </c>
      <c r="AJ115" s="127">
        <f t="shared" ca="1" si="26"/>
        <v>2.5000000000000001E-4</v>
      </c>
      <c r="AK115" s="127">
        <f t="shared" ca="1" si="26"/>
        <v>1.22E-4</v>
      </c>
      <c r="AL115" s="127">
        <f t="shared" ca="1" si="26"/>
        <v>5.9299999999999998E-5</v>
      </c>
      <c r="AM115" s="127">
        <f t="shared" ca="1" si="26"/>
        <v>2.87E-5</v>
      </c>
      <c r="AN115" s="127">
        <f t="shared" ca="1" si="26"/>
        <v>1.3699999999999999E-5</v>
      </c>
      <c r="AO115" s="127">
        <f t="shared" ca="1" si="26"/>
        <v>6.5200000000000003E-6</v>
      </c>
      <c r="AP115" s="127">
        <f t="shared" ca="1" si="26"/>
        <v>3.0900000000000001E-6</v>
      </c>
      <c r="AQ115" s="127">
        <f t="shared" ca="1" si="26"/>
        <v>1.4500000000000001E-6</v>
      </c>
      <c r="AR115" s="127">
        <f t="shared" ca="1" si="26"/>
        <v>6.7899999999999998E-7</v>
      </c>
      <c r="AS115" s="127">
        <f t="shared" ca="1" si="26"/>
        <v>3.1399999999999998E-7</v>
      </c>
      <c r="AT115" s="127">
        <f t="shared" ca="1" si="26"/>
        <v>1.4399999999999999E-7</v>
      </c>
      <c r="AU115" s="127">
        <f t="shared" ca="1" si="26"/>
        <v>6.5499999999999998E-8</v>
      </c>
    </row>
    <row r="116" spans="2:47" x14ac:dyDescent="0.25">
      <c r="B116" t="s">
        <v>769</v>
      </c>
      <c r="C116" s="128">
        <f t="shared" ref="C116:K116" ca="1" si="27">SUM(C69:C105,C107:C115)</f>
        <v>368450.68949800002</v>
      </c>
      <c r="D116" s="128">
        <f t="shared" ca="1" si="27"/>
        <v>396541.70670999994</v>
      </c>
      <c r="E116" s="128">
        <f t="shared" ca="1" si="27"/>
        <v>397375.80193399999</v>
      </c>
      <c r="F116" s="128">
        <f t="shared" ca="1" si="27"/>
        <v>398136.53153500002</v>
      </c>
      <c r="G116" s="128">
        <f t="shared" ca="1" si="27"/>
        <v>399206.0555919999</v>
      </c>
      <c r="H116" s="128">
        <f t="shared" ca="1" si="27"/>
        <v>402128.65254600008</v>
      </c>
      <c r="I116" s="128">
        <f t="shared" ca="1" si="27"/>
        <v>405661.1762269999</v>
      </c>
      <c r="J116" s="128">
        <f t="shared" ca="1" si="27"/>
        <v>412622.13939100003</v>
      </c>
      <c r="K116" s="128">
        <f t="shared" ca="1" si="27"/>
        <v>421444.94361300016</v>
      </c>
      <c r="L116" s="128">
        <f ca="1">SUM(L69:L105,L107:L115)</f>
        <v>421109.33913099999</v>
      </c>
      <c r="M116" s="128">
        <f t="shared" ref="M116:AU116" ca="1" si="28">SUM(M69:M105,M107:M115)</f>
        <v>424832.69231700007</v>
      </c>
      <c r="N116" s="128">
        <f t="shared" ca="1" si="28"/>
        <v>430071.58379800001</v>
      </c>
      <c r="O116" s="128">
        <f t="shared" ca="1" si="28"/>
        <v>436227.92834200012</v>
      </c>
      <c r="P116" s="128">
        <f t="shared" ca="1" si="28"/>
        <v>442962.28986100003</v>
      </c>
      <c r="Q116" s="128">
        <f t="shared" ca="1" si="28"/>
        <v>450645.22773100011</v>
      </c>
      <c r="R116" s="128">
        <f t="shared" ca="1" si="28"/>
        <v>457332.88109399989</v>
      </c>
      <c r="S116" s="128">
        <f t="shared" ca="1" si="28"/>
        <v>464894.01304699999</v>
      </c>
      <c r="T116" s="128">
        <f t="shared" ca="1" si="28"/>
        <v>472724.46732299996</v>
      </c>
      <c r="U116" s="128">
        <f t="shared" ca="1" si="28"/>
        <v>480792.44642000005</v>
      </c>
      <c r="V116" s="128">
        <f ca="1">SUM(V69:V105,V107:V115)</f>
        <v>489077.39365199988</v>
      </c>
      <c r="W116" s="128">
        <f t="shared" ca="1" si="28"/>
        <v>497566.049031</v>
      </c>
      <c r="X116" s="128">
        <f t="shared" ca="1" si="28"/>
        <v>505917.60594999988</v>
      </c>
      <c r="Y116" s="128">
        <f t="shared" ca="1" si="28"/>
        <v>514452.7822379999</v>
      </c>
      <c r="Z116" s="128">
        <f t="shared" ca="1" si="28"/>
        <v>523193.33958400006</v>
      </c>
      <c r="AA116" s="128">
        <f t="shared" ca="1" si="28"/>
        <v>532165.63066800009</v>
      </c>
      <c r="AB116" s="128">
        <f t="shared" ca="1" si="28"/>
        <v>546957.44355099986</v>
      </c>
      <c r="AC116" s="128">
        <f t="shared" ca="1" si="28"/>
        <v>556482.16506600007</v>
      </c>
      <c r="AD116" s="128">
        <f t="shared" ca="1" si="28"/>
        <v>565374.96624400013</v>
      </c>
      <c r="AE116" s="128">
        <f t="shared" ca="1" si="28"/>
        <v>573835.81796900008</v>
      </c>
      <c r="AF116" s="128">
        <f t="shared" ca="1" si="28"/>
        <v>581992.73031600006</v>
      </c>
      <c r="AG116" s="128">
        <f t="shared" ca="1" si="28"/>
        <v>589955.28804299992</v>
      </c>
      <c r="AH116" s="128">
        <f t="shared" ca="1" si="28"/>
        <v>597825.44108600006</v>
      </c>
      <c r="AI116" s="128">
        <f t="shared" ca="1" si="28"/>
        <v>605699.48507329973</v>
      </c>
      <c r="AJ116" s="128">
        <f t="shared" ca="1" si="28"/>
        <v>613673.49812600005</v>
      </c>
      <c r="AK116" s="128">
        <f t="shared" ca="1" si="28"/>
        <v>621841.12379559991</v>
      </c>
      <c r="AL116" s="128">
        <f t="shared" ca="1" si="28"/>
        <v>630294.5241743701</v>
      </c>
      <c r="AM116" s="128">
        <f t="shared" ca="1" si="28"/>
        <v>639124.78197660041</v>
      </c>
      <c r="AN116" s="128">
        <f t="shared" ca="1" si="28"/>
        <v>648427.81332276983</v>
      </c>
      <c r="AO116" s="128">
        <f t="shared" ca="1" si="28"/>
        <v>658308.24445240595</v>
      </c>
      <c r="AP116" s="128">
        <f t="shared" ca="1" si="28"/>
        <v>669141.38407551078</v>
      </c>
      <c r="AQ116" s="128">
        <f t="shared" ca="1" si="28"/>
        <v>680871.12331564818</v>
      </c>
      <c r="AR116" s="128">
        <f t="shared" ca="1" si="28"/>
        <v>693650.27315777144</v>
      </c>
      <c r="AS116" s="128">
        <f t="shared" ca="1" si="28"/>
        <v>707636.83419265668</v>
      </c>
      <c r="AT116" s="128">
        <f t="shared" ca="1" si="28"/>
        <v>723063.56314816349</v>
      </c>
      <c r="AU116" s="128">
        <f t="shared" ca="1" si="28"/>
        <v>740164.73438107467</v>
      </c>
    </row>
    <row r="119" spans="2:47" x14ac:dyDescent="0.25">
      <c r="B119" t="s">
        <v>873</v>
      </c>
      <c r="C119" s="128">
        <f t="shared" ref="C119:E119" ca="1" si="29">SUM(C60:C62)</f>
        <v>19763.991259999999</v>
      </c>
      <c r="D119" s="128">
        <f t="shared" ca="1" si="29"/>
        <v>21158.872799999997</v>
      </c>
      <c r="E119" s="128">
        <f t="shared" ca="1" si="29"/>
        <v>23210.141</v>
      </c>
      <c r="F119" s="128">
        <f t="shared" ref="F119:K119" ca="1" si="30">SUM(F60:F62)</f>
        <v>25476.597999999998</v>
      </c>
      <c r="G119" s="128">
        <f t="shared" ca="1" si="30"/>
        <v>27691.553</v>
      </c>
      <c r="H119" s="128">
        <f t="shared" ca="1" si="30"/>
        <v>29549.148000000001</v>
      </c>
      <c r="I119" s="128">
        <f t="shared" ca="1" si="30"/>
        <v>31250.508000000002</v>
      </c>
      <c r="J119" s="128">
        <f t="shared" ca="1" si="30"/>
        <v>31768.699000000001</v>
      </c>
      <c r="K119" s="128">
        <f t="shared" ca="1" si="30"/>
        <v>31879.785</v>
      </c>
      <c r="L119" s="128">
        <f ca="1">SUM(L60:L62)</f>
        <v>30954.981999999996</v>
      </c>
      <c r="M119" s="128">
        <f t="shared" ref="M119:AU119" ca="1" si="31">SUM(M60:M62)</f>
        <v>31081.887000000002</v>
      </c>
      <c r="N119" s="128">
        <f t="shared" ca="1" si="31"/>
        <v>32291.713</v>
      </c>
      <c r="O119" s="128">
        <f t="shared" ca="1" si="31"/>
        <v>34065.140999999996</v>
      </c>
      <c r="P119" s="128">
        <f t="shared" ca="1" si="31"/>
        <v>35375.497000000003</v>
      </c>
      <c r="Q119" s="128">
        <f t="shared" ca="1" si="31"/>
        <v>36430.375</v>
      </c>
      <c r="R119" s="128">
        <f t="shared" ca="1" si="31"/>
        <v>36129.520000000004</v>
      </c>
      <c r="S119" s="128">
        <f t="shared" ca="1" si="31"/>
        <v>35952.504000000001</v>
      </c>
      <c r="T119" s="128">
        <f t="shared" ca="1" si="31"/>
        <v>35672.665000000001</v>
      </c>
      <c r="U119" s="128">
        <f t="shared" ca="1" si="31"/>
        <v>35341.279999999999</v>
      </c>
      <c r="V119" s="128">
        <f t="shared" ca="1" si="31"/>
        <v>34981.063999999998</v>
      </c>
      <c r="W119" s="128">
        <f t="shared" ca="1" si="31"/>
        <v>34601.058000000005</v>
      </c>
      <c r="X119" s="128">
        <f t="shared" ca="1" si="31"/>
        <v>34202.974999999999</v>
      </c>
      <c r="Y119" s="128">
        <f t="shared" ca="1" si="31"/>
        <v>33787.763999999996</v>
      </c>
      <c r="Z119" s="128">
        <f t="shared" ca="1" si="31"/>
        <v>33354.036999999997</v>
      </c>
      <c r="AA119" s="128">
        <f t="shared" ca="1" si="31"/>
        <v>32900.657999999996</v>
      </c>
      <c r="AB119" s="128">
        <f t="shared" ca="1" si="31"/>
        <v>32325.822</v>
      </c>
      <c r="AC119" s="128">
        <f t="shared" ca="1" si="31"/>
        <v>31821.539000000001</v>
      </c>
      <c r="AD119" s="128">
        <f t="shared" ca="1" si="31"/>
        <v>31254.666000000001</v>
      </c>
      <c r="AE119" s="128">
        <f t="shared" ca="1" si="31"/>
        <v>30634.17</v>
      </c>
      <c r="AF119" s="128">
        <f t="shared" ca="1" si="31"/>
        <v>29968.782999999999</v>
      </c>
      <c r="AG119" s="128">
        <f t="shared" ca="1" si="31"/>
        <v>29256.075999999997</v>
      </c>
      <c r="AH119" s="128">
        <f t="shared" ca="1" si="31"/>
        <v>28504.863000000001</v>
      </c>
      <c r="AI119" s="128">
        <f t="shared" ca="1" si="31"/>
        <v>27725.327999999998</v>
      </c>
      <c r="AJ119" s="128">
        <f t="shared" ca="1" si="31"/>
        <v>26925.017</v>
      </c>
      <c r="AK119" s="128">
        <f t="shared" ca="1" si="31"/>
        <v>26110.114000000001</v>
      </c>
      <c r="AL119" s="128">
        <f t="shared" ca="1" si="31"/>
        <v>25285.989000000001</v>
      </c>
      <c r="AM119" s="128">
        <f t="shared" ca="1" si="31"/>
        <v>24457.508999999998</v>
      </c>
      <c r="AN119" s="128">
        <f t="shared" ca="1" si="31"/>
        <v>23629.093000000001</v>
      </c>
      <c r="AO119" s="128">
        <f t="shared" ca="1" si="31"/>
        <v>22804.742000000002</v>
      </c>
      <c r="AP119" s="128">
        <f t="shared" ca="1" si="31"/>
        <v>22248.434999999998</v>
      </c>
      <c r="AQ119" s="128">
        <f t="shared" ca="1" si="31"/>
        <v>21718.596999999998</v>
      </c>
      <c r="AR119" s="128">
        <f t="shared" ca="1" si="31"/>
        <v>21210.01</v>
      </c>
      <c r="AS119" s="128">
        <f t="shared" ca="1" si="31"/>
        <v>20718.705999999998</v>
      </c>
      <c r="AT119" s="128">
        <f t="shared" ca="1" si="31"/>
        <v>20250.615000000002</v>
      </c>
      <c r="AU119" s="128">
        <f t="shared" ca="1" si="31"/>
        <v>19804.493999999999</v>
      </c>
    </row>
    <row r="120" spans="2:47" x14ac:dyDescent="0.25">
      <c r="B120" t="s">
        <v>874</v>
      </c>
      <c r="C120" s="128">
        <f t="shared" ref="C120:E120" ca="1" si="32">SUM(C63:C66)</f>
        <v>35729.647000000004</v>
      </c>
      <c r="D120" s="128">
        <f t="shared" ca="1" si="32"/>
        <v>32131.88</v>
      </c>
      <c r="E120" s="128">
        <f t="shared" ca="1" si="32"/>
        <v>27859.419799999996</v>
      </c>
      <c r="F120" s="128">
        <f t="shared" ref="F120:K120" ca="1" si="33">SUM(F63:F66)</f>
        <v>23333.226200000001</v>
      </c>
      <c r="G120" s="128">
        <f t="shared" ca="1" si="33"/>
        <v>19054.390900000002</v>
      </c>
      <c r="H120" s="128">
        <f t="shared" ca="1" si="33"/>
        <v>16009.176559999998</v>
      </c>
      <c r="I120" s="128">
        <f t="shared" ca="1" si="33"/>
        <v>13579.18463</v>
      </c>
      <c r="J120" s="128">
        <f t="shared" ca="1" si="33"/>
        <v>15787.880999999999</v>
      </c>
      <c r="K120" s="128">
        <f t="shared" ca="1" si="33"/>
        <v>19867.972999999998</v>
      </c>
      <c r="L120" s="128">
        <f ca="1">SUM(L63:L66)</f>
        <v>26755.417000000001</v>
      </c>
      <c r="M120" s="128">
        <f t="shared" ref="M120:AU120" ca="1" si="34">SUM(M63:M66)</f>
        <v>26484.155999999999</v>
      </c>
      <c r="N120" s="128">
        <f t="shared" ca="1" si="34"/>
        <v>22051.749</v>
      </c>
      <c r="O120" s="128">
        <f t="shared" ca="1" si="34"/>
        <v>15116.553</v>
      </c>
      <c r="P120" s="128">
        <f t="shared" ca="1" si="34"/>
        <v>9502.4688999999998</v>
      </c>
      <c r="Q120" s="128">
        <f t="shared" ca="1" si="34"/>
        <v>6811.6762999999992</v>
      </c>
      <c r="R120" s="128">
        <f t="shared" ca="1" si="34"/>
        <v>5410.393</v>
      </c>
      <c r="S120" s="128">
        <f t="shared" ca="1" si="34"/>
        <v>4795.09717</v>
      </c>
      <c r="T120" s="128">
        <f t="shared" ca="1" si="34"/>
        <v>4526.1152499999998</v>
      </c>
      <c r="U120" s="128">
        <f t="shared" ca="1" si="34"/>
        <v>4417.23164</v>
      </c>
      <c r="V120" s="128">
        <f t="shared" ca="1" si="34"/>
        <v>4377.2589369999996</v>
      </c>
      <c r="W120" s="128">
        <f t="shared" ca="1" si="34"/>
        <v>4362.1881789999998</v>
      </c>
      <c r="X120" s="128">
        <f t="shared" ca="1" si="34"/>
        <v>4351.161278999999</v>
      </c>
      <c r="Y120" s="128">
        <f t="shared" ca="1" si="34"/>
        <v>4334.9496869999994</v>
      </c>
      <c r="Z120" s="128">
        <f t="shared" ca="1" si="34"/>
        <v>4309.6803360000004</v>
      </c>
      <c r="AA120" s="128">
        <f t="shared" ca="1" si="34"/>
        <v>4274.1457579999997</v>
      </c>
      <c r="AB120" s="128">
        <f t="shared" ca="1" si="34"/>
        <v>4163.6789330000001</v>
      </c>
      <c r="AC120" s="128">
        <f t="shared" ca="1" si="34"/>
        <v>4058.7224140000003</v>
      </c>
      <c r="AD120" s="128">
        <f t="shared" ca="1" si="34"/>
        <v>3956.2565129999998</v>
      </c>
      <c r="AE120" s="128">
        <f t="shared" ca="1" si="34"/>
        <v>3857.5559710000002</v>
      </c>
      <c r="AF120" s="128">
        <f t="shared" ca="1" si="34"/>
        <v>3760.1715750000003</v>
      </c>
      <c r="AG120" s="128">
        <f t="shared" ca="1" si="34"/>
        <v>3680.9298550000003</v>
      </c>
      <c r="AH120" s="128">
        <f t="shared" ca="1" si="34"/>
        <v>3613.3788519999998</v>
      </c>
      <c r="AI120" s="128">
        <f t="shared" ca="1" si="34"/>
        <v>3547.8522889999999</v>
      </c>
      <c r="AJ120" s="128">
        <f t="shared" ca="1" si="34"/>
        <v>3479.8907750000003</v>
      </c>
      <c r="AK120" s="128">
        <f t="shared" ca="1" si="34"/>
        <v>3407.6743959999999</v>
      </c>
      <c r="AL120" s="128">
        <f t="shared" ca="1" si="34"/>
        <v>3330.7130655999999</v>
      </c>
      <c r="AM120" s="128">
        <f t="shared" ca="1" si="34"/>
        <v>3249.1839397999993</v>
      </c>
      <c r="AN120" s="128">
        <f t="shared" ca="1" si="34"/>
        <v>3163.5822747000002</v>
      </c>
      <c r="AO120" s="128">
        <f t="shared" ca="1" si="34"/>
        <v>3074.5509288999997</v>
      </c>
      <c r="AP120" s="128">
        <f t="shared" ca="1" si="34"/>
        <v>3018.1099141499999</v>
      </c>
      <c r="AQ120" s="128">
        <f t="shared" ca="1" si="34"/>
        <v>2962.1430919100003</v>
      </c>
      <c r="AR120" s="128">
        <f t="shared" ca="1" si="34"/>
        <v>2928.5320211799999</v>
      </c>
      <c r="AS120" s="128">
        <f t="shared" ca="1" si="34"/>
        <v>2902.8121474449999</v>
      </c>
      <c r="AT120" s="128">
        <f t="shared" ca="1" si="34"/>
        <v>2879.6217901559999</v>
      </c>
      <c r="AU120" s="128">
        <f t="shared" ca="1" si="34"/>
        <v>2856.2861505399997</v>
      </c>
    </row>
    <row r="121" spans="2:47" x14ac:dyDescent="0.25">
      <c r="B121" t="s">
        <v>875</v>
      </c>
      <c r="C121" s="128">
        <f t="shared" ref="C121:E121" ca="1" si="35">SUM(C33:C37)</f>
        <v>10762.340999999999</v>
      </c>
      <c r="D121" s="128">
        <f t="shared" ca="1" si="35"/>
        <v>10716.056999999999</v>
      </c>
      <c r="E121" s="128">
        <f t="shared" ca="1" si="35"/>
        <v>10718.295999999998</v>
      </c>
      <c r="F121" s="128">
        <f t="shared" ref="F121:K121" ca="1" si="36">SUM(F33:F37)</f>
        <v>10742.148999999999</v>
      </c>
      <c r="G121" s="128">
        <f t="shared" ca="1" si="36"/>
        <v>10777.942000000001</v>
      </c>
      <c r="H121" s="128">
        <f t="shared" ca="1" si="36"/>
        <v>10856.872000000001</v>
      </c>
      <c r="I121" s="128">
        <f t="shared" ca="1" si="36"/>
        <v>10956.474000000002</v>
      </c>
      <c r="J121" s="128">
        <f t="shared" ca="1" si="36"/>
        <v>11064.922999999999</v>
      </c>
      <c r="K121" s="128">
        <f t="shared" ca="1" si="36"/>
        <v>11180.921999999999</v>
      </c>
      <c r="L121" s="128">
        <f ca="1">SUM(L33:L37)</f>
        <v>11303.682999999999</v>
      </c>
      <c r="M121" s="128">
        <f t="shared" ref="M121:AU121" ca="1" si="37">SUM(M33:M37)</f>
        <v>11438.957999999999</v>
      </c>
      <c r="N121" s="128">
        <f t="shared" ca="1" si="37"/>
        <v>11590.333000000002</v>
      </c>
      <c r="O121" s="128">
        <f t="shared" ca="1" si="37"/>
        <v>11756.645</v>
      </c>
      <c r="P121" s="128">
        <f t="shared" ca="1" si="37"/>
        <v>11934.947</v>
      </c>
      <c r="Q121" s="128">
        <f t="shared" ca="1" si="37"/>
        <v>12118.512000000001</v>
      </c>
      <c r="R121" s="128">
        <f t="shared" ca="1" si="37"/>
        <v>12307.861999999999</v>
      </c>
      <c r="S121" s="128">
        <f t="shared" ca="1" si="37"/>
        <v>12502.108999999999</v>
      </c>
      <c r="T121" s="128">
        <f t="shared" ca="1" si="37"/>
        <v>12699.579000000002</v>
      </c>
      <c r="U121" s="128">
        <f t="shared" ca="1" si="37"/>
        <v>12899.310999999998</v>
      </c>
      <c r="V121" s="128">
        <f t="shared" ca="1" si="37"/>
        <v>13100.904</v>
      </c>
      <c r="W121" s="128">
        <f t="shared" ca="1" si="37"/>
        <v>13304.434999999998</v>
      </c>
      <c r="X121" s="128">
        <f t="shared" ca="1" si="37"/>
        <v>13510.103999999999</v>
      </c>
      <c r="Y121" s="128">
        <f t="shared" ca="1" si="37"/>
        <v>13718.966</v>
      </c>
      <c r="Z121" s="128">
        <f t="shared" ca="1" si="37"/>
        <v>13932.425999999999</v>
      </c>
      <c r="AA121" s="128">
        <f t="shared" ca="1" si="37"/>
        <v>14152.165000000001</v>
      </c>
      <c r="AB121" s="128">
        <f t="shared" ca="1" si="37"/>
        <v>14381.007000000001</v>
      </c>
      <c r="AC121" s="128">
        <f t="shared" ca="1" si="37"/>
        <v>14621.475</v>
      </c>
      <c r="AD121" s="128">
        <f t="shared" ca="1" si="37"/>
        <v>14876.599000000002</v>
      </c>
      <c r="AE121" s="128">
        <f t="shared" ca="1" si="37"/>
        <v>15150.219000000001</v>
      </c>
      <c r="AF121" s="128">
        <f t="shared" ca="1" si="37"/>
        <v>15446.648999999999</v>
      </c>
      <c r="AG121" s="128">
        <f t="shared" ca="1" si="37"/>
        <v>15770.483</v>
      </c>
      <c r="AH121" s="128">
        <f t="shared" ca="1" si="37"/>
        <v>16126.456000000002</v>
      </c>
      <c r="AI121" s="128">
        <f t="shared" ca="1" si="37"/>
        <v>16519.403999999999</v>
      </c>
      <c r="AJ121" s="128">
        <f t="shared" ca="1" si="37"/>
        <v>16954.27</v>
      </c>
      <c r="AK121" s="128">
        <f t="shared" ca="1" si="37"/>
        <v>17436.132999999998</v>
      </c>
      <c r="AL121" s="128">
        <f t="shared" ca="1" si="37"/>
        <v>17970.234</v>
      </c>
      <c r="AM121" s="128">
        <f t="shared" ca="1" si="37"/>
        <v>18562.034</v>
      </c>
      <c r="AN121" s="128">
        <f t="shared" ca="1" si="37"/>
        <v>19217.266</v>
      </c>
      <c r="AO121" s="128">
        <f t="shared" ca="1" si="37"/>
        <v>19942.005999999998</v>
      </c>
      <c r="AP121" s="128">
        <f t="shared" ca="1" si="37"/>
        <v>20741.120999999999</v>
      </c>
      <c r="AQ121" s="128">
        <f t="shared" ca="1" si="37"/>
        <v>21620.09</v>
      </c>
      <c r="AR121" s="128">
        <f t="shared" ca="1" si="37"/>
        <v>22585.626999999997</v>
      </c>
      <c r="AS121" s="128">
        <f t="shared" ca="1" si="37"/>
        <v>23645.190000000002</v>
      </c>
      <c r="AT121" s="128">
        <f t="shared" ca="1" si="37"/>
        <v>24807.056000000004</v>
      </c>
      <c r="AU121" s="128">
        <f t="shared" ca="1" si="37"/>
        <v>26080.223000000002</v>
      </c>
    </row>
    <row r="122" spans="2:47" x14ac:dyDescent="0.25">
      <c r="B122" t="s">
        <v>876</v>
      </c>
      <c r="C122" s="128">
        <f t="shared" ref="C122:E122" ca="1" si="38">SUM(C40:C41,C51)</f>
        <v>1211.4133579999998</v>
      </c>
      <c r="D122" s="128">
        <f t="shared" ca="1" si="38"/>
        <v>1205.328563</v>
      </c>
      <c r="E122" s="128">
        <f t="shared" ca="1" si="38"/>
        <v>1186.837728</v>
      </c>
      <c r="F122" s="128">
        <f t="shared" ref="F122:K122" ca="1" si="39">SUM(F40:F41,F51)</f>
        <v>1161.1825159999999</v>
      </c>
      <c r="G122" s="128">
        <f t="shared" ca="1" si="39"/>
        <v>1132.6576909999999</v>
      </c>
      <c r="H122" s="128">
        <f t="shared" ca="1" si="39"/>
        <v>1116.9077379999999</v>
      </c>
      <c r="I122" s="128">
        <f t="shared" ca="1" si="39"/>
        <v>1106.995379</v>
      </c>
      <c r="J122" s="128">
        <f t="shared" ca="1" si="39"/>
        <v>1100.8572180000001</v>
      </c>
      <c r="K122" s="128">
        <f t="shared" ca="1" si="39"/>
        <v>1097.8178680000001</v>
      </c>
      <c r="L122" s="128">
        <f ca="1">SUM(L40:L41,L51)</f>
        <v>1097.7589990000001</v>
      </c>
      <c r="M122" s="128">
        <f t="shared" ref="M122:AU122" ca="1" si="40">SUM(M40:M41,M51)</f>
        <v>1098.3758230000001</v>
      </c>
      <c r="N122" s="128">
        <f t="shared" ca="1" si="40"/>
        <v>1098.154049</v>
      </c>
      <c r="O122" s="128">
        <f t="shared" ca="1" si="40"/>
        <v>1096.321598</v>
      </c>
      <c r="P122" s="128">
        <f t="shared" ca="1" si="40"/>
        <v>1092.7361420000002</v>
      </c>
      <c r="Q122" s="128">
        <f t="shared" ca="1" si="40"/>
        <v>1088.310097</v>
      </c>
      <c r="R122" s="128">
        <f t="shared" ca="1" si="40"/>
        <v>1082.7230920000002</v>
      </c>
      <c r="S122" s="128">
        <f t="shared" ca="1" si="40"/>
        <v>1076.0433399999999</v>
      </c>
      <c r="T122" s="128">
        <f t="shared" ca="1" si="40"/>
        <v>1068.3514970000001</v>
      </c>
      <c r="U122" s="128">
        <f t="shared" ca="1" si="40"/>
        <v>1059.736879</v>
      </c>
      <c r="V122" s="128">
        <f t="shared" ca="1" si="40"/>
        <v>1050.2862690000002</v>
      </c>
      <c r="W122" s="128">
        <f t="shared" ca="1" si="40"/>
        <v>1040.079823</v>
      </c>
      <c r="X122" s="128">
        <f t="shared" ca="1" si="40"/>
        <v>1029.041238</v>
      </c>
      <c r="Y122" s="128">
        <f t="shared" ca="1" si="40"/>
        <v>1017.2354759999998</v>
      </c>
      <c r="Z122" s="128">
        <f t="shared" ca="1" si="40"/>
        <v>1004.7506699999999</v>
      </c>
      <c r="AA122" s="128">
        <f t="shared" ca="1" si="40"/>
        <v>991.67248599999994</v>
      </c>
      <c r="AB122" s="128">
        <f t="shared" ca="1" si="40"/>
        <v>977.24212199999988</v>
      </c>
      <c r="AC122" s="128">
        <f t="shared" ca="1" si="40"/>
        <v>961.74130500000001</v>
      </c>
      <c r="AD122" s="128">
        <f t="shared" ca="1" si="40"/>
        <v>945.37309699999992</v>
      </c>
      <c r="AE122" s="128">
        <f t="shared" ca="1" si="40"/>
        <v>928.28243399999997</v>
      </c>
      <c r="AF122" s="128">
        <f t="shared" ca="1" si="40"/>
        <v>910.58137599999998</v>
      </c>
      <c r="AG122" s="128">
        <f t="shared" ca="1" si="40"/>
        <v>892.36217699999997</v>
      </c>
      <c r="AH122" s="128">
        <f t="shared" ca="1" si="40"/>
        <v>873.70117500000003</v>
      </c>
      <c r="AI122" s="128">
        <f t="shared" ca="1" si="40"/>
        <v>854.66129699999999</v>
      </c>
      <c r="AJ122" s="128">
        <f t="shared" ca="1" si="40"/>
        <v>835.29555000000005</v>
      </c>
      <c r="AK122" s="128">
        <f t="shared" ca="1" si="40"/>
        <v>815.64932399999998</v>
      </c>
      <c r="AL122" s="128">
        <f t="shared" ca="1" si="40"/>
        <v>795.76178699999991</v>
      </c>
      <c r="AM122" s="128">
        <f t="shared" ca="1" si="40"/>
        <v>775.66848400000003</v>
      </c>
      <c r="AN122" s="128">
        <f t="shared" ca="1" si="40"/>
        <v>755.4018430000001</v>
      </c>
      <c r="AO122" s="128">
        <f t="shared" ca="1" si="40"/>
        <v>734.99387400000001</v>
      </c>
      <c r="AP122" s="128">
        <f t="shared" ca="1" si="40"/>
        <v>714.50002599999993</v>
      </c>
      <c r="AQ122" s="128">
        <f t="shared" ca="1" si="40"/>
        <v>693.95196699999997</v>
      </c>
      <c r="AR122" s="128">
        <f t="shared" ca="1" si="40"/>
        <v>673.53751699999998</v>
      </c>
      <c r="AS122" s="128">
        <f t="shared" ca="1" si="40"/>
        <v>653.18290200000001</v>
      </c>
      <c r="AT122" s="128">
        <f t="shared" ca="1" si="40"/>
        <v>632.89148499999988</v>
      </c>
      <c r="AU122" s="128">
        <f t="shared" ca="1" si="40"/>
        <v>612.69157200000006</v>
      </c>
    </row>
    <row r="123" spans="2:47" x14ac:dyDescent="0.25">
      <c r="B123" t="s">
        <v>877</v>
      </c>
      <c r="C123" s="128">
        <f t="shared" ref="C123:E123" ca="1" si="41">SUM(C42,C47:C50,C52:C56)</f>
        <v>2395.4502800000005</v>
      </c>
      <c r="D123" s="128">
        <f t="shared" ca="1" si="41"/>
        <v>2485.2407700000003</v>
      </c>
      <c r="E123" s="128">
        <f t="shared" ca="1" si="41"/>
        <v>2731.4941800000006</v>
      </c>
      <c r="F123" s="128">
        <f t="shared" ref="F123:K123" ca="1" si="42">SUM(F42,F47:F50,F52:F56)</f>
        <v>3123.1572400000005</v>
      </c>
      <c r="G123" s="128">
        <f t="shared" ca="1" si="42"/>
        <v>3606.4354800000001</v>
      </c>
      <c r="H123" s="128">
        <f t="shared" ca="1" si="42"/>
        <v>3846.66921</v>
      </c>
      <c r="I123" s="128">
        <f t="shared" ca="1" si="42"/>
        <v>3982.3296599999999</v>
      </c>
      <c r="J123" s="128">
        <f t="shared" ca="1" si="42"/>
        <v>4070.9563699999994</v>
      </c>
      <c r="K123" s="128">
        <f t="shared" ca="1" si="42"/>
        <v>4141.08115</v>
      </c>
      <c r="L123" s="128">
        <f ca="1">SUM(L42,L47:L50,L52:L56)</f>
        <v>4203.66302</v>
      </c>
      <c r="M123" s="128">
        <f t="shared" ref="M123:AU123" ca="1" si="43">SUM(M42,M47:M50,M52:M56)</f>
        <v>4263.6189000000004</v>
      </c>
      <c r="N123" s="128">
        <f t="shared" ca="1" si="43"/>
        <v>4320.63346</v>
      </c>
      <c r="O123" s="128">
        <f t="shared" ca="1" si="43"/>
        <v>4374.0742699999992</v>
      </c>
      <c r="P123" s="128">
        <f t="shared" ca="1" si="43"/>
        <v>4423.1398799999997</v>
      </c>
      <c r="Q123" s="128">
        <f t="shared" ca="1" si="43"/>
        <v>4467.311740000001</v>
      </c>
      <c r="R123" s="128">
        <f t="shared" ca="1" si="43"/>
        <v>4506.0225900000005</v>
      </c>
      <c r="S123" s="128">
        <f t="shared" ca="1" si="43"/>
        <v>4538.7977600000004</v>
      </c>
      <c r="T123" s="128">
        <f t="shared" ca="1" si="43"/>
        <v>4565.3783599999997</v>
      </c>
      <c r="U123" s="128">
        <f t="shared" ca="1" si="43"/>
        <v>4585.719939999999</v>
      </c>
      <c r="V123" s="128">
        <f t="shared" ca="1" si="43"/>
        <v>4599.9181900000003</v>
      </c>
      <c r="W123" s="128">
        <f t="shared" ca="1" si="43"/>
        <v>4608.1761699999997</v>
      </c>
      <c r="X123" s="128">
        <f t="shared" ca="1" si="43"/>
        <v>4610.0742200000004</v>
      </c>
      <c r="Y123" s="128">
        <f t="shared" ca="1" si="43"/>
        <v>4605.8684900000007</v>
      </c>
      <c r="Z123" s="128">
        <f t="shared" ca="1" si="43"/>
        <v>4596.0179500000004</v>
      </c>
      <c r="AA123" s="128">
        <f t="shared" ca="1" si="43"/>
        <v>4581.0375800000002</v>
      </c>
      <c r="AB123" s="128">
        <f t="shared" ca="1" si="43"/>
        <v>4566.0045300000011</v>
      </c>
      <c r="AC123" s="128">
        <f t="shared" ca="1" si="43"/>
        <v>4549.2293399999999</v>
      </c>
      <c r="AD123" s="128">
        <f t="shared" ca="1" si="43"/>
        <v>4529.2952000000005</v>
      </c>
      <c r="AE123" s="128">
        <f t="shared" ca="1" si="43"/>
        <v>4505.0036900000005</v>
      </c>
      <c r="AF123" s="128">
        <f t="shared" ca="1" si="43"/>
        <v>4475.9906900000005</v>
      </c>
      <c r="AG123" s="128">
        <f t="shared" ca="1" si="43"/>
        <v>4442.4443499999998</v>
      </c>
      <c r="AH123" s="128">
        <f t="shared" ca="1" si="43"/>
        <v>4404.8294400000004</v>
      </c>
      <c r="AI123" s="128">
        <f t="shared" ca="1" si="43"/>
        <v>4363.7019799999998</v>
      </c>
      <c r="AJ123" s="128">
        <f t="shared" ca="1" si="43"/>
        <v>4319.6131500000001</v>
      </c>
      <c r="AK123" s="128">
        <f t="shared" ca="1" si="43"/>
        <v>4273.0520100000003</v>
      </c>
      <c r="AL123" s="128">
        <f t="shared" ca="1" si="43"/>
        <v>4224.429540000001</v>
      </c>
      <c r="AM123" s="128">
        <f t="shared" ca="1" si="43"/>
        <v>4174.0695999999998</v>
      </c>
      <c r="AN123" s="128">
        <f t="shared" ca="1" si="43"/>
        <v>4122.2230300000001</v>
      </c>
      <c r="AO123" s="128">
        <f t="shared" ca="1" si="43"/>
        <v>4069.0754299999999</v>
      </c>
      <c r="AP123" s="128">
        <f t="shared" ca="1" si="43"/>
        <v>4014.8264800000002</v>
      </c>
      <c r="AQ123" s="128">
        <f t="shared" ca="1" si="43"/>
        <v>3959.5602299999996</v>
      </c>
      <c r="AR123" s="128">
        <f t="shared" ca="1" si="43"/>
        <v>3902.0484600000004</v>
      </c>
      <c r="AS123" s="128">
        <f t="shared" ca="1" si="43"/>
        <v>3843.1307200000001</v>
      </c>
      <c r="AT123" s="128">
        <f t="shared" ca="1" si="43"/>
        <v>3783.1535099999996</v>
      </c>
      <c r="AU123" s="128">
        <f t="shared" ca="1" si="43"/>
        <v>3722.2603199999999</v>
      </c>
    </row>
    <row r="124" spans="2:47" x14ac:dyDescent="0.25">
      <c r="B124" t="s">
        <v>878</v>
      </c>
      <c r="C124" s="128">
        <f t="shared" ref="C124:E124" ca="1" si="44">C43</f>
        <v>1403.4570000000001</v>
      </c>
      <c r="D124" s="128">
        <f t="shared" ca="1" si="44"/>
        <v>1402.6489999999999</v>
      </c>
      <c r="E124" s="128">
        <f t="shared" ca="1" si="44"/>
        <v>1388.78</v>
      </c>
      <c r="F124" s="128">
        <f t="shared" ref="F124:K124" ca="1" si="45">F43</f>
        <v>1366.5340000000001</v>
      </c>
      <c r="G124" s="128">
        <f t="shared" ca="1" si="45"/>
        <v>1340.8009999999999</v>
      </c>
      <c r="H124" s="128">
        <f t="shared" ca="1" si="45"/>
        <v>1332.67</v>
      </c>
      <c r="I124" s="128">
        <f t="shared" ca="1" si="45"/>
        <v>1330.809</v>
      </c>
      <c r="J124" s="128">
        <f t="shared" ca="1" si="45"/>
        <v>1324.873</v>
      </c>
      <c r="K124" s="128">
        <f t="shared" ca="1" si="45"/>
        <v>1321.9939999999999</v>
      </c>
      <c r="L124" s="128">
        <f ca="1">L43</f>
        <v>1323.7629999999999</v>
      </c>
      <c r="M124" s="128">
        <f t="shared" ref="M124:AU124" ca="1" si="46">M43</f>
        <v>1331.8610000000001</v>
      </c>
      <c r="N124" s="128">
        <f t="shared" ca="1" si="46"/>
        <v>1346.453</v>
      </c>
      <c r="O124" s="128">
        <f t="shared" ca="1" si="46"/>
        <v>1367.4480000000001</v>
      </c>
      <c r="P124" s="128">
        <f t="shared" ca="1" si="46"/>
        <v>1394.518</v>
      </c>
      <c r="Q124" s="128">
        <f t="shared" ca="1" si="46"/>
        <v>1426.9929999999999</v>
      </c>
      <c r="R124" s="128">
        <f t="shared" ca="1" si="46"/>
        <v>1464.748</v>
      </c>
      <c r="S124" s="128">
        <f t="shared" ca="1" si="46"/>
        <v>1507.596</v>
      </c>
      <c r="T124" s="128">
        <f t="shared" ca="1" si="46"/>
        <v>1555.36</v>
      </c>
      <c r="U124" s="128">
        <f t="shared" ca="1" si="46"/>
        <v>1607.8989999999999</v>
      </c>
      <c r="V124" s="128">
        <f t="shared" ca="1" si="46"/>
        <v>1665.0930000000001</v>
      </c>
      <c r="W124" s="128">
        <f t="shared" ca="1" si="46"/>
        <v>1726.837</v>
      </c>
      <c r="X124" s="128">
        <f t="shared" ca="1" si="46"/>
        <v>1792.894</v>
      </c>
      <c r="Y124" s="128">
        <f t="shared" ca="1" si="46"/>
        <v>1863.1289999999999</v>
      </c>
      <c r="Z124" s="128">
        <f t="shared" ca="1" si="46"/>
        <v>1937.422</v>
      </c>
      <c r="AA124" s="128">
        <f t="shared" ca="1" si="46"/>
        <v>2015.646</v>
      </c>
      <c r="AB124" s="128">
        <f t="shared" ca="1" si="46"/>
        <v>2102.7840000000001</v>
      </c>
      <c r="AC124" s="128">
        <f t="shared" ca="1" si="46"/>
        <v>2190.2370000000001</v>
      </c>
      <c r="AD124" s="128">
        <f t="shared" ca="1" si="46"/>
        <v>2275.5639999999999</v>
      </c>
      <c r="AE124" s="128">
        <f t="shared" ca="1" si="46"/>
        <v>2356.9870000000001</v>
      </c>
      <c r="AF124" s="128">
        <f t="shared" ca="1" si="46"/>
        <v>2433.4459999999999</v>
      </c>
      <c r="AG124" s="128">
        <f t="shared" ca="1" si="46"/>
        <v>2504.4059999999999</v>
      </c>
      <c r="AH124" s="128">
        <f t="shared" ca="1" si="46"/>
        <v>2569.6669999999999</v>
      </c>
      <c r="AI124" s="128">
        <f t="shared" ca="1" si="46"/>
        <v>2629.2109999999998</v>
      </c>
      <c r="AJ124" s="128">
        <f t="shared" ca="1" si="46"/>
        <v>2683.1120000000001</v>
      </c>
      <c r="AK124" s="128">
        <f t="shared" ca="1" si="46"/>
        <v>2731.48</v>
      </c>
      <c r="AL124" s="128">
        <f t="shared" ca="1" si="46"/>
        <v>2774.4259999999999</v>
      </c>
      <c r="AM124" s="128">
        <f t="shared" ca="1" si="46"/>
        <v>2812.0459999999998</v>
      </c>
      <c r="AN124" s="128">
        <f t="shared" ca="1" si="46"/>
        <v>2844.4209999999998</v>
      </c>
      <c r="AO124" s="128">
        <f t="shared" ca="1" si="46"/>
        <v>2871.6120000000001</v>
      </c>
      <c r="AP124" s="128">
        <f t="shared" ca="1" si="46"/>
        <v>2893.7249999999999</v>
      </c>
      <c r="AQ124" s="128">
        <f t="shared" ca="1" si="46"/>
        <v>2910.799</v>
      </c>
      <c r="AR124" s="128">
        <f t="shared" ca="1" si="46"/>
        <v>2921.4</v>
      </c>
      <c r="AS124" s="128">
        <f t="shared" ca="1" si="46"/>
        <v>2926.46</v>
      </c>
      <c r="AT124" s="128">
        <f t="shared" ca="1" si="46"/>
        <v>2926.3760000000002</v>
      </c>
      <c r="AU124" s="128">
        <f t="shared" ca="1" si="46"/>
        <v>2921.3359999999998</v>
      </c>
    </row>
    <row r="125" spans="2:47" x14ac:dyDescent="0.25">
      <c r="B125" t="s">
        <v>879</v>
      </c>
      <c r="C125" s="128">
        <f t="shared" ref="C125:E125" ca="1" si="47">SUM(C44:C46)</f>
        <v>1041.2224000000001</v>
      </c>
      <c r="D125" s="128">
        <f t="shared" ca="1" si="47"/>
        <v>1036.9119000000001</v>
      </c>
      <c r="E125" s="128">
        <f t="shared" ca="1" si="47"/>
        <v>1013.7749</v>
      </c>
      <c r="F125" s="128">
        <f t="shared" ref="F125:K125" ca="1" si="48">SUM(F44:F46)</f>
        <v>973.48389999999995</v>
      </c>
      <c r="G125" s="128">
        <f t="shared" ca="1" si="48"/>
        <v>919.22519999999997</v>
      </c>
      <c r="H125" s="128">
        <f t="shared" ca="1" si="48"/>
        <v>900.18859999999995</v>
      </c>
      <c r="I125" s="128">
        <f t="shared" ca="1" si="48"/>
        <v>892.2299999999999</v>
      </c>
      <c r="J125" s="128">
        <f t="shared" ca="1" si="48"/>
        <v>883.59879999999998</v>
      </c>
      <c r="K125" s="128">
        <f t="shared" ca="1" si="48"/>
        <v>874.77700000000004</v>
      </c>
      <c r="L125" s="128">
        <f ca="1">SUM(L44:L46)</f>
        <v>866.55</v>
      </c>
      <c r="M125" s="128">
        <f t="shared" ref="M125:AU125" ca="1" si="49">SUM(M44:M46)</f>
        <v>859.97350000000006</v>
      </c>
      <c r="N125" s="128">
        <f t="shared" ca="1" si="49"/>
        <v>855.12840000000006</v>
      </c>
      <c r="O125" s="128">
        <f t="shared" ca="1" si="49"/>
        <v>851.91550000000007</v>
      </c>
      <c r="P125" s="128">
        <f t="shared" ca="1" si="49"/>
        <v>850.07040000000006</v>
      </c>
      <c r="Q125" s="128">
        <f t="shared" ca="1" si="49"/>
        <v>849.12200000000007</v>
      </c>
      <c r="R125" s="128">
        <f t="shared" ca="1" si="49"/>
        <v>848.93949999999995</v>
      </c>
      <c r="S125" s="128">
        <f t="shared" ca="1" si="49"/>
        <v>849.3614</v>
      </c>
      <c r="T125" s="128">
        <f t="shared" ca="1" si="49"/>
        <v>850.24309999999991</v>
      </c>
      <c r="U125" s="128">
        <f t="shared" ca="1" si="49"/>
        <v>851.47430000000008</v>
      </c>
      <c r="V125" s="128">
        <f t="shared" ca="1" si="49"/>
        <v>852.9742</v>
      </c>
      <c r="W125" s="128">
        <f t="shared" ca="1" si="49"/>
        <v>854.68520000000012</v>
      </c>
      <c r="X125" s="128">
        <f t="shared" ca="1" si="49"/>
        <v>856.50620000000004</v>
      </c>
      <c r="Y125" s="128">
        <f t="shared" ca="1" si="49"/>
        <v>858.40700000000004</v>
      </c>
      <c r="Z125" s="128">
        <f t="shared" ca="1" si="49"/>
        <v>860.38179999999988</v>
      </c>
      <c r="AA125" s="128">
        <f t="shared" ca="1" si="49"/>
        <v>862.43720000000008</v>
      </c>
      <c r="AB125" s="128">
        <f t="shared" ca="1" si="49"/>
        <v>866.7152000000001</v>
      </c>
      <c r="AC125" s="128">
        <f t="shared" ca="1" si="49"/>
        <v>872.38839999999993</v>
      </c>
      <c r="AD125" s="128">
        <f t="shared" ca="1" si="49"/>
        <v>878.54290000000015</v>
      </c>
      <c r="AE125" s="128">
        <f t="shared" ca="1" si="49"/>
        <v>884.61360000000002</v>
      </c>
      <c r="AF125" s="128">
        <f t="shared" ca="1" si="49"/>
        <v>890.34289999999999</v>
      </c>
      <c r="AG125" s="128">
        <f t="shared" ca="1" si="49"/>
        <v>895.66529999999989</v>
      </c>
      <c r="AH125" s="128">
        <f t="shared" ca="1" si="49"/>
        <v>900.61450000000002</v>
      </c>
      <c r="AI125" s="128">
        <f t="shared" ca="1" si="49"/>
        <v>905.26329999999996</v>
      </c>
      <c r="AJ125" s="128">
        <f t="shared" ca="1" si="49"/>
        <v>909.6893</v>
      </c>
      <c r="AK125" s="128">
        <f t="shared" ca="1" si="49"/>
        <v>913.95910000000003</v>
      </c>
      <c r="AL125" s="128">
        <f t="shared" ca="1" si="49"/>
        <v>918.11969999999997</v>
      </c>
      <c r="AM125" s="128">
        <f t="shared" ca="1" si="49"/>
        <v>922.19769999999994</v>
      </c>
      <c r="AN125" s="128">
        <f t="shared" ca="1" si="49"/>
        <v>926.19920000000002</v>
      </c>
      <c r="AO125" s="128">
        <f t="shared" ca="1" si="49"/>
        <v>930.11400000000003</v>
      </c>
      <c r="AP125" s="128">
        <f t="shared" ca="1" si="49"/>
        <v>933.93629999999996</v>
      </c>
      <c r="AQ125" s="128">
        <f t="shared" ca="1" si="49"/>
        <v>937.62900000000002</v>
      </c>
      <c r="AR125" s="128">
        <f t="shared" ca="1" si="49"/>
        <v>940.67430000000002</v>
      </c>
      <c r="AS125" s="128">
        <f t="shared" ca="1" si="49"/>
        <v>943.30709999999999</v>
      </c>
      <c r="AT125" s="128">
        <f t="shared" ca="1" si="49"/>
        <v>945.58199999999988</v>
      </c>
      <c r="AU125" s="128">
        <f t="shared" ca="1" si="49"/>
        <v>947.48040000000003</v>
      </c>
    </row>
    <row r="126" spans="2:47" x14ac:dyDescent="0.25">
      <c r="B126" t="s">
        <v>880</v>
      </c>
      <c r="C126" s="128">
        <f t="shared" ref="C126:E126" ca="1" si="50">C58</f>
        <v>5293.1170000000002</v>
      </c>
      <c r="D126" s="128">
        <f t="shared" ca="1" si="50"/>
        <v>4989.6220000000003</v>
      </c>
      <c r="E126" s="128">
        <f t="shared" ca="1" si="50"/>
        <v>5410.5780000000004</v>
      </c>
      <c r="F126" s="128">
        <f t="shared" ref="F126:K126" ca="1" si="51">F58</f>
        <v>5820.8249999999998</v>
      </c>
      <c r="G126" s="128">
        <f t="shared" ca="1" si="51"/>
        <v>6183.1329999999998</v>
      </c>
      <c r="H126" s="128">
        <f t="shared" ca="1" si="51"/>
        <v>6464.4120000000003</v>
      </c>
      <c r="I126" s="128">
        <f t="shared" ca="1" si="51"/>
        <v>6402.9210000000003</v>
      </c>
      <c r="J126" s="128">
        <f t="shared" ca="1" si="51"/>
        <v>6261.4430000000002</v>
      </c>
      <c r="K126" s="128">
        <f t="shared" ca="1" si="51"/>
        <v>6174.17</v>
      </c>
      <c r="L126" s="128">
        <f ca="1">L58</f>
        <v>6091.23</v>
      </c>
      <c r="M126" s="128">
        <f t="shared" ref="M126:AU126" ca="1" si="52">M58</f>
        <v>6006.0140000000001</v>
      </c>
      <c r="N126" s="128">
        <f t="shared" ca="1" si="52"/>
        <v>6053.8370000000004</v>
      </c>
      <c r="O126" s="128">
        <f t="shared" ca="1" si="52"/>
        <v>6201.25</v>
      </c>
      <c r="P126" s="128">
        <f t="shared" ca="1" si="52"/>
        <v>6415.549</v>
      </c>
      <c r="Q126" s="128">
        <f t="shared" ca="1" si="52"/>
        <v>6662.0990000000002</v>
      </c>
      <c r="R126" s="128">
        <f t="shared" ca="1" si="52"/>
        <v>6898.1890000000003</v>
      </c>
      <c r="S126" s="128">
        <f t="shared" ca="1" si="52"/>
        <v>7155.5349999999999</v>
      </c>
      <c r="T126" s="128">
        <f t="shared" ca="1" si="52"/>
        <v>7428.183</v>
      </c>
      <c r="U126" s="128">
        <f t="shared" ca="1" si="52"/>
        <v>7710.3159999999998</v>
      </c>
      <c r="V126" s="128">
        <f t="shared" ca="1" si="52"/>
        <v>7997.0349999999999</v>
      </c>
      <c r="W126" s="128">
        <f t="shared" ca="1" si="52"/>
        <v>8284.4030000000002</v>
      </c>
      <c r="X126" s="128">
        <f t="shared" ca="1" si="52"/>
        <v>8543.3310000000001</v>
      </c>
      <c r="Y126" s="128">
        <f t="shared" ca="1" si="52"/>
        <v>8773.0249999999996</v>
      </c>
      <c r="Z126" s="128">
        <f t="shared" ca="1" si="52"/>
        <v>8978.8209999999999</v>
      </c>
      <c r="AA126" s="128">
        <f t="shared" ca="1" si="52"/>
        <v>9164.4120000000003</v>
      </c>
      <c r="AB126" s="128">
        <f t="shared" ca="1" si="52"/>
        <v>9281.8009999999995</v>
      </c>
      <c r="AC126" s="128">
        <f t="shared" ca="1" si="52"/>
        <v>9176.9269999999997</v>
      </c>
      <c r="AD126" s="128">
        <f t="shared" ca="1" si="52"/>
        <v>9027.0030000000006</v>
      </c>
      <c r="AE126" s="128">
        <f t="shared" ca="1" si="52"/>
        <v>8905.6450000000004</v>
      </c>
      <c r="AF126" s="128">
        <f t="shared" ca="1" si="52"/>
        <v>8834.93</v>
      </c>
      <c r="AG126" s="128">
        <f t="shared" ca="1" si="52"/>
        <v>8813.7170000000006</v>
      </c>
      <c r="AH126" s="128">
        <f t="shared" ca="1" si="52"/>
        <v>8832.348</v>
      </c>
      <c r="AI126" s="128">
        <f t="shared" ca="1" si="52"/>
        <v>8879.7810000000009</v>
      </c>
      <c r="AJ126" s="128">
        <f t="shared" ca="1" si="52"/>
        <v>8946.6440000000002</v>
      </c>
      <c r="AK126" s="128">
        <f t="shared" ca="1" si="52"/>
        <v>9026.2160000000003</v>
      </c>
      <c r="AL126" s="128">
        <f t="shared" ca="1" si="52"/>
        <v>9114.4040000000005</v>
      </c>
      <c r="AM126" s="128">
        <f t="shared" ca="1" si="52"/>
        <v>9209.3160000000007</v>
      </c>
      <c r="AN126" s="128">
        <f t="shared" ca="1" si="52"/>
        <v>9310.7019999999993</v>
      </c>
      <c r="AO126" s="128">
        <f t="shared" ca="1" si="52"/>
        <v>9419.4279999999999</v>
      </c>
      <c r="AP126" s="128">
        <f t="shared" ca="1" si="52"/>
        <v>9537.0360000000001</v>
      </c>
      <c r="AQ126" s="128">
        <f t="shared" ca="1" si="52"/>
        <v>9665.3649999999998</v>
      </c>
      <c r="AR126" s="128">
        <f t="shared" ca="1" si="52"/>
        <v>9805.5830000000005</v>
      </c>
      <c r="AS126" s="128">
        <f t="shared" ca="1" si="52"/>
        <v>9959.65</v>
      </c>
      <c r="AT126" s="128">
        <f t="shared" ca="1" si="52"/>
        <v>10129.23</v>
      </c>
      <c r="AU126" s="128">
        <f t="shared" ca="1" si="52"/>
        <v>10315.799999999999</v>
      </c>
    </row>
    <row r="127" spans="2:47" x14ac:dyDescent="0.25">
      <c r="B127" t="s">
        <v>881</v>
      </c>
      <c r="C127" s="128">
        <f t="shared" ref="C127:E127" ca="1" si="53">SUM(C20:C32,C38:C39,C59)</f>
        <v>290850.0502</v>
      </c>
      <c r="D127" s="128">
        <f t="shared" ca="1" si="53"/>
        <v>321457.43199999997</v>
      </c>
      <c r="E127" s="128">
        <f t="shared" ca="1" si="53"/>
        <v>323954.34339999995</v>
      </c>
      <c r="F127" s="128">
        <f t="shared" ref="F127:K127" ca="1" si="54">SUM(F20:F32,F38:F39,F59)</f>
        <v>326293.55119999999</v>
      </c>
      <c r="G127" s="128">
        <f t="shared" ca="1" si="54"/>
        <v>328650.84380000003</v>
      </c>
      <c r="H127" s="128">
        <f t="shared" ca="1" si="54"/>
        <v>332065.90299999999</v>
      </c>
      <c r="I127" s="128">
        <f t="shared" ca="1" si="54"/>
        <v>335927.967</v>
      </c>
      <c r="J127" s="128">
        <f t="shared" ca="1" si="54"/>
        <v>339916.18940000003</v>
      </c>
      <c r="K127" s="128">
        <f t="shared" ca="1" si="54"/>
        <v>344189.72899999999</v>
      </c>
      <c r="L127" s="128">
        <f ca="1">SUM(L20:L32,L38:L39,L59)</f>
        <v>348572.30119999999</v>
      </c>
      <c r="M127" s="128">
        <f t="shared" ref="M127:AU127" ca="1" si="55">SUM(M20:M32,M38:M39,M59)</f>
        <v>353189.38619999995</v>
      </c>
      <c r="N127" s="128">
        <f t="shared" ca="1" si="55"/>
        <v>358223.86069999996</v>
      </c>
      <c r="O127" s="128">
        <f t="shared" ca="1" si="55"/>
        <v>363712.40140000003</v>
      </c>
      <c r="P127" s="128">
        <f t="shared" ca="1" si="55"/>
        <v>369578.54080000002</v>
      </c>
      <c r="Q127" s="128">
        <f t="shared" ca="1" si="55"/>
        <v>375723.5796</v>
      </c>
      <c r="R127" s="128">
        <f t="shared" ca="1" si="55"/>
        <v>381984.6152</v>
      </c>
      <c r="S127" s="128">
        <f t="shared" ca="1" si="55"/>
        <v>388343.41930000001</v>
      </c>
      <c r="T127" s="128">
        <f t="shared" ca="1" si="55"/>
        <v>394753.39139999996</v>
      </c>
      <c r="U127" s="128">
        <f t="shared" ca="1" si="55"/>
        <v>401181.63519999996</v>
      </c>
      <c r="V127" s="128">
        <f t="shared" ca="1" si="55"/>
        <v>407605.40599999996</v>
      </c>
      <c r="W127" s="128">
        <f t="shared" ca="1" si="55"/>
        <v>414010.50219999999</v>
      </c>
      <c r="X127" s="128">
        <f t="shared" ca="1" si="55"/>
        <v>420047.13950000005</v>
      </c>
      <c r="Y127" s="128">
        <f t="shared" ca="1" si="55"/>
        <v>426055.92060000001</v>
      </c>
      <c r="Z127" s="128">
        <f t="shared" ca="1" si="55"/>
        <v>432051.39109999995</v>
      </c>
      <c r="AA127" s="128">
        <f t="shared" ca="1" si="55"/>
        <v>438050.33899999998</v>
      </c>
      <c r="AB127" s="128">
        <f t="shared" ca="1" si="55"/>
        <v>444114.83929999999</v>
      </c>
      <c r="AC127" s="128">
        <f t="shared" ca="1" si="55"/>
        <v>450122.48570000002</v>
      </c>
      <c r="AD127" s="128">
        <f t="shared" ca="1" si="55"/>
        <v>456104.32520000002</v>
      </c>
      <c r="AE127" s="128">
        <f t="shared" ca="1" si="55"/>
        <v>462098.5245</v>
      </c>
      <c r="AF127" s="128">
        <f t="shared" ca="1" si="55"/>
        <v>468147.04639999999</v>
      </c>
      <c r="AG127" s="128">
        <f t="shared" ca="1" si="55"/>
        <v>474293.95999999996</v>
      </c>
      <c r="AH127" s="128">
        <f t="shared" ca="1" si="55"/>
        <v>480582.17080000002</v>
      </c>
      <c r="AI127" s="128">
        <f t="shared" ca="1" si="55"/>
        <v>487052.56560000003</v>
      </c>
      <c r="AJ127" s="128">
        <f t="shared" ca="1" si="55"/>
        <v>493742.32620000001</v>
      </c>
      <c r="AK127" s="128">
        <f t="shared" ca="1" si="55"/>
        <v>500684.82129999995</v>
      </c>
      <c r="AL127" s="128">
        <f t="shared" ca="1" si="55"/>
        <v>507908.50179999997</v>
      </c>
      <c r="AM127" s="128">
        <f t="shared" ca="1" si="55"/>
        <v>515437.83219999995</v>
      </c>
      <c r="AN127" s="128">
        <f t="shared" ca="1" si="55"/>
        <v>523293.17410000006</v>
      </c>
      <c r="AO127" s="128">
        <f t="shared" ca="1" si="55"/>
        <v>531491.49549999996</v>
      </c>
      <c r="AP127" s="128">
        <f t="shared" ca="1" si="55"/>
        <v>540051.95869999996</v>
      </c>
      <c r="AQ127" s="128">
        <f t="shared" ca="1" si="55"/>
        <v>548979.23249999993</v>
      </c>
      <c r="AR127" s="128">
        <f t="shared" ca="1" si="55"/>
        <v>558268.46649999998</v>
      </c>
      <c r="AS127" s="128">
        <f t="shared" ca="1" si="55"/>
        <v>567933.65619999997</v>
      </c>
      <c r="AT127" s="128">
        <f t="shared" ca="1" si="55"/>
        <v>577986.64480000001</v>
      </c>
      <c r="AU127" s="128">
        <f t="shared" ca="1" si="55"/>
        <v>588440.05729999999</v>
      </c>
    </row>
    <row r="128" spans="2:47" x14ac:dyDescent="0.25">
      <c r="B128" t="s">
        <v>768</v>
      </c>
      <c r="C128" s="128">
        <f t="shared" ref="C128" ca="1" si="56">SUM(C119:C127)</f>
        <v>368450.68949800002</v>
      </c>
      <c r="D128" s="128">
        <f t="shared" ref="D128" ca="1" si="57">SUM(D119:D127)</f>
        <v>396583.99403299997</v>
      </c>
      <c r="E128" s="128">
        <f t="shared" ref="E128" ca="1" si="58">SUM(E119:E127)</f>
        <v>397473.66500799992</v>
      </c>
      <c r="F128" s="128">
        <f t="shared" ref="F128:K128" ca="1" si="59">SUM(F119:F127)</f>
        <v>398290.70705600001</v>
      </c>
      <c r="G128" s="128">
        <f t="shared" ca="1" si="59"/>
        <v>399356.98207100003</v>
      </c>
      <c r="H128" s="128">
        <f t="shared" ca="1" si="59"/>
        <v>402141.94710799999</v>
      </c>
      <c r="I128" s="128">
        <f t="shared" ca="1" si="59"/>
        <v>405429.41866900004</v>
      </c>
      <c r="J128" s="128">
        <f t="shared" ca="1" si="59"/>
        <v>412179.42078800005</v>
      </c>
      <c r="K128" s="128">
        <f t="shared" ca="1" si="59"/>
        <v>420728.24901799997</v>
      </c>
      <c r="L128" s="128">
        <f ca="1">SUM(L119:L127)</f>
        <v>431169.34821899998</v>
      </c>
      <c r="M128" s="128">
        <f t="shared" ref="M128:AU128" ca="1" si="60">SUM(M119:M127)</f>
        <v>435754.23042299994</v>
      </c>
      <c r="N128" s="128">
        <f t="shared" ca="1" si="60"/>
        <v>437831.86160899996</v>
      </c>
      <c r="O128" s="128">
        <f t="shared" ca="1" si="60"/>
        <v>438541.74976800004</v>
      </c>
      <c r="P128" s="128">
        <f t="shared" ca="1" si="60"/>
        <v>440567.467122</v>
      </c>
      <c r="Q128" s="128">
        <f t="shared" ca="1" si="60"/>
        <v>445577.97873700003</v>
      </c>
      <c r="R128" s="128">
        <f t="shared" ca="1" si="60"/>
        <v>450633.01238199999</v>
      </c>
      <c r="S128" s="128">
        <f t="shared" ca="1" si="60"/>
        <v>456720.46296999999</v>
      </c>
      <c r="T128" s="128">
        <f t="shared" ca="1" si="60"/>
        <v>463119.26660699997</v>
      </c>
      <c r="U128" s="128">
        <f t="shared" ca="1" si="60"/>
        <v>469654.60395899997</v>
      </c>
      <c r="V128" s="128">
        <f t="shared" ca="1" si="60"/>
        <v>476229.93959599995</v>
      </c>
      <c r="W128" s="128">
        <f t="shared" ca="1" si="60"/>
        <v>482792.36457199999</v>
      </c>
      <c r="X128" s="128">
        <f t="shared" ca="1" si="60"/>
        <v>488943.22643700003</v>
      </c>
      <c r="Y128" s="128">
        <f t="shared" ca="1" si="60"/>
        <v>495015.26525300002</v>
      </c>
      <c r="Z128" s="128">
        <f t="shared" ca="1" si="60"/>
        <v>501024.92785599997</v>
      </c>
      <c r="AA128" s="128">
        <f t="shared" ca="1" si="60"/>
        <v>506992.51302399999</v>
      </c>
      <c r="AB128" s="128">
        <f t="shared" ca="1" si="60"/>
        <v>512779.89408499998</v>
      </c>
      <c r="AC128" s="128">
        <f t="shared" ca="1" si="60"/>
        <v>518374.74515900004</v>
      </c>
      <c r="AD128" s="128">
        <f t="shared" ca="1" si="60"/>
        <v>523847.62491000001</v>
      </c>
      <c r="AE128" s="128">
        <f t="shared" ca="1" si="60"/>
        <v>529321.00119500002</v>
      </c>
      <c r="AF128" s="128">
        <f t="shared" ca="1" si="60"/>
        <v>534867.94094100001</v>
      </c>
      <c r="AG128" s="128">
        <f t="shared" ca="1" si="60"/>
        <v>540550.0436819999</v>
      </c>
      <c r="AH128" s="128">
        <f t="shared" ca="1" si="60"/>
        <v>546408.02876700007</v>
      </c>
      <c r="AI128" s="128">
        <f t="shared" ca="1" si="60"/>
        <v>552477.76846599998</v>
      </c>
      <c r="AJ128" s="128">
        <f t="shared" ca="1" si="60"/>
        <v>558795.85797500005</v>
      </c>
      <c r="AK128" s="128">
        <f t="shared" ca="1" si="60"/>
        <v>565399.09912999999</v>
      </c>
      <c r="AL128" s="128">
        <f t="shared" ca="1" si="60"/>
        <v>572322.57889260002</v>
      </c>
      <c r="AM128" s="128">
        <f t="shared" ca="1" si="60"/>
        <v>579599.85692379996</v>
      </c>
      <c r="AN128" s="128">
        <f t="shared" ca="1" si="60"/>
        <v>587262.06244770007</v>
      </c>
      <c r="AO128" s="128">
        <f t="shared" ca="1" si="60"/>
        <v>595338.01773289999</v>
      </c>
      <c r="AP128" s="128">
        <f t="shared" ca="1" si="60"/>
        <v>604153.64842014993</v>
      </c>
      <c r="AQ128" s="128">
        <f t="shared" ca="1" si="60"/>
        <v>613447.36778890993</v>
      </c>
      <c r="AR128" s="128">
        <f t="shared" ca="1" si="60"/>
        <v>623235.87879818003</v>
      </c>
      <c r="AS128" s="128">
        <f t="shared" ca="1" si="60"/>
        <v>633526.09506944497</v>
      </c>
      <c r="AT128" s="128">
        <f t="shared" ca="1" si="60"/>
        <v>644341.17058515595</v>
      </c>
      <c r="AU128" s="128">
        <f t="shared" ca="1" si="60"/>
        <v>655700.62874254002</v>
      </c>
    </row>
    <row r="129" spans="2:47" x14ac:dyDescent="0.25">
      <c r="C129" s="130">
        <f t="shared" ref="C129" ca="1" si="61">C128-C67</f>
        <v>0</v>
      </c>
      <c r="D129" s="130">
        <f t="shared" ref="D129" ca="1" si="62">D128-D67</f>
        <v>0</v>
      </c>
      <c r="E129" s="130">
        <f t="shared" ref="E129" ca="1" si="63">E128-E67</f>
        <v>0</v>
      </c>
      <c r="F129" s="130">
        <f t="shared" ref="F129:K129" ca="1" si="64">F128-F67</f>
        <v>0</v>
      </c>
      <c r="G129" s="130">
        <f t="shared" ca="1" si="64"/>
        <v>0</v>
      </c>
      <c r="H129" s="130">
        <f t="shared" ca="1" si="64"/>
        <v>0</v>
      </c>
      <c r="I129" s="130">
        <f t="shared" ca="1" si="64"/>
        <v>0</v>
      </c>
      <c r="J129" s="130">
        <f t="shared" ca="1" si="64"/>
        <v>0</v>
      </c>
      <c r="K129" s="130">
        <f t="shared" ca="1" si="64"/>
        <v>0</v>
      </c>
      <c r="L129" s="130">
        <f ca="1">L128-L67</f>
        <v>0</v>
      </c>
      <c r="M129" s="130">
        <f t="shared" ref="M129:AU129" ca="1" si="65">M128-M67</f>
        <v>0</v>
      </c>
      <c r="N129" s="130">
        <f t="shared" ca="1" si="65"/>
        <v>0</v>
      </c>
      <c r="O129" s="130">
        <f t="shared" ca="1" si="65"/>
        <v>0</v>
      </c>
      <c r="P129" s="130">
        <f t="shared" ca="1" si="65"/>
        <v>0</v>
      </c>
      <c r="Q129" s="130">
        <f t="shared" ca="1" si="65"/>
        <v>0</v>
      </c>
      <c r="R129" s="130">
        <f t="shared" ca="1" si="65"/>
        <v>0</v>
      </c>
      <c r="S129" s="130">
        <f t="shared" ca="1" si="65"/>
        <v>0</v>
      </c>
      <c r="T129" s="130">
        <f t="shared" ca="1" si="65"/>
        <v>0</v>
      </c>
      <c r="U129" s="130">
        <f t="shared" ca="1" si="65"/>
        <v>0</v>
      </c>
      <c r="V129" s="130">
        <f t="shared" ca="1" si="65"/>
        <v>0</v>
      </c>
      <c r="W129" s="130">
        <f t="shared" ca="1" si="65"/>
        <v>0</v>
      </c>
      <c r="X129" s="130">
        <f t="shared" ca="1" si="65"/>
        <v>0</v>
      </c>
      <c r="Y129" s="130">
        <f t="shared" ca="1" si="65"/>
        <v>0</v>
      </c>
      <c r="Z129" s="130">
        <f t="shared" ca="1" si="65"/>
        <v>0</v>
      </c>
      <c r="AA129" s="130">
        <f t="shared" ca="1" si="65"/>
        <v>0</v>
      </c>
      <c r="AB129" s="130">
        <f t="shared" ca="1" si="65"/>
        <v>0</v>
      </c>
      <c r="AC129" s="130">
        <f t="shared" ca="1" si="65"/>
        <v>0</v>
      </c>
      <c r="AD129" s="130">
        <f t="shared" ca="1" si="65"/>
        <v>0</v>
      </c>
      <c r="AE129" s="130">
        <f t="shared" ca="1" si="65"/>
        <v>0</v>
      </c>
      <c r="AF129" s="130">
        <f t="shared" ca="1" si="65"/>
        <v>0</v>
      </c>
      <c r="AG129" s="130">
        <f t="shared" ca="1" si="65"/>
        <v>0</v>
      </c>
      <c r="AH129" s="130">
        <f t="shared" ca="1" si="65"/>
        <v>0</v>
      </c>
      <c r="AI129" s="130">
        <f t="shared" ca="1" si="65"/>
        <v>0</v>
      </c>
      <c r="AJ129" s="130">
        <f t="shared" ca="1" si="65"/>
        <v>0</v>
      </c>
      <c r="AK129" s="130">
        <f t="shared" ca="1" si="65"/>
        <v>0</v>
      </c>
      <c r="AL129" s="130">
        <f t="shared" ca="1" si="65"/>
        <v>0</v>
      </c>
      <c r="AM129" s="130">
        <f t="shared" ca="1" si="65"/>
        <v>0</v>
      </c>
      <c r="AN129" s="130">
        <f t="shared" ca="1" si="65"/>
        <v>0</v>
      </c>
      <c r="AO129" s="130">
        <f t="shared" ca="1" si="65"/>
        <v>0</v>
      </c>
      <c r="AP129" s="130">
        <f t="shared" ca="1" si="65"/>
        <v>0</v>
      </c>
      <c r="AQ129" s="130">
        <f t="shared" ca="1" si="65"/>
        <v>0</v>
      </c>
      <c r="AR129" s="130">
        <f t="shared" ca="1" si="65"/>
        <v>0</v>
      </c>
      <c r="AS129" s="130">
        <f t="shared" ca="1" si="65"/>
        <v>0</v>
      </c>
      <c r="AT129" s="130">
        <f t="shared" ca="1" si="65"/>
        <v>0</v>
      </c>
      <c r="AU129" s="130">
        <f t="shared" ca="1" si="65"/>
        <v>0</v>
      </c>
    </row>
    <row r="130" spans="2:47" x14ac:dyDescent="0.25"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  <c r="P130" s="130"/>
      <c r="Q130" s="130"/>
      <c r="R130" s="130"/>
      <c r="S130" s="130"/>
      <c r="T130" s="130"/>
      <c r="U130" s="130"/>
      <c r="V130" s="130"/>
      <c r="W130" s="130"/>
      <c r="X130" s="130"/>
      <c r="Y130" s="130"/>
      <c r="Z130" s="130"/>
      <c r="AA130" s="130"/>
      <c r="AB130" s="130"/>
      <c r="AC130" s="130"/>
      <c r="AD130" s="130"/>
      <c r="AE130" s="130"/>
      <c r="AF130" s="130"/>
      <c r="AG130" s="130"/>
      <c r="AH130" s="130"/>
      <c r="AI130" s="130"/>
      <c r="AJ130" s="130"/>
      <c r="AK130" s="130"/>
      <c r="AL130" s="130"/>
      <c r="AM130" s="130"/>
      <c r="AN130" s="130"/>
      <c r="AO130" s="130"/>
      <c r="AP130" s="130"/>
      <c r="AQ130" s="130"/>
      <c r="AR130" s="130"/>
      <c r="AS130" s="130"/>
      <c r="AT130" s="130"/>
      <c r="AU130" s="130"/>
    </row>
    <row r="131" spans="2:47" x14ac:dyDescent="0.25">
      <c r="B131" t="s">
        <v>873</v>
      </c>
      <c r="C131" s="128">
        <f t="shared" ref="C131:K131" ca="1" si="66">SUM(C109:C111)</f>
        <v>19763.991259999999</v>
      </c>
      <c r="D131" s="128">
        <f t="shared" ca="1" si="66"/>
        <v>21185.163199999999</v>
      </c>
      <c r="E131" s="128">
        <f t="shared" ca="1" si="66"/>
        <v>23272.126</v>
      </c>
      <c r="F131" s="128">
        <f t="shared" ca="1" si="66"/>
        <v>25576.517</v>
      </c>
      <c r="G131" s="128">
        <f t="shared" ca="1" si="66"/>
        <v>27799.331999999999</v>
      </c>
      <c r="H131" s="128">
        <f t="shared" ca="1" si="66"/>
        <v>29701.414000000001</v>
      </c>
      <c r="I131" s="128">
        <f t="shared" ca="1" si="66"/>
        <v>31432.731</v>
      </c>
      <c r="J131" s="128">
        <f t="shared" ca="1" si="66"/>
        <v>31991.364999999998</v>
      </c>
      <c r="K131" s="128">
        <f t="shared" ca="1" si="66"/>
        <v>32113.179</v>
      </c>
      <c r="L131" s="128">
        <f ca="1">SUM(L109:L111)</f>
        <v>34388.678</v>
      </c>
      <c r="M131" s="128">
        <f t="shared" ref="M131:AU131" ca="1" si="67">SUM(M109:M111)</f>
        <v>35593.324000000001</v>
      </c>
      <c r="N131" s="128">
        <f t="shared" ca="1" si="67"/>
        <v>35831.72</v>
      </c>
      <c r="O131" s="128">
        <f t="shared" ca="1" si="67"/>
        <v>35682.818999999996</v>
      </c>
      <c r="P131" s="128">
        <f t="shared" ca="1" si="67"/>
        <v>35328.665999999997</v>
      </c>
      <c r="Q131" s="128">
        <f t="shared" ca="1" si="67"/>
        <v>35337.403999999995</v>
      </c>
      <c r="R131" s="128">
        <f t="shared" ca="1" si="67"/>
        <v>34106.464</v>
      </c>
      <c r="S131" s="128">
        <f t="shared" ca="1" si="67"/>
        <v>33267.964999999997</v>
      </c>
      <c r="T131" s="128">
        <f t="shared" ca="1" si="67"/>
        <v>32340.286</v>
      </c>
      <c r="U131" s="128">
        <f t="shared" ca="1" si="67"/>
        <v>31327.311000000002</v>
      </c>
      <c r="V131" s="128">
        <f t="shared" ca="1" si="67"/>
        <v>30233.049999999996</v>
      </c>
      <c r="W131" s="128">
        <f t="shared" ca="1" si="67"/>
        <v>29064.710999999999</v>
      </c>
      <c r="X131" s="128">
        <f t="shared" ca="1" si="67"/>
        <v>27817.832000000002</v>
      </c>
      <c r="Y131" s="128">
        <f t="shared" ca="1" si="67"/>
        <v>26520.679000000004</v>
      </c>
      <c r="Z131" s="128">
        <f t="shared" ca="1" si="67"/>
        <v>25205.888000000003</v>
      </c>
      <c r="AA131" s="128">
        <f t="shared" ca="1" si="67"/>
        <v>23902.173999999999</v>
      </c>
      <c r="AB131" s="128">
        <f t="shared" ca="1" si="67"/>
        <v>27470.787</v>
      </c>
      <c r="AC131" s="128">
        <f t="shared" ca="1" si="67"/>
        <v>27274.856</v>
      </c>
      <c r="AD131" s="128">
        <f t="shared" ca="1" si="67"/>
        <v>27050.202999999998</v>
      </c>
      <c r="AE131" s="128">
        <f t="shared" ca="1" si="67"/>
        <v>26809.325000000001</v>
      </c>
      <c r="AF131" s="128">
        <f t="shared" ca="1" si="67"/>
        <v>26546.880000000001</v>
      </c>
      <c r="AG131" s="128">
        <f t="shared" ca="1" si="67"/>
        <v>26253.402000000002</v>
      </c>
      <c r="AH131" s="128">
        <f t="shared" ca="1" si="67"/>
        <v>25916.304</v>
      </c>
      <c r="AI131" s="128">
        <f t="shared" ca="1" si="67"/>
        <v>25520.339999999997</v>
      </c>
      <c r="AJ131" s="128">
        <f t="shared" ca="1" si="67"/>
        <v>25048.106</v>
      </c>
      <c r="AK131" s="128">
        <f t="shared" ca="1" si="67"/>
        <v>24480.574000000001</v>
      </c>
      <c r="AL131" s="128">
        <f t="shared" ca="1" si="67"/>
        <v>23797.935000000001</v>
      </c>
      <c r="AM131" s="128">
        <f t="shared" ca="1" si="67"/>
        <v>22980.972999999998</v>
      </c>
      <c r="AN131" s="128">
        <f t="shared" ca="1" si="67"/>
        <v>22013.124</v>
      </c>
      <c r="AO131" s="128">
        <f t="shared" ca="1" si="67"/>
        <v>20882.817999999999</v>
      </c>
      <c r="AP131" s="128">
        <f t="shared" ca="1" si="67"/>
        <v>19805.953000000001</v>
      </c>
      <c r="AQ131" s="128">
        <f t="shared" ca="1" si="67"/>
        <v>18625.436999999998</v>
      </c>
      <c r="AR131" s="128">
        <f t="shared" ca="1" si="67"/>
        <v>17372.573</v>
      </c>
      <c r="AS131" s="128">
        <f t="shared" ca="1" si="67"/>
        <v>16044.253999999999</v>
      </c>
      <c r="AT131" s="128">
        <f t="shared" ca="1" si="67"/>
        <v>14694.324000000001</v>
      </c>
      <c r="AU131" s="128">
        <f t="shared" ca="1" si="67"/>
        <v>13359.704</v>
      </c>
    </row>
    <row r="132" spans="2:47" x14ac:dyDescent="0.25">
      <c r="B132" t="s">
        <v>874</v>
      </c>
      <c r="C132" s="128">
        <f t="shared" ref="C132:K132" ca="1" si="68">SUM(C112:C115)</f>
        <v>35729.647000000004</v>
      </c>
      <c r="D132" s="128">
        <f ca="1">SUM(D112:D115)</f>
        <v>32061.340000000004</v>
      </c>
      <c r="E132" s="128">
        <f t="shared" ca="1" si="68"/>
        <v>27692.115399999999</v>
      </c>
      <c r="F132" s="128">
        <f t="shared" ca="1" si="68"/>
        <v>23061.885399999999</v>
      </c>
      <c r="G132" s="128">
        <f t="shared" ca="1" si="68"/>
        <v>18766.9725</v>
      </c>
      <c r="H132" s="128">
        <f t="shared" ca="1" si="68"/>
        <v>15590.820549999999</v>
      </c>
      <c r="I132" s="128">
        <f t="shared" ca="1" si="68"/>
        <v>13069.167300000001</v>
      </c>
      <c r="J132" s="128">
        <f t="shared" ca="1" si="68"/>
        <v>15123.125</v>
      </c>
      <c r="K132" s="128">
        <f t="shared" ca="1" si="68"/>
        <v>19149.175000000003</v>
      </c>
      <c r="L132" s="128">
        <f ca="1">SUM(L112:L115)</f>
        <v>11334.5681</v>
      </c>
      <c r="M132" s="128">
        <f t="shared" ref="M132:AU132" ca="1" si="69">SUM(M112:M115)</f>
        <v>7652.8496999999988</v>
      </c>
      <c r="N132" s="128">
        <f t="shared" ca="1" si="69"/>
        <v>5862.6170999999995</v>
      </c>
      <c r="O132" s="128">
        <f t="shared" ca="1" si="69"/>
        <v>5038.1816200000003</v>
      </c>
      <c r="P132" s="128">
        <f t="shared" ca="1" si="69"/>
        <v>4676.7440499999993</v>
      </c>
      <c r="Q132" s="128">
        <f t="shared" ca="1" si="69"/>
        <v>4555.5038800000011</v>
      </c>
      <c r="R132" s="128">
        <f t="shared" ca="1" si="69"/>
        <v>4413.70759</v>
      </c>
      <c r="S132" s="128">
        <f t="shared" ca="1" si="69"/>
        <v>4374.9264290000001</v>
      </c>
      <c r="T132" s="128">
        <f t="shared" ca="1" si="69"/>
        <v>4335.2419370000007</v>
      </c>
      <c r="U132" s="128">
        <f t="shared" ca="1" si="69"/>
        <v>4276.4262760000001</v>
      </c>
      <c r="V132" s="128">
        <f t="shared" ca="1" si="69"/>
        <v>4191.6998839999997</v>
      </c>
      <c r="W132" s="128">
        <f t="shared" ca="1" si="69"/>
        <v>4080.3323929999997</v>
      </c>
      <c r="X132" s="128">
        <f t="shared" ca="1" si="69"/>
        <v>3977.505932</v>
      </c>
      <c r="Y132" s="128">
        <f t="shared" ca="1" si="69"/>
        <v>3870.590522</v>
      </c>
      <c r="Z132" s="128">
        <f t="shared" ca="1" si="69"/>
        <v>3751.9233039999999</v>
      </c>
      <c r="AA132" s="128">
        <f t="shared" ca="1" si="69"/>
        <v>3621.515128</v>
      </c>
      <c r="AB132" s="128">
        <f t="shared" ca="1" si="69"/>
        <v>4164.4553210000004</v>
      </c>
      <c r="AC132" s="128">
        <f t="shared" ca="1" si="69"/>
        <v>4108.6231619999999</v>
      </c>
      <c r="AD132" s="128">
        <f t="shared" ca="1" si="69"/>
        <v>4039.134599</v>
      </c>
      <c r="AE132" s="128">
        <f t="shared" ca="1" si="69"/>
        <v>3965.9509250000001</v>
      </c>
      <c r="AF132" s="128">
        <f t="shared" ca="1" si="69"/>
        <v>3891.519276</v>
      </c>
      <c r="AG132" s="128">
        <f t="shared" ca="1" si="69"/>
        <v>3815.703348</v>
      </c>
      <c r="AH132" s="128">
        <f t="shared" ca="1" si="69"/>
        <v>3737.1372890000002</v>
      </c>
      <c r="AI132" s="128">
        <f t="shared" ca="1" si="69"/>
        <v>3653.8050173000001</v>
      </c>
      <c r="AJ132" s="128">
        <f t="shared" ca="1" si="69"/>
        <v>3563.281015</v>
      </c>
      <c r="AK132" s="128">
        <f t="shared" ca="1" si="69"/>
        <v>3462.8350735999998</v>
      </c>
      <c r="AL132" s="128">
        <f t="shared" ca="1" si="69"/>
        <v>3349.5351203700002</v>
      </c>
      <c r="AM132" s="128">
        <f t="shared" ca="1" si="69"/>
        <v>3220.4126475999997</v>
      </c>
      <c r="AN132" s="128">
        <f t="shared" ca="1" si="69"/>
        <v>3072.7319447700002</v>
      </c>
      <c r="AO132" s="128">
        <f t="shared" ca="1" si="69"/>
        <v>2904.3558804060008</v>
      </c>
      <c r="AP132" s="128">
        <f t="shared" ca="1" si="69"/>
        <v>2744.6677435110005</v>
      </c>
      <c r="AQ132" s="128">
        <f t="shared" ca="1" si="69"/>
        <v>2571.2035036480006</v>
      </c>
      <c r="AR132" s="128">
        <f t="shared" ca="1" si="69"/>
        <v>2408.8988057713</v>
      </c>
      <c r="AS132" s="128">
        <f t="shared" ca="1" si="69"/>
        <v>2240.4799646566998</v>
      </c>
      <c r="AT132" s="128">
        <f t="shared" ca="1" si="69"/>
        <v>2066.2894641635999</v>
      </c>
      <c r="AU132" s="128">
        <f t="shared" ca="1" si="69"/>
        <v>1889.2338330744101</v>
      </c>
    </row>
    <row r="133" spans="2:47" x14ac:dyDescent="0.25">
      <c r="B133" t="s">
        <v>875</v>
      </c>
      <c r="C133" s="128">
        <f t="shared" ref="C133:K133" ca="1" si="70">SUM(C82:C86)</f>
        <v>10762.340999999999</v>
      </c>
      <c r="D133" s="128">
        <f t="shared" ca="1" si="70"/>
        <v>10716.097000000002</v>
      </c>
      <c r="E133" s="128">
        <f t="shared" ca="1" si="70"/>
        <v>10718.447</v>
      </c>
      <c r="F133" s="128">
        <f t="shared" ca="1" si="70"/>
        <v>10742.478000000001</v>
      </c>
      <c r="G133" s="128">
        <f t="shared" ca="1" si="70"/>
        <v>10778.454</v>
      </c>
      <c r="H133" s="128">
        <f t="shared" ca="1" si="70"/>
        <v>10857</v>
      </c>
      <c r="I133" s="128">
        <f t="shared" ca="1" si="70"/>
        <v>10956.278</v>
      </c>
      <c r="J133" s="128">
        <f t="shared" ca="1" si="70"/>
        <v>11064.627999999999</v>
      </c>
      <c r="K133" s="128">
        <f t="shared" ca="1" si="70"/>
        <v>11180.464</v>
      </c>
      <c r="L133" s="128">
        <f ca="1">SUM(L82:L86)</f>
        <v>11331.662</v>
      </c>
      <c r="M133" s="128">
        <f t="shared" ref="M133:AU133" ca="1" si="71">SUM(M82:M86)</f>
        <v>11500.800999999999</v>
      </c>
      <c r="N133" s="128">
        <f t="shared" ca="1" si="71"/>
        <v>11686.812</v>
      </c>
      <c r="O133" s="128">
        <f t="shared" ca="1" si="71"/>
        <v>11887.565999999999</v>
      </c>
      <c r="P133" s="128">
        <f t="shared" ca="1" si="71"/>
        <v>12102.591</v>
      </c>
      <c r="Q133" s="128">
        <f t="shared" ca="1" si="71"/>
        <v>12328.313000000002</v>
      </c>
      <c r="R133" s="128">
        <f t="shared" ca="1" si="71"/>
        <v>12578.382000000001</v>
      </c>
      <c r="S133" s="128">
        <f t="shared" ca="1" si="71"/>
        <v>12859.259000000002</v>
      </c>
      <c r="T133" s="128">
        <f t="shared" ca="1" si="71"/>
        <v>13177.861999999999</v>
      </c>
      <c r="U133" s="128">
        <f t="shared" ca="1" si="71"/>
        <v>13544.123</v>
      </c>
      <c r="V133" s="128">
        <f t="shared" ca="1" si="71"/>
        <v>13971.044999999998</v>
      </c>
      <c r="W133" s="128">
        <f t="shared" ca="1" si="71"/>
        <v>14474.938000000002</v>
      </c>
      <c r="X133" s="128">
        <f t="shared" ca="1" si="71"/>
        <v>15075.448</v>
      </c>
      <c r="Y133" s="128">
        <f t="shared" ca="1" si="71"/>
        <v>15796.732</v>
      </c>
      <c r="Z133" s="128">
        <f t="shared" ca="1" si="71"/>
        <v>16667.239999999998</v>
      </c>
      <c r="AA133" s="128">
        <f t="shared" ca="1" si="71"/>
        <v>17719.760999999999</v>
      </c>
      <c r="AB133" s="128">
        <f t="shared" ca="1" si="71"/>
        <v>18749.644</v>
      </c>
      <c r="AC133" s="128">
        <f t="shared" ca="1" si="71"/>
        <v>19759.156999999999</v>
      </c>
      <c r="AD133" s="128">
        <f t="shared" ca="1" si="71"/>
        <v>20761.487999999998</v>
      </c>
      <c r="AE133" s="128">
        <f t="shared" ca="1" si="71"/>
        <v>21763.68</v>
      </c>
      <c r="AF133" s="128">
        <f t="shared" ca="1" si="71"/>
        <v>22771.03</v>
      </c>
      <c r="AG133" s="128">
        <f t="shared" ca="1" si="71"/>
        <v>23789.202000000001</v>
      </c>
      <c r="AH133" s="128">
        <f t="shared" ca="1" si="71"/>
        <v>24824.946</v>
      </c>
      <c r="AI133" s="128">
        <f t="shared" ca="1" si="71"/>
        <v>25886.228999999999</v>
      </c>
      <c r="AJ133" s="128">
        <f t="shared" ca="1" si="71"/>
        <v>26982.671000000002</v>
      </c>
      <c r="AK133" s="128">
        <f t="shared" ca="1" si="71"/>
        <v>28125.792999999998</v>
      </c>
      <c r="AL133" s="128">
        <f t="shared" ca="1" si="71"/>
        <v>29329.451999999997</v>
      </c>
      <c r="AM133" s="128">
        <f t="shared" ca="1" si="71"/>
        <v>30610.350000000002</v>
      </c>
      <c r="AN133" s="128">
        <f t="shared" ca="1" si="71"/>
        <v>31988.941999999999</v>
      </c>
      <c r="AO133" s="128">
        <f t="shared" ca="1" si="71"/>
        <v>33490.310000000005</v>
      </c>
      <c r="AP133" s="128">
        <f t="shared" ca="1" si="71"/>
        <v>35143.326999999997</v>
      </c>
      <c r="AQ133" s="128">
        <f t="shared" ca="1" si="71"/>
        <v>36983.114999999998</v>
      </c>
      <c r="AR133" s="128">
        <f t="shared" ca="1" si="71"/>
        <v>39052.588000000003</v>
      </c>
      <c r="AS133" s="128">
        <f t="shared" ca="1" si="71"/>
        <v>41402.589</v>
      </c>
      <c r="AT133" s="128">
        <f t="shared" ca="1" si="71"/>
        <v>44091.813000000002</v>
      </c>
      <c r="AU133" s="128">
        <f t="shared" ca="1" si="71"/>
        <v>47184.801999999996</v>
      </c>
    </row>
    <row r="134" spans="2:47" x14ac:dyDescent="0.25">
      <c r="B134" t="s">
        <v>876</v>
      </c>
      <c r="C134" s="128">
        <f t="shared" ref="C134:K134" ca="1" si="72">SUM(C89:C90,C100)</f>
        <v>1211.4133579999998</v>
      </c>
      <c r="D134" s="128">
        <f t="shared" ca="1" si="72"/>
        <v>1205.3256700000002</v>
      </c>
      <c r="E134" s="128">
        <f t="shared" ca="1" si="72"/>
        <v>1186.8239640000002</v>
      </c>
      <c r="F134" s="128">
        <f t="shared" ca="1" si="72"/>
        <v>1161.1432150000001</v>
      </c>
      <c r="G134" s="128">
        <f t="shared" ca="1" si="72"/>
        <v>1132.5721920000001</v>
      </c>
      <c r="H134" s="128">
        <f t="shared" ca="1" si="72"/>
        <v>1109.374646</v>
      </c>
      <c r="I134" s="128">
        <f t="shared" ca="1" si="72"/>
        <v>1091.8743870000001</v>
      </c>
      <c r="J134" s="128">
        <f t="shared" ca="1" si="72"/>
        <v>1079.849481</v>
      </c>
      <c r="K134" s="128">
        <f t="shared" ca="1" si="72"/>
        <v>1072.7005730000001</v>
      </c>
      <c r="L134" s="128">
        <f ca="1">SUM(L89:L90,L100)</f>
        <v>1059.0055309999998</v>
      </c>
      <c r="M134" s="128">
        <f t="shared" ref="M134:AU134" ca="1" si="73">SUM(M89:M90,M100)</f>
        <v>1048.4794669999999</v>
      </c>
      <c r="N134" s="128">
        <f t="shared" ca="1" si="73"/>
        <v>1038.0356079999999</v>
      </c>
      <c r="O134" s="128">
        <f t="shared" ca="1" si="73"/>
        <v>1026.158242</v>
      </c>
      <c r="P134" s="128">
        <f t="shared" ca="1" si="73"/>
        <v>1011.9500909999999</v>
      </c>
      <c r="Q134" s="128">
        <f t="shared" ca="1" si="73"/>
        <v>995.37141100000008</v>
      </c>
      <c r="R134" s="128">
        <f t="shared" ca="1" si="73"/>
        <v>975.22808400000008</v>
      </c>
      <c r="S134" s="128">
        <f t="shared" ca="1" si="73"/>
        <v>951.45403799999997</v>
      </c>
      <c r="T134" s="128">
        <f t="shared" ca="1" si="73"/>
        <v>924.22000099999991</v>
      </c>
      <c r="U134" s="128">
        <f t="shared" ca="1" si="73"/>
        <v>893.80649499999993</v>
      </c>
      <c r="V134" s="128">
        <f t="shared" ca="1" si="73"/>
        <v>860.53569399999992</v>
      </c>
      <c r="W134" s="128">
        <f t="shared" ca="1" si="73"/>
        <v>824.74453900000003</v>
      </c>
      <c r="X134" s="128">
        <f t="shared" ca="1" si="73"/>
        <v>786.676828</v>
      </c>
      <c r="Y134" s="128">
        <f t="shared" ca="1" si="73"/>
        <v>746.71417399999996</v>
      </c>
      <c r="Z134" s="128">
        <f t="shared" ca="1" si="73"/>
        <v>705.27670000000001</v>
      </c>
      <c r="AA134" s="128">
        <f t="shared" ca="1" si="73"/>
        <v>662.80719499999998</v>
      </c>
      <c r="AB134" s="128">
        <f t="shared" ca="1" si="73"/>
        <v>622.96774200000004</v>
      </c>
      <c r="AC134" s="128">
        <f t="shared" ca="1" si="73"/>
        <v>584.44364600000006</v>
      </c>
      <c r="AD134" s="128">
        <f t="shared" ca="1" si="73"/>
        <v>547.01300800000001</v>
      </c>
      <c r="AE134" s="128">
        <f t="shared" ca="1" si="73"/>
        <v>510.73465099999999</v>
      </c>
      <c r="AF134" s="128">
        <f t="shared" ca="1" si="73"/>
        <v>475.72947399999998</v>
      </c>
      <c r="AG134" s="128">
        <f t="shared" ca="1" si="73"/>
        <v>442.12420099999997</v>
      </c>
      <c r="AH134" s="128">
        <f t="shared" ca="1" si="73"/>
        <v>410.03127400000005</v>
      </c>
      <c r="AI134" s="128">
        <f t="shared" ca="1" si="73"/>
        <v>379.54145399999993</v>
      </c>
      <c r="AJ134" s="128">
        <f t="shared" ca="1" si="73"/>
        <v>350.72551500000003</v>
      </c>
      <c r="AK134" s="128">
        <f t="shared" ca="1" si="73"/>
        <v>323.63503600000001</v>
      </c>
      <c r="AL134" s="128">
        <f t="shared" ca="1" si="73"/>
        <v>298.30373600000001</v>
      </c>
      <c r="AM134" s="128">
        <f t="shared" ca="1" si="73"/>
        <v>274.74972200000002</v>
      </c>
      <c r="AN134" s="128">
        <f t="shared" ca="1" si="73"/>
        <v>252.97751699999998</v>
      </c>
      <c r="AO134" s="128">
        <f t="shared" ca="1" si="73"/>
        <v>232.977881</v>
      </c>
      <c r="AP134" s="128">
        <f t="shared" ca="1" si="73"/>
        <v>214.73271299999999</v>
      </c>
      <c r="AQ134" s="128">
        <f t="shared" ca="1" si="73"/>
        <v>198.202628</v>
      </c>
      <c r="AR134" s="128">
        <f t="shared" ca="1" si="73"/>
        <v>183.37331</v>
      </c>
      <c r="AS134" s="128">
        <f t="shared" ca="1" si="73"/>
        <v>170.13137500000002</v>
      </c>
      <c r="AT134" s="128">
        <f t="shared" ca="1" si="73"/>
        <v>158.37735700000002</v>
      </c>
      <c r="AU134" s="128">
        <f t="shared" ca="1" si="73"/>
        <v>148.00397800000002</v>
      </c>
    </row>
    <row r="135" spans="2:47" x14ac:dyDescent="0.25">
      <c r="B135" t="s">
        <v>877</v>
      </c>
      <c r="C135" s="128">
        <f t="shared" ref="C135:K135" ca="1" si="74">SUM(C91,C96:C99,C101:C105)</f>
        <v>2395.4502800000005</v>
      </c>
      <c r="D135" s="128">
        <f t="shared" ca="1" si="74"/>
        <v>2485.2532400000005</v>
      </c>
      <c r="E135" s="128">
        <f t="shared" ca="1" si="74"/>
        <v>2731.5615699999998</v>
      </c>
      <c r="F135" s="128">
        <f t="shared" ca="1" si="74"/>
        <v>3123.37592</v>
      </c>
      <c r="G135" s="128">
        <f t="shared" ca="1" si="74"/>
        <v>3606.973</v>
      </c>
      <c r="H135" s="128">
        <f t="shared" ca="1" si="74"/>
        <v>4112.9733500000002</v>
      </c>
      <c r="I135" s="128">
        <f t="shared" ca="1" si="74"/>
        <v>4600.9811400000008</v>
      </c>
      <c r="J135" s="128">
        <f t="shared" ca="1" si="74"/>
        <v>5053.9061100000008</v>
      </c>
      <c r="K135" s="128">
        <f t="shared" ca="1" si="74"/>
        <v>5488.7549400000007</v>
      </c>
      <c r="L135" s="128">
        <f ca="1">SUM(L91,L96:L99,L101:L105)</f>
        <v>5899.8214999999991</v>
      </c>
      <c r="M135" s="128">
        <f t="shared" ref="M135:AU135" ca="1" si="75">SUM(M91,M96:M99,M101:M105)</f>
        <v>6328.1599499999993</v>
      </c>
      <c r="N135" s="128">
        <f t="shared" ca="1" si="75"/>
        <v>6812.3847100000003</v>
      </c>
      <c r="O135" s="128">
        <f t="shared" ca="1" si="75"/>
        <v>7384.7983799999993</v>
      </c>
      <c r="P135" s="128">
        <f t="shared" ca="1" si="75"/>
        <v>8082.0227100000002</v>
      </c>
      <c r="Q135" s="128">
        <f t="shared" ca="1" si="75"/>
        <v>8943.1705299999994</v>
      </c>
      <c r="R135" s="128">
        <f t="shared" ca="1" si="75"/>
        <v>10005.427399999999</v>
      </c>
      <c r="S135" s="128">
        <f t="shared" ca="1" si="75"/>
        <v>11277.4794</v>
      </c>
      <c r="T135" s="128">
        <f t="shared" ca="1" si="75"/>
        <v>12747.119259999998</v>
      </c>
      <c r="U135" s="128">
        <f t="shared" ca="1" si="75"/>
        <v>14387.177960000001</v>
      </c>
      <c r="V135" s="128">
        <f t="shared" ca="1" si="75"/>
        <v>16156.4755</v>
      </c>
      <c r="W135" s="128">
        <f t="shared" ca="1" si="75"/>
        <v>18000.0111</v>
      </c>
      <c r="X135" s="128">
        <f t="shared" ca="1" si="75"/>
        <v>19847.755990000001</v>
      </c>
      <c r="Y135" s="128">
        <f t="shared" ca="1" si="75"/>
        <v>21620.609160000004</v>
      </c>
      <c r="Z135" s="128">
        <f t="shared" ca="1" si="75"/>
        <v>23233.215999999997</v>
      </c>
      <c r="AA135" s="128">
        <f t="shared" ca="1" si="75"/>
        <v>24598.1751</v>
      </c>
      <c r="AB135" s="128">
        <f t="shared" ca="1" si="75"/>
        <v>25820.319899999995</v>
      </c>
      <c r="AC135" s="128">
        <f t="shared" ca="1" si="75"/>
        <v>26838.527900000001</v>
      </c>
      <c r="AD135" s="128">
        <f t="shared" ca="1" si="75"/>
        <v>27626.654600000002</v>
      </c>
      <c r="AE135" s="128">
        <f t="shared" ca="1" si="75"/>
        <v>28175.857100000005</v>
      </c>
      <c r="AF135" s="128">
        <f t="shared" ca="1" si="75"/>
        <v>28489.462900000006</v>
      </c>
      <c r="AG135" s="128">
        <f t="shared" ca="1" si="75"/>
        <v>28579.4663</v>
      </c>
      <c r="AH135" s="128">
        <f t="shared" ca="1" si="75"/>
        <v>28463.921699999992</v>
      </c>
      <c r="AI135" s="128">
        <f t="shared" ca="1" si="75"/>
        <v>28164.606399999997</v>
      </c>
      <c r="AJ135" s="128">
        <f t="shared" ca="1" si="75"/>
        <v>27705.454899999997</v>
      </c>
      <c r="AK135" s="128">
        <f t="shared" ca="1" si="75"/>
        <v>27111.025699999998</v>
      </c>
      <c r="AL135" s="128">
        <f t="shared" ca="1" si="75"/>
        <v>26405.372100000001</v>
      </c>
      <c r="AM135" s="128">
        <f t="shared" ca="1" si="75"/>
        <v>25611.130999999998</v>
      </c>
      <c r="AN135" s="128">
        <f t="shared" ca="1" si="75"/>
        <v>24748.985399999998</v>
      </c>
      <c r="AO135" s="128">
        <f t="shared" ca="1" si="75"/>
        <v>23837.286199999995</v>
      </c>
      <c r="AP135" s="128">
        <f t="shared" ca="1" si="75"/>
        <v>22892.7461</v>
      </c>
      <c r="AQ135" s="128">
        <f t="shared" ca="1" si="75"/>
        <v>21929.075499999999</v>
      </c>
      <c r="AR135" s="128">
        <f t="shared" ca="1" si="75"/>
        <v>20942.135399999999</v>
      </c>
      <c r="AS135" s="128">
        <f t="shared" ca="1" si="75"/>
        <v>19953.545000000002</v>
      </c>
      <c r="AT135" s="128">
        <f t="shared" ca="1" si="75"/>
        <v>18975.799900000002</v>
      </c>
      <c r="AU135" s="128">
        <f t="shared" ca="1" si="75"/>
        <v>18017.715000000004</v>
      </c>
    </row>
    <row r="136" spans="2:47" x14ac:dyDescent="0.25">
      <c r="B136" t="s">
        <v>878</v>
      </c>
      <c r="C136" s="128">
        <f t="shared" ref="C136:K136" ca="1" si="76">C92</f>
        <v>1403.4570000000001</v>
      </c>
      <c r="D136" s="128">
        <f t="shared" ca="1" si="76"/>
        <v>1402.66</v>
      </c>
      <c r="E136" s="128">
        <f t="shared" ca="1" si="76"/>
        <v>1388.8340000000001</v>
      </c>
      <c r="F136" s="128">
        <f t="shared" ca="1" si="76"/>
        <v>1366.691</v>
      </c>
      <c r="G136" s="128">
        <f t="shared" ca="1" si="76"/>
        <v>1341.1379999999999</v>
      </c>
      <c r="H136" s="128">
        <f t="shared" ca="1" si="76"/>
        <v>1318.366</v>
      </c>
      <c r="I136" s="128">
        <f t="shared" ca="1" si="76"/>
        <v>1299.001</v>
      </c>
      <c r="J136" s="128">
        <f t="shared" ca="1" si="76"/>
        <v>1276.6759999999999</v>
      </c>
      <c r="K136" s="128">
        <f t="shared" ca="1" si="76"/>
        <v>1258.7349999999999</v>
      </c>
      <c r="L136" s="128">
        <f ca="1">L92</f>
        <v>1248.855</v>
      </c>
      <c r="M136" s="128">
        <f t="shared" ref="M136:AU136" ca="1" si="77">M92</f>
        <v>1238</v>
      </c>
      <c r="N136" s="128">
        <f t="shared" ca="1" si="77"/>
        <v>1234.5899999999999</v>
      </c>
      <c r="O136" s="128">
        <f t="shared" ca="1" si="77"/>
        <v>1234.2049999999999</v>
      </c>
      <c r="P136" s="128">
        <f t="shared" ca="1" si="77"/>
        <v>1235.1369999999999</v>
      </c>
      <c r="Q136" s="128">
        <f t="shared" ca="1" si="77"/>
        <v>1235.395</v>
      </c>
      <c r="R136" s="128">
        <f t="shared" ca="1" si="77"/>
        <v>1233.82</v>
      </c>
      <c r="S136" s="128">
        <f t="shared" ca="1" si="77"/>
        <v>1229.4449999999999</v>
      </c>
      <c r="T136" s="128">
        <f t="shared" ca="1" si="77"/>
        <v>1221.9839999999999</v>
      </c>
      <c r="U136" s="128">
        <f t="shared" ca="1" si="77"/>
        <v>1211.4069999999999</v>
      </c>
      <c r="V136" s="128">
        <f t="shared" ca="1" si="77"/>
        <v>1197.864</v>
      </c>
      <c r="W136" s="128">
        <f t="shared" ca="1" si="77"/>
        <v>1181.6610000000001</v>
      </c>
      <c r="X136" s="128">
        <f t="shared" ca="1" si="77"/>
        <v>1163.164</v>
      </c>
      <c r="Y136" s="128">
        <f t="shared" ca="1" si="77"/>
        <v>1142.982</v>
      </c>
      <c r="Z136" s="128">
        <f t="shared" ca="1" si="77"/>
        <v>1121.912</v>
      </c>
      <c r="AA136" s="128">
        <f t="shared" ca="1" si="77"/>
        <v>1100.8989999999999</v>
      </c>
      <c r="AB136" s="128">
        <f t="shared" ca="1" si="77"/>
        <v>1089.181</v>
      </c>
      <c r="AC136" s="128">
        <f t="shared" ca="1" si="77"/>
        <v>1081.5730000000001</v>
      </c>
      <c r="AD136" s="128">
        <f t="shared" ca="1" si="77"/>
        <v>1077.232</v>
      </c>
      <c r="AE136" s="128">
        <f t="shared" ca="1" si="77"/>
        <v>1075.617</v>
      </c>
      <c r="AF136" s="128">
        <f t="shared" ca="1" si="77"/>
        <v>1076.3309999999999</v>
      </c>
      <c r="AG136" s="128">
        <f t="shared" ca="1" si="77"/>
        <v>1078.96</v>
      </c>
      <c r="AH136" s="128">
        <f t="shared" ca="1" si="77"/>
        <v>1083.1600000000001</v>
      </c>
      <c r="AI136" s="128">
        <f t="shared" ca="1" si="77"/>
        <v>1088.5550000000001</v>
      </c>
      <c r="AJ136" s="128">
        <f t="shared" ca="1" si="77"/>
        <v>1094.732</v>
      </c>
      <c r="AK136" s="128">
        <f t="shared" ca="1" si="77"/>
        <v>1101.229</v>
      </c>
      <c r="AL136" s="128">
        <f t="shared" ca="1" si="77"/>
        <v>1107.5409999999999</v>
      </c>
      <c r="AM136" s="128">
        <f t="shared" ca="1" si="77"/>
        <v>1113.1199999999999</v>
      </c>
      <c r="AN136" s="128">
        <f t="shared" ca="1" si="77"/>
        <v>1117.383</v>
      </c>
      <c r="AO136" s="128">
        <f t="shared" ca="1" si="77"/>
        <v>1119.723</v>
      </c>
      <c r="AP136" s="128">
        <f t="shared" ca="1" si="77"/>
        <v>1119.57</v>
      </c>
      <c r="AQ136" s="128">
        <f t="shared" ca="1" si="77"/>
        <v>1116.3309999999999</v>
      </c>
      <c r="AR136" s="128">
        <f t="shared" ca="1" si="77"/>
        <v>1107.992</v>
      </c>
      <c r="AS136" s="128">
        <f t="shared" ca="1" si="77"/>
        <v>1094.914</v>
      </c>
      <c r="AT136" s="128">
        <f t="shared" ca="1" si="77"/>
        <v>1076.999</v>
      </c>
      <c r="AU136" s="128">
        <f t="shared" ca="1" si="77"/>
        <v>1054.03</v>
      </c>
    </row>
    <row r="137" spans="2:47" x14ac:dyDescent="0.25">
      <c r="B137" t="s">
        <v>879</v>
      </c>
      <c r="C137" s="128">
        <f t="shared" ref="C137:K137" ca="1" si="78">SUM(C93:C95)</f>
        <v>1041.2224000000001</v>
      </c>
      <c r="D137" s="128">
        <f t="shared" ca="1" si="78"/>
        <v>1036.9195</v>
      </c>
      <c r="E137" s="128">
        <f t="shared" ca="1" si="78"/>
        <v>1013.8145</v>
      </c>
      <c r="F137" s="128">
        <f t="shared" ca="1" si="78"/>
        <v>973.596</v>
      </c>
      <c r="G137" s="128">
        <f t="shared" ca="1" si="78"/>
        <v>919.45639999999992</v>
      </c>
      <c r="H137" s="128">
        <f t="shared" ca="1" si="78"/>
        <v>856.13059999999996</v>
      </c>
      <c r="I137" s="128">
        <f t="shared" ca="1" si="78"/>
        <v>785.69169999999997</v>
      </c>
      <c r="J137" s="128">
        <f t="shared" ca="1" si="78"/>
        <v>707.03510000000006</v>
      </c>
      <c r="K137" s="128">
        <f t="shared" ca="1" si="78"/>
        <v>625.44860000000006</v>
      </c>
      <c r="L137" s="128">
        <f ca="1">SUM(L93:L95)</f>
        <v>545.72829999999999</v>
      </c>
      <c r="M137" s="128">
        <f t="shared" ref="M137:AU137" ca="1" si="79">SUM(M93:M95)</f>
        <v>467.29000000000008</v>
      </c>
      <c r="N137" s="128">
        <f t="shared" ca="1" si="79"/>
        <v>395.48468000000003</v>
      </c>
      <c r="O137" s="128">
        <f t="shared" ca="1" si="79"/>
        <v>332.30559999999997</v>
      </c>
      <c r="P137" s="128">
        <f t="shared" ca="1" si="79"/>
        <v>279.37430999999998</v>
      </c>
      <c r="Q137" s="128">
        <f t="shared" ca="1" si="79"/>
        <v>237.87211000000002</v>
      </c>
      <c r="R137" s="128">
        <f t="shared" ca="1" si="79"/>
        <v>208.21422000000001</v>
      </c>
      <c r="S137" s="128">
        <f t="shared" ca="1" si="79"/>
        <v>188.84108000000001</v>
      </c>
      <c r="T137" s="128">
        <f t="shared" ca="1" si="79"/>
        <v>177.37242500000002</v>
      </c>
      <c r="U137" s="128">
        <f t="shared" ca="1" si="79"/>
        <v>171.387989</v>
      </c>
      <c r="V137" s="128">
        <f t="shared" ca="1" si="79"/>
        <v>168.778874</v>
      </c>
      <c r="W137" s="128">
        <f t="shared" ca="1" si="79"/>
        <v>167.88459899999998</v>
      </c>
      <c r="X137" s="128">
        <f t="shared" ca="1" si="79"/>
        <v>167.62019999999998</v>
      </c>
      <c r="Y137" s="128">
        <f t="shared" ca="1" si="79"/>
        <v>167.412882</v>
      </c>
      <c r="Z137" s="128">
        <f t="shared" ca="1" si="79"/>
        <v>166.89038000000002</v>
      </c>
      <c r="AA137" s="128">
        <f t="shared" ca="1" si="79"/>
        <v>165.78374499999998</v>
      </c>
      <c r="AB137" s="128">
        <f t="shared" ca="1" si="79"/>
        <v>165.21178800000001</v>
      </c>
      <c r="AC137" s="128">
        <f t="shared" ca="1" si="79"/>
        <v>164.87715800000001</v>
      </c>
      <c r="AD137" s="128">
        <f t="shared" ca="1" si="79"/>
        <v>164.66363700000002</v>
      </c>
      <c r="AE137" s="128">
        <f t="shared" ca="1" si="79"/>
        <v>164.525293</v>
      </c>
      <c r="AF137" s="128">
        <f t="shared" ca="1" si="79"/>
        <v>164.440066</v>
      </c>
      <c r="AG137" s="128">
        <f t="shared" ca="1" si="79"/>
        <v>164.393394</v>
      </c>
      <c r="AH137" s="128">
        <f t="shared" ca="1" si="79"/>
        <v>164.370723</v>
      </c>
      <c r="AI137" s="128">
        <f t="shared" ca="1" si="79"/>
        <v>164.35350199999999</v>
      </c>
      <c r="AJ137" s="128">
        <f t="shared" ca="1" si="79"/>
        <v>164.318196</v>
      </c>
      <c r="AK137" s="128">
        <f t="shared" ca="1" si="79"/>
        <v>164.23518599999997</v>
      </c>
      <c r="AL137" s="128">
        <f t="shared" ca="1" si="79"/>
        <v>164.06871799999999</v>
      </c>
      <c r="AM137" s="128">
        <f t="shared" ca="1" si="79"/>
        <v>163.77650700000001</v>
      </c>
      <c r="AN137" s="128">
        <f t="shared" ca="1" si="79"/>
        <v>163.31066100000001</v>
      </c>
      <c r="AO137" s="128">
        <f t="shared" ca="1" si="79"/>
        <v>162.61849100000001</v>
      </c>
      <c r="AP137" s="128">
        <f t="shared" ca="1" si="79"/>
        <v>161.65081899999998</v>
      </c>
      <c r="AQ137" s="128">
        <f t="shared" ca="1" si="79"/>
        <v>160.35278399999999</v>
      </c>
      <c r="AR137" s="128">
        <f t="shared" ca="1" si="79"/>
        <v>158.462942</v>
      </c>
      <c r="AS137" s="128">
        <f t="shared" ca="1" si="79"/>
        <v>156.05765299999999</v>
      </c>
      <c r="AT137" s="128">
        <f t="shared" ca="1" si="79"/>
        <v>153.141527</v>
      </c>
      <c r="AU137" s="128">
        <f t="shared" ca="1" si="79"/>
        <v>149.69727</v>
      </c>
    </row>
    <row r="138" spans="2:47" x14ac:dyDescent="0.25">
      <c r="B138" t="s">
        <v>880</v>
      </c>
      <c r="C138" s="128">
        <f t="shared" ref="C138:K138" ca="1" si="80">C107</f>
        <v>5293.1170000000002</v>
      </c>
      <c r="D138" s="128">
        <f t="shared" ca="1" si="80"/>
        <v>4989.5940000000001</v>
      </c>
      <c r="E138" s="128">
        <f t="shared" ca="1" si="80"/>
        <v>5410.57</v>
      </c>
      <c r="F138" s="128">
        <f t="shared" ca="1" si="80"/>
        <v>5820.902</v>
      </c>
      <c r="G138" s="128">
        <f t="shared" ca="1" si="80"/>
        <v>6183.317</v>
      </c>
      <c r="H138" s="128">
        <f t="shared" ca="1" si="80"/>
        <v>6465.893</v>
      </c>
      <c r="I138" s="128">
        <f t="shared" ca="1" si="80"/>
        <v>6409.366</v>
      </c>
      <c r="J138" s="128">
        <f t="shared" ca="1" si="80"/>
        <v>6271.5649999999996</v>
      </c>
      <c r="K138" s="128">
        <f t="shared" ca="1" si="80"/>
        <v>6182.1620000000003</v>
      </c>
      <c r="L138" s="128">
        <f ca="1">L107</f>
        <v>6192.893</v>
      </c>
      <c r="M138" s="128">
        <f t="shared" ref="M138:AU138" ca="1" si="81">M107</f>
        <v>6545.9949999999999</v>
      </c>
      <c r="N138" s="128">
        <f t="shared" ca="1" si="81"/>
        <v>7026.049</v>
      </c>
      <c r="O138" s="128">
        <f t="shared" ca="1" si="81"/>
        <v>7498.6409999999996</v>
      </c>
      <c r="P138" s="128">
        <f t="shared" ca="1" si="81"/>
        <v>7971.6689999999999</v>
      </c>
      <c r="Q138" s="128">
        <f t="shared" ca="1" si="81"/>
        <v>8442.0589999999993</v>
      </c>
      <c r="R138" s="128">
        <f t="shared" ca="1" si="81"/>
        <v>8890.1299999999992</v>
      </c>
      <c r="S138" s="128">
        <f t="shared" ca="1" si="81"/>
        <v>9366.9950000000008</v>
      </c>
      <c r="T138" s="128">
        <f t="shared" ca="1" si="81"/>
        <v>9876.4940000000006</v>
      </c>
      <c r="U138" s="128">
        <f t="shared" ca="1" si="81"/>
        <v>10422.98</v>
      </c>
      <c r="V138" s="128">
        <f t="shared" ca="1" si="81"/>
        <v>11012.12</v>
      </c>
      <c r="W138" s="128">
        <f t="shared" ca="1" si="81"/>
        <v>11650.98</v>
      </c>
      <c r="X138" s="128">
        <f t="shared" ca="1" si="81"/>
        <v>12323.88</v>
      </c>
      <c r="Y138" s="128">
        <f t="shared" ca="1" si="81"/>
        <v>13042.36</v>
      </c>
      <c r="Z138" s="128">
        <f t="shared" ca="1" si="81"/>
        <v>13823.71</v>
      </c>
      <c r="AA138" s="128">
        <f t="shared" ca="1" si="81"/>
        <v>14682.07</v>
      </c>
      <c r="AB138" s="128">
        <f t="shared" ca="1" si="81"/>
        <v>15546.33</v>
      </c>
      <c r="AC138" s="128">
        <f t="shared" ca="1" si="81"/>
        <v>15921.02</v>
      </c>
      <c r="AD138" s="128">
        <f t="shared" ca="1" si="81"/>
        <v>16037.54</v>
      </c>
      <c r="AE138" s="128">
        <f t="shared" ca="1" si="81"/>
        <v>16023.4</v>
      </c>
      <c r="AF138" s="128">
        <f t="shared" ca="1" si="81"/>
        <v>15950.25</v>
      </c>
      <c r="AG138" s="128">
        <f t="shared" ca="1" si="81"/>
        <v>15857.89</v>
      </c>
      <c r="AH138" s="128">
        <f t="shared" ca="1" si="81"/>
        <v>15768.53</v>
      </c>
      <c r="AI138" s="128">
        <f t="shared" ca="1" si="81"/>
        <v>15694.87</v>
      </c>
      <c r="AJ138" s="128">
        <f t="shared" ca="1" si="81"/>
        <v>15644.8</v>
      </c>
      <c r="AK138" s="128">
        <f t="shared" ca="1" si="81"/>
        <v>15623.92</v>
      </c>
      <c r="AL138" s="128">
        <f t="shared" ca="1" si="81"/>
        <v>15636.94</v>
      </c>
      <c r="AM138" s="128">
        <f t="shared" ca="1" si="81"/>
        <v>15688.36</v>
      </c>
      <c r="AN138" s="128">
        <f t="shared" ca="1" si="81"/>
        <v>15782.7</v>
      </c>
      <c r="AO138" s="128">
        <f t="shared" ca="1" si="81"/>
        <v>15924.58</v>
      </c>
      <c r="AP138" s="128">
        <f t="shared" ca="1" si="81"/>
        <v>16118.82</v>
      </c>
      <c r="AQ138" s="128">
        <f t="shared" ca="1" si="81"/>
        <v>16369.7</v>
      </c>
      <c r="AR138" s="128">
        <f t="shared" ca="1" si="81"/>
        <v>16678.93</v>
      </c>
      <c r="AS138" s="128">
        <f t="shared" ca="1" si="81"/>
        <v>17052.02</v>
      </c>
      <c r="AT138" s="128">
        <f t="shared" ca="1" si="81"/>
        <v>17492.63</v>
      </c>
      <c r="AU138" s="128">
        <f t="shared" ca="1" si="81"/>
        <v>18004.37</v>
      </c>
    </row>
    <row r="139" spans="2:47" x14ac:dyDescent="0.25">
      <c r="B139" t="s">
        <v>881</v>
      </c>
      <c r="C139" s="128">
        <f t="shared" ref="C139:K139" ca="1" si="82">SUM(C69:C81,C87:C88,C108)</f>
        <v>290850.0502</v>
      </c>
      <c r="D139" s="128">
        <f t="shared" ca="1" si="82"/>
        <v>321459.3541</v>
      </c>
      <c r="E139" s="128">
        <f t="shared" ca="1" si="82"/>
        <v>323961.50949999999</v>
      </c>
      <c r="F139" s="128">
        <f t="shared" ca="1" si="82"/>
        <v>326309.94300000003</v>
      </c>
      <c r="G139" s="128">
        <f t="shared" ca="1" si="82"/>
        <v>328677.84050000005</v>
      </c>
      <c r="H139" s="128">
        <f t="shared" ca="1" si="82"/>
        <v>332116.68040000001</v>
      </c>
      <c r="I139" s="128">
        <f t="shared" ca="1" si="82"/>
        <v>336016.0857</v>
      </c>
      <c r="J139" s="128">
        <f t="shared" ca="1" si="82"/>
        <v>340053.98969999998</v>
      </c>
      <c r="K139" s="128">
        <f t="shared" ca="1" si="82"/>
        <v>344374.32450000005</v>
      </c>
      <c r="L139" s="128">
        <f ca="1">SUM(L69:L81,L87:L88,L108)</f>
        <v>349108.12769999995</v>
      </c>
      <c r="M139" s="128">
        <f t="shared" ref="M139:AU139" ca="1" si="83">SUM(M69:M81,M87:M88,M108)</f>
        <v>354457.79320000001</v>
      </c>
      <c r="N139" s="128">
        <f t="shared" ca="1" si="83"/>
        <v>360183.89069999999</v>
      </c>
      <c r="O139" s="128">
        <f t="shared" ca="1" si="83"/>
        <v>366143.25350000005</v>
      </c>
      <c r="P139" s="128">
        <f t="shared" ca="1" si="83"/>
        <v>372274.13569999998</v>
      </c>
      <c r="Q139" s="128">
        <f t="shared" ca="1" si="83"/>
        <v>378570.13880000002</v>
      </c>
      <c r="R139" s="128">
        <f t="shared" ca="1" si="83"/>
        <v>384921.50779999996</v>
      </c>
      <c r="S139" s="128">
        <f t="shared" ca="1" si="83"/>
        <v>391377.64809999999</v>
      </c>
      <c r="T139" s="128">
        <f t="shared" ca="1" si="83"/>
        <v>397923.88769999996</v>
      </c>
      <c r="U139" s="128">
        <f t="shared" ca="1" si="83"/>
        <v>404557.82670000003</v>
      </c>
      <c r="V139" s="128">
        <f t="shared" ca="1" si="83"/>
        <v>411285.8247</v>
      </c>
      <c r="W139" s="128">
        <f t="shared" ca="1" si="83"/>
        <v>418120.78639999998</v>
      </c>
      <c r="X139" s="128">
        <f t="shared" ca="1" si="83"/>
        <v>424757.723</v>
      </c>
      <c r="Y139" s="128">
        <f t="shared" ca="1" si="83"/>
        <v>431544.70249999996</v>
      </c>
      <c r="Z139" s="128">
        <f t="shared" ca="1" si="83"/>
        <v>438517.28319999995</v>
      </c>
      <c r="AA139" s="128">
        <f t="shared" ca="1" si="83"/>
        <v>445712.44550000003</v>
      </c>
      <c r="AB139" s="128">
        <f t="shared" ca="1" si="83"/>
        <v>453328.54680000001</v>
      </c>
      <c r="AC139" s="128">
        <f t="shared" ca="1" si="83"/>
        <v>460749.08719999995</v>
      </c>
      <c r="AD139" s="128">
        <f t="shared" ca="1" si="83"/>
        <v>468071.03739999997</v>
      </c>
      <c r="AE139" s="128">
        <f t="shared" ca="1" si="83"/>
        <v>475346.728</v>
      </c>
      <c r="AF139" s="128">
        <f t="shared" ca="1" si="83"/>
        <v>482627.08759999997</v>
      </c>
      <c r="AG139" s="128">
        <f t="shared" ca="1" si="83"/>
        <v>489974.14680000005</v>
      </c>
      <c r="AH139" s="128">
        <f t="shared" ca="1" si="83"/>
        <v>497457.04010000004</v>
      </c>
      <c r="AI139" s="128">
        <f t="shared" ca="1" si="83"/>
        <v>505147.18470000004</v>
      </c>
      <c r="AJ139" s="128">
        <f t="shared" ca="1" si="83"/>
        <v>513119.40950000001</v>
      </c>
      <c r="AK139" s="128">
        <f t="shared" ca="1" si="83"/>
        <v>521447.87679999997</v>
      </c>
      <c r="AL139" s="128">
        <f t="shared" ca="1" si="83"/>
        <v>530205.37650000001</v>
      </c>
      <c r="AM139" s="128">
        <f t="shared" ca="1" si="83"/>
        <v>539461.90910000005</v>
      </c>
      <c r="AN139" s="128">
        <f t="shared" ca="1" si="83"/>
        <v>549287.65880000009</v>
      </c>
      <c r="AO139" s="128">
        <f t="shared" ca="1" si="83"/>
        <v>559753.57499999995</v>
      </c>
      <c r="AP139" s="128">
        <f t="shared" ca="1" si="83"/>
        <v>570939.91669999994</v>
      </c>
      <c r="AQ139" s="128">
        <f t="shared" ca="1" si="83"/>
        <v>582917.70590000006</v>
      </c>
      <c r="AR139" s="128">
        <f t="shared" ca="1" si="83"/>
        <v>595745.31970000011</v>
      </c>
      <c r="AS139" s="128">
        <f t="shared" ca="1" si="83"/>
        <v>609522.8432</v>
      </c>
      <c r="AT139" s="128">
        <f t="shared" ca="1" si="83"/>
        <v>624354.18889999995</v>
      </c>
      <c r="AU139" s="128">
        <f t="shared" ca="1" si="83"/>
        <v>640357.17830000003</v>
      </c>
    </row>
    <row r="140" spans="2:47" x14ac:dyDescent="0.25">
      <c r="B140" t="s">
        <v>882</v>
      </c>
      <c r="C140" s="128">
        <f t="shared" ref="C140:K140" ca="1" si="84">SUM(C131:C139)</f>
        <v>368450.68949800002</v>
      </c>
      <c r="D140" s="128">
        <f t="shared" ca="1" si="84"/>
        <v>396541.70671</v>
      </c>
      <c r="E140" s="128">
        <f t="shared" ca="1" si="84"/>
        <v>397375.80193399999</v>
      </c>
      <c r="F140" s="128">
        <f t="shared" ca="1" si="84"/>
        <v>398136.53153500002</v>
      </c>
      <c r="G140" s="128">
        <f t="shared" ca="1" si="84"/>
        <v>399206.05559200002</v>
      </c>
      <c r="H140" s="128">
        <f t="shared" ca="1" si="84"/>
        <v>402128.65254600003</v>
      </c>
      <c r="I140" s="128">
        <f t="shared" ca="1" si="84"/>
        <v>405661.17622700002</v>
      </c>
      <c r="J140" s="128">
        <f t="shared" ca="1" si="84"/>
        <v>412622.13939099998</v>
      </c>
      <c r="K140" s="128">
        <f t="shared" ca="1" si="84"/>
        <v>421444.94361300004</v>
      </c>
      <c r="L140" s="128">
        <f ca="1">SUM(L131:L139)</f>
        <v>421109.33913099999</v>
      </c>
      <c r="M140" s="128">
        <f t="shared" ref="M140:AU140" ca="1" si="85">SUM(M131:M139)</f>
        <v>424832.69231700001</v>
      </c>
      <c r="N140" s="128">
        <f t="shared" ca="1" si="85"/>
        <v>430071.58379800001</v>
      </c>
      <c r="O140" s="128">
        <f t="shared" ca="1" si="85"/>
        <v>436227.92834200006</v>
      </c>
      <c r="P140" s="128">
        <f t="shared" ca="1" si="85"/>
        <v>442962.28986099997</v>
      </c>
      <c r="Q140" s="128">
        <f t="shared" ca="1" si="85"/>
        <v>450645.22773099999</v>
      </c>
      <c r="R140" s="128">
        <f t="shared" ca="1" si="85"/>
        <v>457332.88109399995</v>
      </c>
      <c r="S140" s="128">
        <f t="shared" ca="1" si="85"/>
        <v>464894.01304699999</v>
      </c>
      <c r="T140" s="128">
        <f t="shared" ca="1" si="85"/>
        <v>472724.46732299996</v>
      </c>
      <c r="U140" s="128">
        <f t="shared" ca="1" si="85"/>
        <v>480792.44642000005</v>
      </c>
      <c r="V140" s="128">
        <f t="shared" ca="1" si="85"/>
        <v>489077.393652</v>
      </c>
      <c r="W140" s="128">
        <f t="shared" ca="1" si="85"/>
        <v>497566.049031</v>
      </c>
      <c r="X140" s="128">
        <f t="shared" ca="1" si="85"/>
        <v>505917.60595</v>
      </c>
      <c r="Y140" s="128">
        <f t="shared" ca="1" si="85"/>
        <v>514452.78223799996</v>
      </c>
      <c r="Z140" s="128">
        <f t="shared" ca="1" si="85"/>
        <v>523193.33958399994</v>
      </c>
      <c r="AA140" s="128">
        <f t="shared" ca="1" si="85"/>
        <v>532165.63066800009</v>
      </c>
      <c r="AB140" s="128">
        <f t="shared" ca="1" si="85"/>
        <v>546957.44355099997</v>
      </c>
      <c r="AC140" s="128">
        <f t="shared" ca="1" si="85"/>
        <v>556482.16506599996</v>
      </c>
      <c r="AD140" s="128">
        <f t="shared" ca="1" si="85"/>
        <v>565374.96624400001</v>
      </c>
      <c r="AE140" s="128">
        <f t="shared" ca="1" si="85"/>
        <v>573835.81796899997</v>
      </c>
      <c r="AF140" s="128">
        <f t="shared" ca="1" si="85"/>
        <v>581992.73031599994</v>
      </c>
      <c r="AG140" s="128">
        <f t="shared" ca="1" si="85"/>
        <v>589955.28804300004</v>
      </c>
      <c r="AH140" s="128">
        <f t="shared" ca="1" si="85"/>
        <v>597825.44108600006</v>
      </c>
      <c r="AI140" s="128">
        <f t="shared" ca="1" si="85"/>
        <v>605699.48507330008</v>
      </c>
      <c r="AJ140" s="128">
        <f t="shared" ca="1" si="85"/>
        <v>613673.49812600005</v>
      </c>
      <c r="AK140" s="128">
        <f t="shared" ca="1" si="85"/>
        <v>621841.12379559991</v>
      </c>
      <c r="AL140" s="128">
        <f t="shared" ca="1" si="85"/>
        <v>630294.52417436999</v>
      </c>
      <c r="AM140" s="128">
        <f t="shared" ca="1" si="85"/>
        <v>639124.78197660006</v>
      </c>
      <c r="AN140" s="128">
        <f t="shared" ca="1" si="85"/>
        <v>648427.81332277006</v>
      </c>
      <c r="AO140" s="128">
        <f t="shared" ca="1" si="85"/>
        <v>658308.24445240595</v>
      </c>
      <c r="AP140" s="128">
        <f t="shared" ca="1" si="85"/>
        <v>669141.38407551101</v>
      </c>
      <c r="AQ140" s="128">
        <f t="shared" ca="1" si="85"/>
        <v>680871.12331564806</v>
      </c>
      <c r="AR140" s="128">
        <f t="shared" ca="1" si="85"/>
        <v>693650.27315777144</v>
      </c>
      <c r="AS140" s="128">
        <f t="shared" ca="1" si="85"/>
        <v>707636.83419265668</v>
      </c>
      <c r="AT140" s="128">
        <f t="shared" ca="1" si="85"/>
        <v>723063.56314816349</v>
      </c>
      <c r="AU140" s="128">
        <f t="shared" ca="1" si="85"/>
        <v>740164.73438107444</v>
      </c>
    </row>
    <row r="141" spans="2:47" x14ac:dyDescent="0.25">
      <c r="C141" s="130">
        <f t="shared" ref="C141:K141" ca="1" si="86">C140-C116</f>
        <v>0</v>
      </c>
      <c r="D141" s="130">
        <f t="shared" ca="1" si="86"/>
        <v>0</v>
      </c>
      <c r="E141" s="130">
        <f t="shared" ca="1" si="86"/>
        <v>0</v>
      </c>
      <c r="F141" s="130">
        <f t="shared" ca="1" si="86"/>
        <v>0</v>
      </c>
      <c r="G141" s="130">
        <f t="shared" ca="1" si="86"/>
        <v>0</v>
      </c>
      <c r="H141" s="130">
        <f t="shared" ca="1" si="86"/>
        <v>0</v>
      </c>
      <c r="I141" s="130">
        <f t="shared" ca="1" si="86"/>
        <v>0</v>
      </c>
      <c r="J141" s="130">
        <f t="shared" ca="1" si="86"/>
        <v>0</v>
      </c>
      <c r="K141" s="130">
        <f t="shared" ca="1" si="86"/>
        <v>0</v>
      </c>
      <c r="L141" s="130">
        <f ca="1">L140-L116</f>
        <v>0</v>
      </c>
      <c r="M141" s="130">
        <f t="shared" ref="M141:AU141" ca="1" si="87">M140-M116</f>
        <v>0</v>
      </c>
      <c r="N141" s="130">
        <f t="shared" ca="1" si="87"/>
        <v>0</v>
      </c>
      <c r="O141" s="130">
        <f t="shared" ca="1" si="87"/>
        <v>0</v>
      </c>
      <c r="P141" s="130">
        <f t="shared" ca="1" si="87"/>
        <v>0</v>
      </c>
      <c r="Q141" s="130">
        <f t="shared" ca="1" si="87"/>
        <v>0</v>
      </c>
      <c r="R141" s="130">
        <f t="shared" ca="1" si="87"/>
        <v>0</v>
      </c>
      <c r="S141" s="130">
        <f t="shared" ca="1" si="87"/>
        <v>0</v>
      </c>
      <c r="T141" s="130">
        <f t="shared" ca="1" si="87"/>
        <v>0</v>
      </c>
      <c r="U141" s="130">
        <f t="shared" ca="1" si="87"/>
        <v>0</v>
      </c>
      <c r="V141" s="130">
        <f t="shared" ca="1" si="87"/>
        <v>0</v>
      </c>
      <c r="W141" s="130">
        <f t="shared" ca="1" si="87"/>
        <v>0</v>
      </c>
      <c r="X141" s="130">
        <f t="shared" ca="1" si="87"/>
        <v>0</v>
      </c>
      <c r="Y141" s="130">
        <f t="shared" ca="1" si="87"/>
        <v>0</v>
      </c>
      <c r="Z141" s="130">
        <f t="shared" ca="1" si="87"/>
        <v>0</v>
      </c>
      <c r="AA141" s="130">
        <f t="shared" ca="1" si="87"/>
        <v>0</v>
      </c>
      <c r="AB141" s="130">
        <f t="shared" ca="1" si="87"/>
        <v>0</v>
      </c>
      <c r="AC141" s="130">
        <f t="shared" ca="1" si="87"/>
        <v>0</v>
      </c>
      <c r="AD141" s="130">
        <f t="shared" ca="1" si="87"/>
        <v>0</v>
      </c>
      <c r="AE141" s="130">
        <f t="shared" ca="1" si="87"/>
        <v>0</v>
      </c>
      <c r="AF141" s="130">
        <f t="shared" ca="1" si="87"/>
        <v>0</v>
      </c>
      <c r="AG141" s="130">
        <f t="shared" ca="1" si="87"/>
        <v>0</v>
      </c>
      <c r="AH141" s="130">
        <f t="shared" ca="1" si="87"/>
        <v>0</v>
      </c>
      <c r="AI141" s="130">
        <f t="shared" ca="1" si="87"/>
        <v>0</v>
      </c>
      <c r="AJ141" s="130">
        <f t="shared" ca="1" si="87"/>
        <v>0</v>
      </c>
      <c r="AK141" s="130">
        <f t="shared" ca="1" si="87"/>
        <v>0</v>
      </c>
      <c r="AL141" s="130">
        <f t="shared" ca="1" si="87"/>
        <v>0</v>
      </c>
      <c r="AM141" s="130">
        <f t="shared" ca="1" si="87"/>
        <v>0</v>
      </c>
      <c r="AN141" s="130">
        <f t="shared" ca="1" si="87"/>
        <v>0</v>
      </c>
      <c r="AO141" s="130">
        <f t="shared" ca="1" si="87"/>
        <v>0</v>
      </c>
      <c r="AP141" s="130">
        <f t="shared" ca="1" si="87"/>
        <v>0</v>
      </c>
      <c r="AQ141" s="130">
        <f t="shared" ca="1" si="87"/>
        <v>0</v>
      </c>
      <c r="AR141" s="130">
        <f t="shared" ca="1" si="87"/>
        <v>0</v>
      </c>
      <c r="AS141" s="130">
        <f t="shared" ca="1" si="87"/>
        <v>0</v>
      </c>
      <c r="AT141" s="130">
        <f t="shared" ca="1" si="87"/>
        <v>0</v>
      </c>
      <c r="AU141" s="130">
        <f t="shared" ca="1" si="87"/>
        <v>0</v>
      </c>
    </row>
    <row r="143" spans="2:47" x14ac:dyDescent="0.25">
      <c r="C143" t="s">
        <v>768</v>
      </c>
      <c r="D143" t="s">
        <v>882</v>
      </c>
      <c r="F143" t="s">
        <v>883</v>
      </c>
    </row>
    <row r="144" spans="2:47" ht="52.5" customHeight="1" x14ac:dyDescent="0.25">
      <c r="B144" s="107" t="s">
        <v>873</v>
      </c>
      <c r="C144" s="128">
        <f ca="1">SUM(L119:AU119)/(2050 -2015)</f>
        <v>30393.64822857143</v>
      </c>
      <c r="D144" s="128">
        <f ca="1">SUM(L131:AU131)/(2050 -2015)</f>
        <v>27368.481228571425</v>
      </c>
      <c r="F144" s="128">
        <f ca="1">L119</f>
        <v>30954.981999999996</v>
      </c>
    </row>
    <row r="145" spans="2:6" ht="23.1" customHeight="1" x14ac:dyDescent="0.25">
      <c r="B145" s="107" t="s">
        <v>874</v>
      </c>
      <c r="C145" s="128">
        <f t="shared" ref="C145:C152" ca="1" si="88">SUM(L120:AU120)/(2050 -2015)</f>
        <v>6279.1968095251677</v>
      </c>
      <c r="D145" s="128">
        <f ca="1">SUM(L132:AU132)/(2050 -2015)</f>
        <v>4139.5596508248855</v>
      </c>
      <c r="F145" s="128">
        <f t="shared" ref="F145:F153" ca="1" si="89">L120</f>
        <v>26755.417000000001</v>
      </c>
    </row>
    <row r="146" spans="2:6" x14ac:dyDescent="0.25">
      <c r="B146" s="107" t="s">
        <v>875</v>
      </c>
      <c r="C146" s="128">
        <f t="shared" ca="1" si="88"/>
        <v>16420.699457142859</v>
      </c>
      <c r="D146" s="128">
        <f ca="1">SUM(L133:AU133)/(2050 -2015)</f>
        <v>23411.247514285715</v>
      </c>
      <c r="F146" s="128">
        <f t="shared" ca="1" si="89"/>
        <v>11303.682999999999</v>
      </c>
    </row>
    <row r="147" spans="2:6" x14ac:dyDescent="0.25">
      <c r="B147" s="107" t="s">
        <v>876</v>
      </c>
      <c r="C147" s="128">
        <f t="shared" ca="1" si="88"/>
        <v>943.68710834285719</v>
      </c>
      <c r="D147" s="128">
        <f t="shared" ref="D147:D152" ca="1" si="90">SUM(L134:AU134)/(2050 -2015)</f>
        <v>608.26400902857142</v>
      </c>
      <c r="F147" s="128">
        <f ca="1">L122</f>
        <v>1097.7589990000001</v>
      </c>
    </row>
    <row r="148" spans="2:6" x14ac:dyDescent="0.25">
      <c r="B148" s="107" t="s">
        <v>877</v>
      </c>
      <c r="C148" s="128">
        <f t="shared" ca="1" si="88"/>
        <v>4459.8112634285708</v>
      </c>
      <c r="D148" s="128">
        <f t="shared" ca="1" si="90"/>
        <v>20446.082675714286</v>
      </c>
      <c r="F148" s="128">
        <f t="shared" ca="1" si="89"/>
        <v>4203.66302</v>
      </c>
    </row>
    <row r="149" spans="2:6" ht="21.6" customHeight="1" x14ac:dyDescent="0.25">
      <c r="B149" s="107" t="s">
        <v>878</v>
      </c>
      <c r="C149" s="128">
        <f t="shared" ca="1" si="88"/>
        <v>2245.9187142857145</v>
      </c>
      <c r="D149" s="128">
        <f t="shared" ca="1" si="90"/>
        <v>1174.4426571428569</v>
      </c>
      <c r="F149" s="128">
        <f t="shared" ca="1" si="89"/>
        <v>1323.7629999999999</v>
      </c>
    </row>
    <row r="150" spans="2:6" ht="32.450000000000003" customHeight="1" x14ac:dyDescent="0.25">
      <c r="B150" s="107" t="s">
        <v>879</v>
      </c>
      <c r="C150" s="128">
        <f t="shared" ca="1" si="88"/>
        <v>912.60582571428563</v>
      </c>
      <c r="D150" s="128">
        <f t="shared" ca="1" si="90"/>
        <v>207.05050597142855</v>
      </c>
      <c r="F150" s="128">
        <f t="shared" ca="1" si="89"/>
        <v>866.55</v>
      </c>
    </row>
    <row r="151" spans="2:6" x14ac:dyDescent="0.25">
      <c r="B151" s="107" t="s">
        <v>880</v>
      </c>
      <c r="C151" s="128">
        <f t="shared" ca="1" si="88"/>
        <v>8701.5644285714279</v>
      </c>
      <c r="D151" s="128">
        <f t="shared" ca="1" si="90"/>
        <v>13759.617857142857</v>
      </c>
      <c r="F151" s="128">
        <f t="shared" ca="1" si="89"/>
        <v>6091.23</v>
      </c>
    </row>
    <row r="152" spans="2:6" ht="27.6" customHeight="1" x14ac:dyDescent="0.25">
      <c r="B152" s="107" t="s">
        <v>881</v>
      </c>
      <c r="C152" s="128">
        <f t="shared" ca="1" si="88"/>
        <v>469994.79754285712</v>
      </c>
      <c r="D152" s="128">
        <f t="shared" ca="1" si="90"/>
        <v>485693.45120571426</v>
      </c>
      <c r="F152" s="128">
        <f t="shared" ca="1" si="89"/>
        <v>348572.30119999999</v>
      </c>
    </row>
    <row r="153" spans="2:6" x14ac:dyDescent="0.25">
      <c r="B153" t="s">
        <v>884</v>
      </c>
      <c r="C153" s="128">
        <f ca="1">SUM(L128:AU128)/(2050 -2015)</f>
        <v>540351.92937843932</v>
      </c>
      <c r="D153" s="128">
        <f ca="1">SUM(L140:AU140)/(2050 -2015)</f>
        <v>576808.19730439631</v>
      </c>
      <c r="F153" s="128">
        <f t="shared" ca="1" si="89"/>
        <v>431169.34821899998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K49"/>
  <sheetViews>
    <sheetView workbookViewId="0"/>
  </sheetViews>
  <sheetFormatPr baseColWidth="10" defaultRowHeight="15" x14ac:dyDescent="0.25"/>
  <sheetData>
    <row r="1" spans="1:609" ht="14.45" x14ac:dyDescent="0.35"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735</v>
      </c>
      <c r="T1" t="s">
        <v>736</v>
      </c>
      <c r="U1" t="s">
        <v>737</v>
      </c>
      <c r="V1" t="s">
        <v>139</v>
      </c>
      <c r="W1" t="s">
        <v>140</v>
      </c>
      <c r="X1" t="s">
        <v>141</v>
      </c>
      <c r="Y1" t="s">
        <v>142</v>
      </c>
      <c r="Z1" t="s">
        <v>143</v>
      </c>
      <c r="AA1" t="s">
        <v>144</v>
      </c>
      <c r="AB1" t="s">
        <v>145</v>
      </c>
      <c r="AC1" t="s">
        <v>146</v>
      </c>
      <c r="AD1" t="s">
        <v>147</v>
      </c>
      <c r="AE1" t="s">
        <v>148</v>
      </c>
      <c r="AF1" t="s">
        <v>149</v>
      </c>
      <c r="AG1" t="s">
        <v>150</v>
      </c>
      <c r="AH1" t="s">
        <v>151</v>
      </c>
      <c r="AI1" t="s">
        <v>152</v>
      </c>
      <c r="AJ1" t="s">
        <v>738</v>
      </c>
      <c r="AK1" t="s">
        <v>739</v>
      </c>
      <c r="AL1" t="s">
        <v>740</v>
      </c>
      <c r="AM1" t="s">
        <v>741</v>
      </c>
      <c r="AN1" t="s">
        <v>742</v>
      </c>
      <c r="AO1" t="s">
        <v>743</v>
      </c>
      <c r="AP1" t="s">
        <v>744</v>
      </c>
      <c r="AQ1" t="s">
        <v>745</v>
      </c>
      <c r="AR1" t="s">
        <v>746</v>
      </c>
      <c r="AS1" t="s">
        <v>747</v>
      </c>
      <c r="AT1" t="s">
        <v>748</v>
      </c>
      <c r="AU1" t="s">
        <v>749</v>
      </c>
      <c r="AV1" t="s">
        <v>750</v>
      </c>
      <c r="AW1" t="s">
        <v>751</v>
      </c>
      <c r="AX1" t="s">
        <v>578</v>
      </c>
      <c r="AY1" t="s">
        <v>579</v>
      </c>
      <c r="AZ1" t="s">
        <v>580</v>
      </c>
      <c r="BA1" t="s">
        <v>581</v>
      </c>
      <c r="BB1" t="s">
        <v>582</v>
      </c>
      <c r="BC1" t="s">
        <v>583</v>
      </c>
      <c r="BD1" t="s">
        <v>584</v>
      </c>
      <c r="BE1" t="s">
        <v>585</v>
      </c>
      <c r="BF1" t="s">
        <v>586</v>
      </c>
      <c r="BG1" t="s">
        <v>587</v>
      </c>
      <c r="BH1" t="s">
        <v>588</v>
      </c>
      <c r="BI1" t="s">
        <v>589</v>
      </c>
      <c r="BJ1" t="s">
        <v>590</v>
      </c>
      <c r="BK1" t="s">
        <v>591</v>
      </c>
      <c r="BL1" t="s">
        <v>592</v>
      </c>
      <c r="BM1" t="s">
        <v>593</v>
      </c>
      <c r="BN1" t="s">
        <v>594</v>
      </c>
      <c r="BO1" t="s">
        <v>595</v>
      </c>
      <c r="BP1" t="s">
        <v>596</v>
      </c>
      <c r="BQ1" t="s">
        <v>597</v>
      </c>
      <c r="BR1" t="s">
        <v>598</v>
      </c>
      <c r="BS1" t="s">
        <v>599</v>
      </c>
      <c r="BT1" t="s">
        <v>600</v>
      </c>
      <c r="BU1" t="s">
        <v>601</v>
      </c>
      <c r="BV1" t="s">
        <v>602</v>
      </c>
      <c r="BW1" t="s">
        <v>603</v>
      </c>
      <c r="BX1" t="s">
        <v>604</v>
      </c>
      <c r="BY1" t="s">
        <v>605</v>
      </c>
      <c r="BZ1" t="s">
        <v>606</v>
      </c>
      <c r="CA1" t="s">
        <v>607</v>
      </c>
      <c r="CB1" t="s">
        <v>608</v>
      </c>
      <c r="CC1" t="s">
        <v>609</v>
      </c>
      <c r="CD1" t="s">
        <v>610</v>
      </c>
      <c r="CE1" t="s">
        <v>611</v>
      </c>
      <c r="CF1" t="s">
        <v>612</v>
      </c>
      <c r="CG1" t="s">
        <v>613</v>
      </c>
      <c r="CH1" t="s">
        <v>614</v>
      </c>
      <c r="CI1" t="s">
        <v>638</v>
      </c>
      <c r="CJ1" t="s">
        <v>639</v>
      </c>
      <c r="CK1" t="s">
        <v>640</v>
      </c>
      <c r="CL1" t="s">
        <v>641</v>
      </c>
      <c r="CM1" t="s">
        <v>642</v>
      </c>
      <c r="CN1" t="s">
        <v>643</v>
      </c>
      <c r="CO1" t="s">
        <v>644</v>
      </c>
      <c r="CP1" t="s">
        <v>645</v>
      </c>
      <c r="CQ1" t="s">
        <v>646</v>
      </c>
      <c r="CR1" t="s">
        <v>647</v>
      </c>
      <c r="CS1" t="s">
        <v>648</v>
      </c>
      <c r="CT1" t="s">
        <v>649</v>
      </c>
      <c r="CU1" t="s">
        <v>650</v>
      </c>
      <c r="CV1" t="s">
        <v>651</v>
      </c>
      <c r="CW1" t="s">
        <v>652</v>
      </c>
      <c r="CX1" t="s">
        <v>653</v>
      </c>
      <c r="CY1" t="s">
        <v>654</v>
      </c>
      <c r="CZ1" t="s">
        <v>655</v>
      </c>
      <c r="DA1" t="s">
        <v>656</v>
      </c>
      <c r="DB1" t="s">
        <v>657</v>
      </c>
      <c r="DC1" t="s">
        <v>658</v>
      </c>
      <c r="DD1" t="s">
        <v>659</v>
      </c>
      <c r="DE1" t="s">
        <v>660</v>
      </c>
      <c r="DF1" t="s">
        <v>661</v>
      </c>
      <c r="DG1" t="s">
        <v>662</v>
      </c>
      <c r="DH1" t="s">
        <v>663</v>
      </c>
      <c r="DI1" t="s">
        <v>664</v>
      </c>
      <c r="DJ1" t="s">
        <v>665</v>
      </c>
      <c r="DK1" t="s">
        <v>666</v>
      </c>
      <c r="DL1" t="s">
        <v>667</v>
      </c>
      <c r="DM1" t="s">
        <v>668</v>
      </c>
      <c r="DN1" t="s">
        <v>669</v>
      </c>
      <c r="DO1" t="s">
        <v>670</v>
      </c>
      <c r="DP1" t="s">
        <v>671</v>
      </c>
      <c r="DQ1" t="s">
        <v>672</v>
      </c>
      <c r="DR1" t="s">
        <v>673</v>
      </c>
      <c r="DS1" t="s">
        <v>674</v>
      </c>
      <c r="DT1" t="s">
        <v>678</v>
      </c>
      <c r="DU1" t="s">
        <v>679</v>
      </c>
      <c r="DV1" t="s">
        <v>680</v>
      </c>
      <c r="DW1" t="s">
        <v>681</v>
      </c>
      <c r="DX1" t="s">
        <v>682</v>
      </c>
      <c r="DY1" t="s">
        <v>683</v>
      </c>
      <c r="DZ1" t="s">
        <v>684</v>
      </c>
      <c r="EA1" t="s">
        <v>685</v>
      </c>
      <c r="EB1" t="s">
        <v>686</v>
      </c>
      <c r="EC1" t="s">
        <v>687</v>
      </c>
      <c r="ED1" t="s">
        <v>688</v>
      </c>
      <c r="EE1" t="s">
        <v>689</v>
      </c>
      <c r="EF1" t="s">
        <v>690</v>
      </c>
      <c r="EG1" t="s">
        <v>691</v>
      </c>
      <c r="EH1" t="s">
        <v>692</v>
      </c>
      <c r="EI1" t="s">
        <v>693</v>
      </c>
      <c r="EJ1" t="s">
        <v>694</v>
      </c>
      <c r="EK1" t="s">
        <v>695</v>
      </c>
      <c r="EL1" t="s">
        <v>696</v>
      </c>
      <c r="EM1" t="s">
        <v>697</v>
      </c>
      <c r="EN1" t="s">
        <v>698</v>
      </c>
      <c r="EO1" t="s">
        <v>699</v>
      </c>
      <c r="EP1" t="s">
        <v>700</v>
      </c>
      <c r="EQ1" t="s">
        <v>701</v>
      </c>
      <c r="ER1" t="s">
        <v>490</v>
      </c>
      <c r="ES1" t="s">
        <v>491</v>
      </c>
      <c r="ET1" t="s">
        <v>492</v>
      </c>
      <c r="EU1" t="s">
        <v>493</v>
      </c>
      <c r="EV1" t="s">
        <v>494</v>
      </c>
      <c r="EW1" t="s">
        <v>495</v>
      </c>
      <c r="EX1" t="s">
        <v>496</v>
      </c>
      <c r="EY1" t="s">
        <v>497</v>
      </c>
      <c r="EZ1" t="s">
        <v>498</v>
      </c>
      <c r="FA1" t="s">
        <v>499</v>
      </c>
      <c r="FB1" t="s">
        <v>500</v>
      </c>
      <c r="FC1" t="s">
        <v>501</v>
      </c>
      <c r="FD1" t="s">
        <v>502</v>
      </c>
      <c r="FE1" t="s">
        <v>503</v>
      </c>
      <c r="FF1" t="s">
        <v>504</v>
      </c>
      <c r="FG1" t="s">
        <v>505</v>
      </c>
      <c r="FH1" t="s">
        <v>506</v>
      </c>
      <c r="FI1" t="s">
        <v>507</v>
      </c>
      <c r="FJ1" t="s">
        <v>508</v>
      </c>
      <c r="FK1" t="s">
        <v>509</v>
      </c>
      <c r="FL1" t="s">
        <v>510</v>
      </c>
      <c r="FM1" t="s">
        <v>511</v>
      </c>
      <c r="FN1" t="s">
        <v>512</v>
      </c>
      <c r="FO1" t="s">
        <v>513</v>
      </c>
      <c r="FP1" t="s">
        <v>514</v>
      </c>
      <c r="FQ1" t="s">
        <v>515</v>
      </c>
      <c r="FR1" t="s">
        <v>516</v>
      </c>
      <c r="FS1" t="s">
        <v>517</v>
      </c>
      <c r="FT1" t="s">
        <v>518</v>
      </c>
      <c r="FU1" t="s">
        <v>519</v>
      </c>
      <c r="FV1" t="s">
        <v>520</v>
      </c>
      <c r="FW1" t="s">
        <v>521</v>
      </c>
      <c r="FX1" t="s">
        <v>522</v>
      </c>
      <c r="FY1" t="s">
        <v>523</v>
      </c>
      <c r="FZ1" t="s">
        <v>153</v>
      </c>
      <c r="GA1" t="s">
        <v>154</v>
      </c>
      <c r="GB1" t="s">
        <v>155</v>
      </c>
      <c r="GC1" t="s">
        <v>156</v>
      </c>
      <c r="GD1" t="s">
        <v>157</v>
      </c>
      <c r="GE1" t="s">
        <v>158</v>
      </c>
      <c r="GF1" t="s">
        <v>159</v>
      </c>
      <c r="GG1" t="s">
        <v>160</v>
      </c>
      <c r="GH1" t="s">
        <v>161</v>
      </c>
      <c r="GI1" t="s">
        <v>162</v>
      </c>
      <c r="GJ1" t="s">
        <v>163</v>
      </c>
      <c r="GK1" t="s">
        <v>164</v>
      </c>
      <c r="GL1" t="s">
        <v>165</v>
      </c>
      <c r="GM1" t="s">
        <v>166</v>
      </c>
      <c r="GN1" t="s">
        <v>167</v>
      </c>
      <c r="GO1" t="s">
        <v>168</v>
      </c>
      <c r="GP1" t="s">
        <v>169</v>
      </c>
      <c r="GQ1" t="s">
        <v>170</v>
      </c>
      <c r="GR1" t="s">
        <v>171</v>
      </c>
      <c r="GS1" t="s">
        <v>172</v>
      </c>
      <c r="GT1" t="s">
        <v>173</v>
      </c>
      <c r="GU1" t="s">
        <v>174</v>
      </c>
      <c r="GV1" t="s">
        <v>175</v>
      </c>
      <c r="GW1" t="s">
        <v>176</v>
      </c>
      <c r="GX1" t="s">
        <v>177</v>
      </c>
      <c r="GY1" t="s">
        <v>178</v>
      </c>
      <c r="GZ1" t="s">
        <v>179</v>
      </c>
      <c r="HA1" t="s">
        <v>180</v>
      </c>
      <c r="HB1" t="s">
        <v>181</v>
      </c>
      <c r="HC1" t="s">
        <v>182</v>
      </c>
      <c r="HD1" t="s">
        <v>183</v>
      </c>
      <c r="HE1" t="s">
        <v>184</v>
      </c>
      <c r="HF1" t="s">
        <v>185</v>
      </c>
      <c r="HG1" t="s">
        <v>186</v>
      </c>
      <c r="HH1" t="s">
        <v>187</v>
      </c>
      <c r="HI1" t="s">
        <v>188</v>
      </c>
      <c r="HJ1" t="s">
        <v>189</v>
      </c>
      <c r="HK1" t="s">
        <v>190</v>
      </c>
      <c r="HL1" t="s">
        <v>191</v>
      </c>
      <c r="HM1" t="s">
        <v>192</v>
      </c>
      <c r="HN1" t="s">
        <v>193</v>
      </c>
      <c r="HO1" t="s">
        <v>194</v>
      </c>
      <c r="HP1" t="s">
        <v>195</v>
      </c>
      <c r="HQ1" t="s">
        <v>196</v>
      </c>
      <c r="HR1" t="s">
        <v>197</v>
      </c>
      <c r="HS1" t="s">
        <v>198</v>
      </c>
      <c r="HT1" t="s">
        <v>199</v>
      </c>
      <c r="HU1" t="s">
        <v>200</v>
      </c>
      <c r="HV1" t="s">
        <v>201</v>
      </c>
      <c r="HW1" t="s">
        <v>202</v>
      </c>
      <c r="HX1" t="s">
        <v>203</v>
      </c>
      <c r="HY1" t="s">
        <v>204</v>
      </c>
      <c r="HZ1" t="s">
        <v>205</v>
      </c>
      <c r="IA1" t="s">
        <v>206</v>
      </c>
      <c r="IB1" t="s">
        <v>207</v>
      </c>
      <c r="IC1" t="s">
        <v>208</v>
      </c>
      <c r="ID1" t="s">
        <v>209</v>
      </c>
      <c r="IE1" t="s">
        <v>210</v>
      </c>
      <c r="IF1" t="s">
        <v>211</v>
      </c>
      <c r="IG1" t="s">
        <v>212</v>
      </c>
      <c r="IH1" t="s">
        <v>213</v>
      </c>
      <c r="II1" t="s">
        <v>214</v>
      </c>
      <c r="IJ1" t="s">
        <v>215</v>
      </c>
      <c r="IK1" t="s">
        <v>216</v>
      </c>
      <c r="IL1" t="s">
        <v>217</v>
      </c>
      <c r="IM1" t="s">
        <v>218</v>
      </c>
      <c r="IN1" t="s">
        <v>219</v>
      </c>
      <c r="IO1" t="s">
        <v>220</v>
      </c>
      <c r="IP1" t="s">
        <v>221</v>
      </c>
      <c r="IQ1" t="s">
        <v>222</v>
      </c>
      <c r="IR1" t="s">
        <v>223</v>
      </c>
      <c r="IS1" t="s">
        <v>224</v>
      </c>
      <c r="IT1" t="s">
        <v>225</v>
      </c>
      <c r="IU1" t="s">
        <v>226</v>
      </c>
      <c r="IV1" t="s">
        <v>227</v>
      </c>
      <c r="IW1" t="s">
        <v>228</v>
      </c>
      <c r="IX1" t="s">
        <v>229</v>
      </c>
      <c r="IY1" t="s">
        <v>230</v>
      </c>
      <c r="IZ1" t="s">
        <v>231</v>
      </c>
      <c r="JA1" t="s">
        <v>232</v>
      </c>
      <c r="JB1" t="s">
        <v>233</v>
      </c>
      <c r="JC1" t="s">
        <v>234</v>
      </c>
      <c r="JD1" t="s">
        <v>235</v>
      </c>
      <c r="JE1" t="s">
        <v>236</v>
      </c>
      <c r="JF1" t="s">
        <v>237</v>
      </c>
      <c r="JG1" t="s">
        <v>238</v>
      </c>
      <c r="JH1" t="s">
        <v>239</v>
      </c>
      <c r="JI1" t="s">
        <v>240</v>
      </c>
      <c r="JJ1" t="s">
        <v>241</v>
      </c>
      <c r="JK1" t="s">
        <v>242</v>
      </c>
      <c r="JL1" t="s">
        <v>243</v>
      </c>
      <c r="JM1" t="s">
        <v>244</v>
      </c>
      <c r="JN1" t="s">
        <v>245</v>
      </c>
      <c r="JO1" t="s">
        <v>246</v>
      </c>
      <c r="JP1" t="s">
        <v>247</v>
      </c>
      <c r="JQ1" t="s">
        <v>248</v>
      </c>
      <c r="JR1" t="s">
        <v>249</v>
      </c>
      <c r="JS1" t="s">
        <v>250</v>
      </c>
      <c r="JT1" t="s">
        <v>251</v>
      </c>
      <c r="JU1" t="s">
        <v>252</v>
      </c>
      <c r="JV1" t="s">
        <v>253</v>
      </c>
      <c r="JW1" t="s">
        <v>254</v>
      </c>
      <c r="JX1" t="s">
        <v>255</v>
      </c>
      <c r="JY1" t="s">
        <v>256</v>
      </c>
      <c r="JZ1" t="s">
        <v>257</v>
      </c>
      <c r="KA1" t="s">
        <v>258</v>
      </c>
      <c r="KB1" t="s">
        <v>259</v>
      </c>
      <c r="KC1" t="s">
        <v>260</v>
      </c>
      <c r="KD1" t="s">
        <v>261</v>
      </c>
      <c r="KE1" t="s">
        <v>262</v>
      </c>
      <c r="KF1" t="s">
        <v>263</v>
      </c>
      <c r="KG1" t="s">
        <v>264</v>
      </c>
      <c r="KH1" t="s">
        <v>439</v>
      </c>
      <c r="KI1" t="s">
        <v>440</v>
      </c>
      <c r="KJ1" t="s">
        <v>441</v>
      </c>
      <c r="KK1" t="s">
        <v>442</v>
      </c>
      <c r="KL1" t="s">
        <v>443</v>
      </c>
      <c r="KM1" t="s">
        <v>444</v>
      </c>
      <c r="KN1" t="s">
        <v>445</v>
      </c>
      <c r="KO1" t="s">
        <v>446</v>
      </c>
      <c r="KP1" t="s">
        <v>447</v>
      </c>
      <c r="KQ1" t="s">
        <v>448</v>
      </c>
      <c r="KR1" t="s">
        <v>449</v>
      </c>
      <c r="KS1" t="s">
        <v>450</v>
      </c>
      <c r="KT1" t="s">
        <v>451</v>
      </c>
      <c r="KU1" t="s">
        <v>452</v>
      </c>
      <c r="KV1" t="s">
        <v>453</v>
      </c>
      <c r="KW1" t="s">
        <v>454</v>
      </c>
      <c r="KX1" t="s">
        <v>455</v>
      </c>
      <c r="KY1" t="s">
        <v>456</v>
      </c>
      <c r="KZ1" t="s">
        <v>457</v>
      </c>
      <c r="LA1" t="s">
        <v>458</v>
      </c>
      <c r="LB1" t="s">
        <v>459</v>
      </c>
      <c r="LC1" t="s">
        <v>460</v>
      </c>
      <c r="LD1" t="s">
        <v>461</v>
      </c>
      <c r="LE1" t="s">
        <v>462</v>
      </c>
      <c r="LF1" t="s">
        <v>463</v>
      </c>
      <c r="LG1" t="s">
        <v>464</v>
      </c>
      <c r="LH1" t="s">
        <v>465</v>
      </c>
      <c r="LI1" t="s">
        <v>466</v>
      </c>
      <c r="LJ1" t="s">
        <v>467</v>
      </c>
      <c r="LK1" t="s">
        <v>468</v>
      </c>
      <c r="LL1" t="s">
        <v>469</v>
      </c>
      <c r="LM1" t="s">
        <v>470</v>
      </c>
      <c r="LN1" t="s">
        <v>471</v>
      </c>
      <c r="LO1" t="s">
        <v>472</v>
      </c>
      <c r="LP1" t="s">
        <v>473</v>
      </c>
      <c r="LQ1" t="s">
        <v>474</v>
      </c>
      <c r="LR1" t="s">
        <v>475</v>
      </c>
      <c r="LS1" t="s">
        <v>476</v>
      </c>
      <c r="LT1" t="s">
        <v>477</v>
      </c>
      <c r="LU1" t="s">
        <v>478</v>
      </c>
      <c r="LV1" t="s">
        <v>479</v>
      </c>
      <c r="LW1" t="s">
        <v>480</v>
      </c>
      <c r="LX1" t="s">
        <v>481</v>
      </c>
      <c r="LY1" t="s">
        <v>482</v>
      </c>
      <c r="LZ1" t="s">
        <v>483</v>
      </c>
      <c r="MA1" t="s">
        <v>484</v>
      </c>
      <c r="MB1" t="s">
        <v>485</v>
      </c>
      <c r="MC1" t="s">
        <v>486</v>
      </c>
      <c r="MD1" t="s">
        <v>487</v>
      </c>
      <c r="ME1" t="s">
        <v>488</v>
      </c>
      <c r="MF1" t="s">
        <v>539</v>
      </c>
      <c r="MG1" t="s">
        <v>540</v>
      </c>
      <c r="MH1" t="s">
        <v>541</v>
      </c>
      <c r="MI1" t="s">
        <v>542</v>
      </c>
      <c r="MJ1" t="s">
        <v>543</v>
      </c>
      <c r="MK1" t="s">
        <v>544</v>
      </c>
      <c r="ML1" t="s">
        <v>545</v>
      </c>
      <c r="MM1" t="s">
        <v>752</v>
      </c>
      <c r="MN1" t="s">
        <v>753</v>
      </c>
      <c r="MO1" t="s">
        <v>754</v>
      </c>
      <c r="MP1" t="s">
        <v>755</v>
      </c>
      <c r="MQ1" t="s">
        <v>756</v>
      </c>
      <c r="MR1" t="s">
        <v>757</v>
      </c>
      <c r="MS1" t="s">
        <v>758</v>
      </c>
      <c r="MT1" t="s">
        <v>546</v>
      </c>
      <c r="MU1" t="s">
        <v>547</v>
      </c>
      <c r="MV1" t="s">
        <v>548</v>
      </c>
      <c r="MW1" t="s">
        <v>549</v>
      </c>
      <c r="MX1" t="s">
        <v>550</v>
      </c>
      <c r="MY1" t="s">
        <v>551</v>
      </c>
      <c r="MZ1" t="s">
        <v>552</v>
      </c>
      <c r="NA1" t="s">
        <v>759</v>
      </c>
      <c r="NB1" t="s">
        <v>760</v>
      </c>
      <c r="NC1" t="s">
        <v>761</v>
      </c>
      <c r="ND1" t="s">
        <v>762</v>
      </c>
      <c r="NE1" t="s">
        <v>763</v>
      </c>
      <c r="NF1" t="s">
        <v>764</v>
      </c>
      <c r="NG1" t="s">
        <v>765</v>
      </c>
      <c r="NH1" t="s">
        <v>553</v>
      </c>
      <c r="NI1" t="s">
        <v>554</v>
      </c>
      <c r="NJ1" t="s">
        <v>555</v>
      </c>
      <c r="NK1" t="s">
        <v>556</v>
      </c>
      <c r="NL1" t="s">
        <v>557</v>
      </c>
      <c r="NM1" t="s">
        <v>558</v>
      </c>
      <c r="NN1" t="s">
        <v>559</v>
      </c>
      <c r="NO1" t="s">
        <v>560</v>
      </c>
      <c r="NP1" t="s">
        <v>561</v>
      </c>
      <c r="NQ1" t="s">
        <v>562</v>
      </c>
      <c r="NR1" t="s">
        <v>563</v>
      </c>
      <c r="NS1" t="s">
        <v>564</v>
      </c>
      <c r="NT1" t="s">
        <v>565</v>
      </c>
      <c r="NU1" t="s">
        <v>566</v>
      </c>
      <c r="NV1" t="s">
        <v>567</v>
      </c>
      <c r="NW1" t="s">
        <v>568</v>
      </c>
      <c r="NX1" t="s">
        <v>569</v>
      </c>
      <c r="NY1" t="s">
        <v>570</v>
      </c>
      <c r="NZ1" t="s">
        <v>571</v>
      </c>
      <c r="OA1" t="s">
        <v>572</v>
      </c>
      <c r="OB1" t="s">
        <v>573</v>
      </c>
      <c r="OC1" t="s">
        <v>574</v>
      </c>
      <c r="OD1" t="s">
        <v>575</v>
      </c>
      <c r="OE1" t="s">
        <v>576</v>
      </c>
      <c r="OF1" t="s">
        <v>770</v>
      </c>
      <c r="OG1" t="s">
        <v>771</v>
      </c>
      <c r="OH1" t="s">
        <v>772</v>
      </c>
      <c r="OI1" t="s">
        <v>773</v>
      </c>
      <c r="OJ1" t="s">
        <v>774</v>
      </c>
      <c r="OK1" t="s">
        <v>775</v>
      </c>
      <c r="OL1" t="s">
        <v>776</v>
      </c>
      <c r="OM1" t="s">
        <v>777</v>
      </c>
      <c r="ON1" t="s">
        <v>766</v>
      </c>
      <c r="OO1" t="s">
        <v>734</v>
      </c>
      <c r="OP1" t="s">
        <v>778</v>
      </c>
      <c r="OQ1" t="s">
        <v>779</v>
      </c>
      <c r="OR1" t="s">
        <v>780</v>
      </c>
      <c r="OS1" t="s">
        <v>781</v>
      </c>
      <c r="OT1" t="s">
        <v>782</v>
      </c>
      <c r="OU1" t="s">
        <v>783</v>
      </c>
      <c r="OV1" t="s">
        <v>784</v>
      </c>
      <c r="OW1" t="s">
        <v>785</v>
      </c>
      <c r="OX1" t="s">
        <v>786</v>
      </c>
      <c r="OY1" t="s">
        <v>787</v>
      </c>
      <c r="OZ1" t="s">
        <v>788</v>
      </c>
      <c r="PA1" t="s">
        <v>789</v>
      </c>
      <c r="PB1" t="s">
        <v>790</v>
      </c>
      <c r="PC1" t="s">
        <v>791</v>
      </c>
      <c r="PD1" t="s">
        <v>792</v>
      </c>
      <c r="PE1" t="s">
        <v>793</v>
      </c>
      <c r="PF1" t="s">
        <v>794</v>
      </c>
      <c r="PG1" t="s">
        <v>795</v>
      </c>
      <c r="PH1" t="s">
        <v>796</v>
      </c>
      <c r="PI1" t="s">
        <v>797</v>
      </c>
      <c r="PJ1" t="s">
        <v>798</v>
      </c>
      <c r="PK1" t="s">
        <v>799</v>
      </c>
      <c r="PL1" t="s">
        <v>800</v>
      </c>
      <c r="PM1" t="s">
        <v>801</v>
      </c>
      <c r="PN1" t="s">
        <v>802</v>
      </c>
      <c r="PO1" t="s">
        <v>803</v>
      </c>
      <c r="PP1" t="s">
        <v>804</v>
      </c>
      <c r="PQ1" t="s">
        <v>805</v>
      </c>
      <c r="PR1" t="s">
        <v>806</v>
      </c>
      <c r="PS1" t="s">
        <v>807</v>
      </c>
      <c r="PT1" t="s">
        <v>808</v>
      </c>
      <c r="PU1" t="s">
        <v>809</v>
      </c>
      <c r="PV1" t="s">
        <v>810</v>
      </c>
      <c r="PW1" t="s">
        <v>811</v>
      </c>
      <c r="PX1" t="s">
        <v>812</v>
      </c>
      <c r="PY1" t="s">
        <v>813</v>
      </c>
      <c r="PZ1" t="s">
        <v>814</v>
      </c>
      <c r="QA1" t="s">
        <v>870</v>
      </c>
      <c r="QB1" t="s">
        <v>852</v>
      </c>
      <c r="QC1" t="s">
        <v>853</v>
      </c>
      <c r="QD1" t="s">
        <v>854</v>
      </c>
      <c r="QE1" t="s">
        <v>855</v>
      </c>
      <c r="QF1" t="s">
        <v>856</v>
      </c>
      <c r="QG1" t="s">
        <v>857</v>
      </c>
      <c r="QH1" t="s">
        <v>858</v>
      </c>
      <c r="QI1" t="s">
        <v>859</v>
      </c>
      <c r="QJ1" t="s">
        <v>860</v>
      </c>
      <c r="QK1" t="s">
        <v>815</v>
      </c>
      <c r="QL1" t="s">
        <v>816</v>
      </c>
      <c r="QM1" t="s">
        <v>817</v>
      </c>
      <c r="QN1" t="s">
        <v>818</v>
      </c>
      <c r="QO1" t="s">
        <v>819</v>
      </c>
      <c r="QP1" t="s">
        <v>820</v>
      </c>
      <c r="QQ1" t="s">
        <v>821</v>
      </c>
      <c r="QR1" t="s">
        <v>822</v>
      </c>
      <c r="QS1" t="s">
        <v>823</v>
      </c>
      <c r="QT1" t="s">
        <v>824</v>
      </c>
      <c r="QU1" t="s">
        <v>825</v>
      </c>
      <c r="QV1" t="s">
        <v>826</v>
      </c>
      <c r="QW1" t="s">
        <v>827</v>
      </c>
      <c r="QX1" t="s">
        <v>828</v>
      </c>
      <c r="QY1" t="s">
        <v>829</v>
      </c>
      <c r="QZ1" t="s">
        <v>830</v>
      </c>
      <c r="RA1" t="s">
        <v>831</v>
      </c>
      <c r="RB1" t="s">
        <v>832</v>
      </c>
      <c r="RC1" t="s">
        <v>833</v>
      </c>
      <c r="RD1" t="s">
        <v>834</v>
      </c>
      <c r="RE1" t="s">
        <v>835</v>
      </c>
      <c r="RF1" t="s">
        <v>836</v>
      </c>
      <c r="RG1" t="s">
        <v>837</v>
      </c>
      <c r="RH1" t="s">
        <v>838</v>
      </c>
      <c r="RI1" t="s">
        <v>839</v>
      </c>
      <c r="RJ1" t="s">
        <v>840</v>
      </c>
      <c r="RK1" t="s">
        <v>841</v>
      </c>
      <c r="RL1" t="s">
        <v>842</v>
      </c>
      <c r="RM1" t="s">
        <v>843</v>
      </c>
      <c r="RN1" t="s">
        <v>844</v>
      </c>
      <c r="RO1" t="s">
        <v>845</v>
      </c>
      <c r="RP1" t="s">
        <v>846</v>
      </c>
      <c r="RQ1" t="s">
        <v>847</v>
      </c>
      <c r="RR1" t="s">
        <v>848</v>
      </c>
      <c r="RS1" t="s">
        <v>849</v>
      </c>
      <c r="RT1" t="s">
        <v>850</v>
      </c>
      <c r="RU1" t="s">
        <v>851</v>
      </c>
      <c r="RV1" t="s">
        <v>871</v>
      </c>
      <c r="RW1" t="s">
        <v>861</v>
      </c>
      <c r="RX1" t="s">
        <v>862</v>
      </c>
      <c r="RY1" t="s">
        <v>863</v>
      </c>
      <c r="RZ1" t="s">
        <v>864</v>
      </c>
      <c r="SA1" t="s">
        <v>865</v>
      </c>
      <c r="SB1" t="s">
        <v>866</v>
      </c>
      <c r="SC1" t="s">
        <v>867</v>
      </c>
      <c r="SD1" t="s">
        <v>868</v>
      </c>
      <c r="SE1" t="s">
        <v>869</v>
      </c>
      <c r="SF1" t="s">
        <v>886</v>
      </c>
      <c r="SG1" t="s">
        <v>887</v>
      </c>
      <c r="SH1" t="s">
        <v>888</v>
      </c>
      <c r="SI1" t="s">
        <v>889</v>
      </c>
      <c r="SJ1" t="s">
        <v>890</v>
      </c>
      <c r="SK1" t="s">
        <v>891</v>
      </c>
      <c r="SL1" t="s">
        <v>892</v>
      </c>
      <c r="SM1" t="s">
        <v>893</v>
      </c>
      <c r="SN1" t="s">
        <v>894</v>
      </c>
      <c r="SO1" t="s">
        <v>895</v>
      </c>
      <c r="SP1" t="s">
        <v>896</v>
      </c>
      <c r="SQ1" t="s">
        <v>897</v>
      </c>
      <c r="SR1" t="s">
        <v>898</v>
      </c>
      <c r="SS1" t="s">
        <v>899</v>
      </c>
      <c r="ST1" t="s">
        <v>910</v>
      </c>
      <c r="SU1" t="s">
        <v>911</v>
      </c>
      <c r="SV1" t="s">
        <v>912</v>
      </c>
      <c r="SW1" t="s">
        <v>913</v>
      </c>
      <c r="SX1" t="s">
        <v>914</v>
      </c>
      <c r="SY1" t="s">
        <v>915</v>
      </c>
      <c r="SZ1" t="s">
        <v>916</v>
      </c>
      <c r="TA1" t="s">
        <v>917</v>
      </c>
      <c r="TB1" t="s">
        <v>918</v>
      </c>
      <c r="TC1" t="s">
        <v>919</v>
      </c>
      <c r="TD1" t="s">
        <v>957</v>
      </c>
      <c r="TE1" t="s">
        <v>920</v>
      </c>
      <c r="TF1" t="s">
        <v>921</v>
      </c>
      <c r="TG1" t="s">
        <v>922</v>
      </c>
      <c r="TH1" t="s">
        <v>923</v>
      </c>
      <c r="TI1" t="s">
        <v>924</v>
      </c>
      <c r="TJ1" t="s">
        <v>925</v>
      </c>
      <c r="TK1" t="s">
        <v>926</v>
      </c>
      <c r="TL1" t="s">
        <v>927</v>
      </c>
      <c r="TM1" t="s">
        <v>928</v>
      </c>
      <c r="TN1" t="s">
        <v>929</v>
      </c>
      <c r="TO1" t="s">
        <v>930</v>
      </c>
      <c r="TP1" t="s">
        <v>931</v>
      </c>
      <c r="TQ1" t="s">
        <v>932</v>
      </c>
      <c r="TR1" t="s">
        <v>933</v>
      </c>
      <c r="TS1" t="s">
        <v>934</v>
      </c>
      <c r="TT1" t="s">
        <v>935</v>
      </c>
      <c r="TU1" t="s">
        <v>936</v>
      </c>
      <c r="TV1" t="s">
        <v>937</v>
      </c>
      <c r="TW1" t="s">
        <v>938</v>
      </c>
      <c r="TX1" t="s">
        <v>939</v>
      </c>
      <c r="TY1" t="s">
        <v>940</v>
      </c>
      <c r="TZ1" t="s">
        <v>941</v>
      </c>
      <c r="UA1" t="s">
        <v>942</v>
      </c>
      <c r="UB1" t="s">
        <v>943</v>
      </c>
      <c r="UC1" t="s">
        <v>944</v>
      </c>
      <c r="UD1" t="s">
        <v>945</v>
      </c>
      <c r="UE1" t="s">
        <v>946</v>
      </c>
      <c r="UF1" t="s">
        <v>947</v>
      </c>
      <c r="UG1" t="s">
        <v>948</v>
      </c>
      <c r="UH1" t="s">
        <v>949</v>
      </c>
      <c r="UI1" t="s">
        <v>950</v>
      </c>
      <c r="UJ1" t="s">
        <v>951</v>
      </c>
      <c r="UK1" t="s">
        <v>952</v>
      </c>
      <c r="UL1" t="s">
        <v>953</v>
      </c>
      <c r="UM1" t="s">
        <v>954</v>
      </c>
      <c r="UN1" t="s">
        <v>955</v>
      </c>
      <c r="UO1" t="s">
        <v>956</v>
      </c>
      <c r="UP1" t="s">
        <v>958</v>
      </c>
      <c r="UQ1" t="s">
        <v>959</v>
      </c>
      <c r="UR1" t="s">
        <v>960</v>
      </c>
      <c r="US1" t="s">
        <v>961</v>
      </c>
      <c r="UT1" t="s">
        <v>962</v>
      </c>
      <c r="UU1" t="s">
        <v>963</v>
      </c>
      <c r="UV1" t="s">
        <v>964</v>
      </c>
      <c r="UW1" t="s">
        <v>965</v>
      </c>
      <c r="UX1" t="s">
        <v>966</v>
      </c>
      <c r="UY1" t="s">
        <v>967</v>
      </c>
      <c r="UZ1" t="s">
        <v>968</v>
      </c>
      <c r="VA1" t="s">
        <v>969</v>
      </c>
      <c r="VB1" t="s">
        <v>970</v>
      </c>
      <c r="VC1" t="s">
        <v>971</v>
      </c>
      <c r="VD1" t="s">
        <v>972</v>
      </c>
      <c r="VE1" t="s">
        <v>973</v>
      </c>
      <c r="VF1" t="s">
        <v>974</v>
      </c>
      <c r="VG1" t="s">
        <v>975</v>
      </c>
      <c r="VH1" t="s">
        <v>976</v>
      </c>
      <c r="VI1" t="s">
        <v>977</v>
      </c>
      <c r="VJ1" t="s">
        <v>978</v>
      </c>
      <c r="VK1" t="s">
        <v>979</v>
      </c>
      <c r="VL1" t="s">
        <v>980</v>
      </c>
      <c r="VM1" t="s">
        <v>981</v>
      </c>
      <c r="VN1" t="s">
        <v>982</v>
      </c>
      <c r="VO1" t="s">
        <v>983</v>
      </c>
      <c r="VP1" t="s">
        <v>984</v>
      </c>
      <c r="VQ1" t="s">
        <v>985</v>
      </c>
      <c r="VR1" t="s">
        <v>986</v>
      </c>
      <c r="VS1" t="s">
        <v>987</v>
      </c>
      <c r="VT1" t="s">
        <v>988</v>
      </c>
      <c r="VU1" t="s">
        <v>989</v>
      </c>
      <c r="VV1" t="s">
        <v>990</v>
      </c>
      <c r="VW1" t="s">
        <v>991</v>
      </c>
      <c r="VX1" t="s">
        <v>992</v>
      </c>
      <c r="VY1" t="s">
        <v>993</v>
      </c>
      <c r="VZ1" t="s">
        <v>994</v>
      </c>
      <c r="WA1" t="s">
        <v>995</v>
      </c>
      <c r="WB1" t="s">
        <v>1049</v>
      </c>
      <c r="WC1" t="s">
        <v>1050</v>
      </c>
      <c r="WD1" t="s">
        <v>1051</v>
      </c>
      <c r="WE1" t="s">
        <v>1052</v>
      </c>
      <c r="WF1" t="s">
        <v>1053</v>
      </c>
      <c r="WG1" t="s">
        <v>1054</v>
      </c>
      <c r="WH1" t="s">
        <v>1055</v>
      </c>
      <c r="WI1" t="s">
        <v>1056</v>
      </c>
      <c r="WJ1" t="s">
        <v>1074</v>
      </c>
      <c r="WK1" t="s">
        <v>1075</v>
      </c>
    </row>
    <row r="3" spans="1:609" ht="14.45" x14ac:dyDescent="0.35">
      <c r="A3">
        <v>2004</v>
      </c>
      <c r="B3" t="s">
        <v>265</v>
      </c>
      <c r="C3" t="s">
        <v>265</v>
      </c>
      <c r="D3" t="s">
        <v>265</v>
      </c>
      <c r="E3" t="s">
        <v>265</v>
      </c>
      <c r="F3" t="s">
        <v>265</v>
      </c>
      <c r="G3" t="s">
        <v>265</v>
      </c>
      <c r="H3" t="s">
        <v>265</v>
      </c>
      <c r="I3" t="s">
        <v>265</v>
      </c>
      <c r="J3" t="s">
        <v>265</v>
      </c>
      <c r="K3" t="s">
        <v>265</v>
      </c>
      <c r="L3" t="s">
        <v>265</v>
      </c>
      <c r="M3" t="s">
        <v>265</v>
      </c>
      <c r="N3" t="s">
        <v>265</v>
      </c>
      <c r="O3" t="s">
        <v>265</v>
      </c>
      <c r="P3" t="s">
        <v>265</v>
      </c>
      <c r="Q3" t="s">
        <v>265</v>
      </c>
      <c r="R3" t="s">
        <v>265</v>
      </c>
      <c r="S3" t="s">
        <v>265</v>
      </c>
      <c r="T3" t="s">
        <v>265</v>
      </c>
      <c r="U3" t="s">
        <v>265</v>
      </c>
      <c r="V3" t="s">
        <v>265</v>
      </c>
      <c r="W3" t="s">
        <v>265</v>
      </c>
      <c r="X3" t="s">
        <v>265</v>
      </c>
      <c r="Y3" t="s">
        <v>265</v>
      </c>
      <c r="Z3" t="s">
        <v>265</v>
      </c>
      <c r="AA3" t="s">
        <v>265</v>
      </c>
      <c r="AB3" t="s">
        <v>265</v>
      </c>
      <c r="AC3" t="s">
        <v>265</v>
      </c>
      <c r="AD3" t="s">
        <v>265</v>
      </c>
      <c r="AE3" t="s">
        <v>265</v>
      </c>
      <c r="AF3" t="s">
        <v>265</v>
      </c>
      <c r="AG3" t="s">
        <v>265</v>
      </c>
      <c r="AH3" t="s">
        <v>265</v>
      </c>
      <c r="AI3" t="s">
        <v>265</v>
      </c>
      <c r="AJ3">
        <v>0.1022</v>
      </c>
      <c r="AK3">
        <v>97.764889999999994</v>
      </c>
      <c r="AL3">
        <v>2.073134</v>
      </c>
      <c r="AM3">
        <v>0.10632900000000001</v>
      </c>
      <c r="AN3">
        <v>101.7146</v>
      </c>
      <c r="AO3">
        <v>2.1568890000000001</v>
      </c>
      <c r="AP3">
        <v>65.033760000000001</v>
      </c>
      <c r="AQ3">
        <v>67.66113</v>
      </c>
      <c r="AR3" t="s">
        <v>265</v>
      </c>
      <c r="AS3" t="s">
        <v>265</v>
      </c>
      <c r="AT3" t="s">
        <v>265</v>
      </c>
      <c r="AU3" t="s">
        <v>265</v>
      </c>
      <c r="AV3" t="s">
        <v>265</v>
      </c>
      <c r="AW3" t="s">
        <v>265</v>
      </c>
      <c r="AX3" t="s">
        <v>265</v>
      </c>
      <c r="AY3" t="s">
        <v>265</v>
      </c>
      <c r="AZ3" t="s">
        <v>265</v>
      </c>
      <c r="BA3" t="s">
        <v>265</v>
      </c>
      <c r="BB3" t="s">
        <v>265</v>
      </c>
      <c r="BC3" t="s">
        <v>265</v>
      </c>
      <c r="BD3" t="s">
        <v>265</v>
      </c>
      <c r="BE3" t="s">
        <v>265</v>
      </c>
      <c r="BF3" t="s">
        <v>265</v>
      </c>
      <c r="BG3" t="s">
        <v>265</v>
      </c>
      <c r="BH3" t="s">
        <v>265</v>
      </c>
      <c r="BI3" t="s">
        <v>265</v>
      </c>
      <c r="BJ3" t="s">
        <v>265</v>
      </c>
      <c r="BK3" t="s">
        <v>265</v>
      </c>
      <c r="BL3" t="s">
        <v>265</v>
      </c>
      <c r="BM3" t="s">
        <v>265</v>
      </c>
      <c r="BN3" t="s">
        <v>265</v>
      </c>
      <c r="BO3" t="s">
        <v>265</v>
      </c>
      <c r="BP3" t="s">
        <v>265</v>
      </c>
      <c r="BQ3" t="s">
        <v>265</v>
      </c>
      <c r="BR3" t="s">
        <v>265</v>
      </c>
      <c r="BS3" t="s">
        <v>265</v>
      </c>
      <c r="BT3" t="s">
        <v>265</v>
      </c>
      <c r="BU3" t="s">
        <v>265</v>
      </c>
      <c r="BV3" t="s">
        <v>265</v>
      </c>
      <c r="BW3" t="s">
        <v>265</v>
      </c>
      <c r="BX3" t="s">
        <v>265</v>
      </c>
      <c r="BY3" t="s">
        <v>265</v>
      </c>
      <c r="BZ3" t="s">
        <v>265</v>
      </c>
      <c r="CA3" t="s">
        <v>265</v>
      </c>
      <c r="CB3" t="s">
        <v>265</v>
      </c>
      <c r="CC3" t="s">
        <v>265</v>
      </c>
      <c r="CD3" t="s">
        <v>265</v>
      </c>
      <c r="CE3" t="s">
        <v>265</v>
      </c>
      <c r="CF3" t="s">
        <v>265</v>
      </c>
      <c r="CG3" t="s">
        <v>265</v>
      </c>
      <c r="CH3" t="s">
        <v>265</v>
      </c>
      <c r="CI3" t="s">
        <v>265</v>
      </c>
      <c r="CJ3" t="s">
        <v>265</v>
      </c>
      <c r="CK3" t="s">
        <v>265</v>
      </c>
      <c r="CL3" t="s">
        <v>265</v>
      </c>
      <c r="CM3" t="s">
        <v>265</v>
      </c>
      <c r="CN3" t="s">
        <v>265</v>
      </c>
      <c r="CO3" t="s">
        <v>265</v>
      </c>
      <c r="CP3" t="s">
        <v>265</v>
      </c>
      <c r="CQ3" t="s">
        <v>265</v>
      </c>
      <c r="CR3" t="s">
        <v>265</v>
      </c>
      <c r="CS3" t="s">
        <v>265</v>
      </c>
      <c r="CT3" t="s">
        <v>265</v>
      </c>
      <c r="CU3" t="s">
        <v>265</v>
      </c>
      <c r="CV3" t="s">
        <v>265</v>
      </c>
      <c r="CW3" t="s">
        <v>265</v>
      </c>
      <c r="CX3" t="s">
        <v>265</v>
      </c>
      <c r="CY3" t="s">
        <v>265</v>
      </c>
      <c r="CZ3" t="s">
        <v>265</v>
      </c>
      <c r="DA3" t="s">
        <v>265</v>
      </c>
      <c r="DB3" t="s">
        <v>265</v>
      </c>
      <c r="DC3" t="s">
        <v>265</v>
      </c>
      <c r="DD3" t="s">
        <v>265</v>
      </c>
      <c r="DE3" t="s">
        <v>265</v>
      </c>
      <c r="DF3" t="s">
        <v>265</v>
      </c>
      <c r="DG3" t="s">
        <v>265</v>
      </c>
      <c r="DH3" t="s">
        <v>265</v>
      </c>
      <c r="DI3" t="s">
        <v>265</v>
      </c>
      <c r="DJ3" t="s">
        <v>265</v>
      </c>
      <c r="DK3" t="s">
        <v>265</v>
      </c>
      <c r="DL3" t="s">
        <v>265</v>
      </c>
      <c r="DM3" t="s">
        <v>265</v>
      </c>
      <c r="DN3" t="s">
        <v>265</v>
      </c>
      <c r="DO3" t="s">
        <v>265</v>
      </c>
      <c r="DP3" t="s">
        <v>265</v>
      </c>
      <c r="DQ3" t="s">
        <v>265</v>
      </c>
      <c r="DR3" t="s">
        <v>265</v>
      </c>
      <c r="DS3" t="s">
        <v>265</v>
      </c>
      <c r="DT3" t="s">
        <v>265</v>
      </c>
      <c r="DU3" t="s">
        <v>265</v>
      </c>
      <c r="DV3" t="s">
        <v>265</v>
      </c>
      <c r="DW3" t="s">
        <v>265</v>
      </c>
      <c r="DX3" t="s">
        <v>265</v>
      </c>
      <c r="DY3" t="s">
        <v>265</v>
      </c>
      <c r="DZ3" t="s">
        <v>265</v>
      </c>
      <c r="EA3" t="s">
        <v>265</v>
      </c>
      <c r="EB3" t="s">
        <v>265</v>
      </c>
      <c r="EC3" t="s">
        <v>265</v>
      </c>
      <c r="ED3" t="s">
        <v>265</v>
      </c>
      <c r="EE3" t="s">
        <v>265</v>
      </c>
      <c r="EF3" t="s">
        <v>265</v>
      </c>
      <c r="EG3" t="s">
        <v>265</v>
      </c>
      <c r="EH3" t="s">
        <v>265</v>
      </c>
      <c r="EI3" t="s">
        <v>265</v>
      </c>
      <c r="EJ3" t="s">
        <v>265</v>
      </c>
      <c r="EK3" t="s">
        <v>265</v>
      </c>
      <c r="EL3" t="s">
        <v>265</v>
      </c>
      <c r="EM3" t="s">
        <v>265</v>
      </c>
      <c r="EN3" t="s">
        <v>265</v>
      </c>
      <c r="EO3" t="s">
        <v>265</v>
      </c>
      <c r="EP3" t="s">
        <v>265</v>
      </c>
      <c r="EQ3" t="s">
        <v>265</v>
      </c>
      <c r="ER3" t="s">
        <v>265</v>
      </c>
      <c r="ES3" t="s">
        <v>265</v>
      </c>
      <c r="ET3" t="s">
        <v>265</v>
      </c>
      <c r="EU3" t="s">
        <v>265</v>
      </c>
      <c r="EV3" t="s">
        <v>265</v>
      </c>
      <c r="EW3" t="s">
        <v>265</v>
      </c>
      <c r="EX3" t="s">
        <v>265</v>
      </c>
      <c r="EY3" t="s">
        <v>265</v>
      </c>
      <c r="EZ3" t="s">
        <v>265</v>
      </c>
      <c r="FA3" t="s">
        <v>265</v>
      </c>
      <c r="FB3" t="s">
        <v>265</v>
      </c>
      <c r="FC3" t="s">
        <v>265</v>
      </c>
      <c r="FD3" t="s">
        <v>265</v>
      </c>
      <c r="FE3" t="s">
        <v>265</v>
      </c>
      <c r="FF3" t="s">
        <v>265</v>
      </c>
      <c r="FG3" t="s">
        <v>265</v>
      </c>
      <c r="FH3" t="s">
        <v>265</v>
      </c>
      <c r="FI3" t="s">
        <v>265</v>
      </c>
      <c r="FJ3" t="s">
        <v>265</v>
      </c>
      <c r="FK3" t="s">
        <v>265</v>
      </c>
      <c r="FL3" t="s">
        <v>265</v>
      </c>
      <c r="FM3" t="s">
        <v>265</v>
      </c>
      <c r="FN3" t="s">
        <v>265</v>
      </c>
      <c r="FO3" t="s">
        <v>265</v>
      </c>
      <c r="FP3" t="s">
        <v>265</v>
      </c>
      <c r="FQ3" t="s">
        <v>265</v>
      </c>
      <c r="FR3" t="s">
        <v>265</v>
      </c>
      <c r="FS3" t="s">
        <v>265</v>
      </c>
      <c r="FT3" t="s">
        <v>265</v>
      </c>
      <c r="FU3" t="s">
        <v>265</v>
      </c>
      <c r="FV3" t="s">
        <v>265</v>
      </c>
      <c r="FW3" t="s">
        <v>265</v>
      </c>
      <c r="FX3" t="s">
        <v>265</v>
      </c>
      <c r="FY3" t="s">
        <v>265</v>
      </c>
      <c r="FZ3" t="s">
        <v>265</v>
      </c>
      <c r="GA3" t="s">
        <v>265</v>
      </c>
      <c r="GB3" t="s">
        <v>265</v>
      </c>
      <c r="GC3" t="s">
        <v>265</v>
      </c>
      <c r="GD3" t="s">
        <v>265</v>
      </c>
      <c r="GE3" t="s">
        <v>265</v>
      </c>
      <c r="GF3" t="s">
        <v>265</v>
      </c>
      <c r="GG3" t="s">
        <v>265</v>
      </c>
      <c r="GH3" t="s">
        <v>265</v>
      </c>
      <c r="GI3" t="s">
        <v>265</v>
      </c>
      <c r="GJ3" t="s">
        <v>265</v>
      </c>
      <c r="GK3" t="s">
        <v>265</v>
      </c>
      <c r="GL3" t="s">
        <v>265</v>
      </c>
      <c r="GM3" t="s">
        <v>265</v>
      </c>
      <c r="GN3" t="s">
        <v>265</v>
      </c>
      <c r="GO3" t="s">
        <v>265</v>
      </c>
      <c r="GP3" t="s">
        <v>265</v>
      </c>
      <c r="GQ3" t="s">
        <v>265</v>
      </c>
      <c r="GR3" t="s">
        <v>265</v>
      </c>
      <c r="GS3" t="s">
        <v>265</v>
      </c>
      <c r="GT3" t="s">
        <v>265</v>
      </c>
      <c r="GU3" t="s">
        <v>265</v>
      </c>
      <c r="GV3" t="s">
        <v>265</v>
      </c>
      <c r="GW3" t="s">
        <v>265</v>
      </c>
      <c r="GX3" t="s">
        <v>265</v>
      </c>
      <c r="GY3" t="s">
        <v>265</v>
      </c>
      <c r="GZ3" t="s">
        <v>265</v>
      </c>
      <c r="HA3" t="s">
        <v>265</v>
      </c>
      <c r="HB3" t="s">
        <v>265</v>
      </c>
      <c r="HC3" t="s">
        <v>265</v>
      </c>
      <c r="HD3" t="s">
        <v>265</v>
      </c>
      <c r="HE3" t="s">
        <v>265</v>
      </c>
      <c r="HF3" t="s">
        <v>265</v>
      </c>
      <c r="HG3" t="s">
        <v>265</v>
      </c>
      <c r="HH3" t="s">
        <v>265</v>
      </c>
      <c r="HI3" t="s">
        <v>265</v>
      </c>
      <c r="HJ3" t="s">
        <v>265</v>
      </c>
      <c r="HK3" t="s">
        <v>265</v>
      </c>
      <c r="HL3" t="s">
        <v>265</v>
      </c>
      <c r="HM3" t="s">
        <v>265</v>
      </c>
      <c r="HN3" t="s">
        <v>265</v>
      </c>
      <c r="HO3" t="s">
        <v>265</v>
      </c>
      <c r="HP3" t="s">
        <v>265</v>
      </c>
      <c r="HQ3" t="s">
        <v>265</v>
      </c>
      <c r="HR3" t="s">
        <v>265</v>
      </c>
      <c r="HS3" t="s">
        <v>265</v>
      </c>
      <c r="HT3" t="s">
        <v>265</v>
      </c>
      <c r="HU3" t="s">
        <v>265</v>
      </c>
      <c r="HV3" t="s">
        <v>265</v>
      </c>
      <c r="HW3" t="s">
        <v>265</v>
      </c>
      <c r="HX3" t="s">
        <v>265</v>
      </c>
      <c r="HY3" t="s">
        <v>265</v>
      </c>
      <c r="HZ3" t="s">
        <v>265</v>
      </c>
      <c r="IA3" t="s">
        <v>265</v>
      </c>
      <c r="IB3" t="s">
        <v>265</v>
      </c>
      <c r="IC3" t="s">
        <v>265</v>
      </c>
      <c r="ID3" t="s">
        <v>265</v>
      </c>
      <c r="IE3" t="s">
        <v>265</v>
      </c>
      <c r="IF3" t="s">
        <v>265</v>
      </c>
      <c r="IG3" t="s">
        <v>265</v>
      </c>
      <c r="IH3" t="s">
        <v>265</v>
      </c>
      <c r="II3" t="s">
        <v>265</v>
      </c>
      <c r="IJ3" t="s">
        <v>265</v>
      </c>
      <c r="IK3" t="s">
        <v>265</v>
      </c>
      <c r="IL3" t="s">
        <v>265</v>
      </c>
      <c r="IM3" t="s">
        <v>265</v>
      </c>
      <c r="IN3" t="s">
        <v>265</v>
      </c>
      <c r="IO3" t="s">
        <v>265</v>
      </c>
      <c r="IP3" t="s">
        <v>265</v>
      </c>
      <c r="IQ3" t="s">
        <v>265</v>
      </c>
      <c r="IR3" t="s">
        <v>265</v>
      </c>
      <c r="IS3" t="s">
        <v>265</v>
      </c>
      <c r="IT3" t="s">
        <v>265</v>
      </c>
      <c r="IU3" t="s">
        <v>265</v>
      </c>
      <c r="IV3" t="s">
        <v>265</v>
      </c>
      <c r="IW3" t="s">
        <v>265</v>
      </c>
      <c r="IX3" t="s">
        <v>265</v>
      </c>
      <c r="IY3" t="s">
        <v>265</v>
      </c>
      <c r="IZ3" t="s">
        <v>265</v>
      </c>
      <c r="JA3" t="s">
        <v>265</v>
      </c>
      <c r="JB3" t="s">
        <v>265</v>
      </c>
      <c r="JC3" t="s">
        <v>265</v>
      </c>
      <c r="JD3" t="s">
        <v>265</v>
      </c>
      <c r="JE3" t="s">
        <v>265</v>
      </c>
      <c r="JF3" t="s">
        <v>265</v>
      </c>
      <c r="JG3" t="s">
        <v>265</v>
      </c>
      <c r="JH3" t="s">
        <v>265</v>
      </c>
      <c r="JI3" t="s">
        <v>265</v>
      </c>
      <c r="JJ3" t="s">
        <v>265</v>
      </c>
      <c r="JK3" t="s">
        <v>265</v>
      </c>
      <c r="JL3" t="s">
        <v>265</v>
      </c>
      <c r="JM3" t="s">
        <v>265</v>
      </c>
      <c r="JN3" t="s">
        <v>265</v>
      </c>
      <c r="JO3" t="s">
        <v>265</v>
      </c>
      <c r="JP3" t="s">
        <v>265</v>
      </c>
      <c r="JQ3" t="s">
        <v>265</v>
      </c>
      <c r="JR3" t="s">
        <v>265</v>
      </c>
      <c r="JS3" t="s">
        <v>265</v>
      </c>
      <c r="JT3" t="s">
        <v>265</v>
      </c>
      <c r="JU3" t="s">
        <v>265</v>
      </c>
      <c r="JV3" t="s">
        <v>265</v>
      </c>
      <c r="JW3" t="s">
        <v>265</v>
      </c>
      <c r="JX3" t="s">
        <v>265</v>
      </c>
      <c r="JY3" t="s">
        <v>265</v>
      </c>
      <c r="JZ3" t="s">
        <v>265</v>
      </c>
      <c r="KA3" t="s">
        <v>265</v>
      </c>
      <c r="KB3" t="s">
        <v>265</v>
      </c>
      <c r="KC3" t="s">
        <v>265</v>
      </c>
      <c r="KD3" t="s">
        <v>265</v>
      </c>
      <c r="KE3" t="s">
        <v>265</v>
      </c>
      <c r="KF3" t="s">
        <v>265</v>
      </c>
      <c r="KG3" t="s">
        <v>265</v>
      </c>
      <c r="KH3" t="s">
        <v>265</v>
      </c>
      <c r="KI3" t="s">
        <v>265</v>
      </c>
      <c r="KJ3" t="s">
        <v>265</v>
      </c>
      <c r="KK3" t="s">
        <v>265</v>
      </c>
      <c r="KL3" t="s">
        <v>265</v>
      </c>
      <c r="KM3" t="s">
        <v>265</v>
      </c>
      <c r="KN3" t="s">
        <v>265</v>
      </c>
      <c r="KO3" t="s">
        <v>265</v>
      </c>
      <c r="KP3" t="s">
        <v>265</v>
      </c>
      <c r="KQ3" t="s">
        <v>265</v>
      </c>
      <c r="KR3" t="s">
        <v>265</v>
      </c>
      <c r="KS3" t="s">
        <v>265</v>
      </c>
      <c r="KT3" t="s">
        <v>265</v>
      </c>
      <c r="KU3" t="s">
        <v>265</v>
      </c>
      <c r="KV3" t="s">
        <v>265</v>
      </c>
      <c r="KW3" t="s">
        <v>265</v>
      </c>
      <c r="KX3" t="s">
        <v>265</v>
      </c>
      <c r="KY3" t="s">
        <v>265</v>
      </c>
      <c r="KZ3" t="s">
        <v>265</v>
      </c>
      <c r="LA3" t="s">
        <v>265</v>
      </c>
      <c r="LB3" t="s">
        <v>265</v>
      </c>
      <c r="LC3" t="s">
        <v>265</v>
      </c>
      <c r="LD3" t="s">
        <v>265</v>
      </c>
      <c r="LE3" t="s">
        <v>265</v>
      </c>
      <c r="LF3" t="s">
        <v>265</v>
      </c>
      <c r="LG3" t="s">
        <v>265</v>
      </c>
      <c r="LH3" t="s">
        <v>265</v>
      </c>
      <c r="LI3" t="s">
        <v>265</v>
      </c>
      <c r="LJ3" t="s">
        <v>265</v>
      </c>
      <c r="LK3" t="s">
        <v>265</v>
      </c>
      <c r="LL3" t="s">
        <v>265</v>
      </c>
      <c r="LM3" t="s">
        <v>265</v>
      </c>
      <c r="LN3" t="s">
        <v>265</v>
      </c>
      <c r="LO3" t="s">
        <v>265</v>
      </c>
      <c r="LP3" t="s">
        <v>265</v>
      </c>
      <c r="LQ3" t="s">
        <v>265</v>
      </c>
      <c r="LR3" t="s">
        <v>265</v>
      </c>
      <c r="LS3" t="s">
        <v>265</v>
      </c>
      <c r="LT3" t="s">
        <v>265</v>
      </c>
      <c r="LU3" t="s">
        <v>265</v>
      </c>
      <c r="LV3" t="s">
        <v>265</v>
      </c>
      <c r="LW3" t="s">
        <v>265</v>
      </c>
      <c r="LX3" t="s">
        <v>265</v>
      </c>
      <c r="LY3" t="s">
        <v>265</v>
      </c>
      <c r="LZ3" t="s">
        <v>265</v>
      </c>
      <c r="MA3" t="s">
        <v>265</v>
      </c>
      <c r="MB3" t="s">
        <v>265</v>
      </c>
      <c r="MC3" t="s">
        <v>265</v>
      </c>
      <c r="MD3" t="s">
        <v>265</v>
      </c>
      <c r="ME3" t="s">
        <v>265</v>
      </c>
      <c r="MF3" t="s">
        <v>265</v>
      </c>
      <c r="MG3" t="s">
        <v>265</v>
      </c>
      <c r="MH3" t="s">
        <v>265</v>
      </c>
      <c r="MI3" t="s">
        <v>265</v>
      </c>
      <c r="MJ3" t="s">
        <v>265</v>
      </c>
      <c r="MK3" t="s">
        <v>265</v>
      </c>
      <c r="ML3" t="s">
        <v>265</v>
      </c>
      <c r="MM3" t="s">
        <v>265</v>
      </c>
      <c r="MN3" t="s">
        <v>265</v>
      </c>
      <c r="MO3" t="s">
        <v>265</v>
      </c>
      <c r="MP3" t="s">
        <v>265</v>
      </c>
      <c r="MQ3" t="s">
        <v>265</v>
      </c>
      <c r="MR3" t="s">
        <v>265</v>
      </c>
      <c r="MS3" t="s">
        <v>265</v>
      </c>
      <c r="MT3" t="s">
        <v>265</v>
      </c>
      <c r="MU3" t="s">
        <v>265</v>
      </c>
      <c r="MV3" t="s">
        <v>265</v>
      </c>
      <c r="MW3" t="s">
        <v>265</v>
      </c>
      <c r="MX3" t="s">
        <v>265</v>
      </c>
      <c r="MY3" t="s">
        <v>265</v>
      </c>
      <c r="MZ3" t="s">
        <v>265</v>
      </c>
      <c r="NA3" t="s">
        <v>265</v>
      </c>
      <c r="NB3" t="s">
        <v>265</v>
      </c>
      <c r="NC3" t="s">
        <v>265</v>
      </c>
      <c r="ND3" t="s">
        <v>265</v>
      </c>
      <c r="NE3" t="s">
        <v>265</v>
      </c>
      <c r="NF3" t="s">
        <v>265</v>
      </c>
      <c r="NG3" t="s">
        <v>265</v>
      </c>
      <c r="NH3" t="s">
        <v>265</v>
      </c>
      <c r="NI3" t="s">
        <v>265</v>
      </c>
      <c r="NJ3" t="s">
        <v>265</v>
      </c>
      <c r="NK3" t="s">
        <v>265</v>
      </c>
      <c r="NL3" t="s">
        <v>265</v>
      </c>
      <c r="NM3" t="s">
        <v>265</v>
      </c>
      <c r="NN3" t="s">
        <v>265</v>
      </c>
      <c r="NO3" t="s">
        <v>265</v>
      </c>
      <c r="NP3" t="s">
        <v>265</v>
      </c>
      <c r="NQ3" t="s">
        <v>265</v>
      </c>
      <c r="NR3" t="s">
        <v>265</v>
      </c>
      <c r="NS3" t="s">
        <v>265</v>
      </c>
      <c r="NT3" t="s">
        <v>265</v>
      </c>
      <c r="NU3" t="s">
        <v>265</v>
      </c>
      <c r="NV3" t="s">
        <v>265</v>
      </c>
      <c r="NW3" t="s">
        <v>265</v>
      </c>
      <c r="NX3" t="s">
        <v>265</v>
      </c>
      <c r="NY3" t="s">
        <v>265</v>
      </c>
      <c r="NZ3" t="s">
        <v>265</v>
      </c>
      <c r="OA3" t="s">
        <v>265</v>
      </c>
      <c r="OB3" t="s">
        <v>265</v>
      </c>
      <c r="OC3" t="s">
        <v>265</v>
      </c>
      <c r="OD3" t="s">
        <v>265</v>
      </c>
      <c r="OE3" t="s">
        <v>265</v>
      </c>
      <c r="OF3" t="s">
        <v>265</v>
      </c>
      <c r="OG3" t="s">
        <v>265</v>
      </c>
      <c r="OH3" t="s">
        <v>265</v>
      </c>
      <c r="OI3" t="s">
        <v>265</v>
      </c>
      <c r="OJ3" t="s">
        <v>265</v>
      </c>
      <c r="OK3" t="s">
        <v>265</v>
      </c>
      <c r="OL3" t="s">
        <v>265</v>
      </c>
      <c r="OM3" t="s">
        <v>265</v>
      </c>
      <c r="ON3" t="s">
        <v>265</v>
      </c>
      <c r="OO3" t="s">
        <v>265</v>
      </c>
      <c r="OP3" t="s">
        <v>265</v>
      </c>
      <c r="OQ3" t="s">
        <v>265</v>
      </c>
      <c r="OR3" t="s">
        <v>265</v>
      </c>
      <c r="OS3" t="s">
        <v>265</v>
      </c>
      <c r="OT3" t="s">
        <v>265</v>
      </c>
      <c r="OU3" t="s">
        <v>265</v>
      </c>
      <c r="OV3" t="s">
        <v>265</v>
      </c>
      <c r="OW3" t="s">
        <v>265</v>
      </c>
      <c r="OX3" t="s">
        <v>265</v>
      </c>
      <c r="OY3" t="s">
        <v>265</v>
      </c>
      <c r="OZ3" t="s">
        <v>265</v>
      </c>
      <c r="PA3" t="s">
        <v>265</v>
      </c>
      <c r="PB3" t="s">
        <v>265</v>
      </c>
      <c r="PC3" t="s">
        <v>265</v>
      </c>
      <c r="PD3" t="s">
        <v>265</v>
      </c>
      <c r="PE3" t="s">
        <v>265</v>
      </c>
      <c r="PF3" t="s">
        <v>265</v>
      </c>
      <c r="PG3" t="s">
        <v>265</v>
      </c>
      <c r="PH3" t="s">
        <v>265</v>
      </c>
      <c r="PI3" t="s">
        <v>265</v>
      </c>
      <c r="PJ3" t="s">
        <v>265</v>
      </c>
      <c r="PK3" t="s">
        <v>265</v>
      </c>
      <c r="PL3" t="s">
        <v>265</v>
      </c>
      <c r="PM3" t="s">
        <v>265</v>
      </c>
      <c r="PN3" t="s">
        <v>265</v>
      </c>
      <c r="PO3" t="s">
        <v>265</v>
      </c>
      <c r="PP3" t="s">
        <v>265</v>
      </c>
      <c r="PQ3" t="s">
        <v>265</v>
      </c>
      <c r="PR3" t="s">
        <v>265</v>
      </c>
      <c r="PS3" t="s">
        <v>265</v>
      </c>
      <c r="PT3" t="s">
        <v>265</v>
      </c>
      <c r="PU3" t="s">
        <v>265</v>
      </c>
      <c r="PV3" t="s">
        <v>265</v>
      </c>
      <c r="PW3" t="s">
        <v>265</v>
      </c>
      <c r="PX3" t="s">
        <v>265</v>
      </c>
      <c r="PY3" t="s">
        <v>265</v>
      </c>
      <c r="PZ3" t="s">
        <v>265</v>
      </c>
      <c r="QA3" t="s">
        <v>265</v>
      </c>
      <c r="QB3" t="s">
        <v>265</v>
      </c>
      <c r="QC3" t="s">
        <v>265</v>
      </c>
      <c r="QD3" t="s">
        <v>265</v>
      </c>
      <c r="QE3" t="s">
        <v>265</v>
      </c>
      <c r="QF3" t="s">
        <v>265</v>
      </c>
      <c r="QG3" t="s">
        <v>265</v>
      </c>
      <c r="QH3" t="s">
        <v>265</v>
      </c>
      <c r="QI3" t="s">
        <v>265</v>
      </c>
      <c r="QJ3" t="s">
        <v>265</v>
      </c>
      <c r="QK3" t="s">
        <v>265</v>
      </c>
      <c r="QL3" t="s">
        <v>265</v>
      </c>
      <c r="QM3" t="s">
        <v>265</v>
      </c>
      <c r="QN3" t="s">
        <v>265</v>
      </c>
      <c r="QO3" t="s">
        <v>265</v>
      </c>
      <c r="QP3" t="s">
        <v>265</v>
      </c>
      <c r="QQ3" t="s">
        <v>265</v>
      </c>
      <c r="QR3" t="s">
        <v>265</v>
      </c>
      <c r="QS3" t="s">
        <v>265</v>
      </c>
      <c r="QT3" t="s">
        <v>265</v>
      </c>
      <c r="QU3" t="s">
        <v>265</v>
      </c>
      <c r="QV3" t="s">
        <v>265</v>
      </c>
      <c r="QW3" t="s">
        <v>265</v>
      </c>
      <c r="QX3" t="s">
        <v>265</v>
      </c>
      <c r="QY3" t="s">
        <v>265</v>
      </c>
      <c r="QZ3" t="s">
        <v>265</v>
      </c>
      <c r="RA3" t="s">
        <v>265</v>
      </c>
      <c r="RB3" t="s">
        <v>265</v>
      </c>
      <c r="RC3" t="s">
        <v>265</v>
      </c>
      <c r="RD3" t="s">
        <v>265</v>
      </c>
      <c r="RE3" t="s">
        <v>265</v>
      </c>
      <c r="RF3" t="s">
        <v>265</v>
      </c>
      <c r="RG3" t="s">
        <v>265</v>
      </c>
      <c r="RH3" t="s">
        <v>265</v>
      </c>
      <c r="RI3" t="s">
        <v>265</v>
      </c>
      <c r="RJ3" t="s">
        <v>265</v>
      </c>
      <c r="RK3" t="s">
        <v>265</v>
      </c>
      <c r="RL3" t="s">
        <v>265</v>
      </c>
      <c r="RM3" t="s">
        <v>265</v>
      </c>
      <c r="RN3" t="s">
        <v>265</v>
      </c>
      <c r="RO3" t="s">
        <v>265</v>
      </c>
      <c r="RP3" t="s">
        <v>265</v>
      </c>
      <c r="RQ3" t="s">
        <v>265</v>
      </c>
      <c r="RR3" t="s">
        <v>265</v>
      </c>
      <c r="RS3" t="s">
        <v>265</v>
      </c>
      <c r="RT3" t="s">
        <v>265</v>
      </c>
      <c r="RU3" t="s">
        <v>265</v>
      </c>
      <c r="RV3" t="s">
        <v>265</v>
      </c>
      <c r="RW3" t="s">
        <v>265</v>
      </c>
      <c r="RX3" t="s">
        <v>265</v>
      </c>
      <c r="RY3" t="s">
        <v>265</v>
      </c>
      <c r="RZ3" t="s">
        <v>265</v>
      </c>
      <c r="SA3" t="s">
        <v>265</v>
      </c>
      <c r="SB3" t="s">
        <v>265</v>
      </c>
      <c r="SC3" t="s">
        <v>265</v>
      </c>
      <c r="SD3" t="s">
        <v>265</v>
      </c>
      <c r="SE3" t="s">
        <v>265</v>
      </c>
      <c r="SF3" t="s">
        <v>265</v>
      </c>
      <c r="SG3" t="s">
        <v>265</v>
      </c>
      <c r="SH3" t="s">
        <v>265</v>
      </c>
      <c r="SI3" t="s">
        <v>265</v>
      </c>
      <c r="SJ3" t="s">
        <v>265</v>
      </c>
      <c r="SK3" t="s">
        <v>265</v>
      </c>
      <c r="SL3" t="s">
        <v>265</v>
      </c>
      <c r="SM3" t="s">
        <v>265</v>
      </c>
      <c r="SN3" t="s">
        <v>265</v>
      </c>
      <c r="SO3" t="s">
        <v>265</v>
      </c>
      <c r="SP3" t="s">
        <v>265</v>
      </c>
      <c r="SQ3" t="s">
        <v>265</v>
      </c>
      <c r="SR3" t="s">
        <v>265</v>
      </c>
      <c r="SS3" t="s">
        <v>265</v>
      </c>
      <c r="ST3" t="s">
        <v>265</v>
      </c>
      <c r="SU3" t="s">
        <v>265</v>
      </c>
      <c r="SV3" t="s">
        <v>265</v>
      </c>
      <c r="SW3" t="s">
        <v>265</v>
      </c>
      <c r="SX3" t="s">
        <v>265</v>
      </c>
      <c r="SY3" t="s">
        <v>265</v>
      </c>
      <c r="SZ3" t="s">
        <v>265</v>
      </c>
      <c r="TA3" t="s">
        <v>265</v>
      </c>
      <c r="TB3" t="s">
        <v>265</v>
      </c>
      <c r="TC3" t="s">
        <v>265</v>
      </c>
      <c r="TD3" t="s">
        <v>265</v>
      </c>
      <c r="TE3" t="s">
        <v>265</v>
      </c>
      <c r="TF3" t="s">
        <v>265</v>
      </c>
      <c r="TG3" t="s">
        <v>265</v>
      </c>
      <c r="TH3" t="s">
        <v>265</v>
      </c>
      <c r="TI3" t="s">
        <v>265</v>
      </c>
      <c r="TJ3" t="s">
        <v>265</v>
      </c>
      <c r="TK3" t="s">
        <v>265</v>
      </c>
      <c r="TL3" t="s">
        <v>265</v>
      </c>
      <c r="TM3" t="s">
        <v>265</v>
      </c>
      <c r="TN3" t="s">
        <v>265</v>
      </c>
      <c r="TO3" t="s">
        <v>265</v>
      </c>
      <c r="TP3" t="s">
        <v>265</v>
      </c>
      <c r="TQ3" t="s">
        <v>265</v>
      </c>
      <c r="TR3" t="s">
        <v>265</v>
      </c>
      <c r="TS3" t="s">
        <v>265</v>
      </c>
      <c r="TT3" t="s">
        <v>265</v>
      </c>
      <c r="TU3" t="s">
        <v>265</v>
      </c>
      <c r="TV3" t="s">
        <v>265</v>
      </c>
      <c r="TW3" t="s">
        <v>265</v>
      </c>
      <c r="TX3" t="s">
        <v>265</v>
      </c>
      <c r="TY3" t="s">
        <v>265</v>
      </c>
      <c r="TZ3" t="s">
        <v>265</v>
      </c>
      <c r="UA3" t="s">
        <v>265</v>
      </c>
      <c r="UB3" t="s">
        <v>265</v>
      </c>
      <c r="UC3" t="s">
        <v>265</v>
      </c>
      <c r="UD3" t="s">
        <v>265</v>
      </c>
      <c r="UE3" t="s">
        <v>265</v>
      </c>
      <c r="UF3" t="s">
        <v>265</v>
      </c>
      <c r="UG3" t="s">
        <v>265</v>
      </c>
      <c r="UH3" t="s">
        <v>265</v>
      </c>
      <c r="UI3" t="s">
        <v>265</v>
      </c>
      <c r="UJ3" t="s">
        <v>265</v>
      </c>
      <c r="UK3" t="s">
        <v>265</v>
      </c>
      <c r="UL3" t="s">
        <v>265</v>
      </c>
      <c r="UM3" t="s">
        <v>265</v>
      </c>
      <c r="UN3" t="s">
        <v>265</v>
      </c>
      <c r="UO3" t="s">
        <v>265</v>
      </c>
      <c r="UP3" t="s">
        <v>265</v>
      </c>
      <c r="UQ3" t="s">
        <v>265</v>
      </c>
      <c r="UR3" t="s">
        <v>265</v>
      </c>
      <c r="US3" t="s">
        <v>265</v>
      </c>
      <c r="UT3" t="s">
        <v>265</v>
      </c>
      <c r="UU3" t="s">
        <v>265</v>
      </c>
      <c r="UV3" t="s">
        <v>265</v>
      </c>
      <c r="UW3" t="s">
        <v>265</v>
      </c>
      <c r="UX3" t="s">
        <v>265</v>
      </c>
      <c r="UY3" t="s">
        <v>265</v>
      </c>
      <c r="UZ3" t="s">
        <v>265</v>
      </c>
      <c r="VA3" t="s">
        <v>265</v>
      </c>
      <c r="VB3" t="s">
        <v>265</v>
      </c>
      <c r="VC3" t="s">
        <v>265</v>
      </c>
      <c r="VD3" t="s">
        <v>265</v>
      </c>
      <c r="VE3" t="s">
        <v>265</v>
      </c>
      <c r="VF3" t="s">
        <v>265</v>
      </c>
      <c r="VG3" t="s">
        <v>265</v>
      </c>
      <c r="VH3" t="s">
        <v>265</v>
      </c>
      <c r="VI3" t="s">
        <v>265</v>
      </c>
      <c r="VJ3" t="s">
        <v>265</v>
      </c>
      <c r="VK3" t="s">
        <v>265</v>
      </c>
      <c r="VL3" t="s">
        <v>265</v>
      </c>
      <c r="VM3" t="s">
        <v>265</v>
      </c>
      <c r="VN3" t="s">
        <v>265</v>
      </c>
      <c r="VO3" t="s">
        <v>265</v>
      </c>
      <c r="VP3" t="s">
        <v>265</v>
      </c>
      <c r="VQ3" t="s">
        <v>265</v>
      </c>
      <c r="VR3" t="s">
        <v>265</v>
      </c>
      <c r="VS3" t="s">
        <v>265</v>
      </c>
      <c r="VT3" t="s">
        <v>265</v>
      </c>
      <c r="VU3" t="s">
        <v>265</v>
      </c>
      <c r="VV3" t="s">
        <v>265</v>
      </c>
      <c r="VW3" t="s">
        <v>265</v>
      </c>
      <c r="VX3" t="s">
        <v>265</v>
      </c>
      <c r="VY3" t="s">
        <v>265</v>
      </c>
      <c r="VZ3" t="s">
        <v>265</v>
      </c>
      <c r="WA3" t="s">
        <v>265</v>
      </c>
      <c r="WB3" t="s">
        <v>265</v>
      </c>
      <c r="WC3" t="s">
        <v>265</v>
      </c>
      <c r="WD3" t="s">
        <v>265</v>
      </c>
      <c r="WE3" t="s">
        <v>265</v>
      </c>
      <c r="WF3" t="s">
        <v>265</v>
      </c>
      <c r="WG3" t="s">
        <v>265</v>
      </c>
      <c r="WH3" t="s">
        <v>265</v>
      </c>
      <c r="WI3" t="s">
        <v>265</v>
      </c>
      <c r="WJ3" t="s">
        <v>265</v>
      </c>
      <c r="WK3" t="s">
        <v>265</v>
      </c>
    </row>
    <row r="4" spans="1:609" ht="14.45" x14ac:dyDescent="0.35">
      <c r="A4">
        <v>2005</v>
      </c>
      <c r="B4" t="s">
        <v>265</v>
      </c>
      <c r="C4" t="s">
        <v>265</v>
      </c>
      <c r="D4" t="s">
        <v>265</v>
      </c>
      <c r="E4" t="s">
        <v>265</v>
      </c>
      <c r="F4" t="s">
        <v>265</v>
      </c>
      <c r="G4" t="s">
        <v>265</v>
      </c>
      <c r="H4" t="s">
        <v>265</v>
      </c>
      <c r="I4" t="s">
        <v>265</v>
      </c>
      <c r="J4" t="s">
        <v>265</v>
      </c>
      <c r="K4" t="s">
        <v>265</v>
      </c>
      <c r="L4" t="s">
        <v>265</v>
      </c>
      <c r="M4" t="s">
        <v>265</v>
      </c>
      <c r="N4" t="s">
        <v>265</v>
      </c>
      <c r="O4" t="s">
        <v>265</v>
      </c>
      <c r="P4" t="s">
        <v>265</v>
      </c>
      <c r="Q4" t="s">
        <v>265</v>
      </c>
      <c r="R4" t="s">
        <v>265</v>
      </c>
      <c r="S4" t="s">
        <v>265</v>
      </c>
      <c r="T4" t="s">
        <v>265</v>
      </c>
      <c r="U4" t="s">
        <v>265</v>
      </c>
      <c r="V4" t="s">
        <v>265</v>
      </c>
      <c r="W4" t="s">
        <v>265</v>
      </c>
      <c r="X4" t="s">
        <v>265</v>
      </c>
      <c r="Y4" t="s">
        <v>265</v>
      </c>
      <c r="Z4" t="s">
        <v>265</v>
      </c>
      <c r="AA4" t="s">
        <v>265</v>
      </c>
      <c r="AB4" t="s">
        <v>265</v>
      </c>
      <c r="AC4" t="s">
        <v>265</v>
      </c>
      <c r="AD4" t="s">
        <v>265</v>
      </c>
      <c r="AE4" t="s">
        <v>265</v>
      </c>
      <c r="AF4" t="s">
        <v>265</v>
      </c>
      <c r="AG4" t="s">
        <v>265</v>
      </c>
      <c r="AH4" t="s">
        <v>265</v>
      </c>
      <c r="AI4" t="s">
        <v>265</v>
      </c>
      <c r="AJ4">
        <v>0.104244</v>
      </c>
      <c r="AK4">
        <v>99.720190000000002</v>
      </c>
      <c r="AL4">
        <v>2.1145969999999998</v>
      </c>
      <c r="AM4">
        <v>0.10632900000000001</v>
      </c>
      <c r="AN4">
        <v>101.7146</v>
      </c>
      <c r="AO4">
        <v>2.1568890000000001</v>
      </c>
      <c r="AP4">
        <v>66.334440000000001</v>
      </c>
      <c r="AQ4">
        <v>67.66113</v>
      </c>
      <c r="AR4" t="s">
        <v>265</v>
      </c>
      <c r="AS4" t="s">
        <v>265</v>
      </c>
      <c r="AT4" t="s">
        <v>265</v>
      </c>
      <c r="AU4" t="s">
        <v>265</v>
      </c>
      <c r="AV4" t="s">
        <v>265</v>
      </c>
      <c r="AW4" t="s">
        <v>265</v>
      </c>
      <c r="AX4" t="s">
        <v>265</v>
      </c>
      <c r="AY4" t="s">
        <v>265</v>
      </c>
      <c r="AZ4" t="s">
        <v>265</v>
      </c>
      <c r="BA4" t="s">
        <v>265</v>
      </c>
      <c r="BB4" t="s">
        <v>265</v>
      </c>
      <c r="BC4" t="s">
        <v>265</v>
      </c>
      <c r="BD4" t="s">
        <v>265</v>
      </c>
      <c r="BE4" t="s">
        <v>265</v>
      </c>
      <c r="BF4" t="s">
        <v>265</v>
      </c>
      <c r="BG4" t="s">
        <v>265</v>
      </c>
      <c r="BH4" t="s">
        <v>265</v>
      </c>
      <c r="BI4" t="s">
        <v>265</v>
      </c>
      <c r="BJ4" t="s">
        <v>265</v>
      </c>
      <c r="BK4" t="s">
        <v>265</v>
      </c>
      <c r="BL4" t="s">
        <v>265</v>
      </c>
      <c r="BM4" t="s">
        <v>265</v>
      </c>
      <c r="BN4" t="s">
        <v>265</v>
      </c>
      <c r="BO4" t="s">
        <v>265</v>
      </c>
      <c r="BP4" t="s">
        <v>265</v>
      </c>
      <c r="BQ4" t="s">
        <v>265</v>
      </c>
      <c r="BR4" t="s">
        <v>265</v>
      </c>
      <c r="BS4" t="s">
        <v>265</v>
      </c>
      <c r="BT4" t="s">
        <v>265</v>
      </c>
      <c r="BU4" t="s">
        <v>265</v>
      </c>
      <c r="BV4" t="s">
        <v>265</v>
      </c>
      <c r="BW4" t="s">
        <v>265</v>
      </c>
      <c r="BX4" t="s">
        <v>265</v>
      </c>
      <c r="BY4" t="s">
        <v>265</v>
      </c>
      <c r="BZ4" t="s">
        <v>265</v>
      </c>
      <c r="CA4" t="s">
        <v>265</v>
      </c>
      <c r="CB4" t="s">
        <v>265</v>
      </c>
      <c r="CC4" t="s">
        <v>265</v>
      </c>
      <c r="CD4" t="s">
        <v>265</v>
      </c>
      <c r="CE4" t="s">
        <v>265</v>
      </c>
      <c r="CF4" t="s">
        <v>265</v>
      </c>
      <c r="CG4" t="s">
        <v>265</v>
      </c>
      <c r="CH4" t="s">
        <v>265</v>
      </c>
      <c r="CI4" t="s">
        <v>265</v>
      </c>
      <c r="CJ4" t="s">
        <v>265</v>
      </c>
      <c r="CK4" t="s">
        <v>265</v>
      </c>
      <c r="CL4" t="s">
        <v>265</v>
      </c>
      <c r="CM4" t="s">
        <v>265</v>
      </c>
      <c r="CN4" t="s">
        <v>265</v>
      </c>
      <c r="CO4" t="s">
        <v>265</v>
      </c>
      <c r="CP4" t="s">
        <v>265</v>
      </c>
      <c r="CQ4" t="s">
        <v>265</v>
      </c>
      <c r="CR4" t="s">
        <v>265</v>
      </c>
      <c r="CS4" t="s">
        <v>265</v>
      </c>
      <c r="CT4" t="s">
        <v>265</v>
      </c>
      <c r="CU4" t="s">
        <v>265</v>
      </c>
      <c r="CV4" t="s">
        <v>265</v>
      </c>
      <c r="CW4" t="s">
        <v>265</v>
      </c>
      <c r="CX4" t="s">
        <v>265</v>
      </c>
      <c r="CY4" t="s">
        <v>265</v>
      </c>
      <c r="CZ4" t="s">
        <v>265</v>
      </c>
      <c r="DA4" t="s">
        <v>265</v>
      </c>
      <c r="DB4" t="s">
        <v>265</v>
      </c>
      <c r="DC4" t="s">
        <v>265</v>
      </c>
      <c r="DD4" t="s">
        <v>265</v>
      </c>
      <c r="DE4" t="s">
        <v>265</v>
      </c>
      <c r="DF4" t="s">
        <v>265</v>
      </c>
      <c r="DG4" t="s">
        <v>265</v>
      </c>
      <c r="DH4" t="s">
        <v>265</v>
      </c>
      <c r="DI4" t="s">
        <v>265</v>
      </c>
      <c r="DJ4" t="s">
        <v>265</v>
      </c>
      <c r="DK4" t="s">
        <v>265</v>
      </c>
      <c r="DL4" t="s">
        <v>265</v>
      </c>
      <c r="DM4" t="s">
        <v>265</v>
      </c>
      <c r="DN4" t="s">
        <v>265</v>
      </c>
      <c r="DO4" t="s">
        <v>265</v>
      </c>
      <c r="DP4" t="s">
        <v>265</v>
      </c>
      <c r="DQ4" t="s">
        <v>265</v>
      </c>
      <c r="DR4" t="s">
        <v>265</v>
      </c>
      <c r="DS4" t="s">
        <v>265</v>
      </c>
      <c r="DT4" t="s">
        <v>265</v>
      </c>
      <c r="DU4" t="s">
        <v>265</v>
      </c>
      <c r="DV4" t="s">
        <v>265</v>
      </c>
      <c r="DW4" t="s">
        <v>265</v>
      </c>
      <c r="DX4" t="s">
        <v>265</v>
      </c>
      <c r="DY4" t="s">
        <v>265</v>
      </c>
      <c r="DZ4" t="s">
        <v>265</v>
      </c>
      <c r="EA4" t="s">
        <v>265</v>
      </c>
      <c r="EB4" t="s">
        <v>265</v>
      </c>
      <c r="EC4" t="s">
        <v>265</v>
      </c>
      <c r="ED4" t="s">
        <v>265</v>
      </c>
      <c r="EE4" t="s">
        <v>265</v>
      </c>
      <c r="EF4" t="s">
        <v>265</v>
      </c>
      <c r="EG4" t="s">
        <v>265</v>
      </c>
      <c r="EH4" t="s">
        <v>265</v>
      </c>
      <c r="EI4" t="s">
        <v>265</v>
      </c>
      <c r="EJ4" t="s">
        <v>265</v>
      </c>
      <c r="EK4" t="s">
        <v>265</v>
      </c>
      <c r="EL4" t="s">
        <v>265</v>
      </c>
      <c r="EM4" t="s">
        <v>265</v>
      </c>
      <c r="EN4" t="s">
        <v>265</v>
      </c>
      <c r="EO4" t="s">
        <v>265</v>
      </c>
      <c r="EP4" t="s">
        <v>265</v>
      </c>
      <c r="EQ4" t="s">
        <v>265</v>
      </c>
      <c r="ER4" t="s">
        <v>265</v>
      </c>
      <c r="ES4" t="s">
        <v>265</v>
      </c>
      <c r="ET4" t="s">
        <v>265</v>
      </c>
      <c r="EU4" t="s">
        <v>265</v>
      </c>
      <c r="EV4" t="s">
        <v>265</v>
      </c>
      <c r="EW4" t="s">
        <v>265</v>
      </c>
      <c r="EX4" t="s">
        <v>265</v>
      </c>
      <c r="EY4" t="s">
        <v>265</v>
      </c>
      <c r="EZ4" t="s">
        <v>265</v>
      </c>
      <c r="FA4" t="s">
        <v>265</v>
      </c>
      <c r="FB4" t="s">
        <v>265</v>
      </c>
      <c r="FC4" t="s">
        <v>265</v>
      </c>
      <c r="FD4" t="s">
        <v>265</v>
      </c>
      <c r="FE4" t="s">
        <v>265</v>
      </c>
      <c r="FF4" t="s">
        <v>265</v>
      </c>
      <c r="FG4" t="s">
        <v>265</v>
      </c>
      <c r="FH4" t="s">
        <v>265</v>
      </c>
      <c r="FI4" t="s">
        <v>265</v>
      </c>
      <c r="FJ4" t="s">
        <v>265</v>
      </c>
      <c r="FK4" t="s">
        <v>265</v>
      </c>
      <c r="FL4" t="s">
        <v>265</v>
      </c>
      <c r="FM4" t="s">
        <v>265</v>
      </c>
      <c r="FN4" t="s">
        <v>265</v>
      </c>
      <c r="FO4" t="s">
        <v>265</v>
      </c>
      <c r="FP4" t="s">
        <v>265</v>
      </c>
      <c r="FQ4" t="s">
        <v>265</v>
      </c>
      <c r="FR4" t="s">
        <v>265</v>
      </c>
      <c r="FS4" t="s">
        <v>265</v>
      </c>
      <c r="FT4" t="s">
        <v>265</v>
      </c>
      <c r="FU4" t="s">
        <v>265</v>
      </c>
      <c r="FV4" t="s">
        <v>265</v>
      </c>
      <c r="FW4" t="s">
        <v>265</v>
      </c>
      <c r="FX4" t="s">
        <v>265</v>
      </c>
      <c r="FY4" t="s">
        <v>265</v>
      </c>
      <c r="FZ4" t="s">
        <v>265</v>
      </c>
      <c r="GA4" t="s">
        <v>265</v>
      </c>
      <c r="GB4" t="s">
        <v>265</v>
      </c>
      <c r="GC4" t="s">
        <v>265</v>
      </c>
      <c r="GD4" t="s">
        <v>265</v>
      </c>
      <c r="GE4" t="s">
        <v>265</v>
      </c>
      <c r="GF4" t="s">
        <v>265</v>
      </c>
      <c r="GG4" t="s">
        <v>265</v>
      </c>
      <c r="GH4" t="s">
        <v>265</v>
      </c>
      <c r="GI4" t="s">
        <v>265</v>
      </c>
      <c r="GJ4" t="s">
        <v>265</v>
      </c>
      <c r="GK4" t="s">
        <v>265</v>
      </c>
      <c r="GL4" t="s">
        <v>265</v>
      </c>
      <c r="GM4" t="s">
        <v>265</v>
      </c>
      <c r="GN4" t="s">
        <v>265</v>
      </c>
      <c r="GO4" t="s">
        <v>265</v>
      </c>
      <c r="GP4" t="s">
        <v>265</v>
      </c>
      <c r="GQ4" t="s">
        <v>265</v>
      </c>
      <c r="GR4" t="s">
        <v>265</v>
      </c>
      <c r="GS4" t="s">
        <v>265</v>
      </c>
      <c r="GT4" t="s">
        <v>265</v>
      </c>
      <c r="GU4" t="s">
        <v>265</v>
      </c>
      <c r="GV4" t="s">
        <v>265</v>
      </c>
      <c r="GW4" t="s">
        <v>265</v>
      </c>
      <c r="GX4" t="s">
        <v>265</v>
      </c>
      <c r="GY4" t="s">
        <v>265</v>
      </c>
      <c r="GZ4" t="s">
        <v>265</v>
      </c>
      <c r="HA4" t="s">
        <v>265</v>
      </c>
      <c r="HB4" t="s">
        <v>265</v>
      </c>
      <c r="HC4" t="s">
        <v>265</v>
      </c>
      <c r="HD4" t="s">
        <v>265</v>
      </c>
      <c r="HE4" t="s">
        <v>265</v>
      </c>
      <c r="HF4" t="s">
        <v>265</v>
      </c>
      <c r="HG4" t="s">
        <v>265</v>
      </c>
      <c r="HH4" t="s">
        <v>265</v>
      </c>
      <c r="HI4" t="s">
        <v>265</v>
      </c>
      <c r="HJ4" t="s">
        <v>265</v>
      </c>
      <c r="HK4" t="s">
        <v>265</v>
      </c>
      <c r="HL4" t="s">
        <v>265</v>
      </c>
      <c r="HM4" t="s">
        <v>265</v>
      </c>
      <c r="HN4" t="s">
        <v>265</v>
      </c>
      <c r="HO4" t="s">
        <v>265</v>
      </c>
      <c r="HP4" t="s">
        <v>265</v>
      </c>
      <c r="HQ4" t="s">
        <v>265</v>
      </c>
      <c r="HR4" t="s">
        <v>265</v>
      </c>
      <c r="HS4" t="s">
        <v>265</v>
      </c>
      <c r="HT4" t="s">
        <v>265</v>
      </c>
      <c r="HU4" t="s">
        <v>265</v>
      </c>
      <c r="HV4" t="s">
        <v>265</v>
      </c>
      <c r="HW4" t="s">
        <v>265</v>
      </c>
      <c r="HX4" t="s">
        <v>265</v>
      </c>
      <c r="HY4" t="s">
        <v>265</v>
      </c>
      <c r="HZ4" t="s">
        <v>265</v>
      </c>
      <c r="IA4" t="s">
        <v>265</v>
      </c>
      <c r="IB4" t="s">
        <v>265</v>
      </c>
      <c r="IC4" t="s">
        <v>265</v>
      </c>
      <c r="ID4" t="s">
        <v>265</v>
      </c>
      <c r="IE4" t="s">
        <v>265</v>
      </c>
      <c r="IF4" t="s">
        <v>265</v>
      </c>
      <c r="IG4" t="s">
        <v>265</v>
      </c>
      <c r="IH4" t="s">
        <v>265</v>
      </c>
      <c r="II4" t="s">
        <v>265</v>
      </c>
      <c r="IJ4" t="s">
        <v>265</v>
      </c>
      <c r="IK4" t="s">
        <v>265</v>
      </c>
      <c r="IL4" t="s">
        <v>265</v>
      </c>
      <c r="IM4" t="s">
        <v>265</v>
      </c>
      <c r="IN4" t="s">
        <v>265</v>
      </c>
      <c r="IO4" t="s">
        <v>265</v>
      </c>
      <c r="IP4" t="s">
        <v>265</v>
      </c>
      <c r="IQ4" t="s">
        <v>265</v>
      </c>
      <c r="IR4" t="s">
        <v>265</v>
      </c>
      <c r="IS4" t="s">
        <v>265</v>
      </c>
      <c r="IT4" t="s">
        <v>265</v>
      </c>
      <c r="IU4" t="s">
        <v>265</v>
      </c>
      <c r="IV4" t="s">
        <v>265</v>
      </c>
      <c r="IW4" t="s">
        <v>265</v>
      </c>
      <c r="IX4" t="s">
        <v>265</v>
      </c>
      <c r="IY4" t="s">
        <v>265</v>
      </c>
      <c r="IZ4" t="s">
        <v>265</v>
      </c>
      <c r="JA4" t="s">
        <v>265</v>
      </c>
      <c r="JB4" t="s">
        <v>265</v>
      </c>
      <c r="JC4" t="s">
        <v>265</v>
      </c>
      <c r="JD4" t="s">
        <v>265</v>
      </c>
      <c r="JE4" t="s">
        <v>265</v>
      </c>
      <c r="JF4" t="s">
        <v>265</v>
      </c>
      <c r="JG4" t="s">
        <v>265</v>
      </c>
      <c r="JH4" t="s">
        <v>265</v>
      </c>
      <c r="JI4" t="s">
        <v>265</v>
      </c>
      <c r="JJ4" t="s">
        <v>265</v>
      </c>
      <c r="JK4" t="s">
        <v>265</v>
      </c>
      <c r="JL4" t="s">
        <v>265</v>
      </c>
      <c r="JM4" t="s">
        <v>265</v>
      </c>
      <c r="JN4" t="s">
        <v>265</v>
      </c>
      <c r="JO4" t="s">
        <v>265</v>
      </c>
      <c r="JP4" t="s">
        <v>265</v>
      </c>
      <c r="JQ4" t="s">
        <v>265</v>
      </c>
      <c r="JR4" t="s">
        <v>265</v>
      </c>
      <c r="JS4" t="s">
        <v>265</v>
      </c>
      <c r="JT4" t="s">
        <v>265</v>
      </c>
      <c r="JU4" t="s">
        <v>265</v>
      </c>
      <c r="JV4" t="s">
        <v>265</v>
      </c>
      <c r="JW4" t="s">
        <v>265</v>
      </c>
      <c r="JX4" t="s">
        <v>265</v>
      </c>
      <c r="JY4" t="s">
        <v>265</v>
      </c>
      <c r="JZ4" t="s">
        <v>265</v>
      </c>
      <c r="KA4" t="s">
        <v>265</v>
      </c>
      <c r="KB4" t="s">
        <v>265</v>
      </c>
      <c r="KC4" t="s">
        <v>265</v>
      </c>
      <c r="KD4" t="s">
        <v>265</v>
      </c>
      <c r="KE4" t="s">
        <v>265</v>
      </c>
      <c r="KF4" t="s">
        <v>265</v>
      </c>
      <c r="KG4" t="s">
        <v>265</v>
      </c>
      <c r="KH4" t="s">
        <v>265</v>
      </c>
      <c r="KI4" t="s">
        <v>265</v>
      </c>
      <c r="KJ4" t="s">
        <v>265</v>
      </c>
      <c r="KK4" t="s">
        <v>265</v>
      </c>
      <c r="KL4" t="s">
        <v>265</v>
      </c>
      <c r="KM4" t="s">
        <v>265</v>
      </c>
      <c r="KN4" t="s">
        <v>265</v>
      </c>
      <c r="KO4" t="s">
        <v>265</v>
      </c>
      <c r="KP4" t="s">
        <v>265</v>
      </c>
      <c r="KQ4" t="s">
        <v>265</v>
      </c>
      <c r="KR4" t="s">
        <v>265</v>
      </c>
      <c r="KS4" t="s">
        <v>265</v>
      </c>
      <c r="KT4" t="s">
        <v>265</v>
      </c>
      <c r="KU4" t="s">
        <v>265</v>
      </c>
      <c r="KV4" t="s">
        <v>265</v>
      </c>
      <c r="KW4" t="s">
        <v>265</v>
      </c>
      <c r="KX4" t="s">
        <v>265</v>
      </c>
      <c r="KY4" t="s">
        <v>265</v>
      </c>
      <c r="KZ4" t="s">
        <v>265</v>
      </c>
      <c r="LA4" t="s">
        <v>265</v>
      </c>
      <c r="LB4" t="s">
        <v>265</v>
      </c>
      <c r="LC4" t="s">
        <v>265</v>
      </c>
      <c r="LD4" t="s">
        <v>265</v>
      </c>
      <c r="LE4" t="s">
        <v>265</v>
      </c>
      <c r="LF4" t="s">
        <v>265</v>
      </c>
      <c r="LG4" t="s">
        <v>265</v>
      </c>
      <c r="LH4" t="s">
        <v>265</v>
      </c>
      <c r="LI4" t="s">
        <v>265</v>
      </c>
      <c r="LJ4" t="s">
        <v>265</v>
      </c>
      <c r="LK4" t="s">
        <v>265</v>
      </c>
      <c r="LL4" t="s">
        <v>265</v>
      </c>
      <c r="LM4" t="s">
        <v>265</v>
      </c>
      <c r="LN4" t="s">
        <v>265</v>
      </c>
      <c r="LO4" t="s">
        <v>265</v>
      </c>
      <c r="LP4" t="s">
        <v>265</v>
      </c>
      <c r="LQ4" t="s">
        <v>265</v>
      </c>
      <c r="LR4" t="s">
        <v>265</v>
      </c>
      <c r="LS4" t="s">
        <v>265</v>
      </c>
      <c r="LT4" t="s">
        <v>265</v>
      </c>
      <c r="LU4" t="s">
        <v>265</v>
      </c>
      <c r="LV4" t="s">
        <v>265</v>
      </c>
      <c r="LW4" t="s">
        <v>265</v>
      </c>
      <c r="LX4" t="s">
        <v>265</v>
      </c>
      <c r="LY4" t="s">
        <v>265</v>
      </c>
      <c r="LZ4" t="s">
        <v>265</v>
      </c>
      <c r="MA4" t="s">
        <v>265</v>
      </c>
      <c r="MB4" t="s">
        <v>265</v>
      </c>
      <c r="MC4" t="s">
        <v>265</v>
      </c>
      <c r="MD4" t="s">
        <v>265</v>
      </c>
      <c r="ME4" t="s">
        <v>265</v>
      </c>
      <c r="MF4" t="s">
        <v>265</v>
      </c>
      <c r="MG4" t="s">
        <v>265</v>
      </c>
      <c r="MH4" t="s">
        <v>265</v>
      </c>
      <c r="MI4" t="s">
        <v>265</v>
      </c>
      <c r="MJ4" t="s">
        <v>265</v>
      </c>
      <c r="MK4" t="s">
        <v>265</v>
      </c>
      <c r="ML4" t="s">
        <v>265</v>
      </c>
      <c r="MM4" t="s">
        <v>265</v>
      </c>
      <c r="MN4" t="s">
        <v>265</v>
      </c>
      <c r="MO4" t="s">
        <v>265</v>
      </c>
      <c r="MP4" t="s">
        <v>265</v>
      </c>
      <c r="MQ4" t="s">
        <v>265</v>
      </c>
      <c r="MR4" t="s">
        <v>265</v>
      </c>
      <c r="MS4" t="s">
        <v>265</v>
      </c>
      <c r="MT4" t="s">
        <v>265</v>
      </c>
      <c r="MU4" t="s">
        <v>265</v>
      </c>
      <c r="MV4" t="s">
        <v>265</v>
      </c>
      <c r="MW4" t="s">
        <v>265</v>
      </c>
      <c r="MX4" t="s">
        <v>265</v>
      </c>
      <c r="MY4" t="s">
        <v>265</v>
      </c>
      <c r="MZ4" t="s">
        <v>265</v>
      </c>
      <c r="NA4" t="s">
        <v>265</v>
      </c>
      <c r="NB4" t="s">
        <v>265</v>
      </c>
      <c r="NC4" t="s">
        <v>265</v>
      </c>
      <c r="ND4" t="s">
        <v>265</v>
      </c>
      <c r="NE4" t="s">
        <v>265</v>
      </c>
      <c r="NF4" t="s">
        <v>265</v>
      </c>
      <c r="NG4" t="s">
        <v>265</v>
      </c>
      <c r="NH4" t="s">
        <v>265</v>
      </c>
      <c r="NI4" t="s">
        <v>265</v>
      </c>
      <c r="NJ4" t="s">
        <v>265</v>
      </c>
      <c r="NK4" t="s">
        <v>265</v>
      </c>
      <c r="NL4" t="s">
        <v>265</v>
      </c>
      <c r="NM4" t="s">
        <v>265</v>
      </c>
      <c r="NN4" t="s">
        <v>265</v>
      </c>
      <c r="NO4" t="s">
        <v>265</v>
      </c>
      <c r="NP4" t="s">
        <v>265</v>
      </c>
      <c r="NQ4" t="s">
        <v>265</v>
      </c>
      <c r="NR4" t="s">
        <v>265</v>
      </c>
      <c r="NS4" t="s">
        <v>265</v>
      </c>
      <c r="NT4" t="s">
        <v>265</v>
      </c>
      <c r="NU4" t="s">
        <v>265</v>
      </c>
      <c r="NV4" t="s">
        <v>265</v>
      </c>
      <c r="NW4" t="s">
        <v>265</v>
      </c>
      <c r="NX4" t="s">
        <v>265</v>
      </c>
      <c r="NY4" t="s">
        <v>265</v>
      </c>
      <c r="NZ4" t="s">
        <v>265</v>
      </c>
      <c r="OA4" t="s">
        <v>265</v>
      </c>
      <c r="OB4" t="s">
        <v>265</v>
      </c>
      <c r="OC4" t="s">
        <v>265</v>
      </c>
      <c r="OD4" t="s">
        <v>265</v>
      </c>
      <c r="OE4" t="s">
        <v>265</v>
      </c>
      <c r="OF4" t="s">
        <v>265</v>
      </c>
      <c r="OG4" t="s">
        <v>265</v>
      </c>
      <c r="OH4" t="s">
        <v>265</v>
      </c>
      <c r="OI4" t="s">
        <v>265</v>
      </c>
      <c r="OJ4" t="s">
        <v>265</v>
      </c>
      <c r="OK4" t="s">
        <v>265</v>
      </c>
      <c r="OL4" t="s">
        <v>265</v>
      </c>
      <c r="OM4" t="s">
        <v>265</v>
      </c>
      <c r="ON4" t="s">
        <v>265</v>
      </c>
      <c r="OO4" t="s">
        <v>265</v>
      </c>
      <c r="OP4" t="s">
        <v>265</v>
      </c>
      <c r="OQ4" t="s">
        <v>265</v>
      </c>
      <c r="OR4" t="s">
        <v>265</v>
      </c>
      <c r="OS4" t="s">
        <v>265</v>
      </c>
      <c r="OT4" t="s">
        <v>265</v>
      </c>
      <c r="OU4" t="s">
        <v>265</v>
      </c>
      <c r="OV4" t="s">
        <v>265</v>
      </c>
      <c r="OW4" t="s">
        <v>265</v>
      </c>
      <c r="OX4" t="s">
        <v>265</v>
      </c>
      <c r="OY4" t="s">
        <v>265</v>
      </c>
      <c r="OZ4" t="s">
        <v>265</v>
      </c>
      <c r="PA4" t="s">
        <v>265</v>
      </c>
      <c r="PB4" t="s">
        <v>265</v>
      </c>
      <c r="PC4" t="s">
        <v>265</v>
      </c>
      <c r="PD4" t="s">
        <v>265</v>
      </c>
      <c r="PE4" t="s">
        <v>265</v>
      </c>
      <c r="PF4" t="s">
        <v>265</v>
      </c>
      <c r="PG4" t="s">
        <v>265</v>
      </c>
      <c r="PH4" t="s">
        <v>265</v>
      </c>
      <c r="PI4" t="s">
        <v>265</v>
      </c>
      <c r="PJ4" t="s">
        <v>265</v>
      </c>
      <c r="PK4" t="s">
        <v>265</v>
      </c>
      <c r="PL4" t="s">
        <v>265</v>
      </c>
      <c r="PM4" t="s">
        <v>265</v>
      </c>
      <c r="PN4" t="s">
        <v>265</v>
      </c>
      <c r="PO4" t="s">
        <v>265</v>
      </c>
      <c r="PP4" t="s">
        <v>265</v>
      </c>
      <c r="PQ4" t="s">
        <v>265</v>
      </c>
      <c r="PR4" t="s">
        <v>265</v>
      </c>
      <c r="PS4" t="s">
        <v>265</v>
      </c>
      <c r="PT4" t="s">
        <v>265</v>
      </c>
      <c r="PU4" t="s">
        <v>265</v>
      </c>
      <c r="PV4" t="s">
        <v>265</v>
      </c>
      <c r="PW4" t="s">
        <v>265</v>
      </c>
      <c r="PX4" t="s">
        <v>265</v>
      </c>
      <c r="PY4" t="s">
        <v>265</v>
      </c>
      <c r="PZ4" t="s">
        <v>265</v>
      </c>
      <c r="QA4" t="s">
        <v>265</v>
      </c>
      <c r="QB4" t="s">
        <v>265</v>
      </c>
      <c r="QC4" t="s">
        <v>265</v>
      </c>
      <c r="QD4" t="s">
        <v>265</v>
      </c>
      <c r="QE4" t="s">
        <v>265</v>
      </c>
      <c r="QF4" t="s">
        <v>265</v>
      </c>
      <c r="QG4" t="s">
        <v>265</v>
      </c>
      <c r="QH4" t="s">
        <v>265</v>
      </c>
      <c r="QI4" t="s">
        <v>265</v>
      </c>
      <c r="QJ4" t="s">
        <v>265</v>
      </c>
      <c r="QK4" t="s">
        <v>265</v>
      </c>
      <c r="QL4" t="s">
        <v>265</v>
      </c>
      <c r="QM4" t="s">
        <v>265</v>
      </c>
      <c r="QN4" t="s">
        <v>265</v>
      </c>
      <c r="QO4" t="s">
        <v>265</v>
      </c>
      <c r="QP4" t="s">
        <v>265</v>
      </c>
      <c r="QQ4" t="s">
        <v>265</v>
      </c>
      <c r="QR4" t="s">
        <v>265</v>
      </c>
      <c r="QS4" t="s">
        <v>265</v>
      </c>
      <c r="QT4" t="s">
        <v>265</v>
      </c>
      <c r="QU4" t="s">
        <v>265</v>
      </c>
      <c r="QV4" t="s">
        <v>265</v>
      </c>
      <c r="QW4" t="s">
        <v>265</v>
      </c>
      <c r="QX4" t="s">
        <v>265</v>
      </c>
      <c r="QY4" t="s">
        <v>265</v>
      </c>
      <c r="QZ4" t="s">
        <v>265</v>
      </c>
      <c r="RA4" t="s">
        <v>265</v>
      </c>
      <c r="RB4" t="s">
        <v>265</v>
      </c>
      <c r="RC4" t="s">
        <v>265</v>
      </c>
      <c r="RD4" t="s">
        <v>265</v>
      </c>
      <c r="RE4" t="s">
        <v>265</v>
      </c>
      <c r="RF4" t="s">
        <v>265</v>
      </c>
      <c r="RG4" t="s">
        <v>265</v>
      </c>
      <c r="RH4" t="s">
        <v>265</v>
      </c>
      <c r="RI4" t="s">
        <v>265</v>
      </c>
      <c r="RJ4" t="s">
        <v>265</v>
      </c>
      <c r="RK4" t="s">
        <v>265</v>
      </c>
      <c r="RL4" t="s">
        <v>265</v>
      </c>
      <c r="RM4" t="s">
        <v>265</v>
      </c>
      <c r="RN4" t="s">
        <v>265</v>
      </c>
      <c r="RO4" t="s">
        <v>265</v>
      </c>
      <c r="RP4" t="s">
        <v>265</v>
      </c>
      <c r="RQ4" t="s">
        <v>265</v>
      </c>
      <c r="RR4" t="s">
        <v>265</v>
      </c>
      <c r="RS4" t="s">
        <v>265</v>
      </c>
      <c r="RT4" t="s">
        <v>265</v>
      </c>
      <c r="RU4" t="s">
        <v>265</v>
      </c>
      <c r="RV4" t="s">
        <v>265</v>
      </c>
      <c r="RW4" t="s">
        <v>265</v>
      </c>
      <c r="RX4" t="s">
        <v>265</v>
      </c>
      <c r="RY4" t="s">
        <v>265</v>
      </c>
      <c r="RZ4" t="s">
        <v>265</v>
      </c>
      <c r="SA4" t="s">
        <v>265</v>
      </c>
      <c r="SB4" t="s">
        <v>265</v>
      </c>
      <c r="SC4" t="s">
        <v>265</v>
      </c>
      <c r="SD4" t="s">
        <v>265</v>
      </c>
      <c r="SE4" t="s">
        <v>265</v>
      </c>
      <c r="SF4" t="s">
        <v>265</v>
      </c>
      <c r="SG4" t="s">
        <v>265</v>
      </c>
      <c r="SH4" t="s">
        <v>265</v>
      </c>
      <c r="SI4" t="s">
        <v>265</v>
      </c>
      <c r="SJ4" t="s">
        <v>265</v>
      </c>
      <c r="SK4" t="s">
        <v>265</v>
      </c>
      <c r="SL4" t="s">
        <v>265</v>
      </c>
      <c r="SM4" t="s">
        <v>265</v>
      </c>
      <c r="SN4" t="s">
        <v>265</v>
      </c>
      <c r="SO4" t="s">
        <v>265</v>
      </c>
      <c r="SP4" t="s">
        <v>265</v>
      </c>
      <c r="SQ4" t="s">
        <v>265</v>
      </c>
      <c r="SR4" t="s">
        <v>265</v>
      </c>
      <c r="SS4" t="s">
        <v>265</v>
      </c>
      <c r="ST4" t="s">
        <v>265</v>
      </c>
      <c r="SU4" t="s">
        <v>265</v>
      </c>
      <c r="SV4" t="s">
        <v>265</v>
      </c>
      <c r="SW4" t="s">
        <v>265</v>
      </c>
      <c r="SX4" t="s">
        <v>265</v>
      </c>
      <c r="SY4" t="s">
        <v>265</v>
      </c>
      <c r="SZ4" t="s">
        <v>265</v>
      </c>
      <c r="TA4" t="s">
        <v>265</v>
      </c>
      <c r="TB4" t="s">
        <v>265</v>
      </c>
      <c r="TC4" t="s">
        <v>265</v>
      </c>
      <c r="TD4" t="s">
        <v>265</v>
      </c>
      <c r="TE4" t="s">
        <v>265</v>
      </c>
      <c r="TF4" t="s">
        <v>265</v>
      </c>
      <c r="TG4" t="s">
        <v>265</v>
      </c>
      <c r="TH4" t="s">
        <v>265</v>
      </c>
      <c r="TI4" t="s">
        <v>265</v>
      </c>
      <c r="TJ4" t="s">
        <v>265</v>
      </c>
      <c r="TK4" t="s">
        <v>265</v>
      </c>
      <c r="TL4" t="s">
        <v>265</v>
      </c>
      <c r="TM4" t="s">
        <v>265</v>
      </c>
      <c r="TN4" t="s">
        <v>265</v>
      </c>
      <c r="TO4" t="s">
        <v>265</v>
      </c>
      <c r="TP4" t="s">
        <v>265</v>
      </c>
      <c r="TQ4" t="s">
        <v>265</v>
      </c>
      <c r="TR4" t="s">
        <v>265</v>
      </c>
      <c r="TS4" t="s">
        <v>265</v>
      </c>
      <c r="TT4" t="s">
        <v>265</v>
      </c>
      <c r="TU4" t="s">
        <v>265</v>
      </c>
      <c r="TV4" t="s">
        <v>265</v>
      </c>
      <c r="TW4" t="s">
        <v>265</v>
      </c>
      <c r="TX4" t="s">
        <v>265</v>
      </c>
      <c r="TY4" t="s">
        <v>265</v>
      </c>
      <c r="TZ4" t="s">
        <v>265</v>
      </c>
      <c r="UA4" t="s">
        <v>265</v>
      </c>
      <c r="UB4" t="s">
        <v>265</v>
      </c>
      <c r="UC4" t="s">
        <v>265</v>
      </c>
      <c r="UD4" t="s">
        <v>265</v>
      </c>
      <c r="UE4" t="s">
        <v>265</v>
      </c>
      <c r="UF4" t="s">
        <v>265</v>
      </c>
      <c r="UG4" t="s">
        <v>265</v>
      </c>
      <c r="UH4" t="s">
        <v>265</v>
      </c>
      <c r="UI4" t="s">
        <v>265</v>
      </c>
      <c r="UJ4" t="s">
        <v>265</v>
      </c>
      <c r="UK4" t="s">
        <v>265</v>
      </c>
      <c r="UL4" t="s">
        <v>265</v>
      </c>
      <c r="UM4" t="s">
        <v>265</v>
      </c>
      <c r="UN4" t="s">
        <v>265</v>
      </c>
      <c r="UO4" t="s">
        <v>265</v>
      </c>
      <c r="UP4" t="s">
        <v>265</v>
      </c>
      <c r="UQ4" t="s">
        <v>265</v>
      </c>
      <c r="UR4" t="s">
        <v>265</v>
      </c>
      <c r="US4" t="s">
        <v>265</v>
      </c>
      <c r="UT4" t="s">
        <v>265</v>
      </c>
      <c r="UU4" t="s">
        <v>265</v>
      </c>
      <c r="UV4" t="s">
        <v>265</v>
      </c>
      <c r="UW4" t="s">
        <v>265</v>
      </c>
      <c r="UX4" t="s">
        <v>265</v>
      </c>
      <c r="UY4" t="s">
        <v>265</v>
      </c>
      <c r="UZ4" t="s">
        <v>265</v>
      </c>
      <c r="VA4" t="s">
        <v>265</v>
      </c>
      <c r="VB4" t="s">
        <v>265</v>
      </c>
      <c r="VC4" t="s">
        <v>265</v>
      </c>
      <c r="VD4" t="s">
        <v>265</v>
      </c>
      <c r="VE4" t="s">
        <v>265</v>
      </c>
      <c r="VF4" t="s">
        <v>265</v>
      </c>
      <c r="VG4" t="s">
        <v>265</v>
      </c>
      <c r="VH4" t="s">
        <v>265</v>
      </c>
      <c r="VI4" t="s">
        <v>265</v>
      </c>
      <c r="VJ4" t="s">
        <v>265</v>
      </c>
      <c r="VK4" t="s">
        <v>265</v>
      </c>
      <c r="VL4" t="s">
        <v>265</v>
      </c>
      <c r="VM4" t="s">
        <v>265</v>
      </c>
      <c r="VN4" t="s">
        <v>265</v>
      </c>
      <c r="VO4" t="s">
        <v>265</v>
      </c>
      <c r="VP4" t="s">
        <v>265</v>
      </c>
      <c r="VQ4" t="s">
        <v>265</v>
      </c>
      <c r="VR4" t="s">
        <v>265</v>
      </c>
      <c r="VS4" t="s">
        <v>265</v>
      </c>
      <c r="VT4" t="s">
        <v>265</v>
      </c>
      <c r="VU4" t="s">
        <v>265</v>
      </c>
      <c r="VV4" t="s">
        <v>265</v>
      </c>
      <c r="VW4" t="s">
        <v>265</v>
      </c>
      <c r="VX4" t="s">
        <v>265</v>
      </c>
      <c r="VY4" t="s">
        <v>265</v>
      </c>
      <c r="VZ4" t="s">
        <v>265</v>
      </c>
      <c r="WA4" t="s">
        <v>265</v>
      </c>
      <c r="WB4" t="s">
        <v>265</v>
      </c>
      <c r="WC4" t="s">
        <v>265</v>
      </c>
      <c r="WD4" t="s">
        <v>265</v>
      </c>
      <c r="WE4" t="s">
        <v>265</v>
      </c>
      <c r="WF4" t="s">
        <v>265</v>
      </c>
      <c r="WG4" t="s">
        <v>265</v>
      </c>
      <c r="WH4" t="s">
        <v>265</v>
      </c>
      <c r="WI4" t="s">
        <v>265</v>
      </c>
      <c r="WJ4" t="s">
        <v>265</v>
      </c>
      <c r="WK4" t="s">
        <v>265</v>
      </c>
    </row>
    <row r="5" spans="1:609" ht="14.45" x14ac:dyDescent="0.35">
      <c r="A5">
        <v>2006</v>
      </c>
      <c r="B5">
        <v>0</v>
      </c>
      <c r="C5">
        <v>100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100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0.10631699999999999</v>
      </c>
      <c r="Z5">
        <v>0.562446</v>
      </c>
      <c r="AA5">
        <v>0</v>
      </c>
      <c r="AB5">
        <v>0</v>
      </c>
      <c r="AC5">
        <v>4.3327999999999998E-2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0.10632900000000001</v>
      </c>
      <c r="AK5">
        <v>101.7229</v>
      </c>
      <c r="AL5">
        <v>2.1570670000000001</v>
      </c>
      <c r="AM5">
        <v>0.10632900000000001</v>
      </c>
      <c r="AN5">
        <v>101.7231</v>
      </c>
      <c r="AO5">
        <v>2.1570719999999999</v>
      </c>
      <c r="AP5">
        <v>67.666250000000005</v>
      </c>
      <c r="AQ5">
        <v>67.666380000000004</v>
      </c>
      <c r="AR5">
        <v>177.6079</v>
      </c>
      <c r="AS5">
        <v>1.2024030000000001</v>
      </c>
      <c r="AT5">
        <v>386.89389999999997</v>
      </c>
      <c r="AU5">
        <v>50.994480000000003</v>
      </c>
      <c r="AV5">
        <v>4.6536660000000003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 s="21">
        <v>-1.7100000000000001E-7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6.9899909999999998</v>
      </c>
      <c r="ES5">
        <v>77.679699999999997</v>
      </c>
      <c r="ET5">
        <v>0.6</v>
      </c>
      <c r="EU5">
        <v>32.559019999999997</v>
      </c>
      <c r="EV5">
        <v>0.62962499999999999</v>
      </c>
      <c r="EW5">
        <v>1.6435059999999999</v>
      </c>
      <c r="EX5">
        <v>2.416649</v>
      </c>
      <c r="EY5">
        <v>0.36075200000000002</v>
      </c>
      <c r="EZ5">
        <v>9.2501E-2</v>
      </c>
      <c r="FA5">
        <v>4.6250289999999996</v>
      </c>
      <c r="FB5">
        <v>0.49950299999999997</v>
      </c>
      <c r="FC5">
        <v>36.549959999999999</v>
      </c>
      <c r="FD5">
        <v>9.3600100000000008</v>
      </c>
      <c r="FE5">
        <v>0.14779</v>
      </c>
      <c r="FF5">
        <v>0.59115899999999999</v>
      </c>
      <c r="FG5">
        <v>0.39410600000000001</v>
      </c>
      <c r="FH5">
        <v>0.29557899999999998</v>
      </c>
      <c r="FI5">
        <v>6.9899909999999998</v>
      </c>
      <c r="FJ5">
        <v>77.679699999999997</v>
      </c>
      <c r="FK5">
        <v>0.6</v>
      </c>
      <c r="FL5">
        <v>32.559019999999997</v>
      </c>
      <c r="FM5">
        <v>0.62962499999999999</v>
      </c>
      <c r="FN5">
        <v>1.6435059999999999</v>
      </c>
      <c r="FO5">
        <v>2.416649</v>
      </c>
      <c r="FP5">
        <v>0.36075200000000002</v>
      </c>
      <c r="FQ5">
        <v>9.2501E-2</v>
      </c>
      <c r="FR5">
        <v>4.6250289999999996</v>
      </c>
      <c r="FS5">
        <v>0.49950299999999997</v>
      </c>
      <c r="FT5">
        <v>36.549959999999999</v>
      </c>
      <c r="FU5">
        <v>9.3600100000000008</v>
      </c>
      <c r="FV5">
        <v>0.14779</v>
      </c>
      <c r="FW5">
        <v>0.59115899999999999</v>
      </c>
      <c r="FX5">
        <v>0.39410600000000001</v>
      </c>
      <c r="FY5">
        <v>0.29557899999999998</v>
      </c>
      <c r="FZ5">
        <v>4.99</v>
      </c>
      <c r="GA5">
        <v>64</v>
      </c>
      <c r="GB5">
        <v>0.6</v>
      </c>
      <c r="GC5">
        <v>28.41564</v>
      </c>
      <c r="GD5">
        <v>0.54949999999999999</v>
      </c>
      <c r="GE5">
        <v>1.434358</v>
      </c>
      <c r="GF5">
        <v>2.1091120000000001</v>
      </c>
      <c r="GG5">
        <v>0.31484400000000001</v>
      </c>
      <c r="GH5">
        <v>8.0728999999999995E-2</v>
      </c>
      <c r="GI5">
        <v>4.0364599999999999</v>
      </c>
      <c r="GJ5">
        <v>0.43593799999999999</v>
      </c>
      <c r="GK5">
        <v>34.93</v>
      </c>
      <c r="GL5">
        <v>9.3600100000000008</v>
      </c>
      <c r="GM5">
        <v>0.14779</v>
      </c>
      <c r="GN5">
        <v>0.59115899999999999</v>
      </c>
      <c r="GO5">
        <v>0.39410600000000001</v>
      </c>
      <c r="GP5">
        <v>0.29557899999999998</v>
      </c>
      <c r="GQ5">
        <v>4.99</v>
      </c>
      <c r="GR5">
        <v>64</v>
      </c>
      <c r="GS5">
        <v>0.6</v>
      </c>
      <c r="GT5">
        <v>28.41564</v>
      </c>
      <c r="GU5">
        <v>0.54949999999999999</v>
      </c>
      <c r="GV5">
        <v>1.434358</v>
      </c>
      <c r="GW5">
        <v>2.1091120000000001</v>
      </c>
      <c r="GX5">
        <v>0.31484400000000001</v>
      </c>
      <c r="GY5">
        <v>8.0728999999999995E-2</v>
      </c>
      <c r="GZ5">
        <v>4.0364599999999999</v>
      </c>
      <c r="HA5">
        <v>0.43593799999999999</v>
      </c>
      <c r="HB5">
        <v>34.93</v>
      </c>
      <c r="HC5">
        <v>9.3600100000000008</v>
      </c>
      <c r="HD5">
        <v>0.14779</v>
      </c>
      <c r="HE5">
        <v>0.59115899999999999</v>
      </c>
      <c r="HF5">
        <v>0.39410600000000001</v>
      </c>
      <c r="HG5">
        <v>0.29557899999999998</v>
      </c>
      <c r="HH5">
        <v>5.08</v>
      </c>
      <c r="HI5">
        <v>68.790000000000006</v>
      </c>
      <c r="HJ5">
        <v>0.6</v>
      </c>
      <c r="HK5">
        <v>117.54</v>
      </c>
      <c r="HL5">
        <v>1.36</v>
      </c>
      <c r="HM5">
        <v>3.55</v>
      </c>
      <c r="HN5">
        <v>5.22</v>
      </c>
      <c r="HO5">
        <v>0.39</v>
      </c>
      <c r="HP5">
        <v>0.1</v>
      </c>
      <c r="HQ5">
        <v>5</v>
      </c>
      <c r="HR5">
        <v>1.46</v>
      </c>
      <c r="HS5">
        <v>35.17</v>
      </c>
      <c r="HT5">
        <v>9.5</v>
      </c>
      <c r="HU5">
        <v>0.15</v>
      </c>
      <c r="HV5">
        <v>0.6</v>
      </c>
      <c r="HW5">
        <v>0.4</v>
      </c>
      <c r="HX5">
        <v>0.3</v>
      </c>
      <c r="HY5">
        <v>5.08</v>
      </c>
      <c r="HZ5">
        <v>68.790000000000006</v>
      </c>
      <c r="IA5">
        <v>0.6</v>
      </c>
      <c r="IB5">
        <v>117.54</v>
      </c>
      <c r="IC5">
        <v>1.36</v>
      </c>
      <c r="ID5">
        <v>3.55</v>
      </c>
      <c r="IE5">
        <v>5.22</v>
      </c>
      <c r="IF5">
        <v>0.39</v>
      </c>
      <c r="IG5">
        <v>0.1</v>
      </c>
      <c r="IH5">
        <v>5</v>
      </c>
      <c r="II5">
        <v>1.46</v>
      </c>
      <c r="IJ5">
        <v>35.17</v>
      </c>
      <c r="IK5">
        <v>9.5</v>
      </c>
      <c r="IL5">
        <v>0.15</v>
      </c>
      <c r="IM5">
        <v>0.6</v>
      </c>
      <c r="IN5">
        <v>0.4</v>
      </c>
      <c r="IO5">
        <v>0.3</v>
      </c>
      <c r="IP5">
        <v>4.0414649999999996</v>
      </c>
      <c r="IQ5">
        <v>4.258947</v>
      </c>
      <c r="IR5">
        <v>0.954928</v>
      </c>
      <c r="IS5">
        <v>1.5365880000000001</v>
      </c>
      <c r="IT5">
        <v>2.980524</v>
      </c>
      <c r="IU5">
        <v>3.418828</v>
      </c>
      <c r="IV5">
        <v>4.3784140000000003</v>
      </c>
      <c r="IW5">
        <v>4.8902089999999996</v>
      </c>
      <c r="IX5">
        <v>0.61208899999999999</v>
      </c>
      <c r="IY5">
        <v>5.5418700000000003</v>
      </c>
      <c r="IZ5">
        <v>1.502988</v>
      </c>
      <c r="JA5">
        <v>6.574255</v>
      </c>
      <c r="JB5">
        <v>0.286248</v>
      </c>
      <c r="JC5">
        <v>0.97524900000000003</v>
      </c>
      <c r="JD5">
        <v>0.87376100000000001</v>
      </c>
      <c r="JE5">
        <v>16.412230000000001</v>
      </c>
      <c r="JF5">
        <v>0.34</v>
      </c>
      <c r="JG5">
        <v>1.79</v>
      </c>
      <c r="JH5">
        <v>17.149380000000001</v>
      </c>
      <c r="JI5">
        <v>5.5313509999999999</v>
      </c>
      <c r="JJ5">
        <v>24.139399999999998</v>
      </c>
      <c r="JK5">
        <v>44.496510000000001</v>
      </c>
      <c r="JL5">
        <v>4.0414649999999996</v>
      </c>
      <c r="JM5">
        <v>4.258947</v>
      </c>
      <c r="JN5">
        <v>0.954928</v>
      </c>
      <c r="JO5">
        <v>1.5365880000000001</v>
      </c>
      <c r="JP5">
        <v>2.980524</v>
      </c>
      <c r="JQ5">
        <v>3.418828</v>
      </c>
      <c r="JR5">
        <v>4.3784140000000003</v>
      </c>
      <c r="JS5">
        <v>4.8902089999999996</v>
      </c>
      <c r="JT5">
        <v>0.61208899999999999</v>
      </c>
      <c r="JU5">
        <v>5.5418700000000003</v>
      </c>
      <c r="JV5">
        <v>1.502988</v>
      </c>
      <c r="JW5">
        <v>6.574255</v>
      </c>
      <c r="JX5">
        <v>0.286248</v>
      </c>
      <c r="JY5">
        <v>0.97524900000000003</v>
      </c>
      <c r="JZ5">
        <v>0.87376100000000001</v>
      </c>
      <c r="KA5">
        <v>16.412230000000001</v>
      </c>
      <c r="KB5">
        <v>0.34</v>
      </c>
      <c r="KC5">
        <v>1.79</v>
      </c>
      <c r="KD5">
        <v>17.149380000000001</v>
      </c>
      <c r="KE5">
        <v>5.5313509999999999</v>
      </c>
      <c r="KF5">
        <v>24.139399999999998</v>
      </c>
      <c r="KG5">
        <v>44.496510000000001</v>
      </c>
      <c r="KH5">
        <v>2.0761769999999999</v>
      </c>
      <c r="KI5">
        <v>1547.171</v>
      </c>
      <c r="KJ5">
        <v>3662.0529999999999</v>
      </c>
      <c r="KK5">
        <v>5126.8649999999998</v>
      </c>
      <c r="KL5">
        <v>13309.3</v>
      </c>
      <c r="KM5">
        <v>4694.5510000000004</v>
      </c>
      <c r="KN5">
        <v>2150.9549999999999</v>
      </c>
      <c r="KO5">
        <v>0</v>
      </c>
      <c r="KP5">
        <v>30492.87</v>
      </c>
      <c r="KQ5">
        <v>0.10100000000000001</v>
      </c>
      <c r="KR5">
        <v>0</v>
      </c>
      <c r="KS5">
        <v>2.0761769999999999</v>
      </c>
      <c r="KT5">
        <v>1547.171</v>
      </c>
      <c r="KU5">
        <v>3662.0529999999999</v>
      </c>
      <c r="KV5">
        <v>5126.8649999999998</v>
      </c>
      <c r="KW5">
        <v>13309.3</v>
      </c>
      <c r="KX5">
        <v>4694.5510000000004</v>
      </c>
      <c r="KY5">
        <v>2150.9549999999999</v>
      </c>
      <c r="KZ5">
        <v>0</v>
      </c>
      <c r="LA5">
        <v>30492.87</v>
      </c>
      <c r="LB5">
        <v>0.10100000000000001</v>
      </c>
      <c r="LC5">
        <v>0</v>
      </c>
      <c r="LD5">
        <v>661127</v>
      </c>
      <c r="LE5">
        <v>42391824</v>
      </c>
      <c r="LF5" s="21">
        <v>301000000</v>
      </c>
      <c r="LG5" s="21">
        <v>661000000</v>
      </c>
      <c r="LH5" s="21">
        <v>787000000</v>
      </c>
      <c r="LI5" s="21">
        <v>412000000</v>
      </c>
      <c r="LJ5" s="21">
        <v>189000000</v>
      </c>
      <c r="LK5" s="21">
        <v>1.5600000000000001E-6</v>
      </c>
      <c r="LL5" s="21">
        <v>2.9799999999999998E-6</v>
      </c>
      <c r="LM5" s="21">
        <v>5.4700000000000001E-6</v>
      </c>
      <c r="LN5" s="21">
        <v>1.13E-5</v>
      </c>
      <c r="LO5" s="21">
        <v>1.66E-5</v>
      </c>
      <c r="LP5" s="21">
        <v>2.3499999999999999E-5</v>
      </c>
      <c r="LQ5" s="21">
        <v>3.4499999999999998E-5</v>
      </c>
      <c r="LR5">
        <v>661127</v>
      </c>
      <c r="LS5">
        <v>42391824</v>
      </c>
      <c r="LT5" s="21">
        <v>301000000</v>
      </c>
      <c r="LU5" s="21">
        <v>661000000</v>
      </c>
      <c r="LV5" s="21">
        <v>787000000</v>
      </c>
      <c r="LW5" s="21">
        <v>412000000</v>
      </c>
      <c r="LX5" s="21">
        <v>189000000</v>
      </c>
      <c r="LY5" s="21">
        <v>1.5600000000000001E-6</v>
      </c>
      <c r="LZ5" s="21">
        <v>2.9799999999999998E-6</v>
      </c>
      <c r="MA5" s="21">
        <v>5.4700000000000001E-6</v>
      </c>
      <c r="MB5" s="21">
        <v>1.13E-5</v>
      </c>
      <c r="MC5" s="21">
        <v>1.66E-5</v>
      </c>
      <c r="MD5" s="21">
        <v>2.3499999999999999E-5</v>
      </c>
      <c r="ME5" s="21">
        <v>3.4499999999999998E-5</v>
      </c>
      <c r="MF5">
        <v>1E-3</v>
      </c>
      <c r="MG5">
        <v>0.18</v>
      </c>
      <c r="MH5">
        <v>0.28399999999999997</v>
      </c>
      <c r="MI5">
        <v>0.28000000000000003</v>
      </c>
      <c r="MJ5">
        <v>0.18</v>
      </c>
      <c r="MK5">
        <v>0.06</v>
      </c>
      <c r="ML5">
        <v>1.4999999999999999E-2</v>
      </c>
      <c r="MM5">
        <v>1E-3</v>
      </c>
      <c r="MN5">
        <v>0.18</v>
      </c>
      <c r="MO5">
        <v>0.28399999999999997</v>
      </c>
      <c r="MP5">
        <v>0.28000000000000003</v>
      </c>
      <c r="MQ5">
        <v>0.18</v>
      </c>
      <c r="MR5">
        <v>0.06</v>
      </c>
      <c r="MS5">
        <v>1.4999999999999999E-2</v>
      </c>
      <c r="MT5">
        <v>1E-3</v>
      </c>
      <c r="MU5">
        <v>0.18</v>
      </c>
      <c r="MV5">
        <v>0.28399999999999997</v>
      </c>
      <c r="MW5">
        <v>0.28000000000000003</v>
      </c>
      <c r="MX5">
        <v>0.18</v>
      </c>
      <c r="MY5">
        <v>0.06</v>
      </c>
      <c r="MZ5">
        <v>1.4999999999999999E-2</v>
      </c>
      <c r="NA5">
        <v>1E-3</v>
      </c>
      <c r="NB5">
        <v>0.18</v>
      </c>
      <c r="NC5">
        <v>0.28399999999999997</v>
      </c>
      <c r="ND5">
        <v>0.28000000000000003</v>
      </c>
      <c r="NE5">
        <v>0.18</v>
      </c>
      <c r="NF5">
        <v>0.06</v>
      </c>
      <c r="NG5">
        <v>1.4999999999999999E-2</v>
      </c>
      <c r="NH5" s="21">
        <v>9.9999999999999995E-8</v>
      </c>
      <c r="NI5" s="21">
        <v>9.9999999999999995E-8</v>
      </c>
      <c r="NJ5">
        <v>0.01</v>
      </c>
      <c r="NK5">
        <v>1.2E-2</v>
      </c>
      <c r="NL5">
        <v>1.2500000000000001E-2</v>
      </c>
      <c r="NM5">
        <v>3.9E-2</v>
      </c>
      <c r="NN5" s="21">
        <v>9.9999999999999995E-8</v>
      </c>
      <c r="NO5" s="21">
        <v>9.9999999999999995E-8</v>
      </c>
      <c r="NP5">
        <v>0.01</v>
      </c>
      <c r="NQ5">
        <v>1.2E-2</v>
      </c>
      <c r="NR5">
        <v>1.2500000000000001E-2</v>
      </c>
      <c r="NS5">
        <v>3.9E-2</v>
      </c>
      <c r="NT5" s="21">
        <v>9.9999999999999995E-8</v>
      </c>
      <c r="NU5" s="21">
        <v>9.9999999999999995E-8</v>
      </c>
      <c r="NV5">
        <v>0.01</v>
      </c>
      <c r="NW5">
        <v>1.2E-2</v>
      </c>
      <c r="NX5">
        <v>1.2500000000000001E-2</v>
      </c>
      <c r="NY5">
        <v>3.9E-2</v>
      </c>
      <c r="NZ5" s="21">
        <v>9.9999999999999995E-8</v>
      </c>
      <c r="OA5" s="21">
        <v>9.9999999999999995E-8</v>
      </c>
      <c r="OB5">
        <v>0.01</v>
      </c>
      <c r="OC5">
        <v>1.2E-2</v>
      </c>
      <c r="OD5">
        <v>1.2500000000000001E-2</v>
      </c>
      <c r="OE5">
        <v>3.9E-2</v>
      </c>
      <c r="OF5">
        <v>65</v>
      </c>
      <c r="OG5">
        <v>43742</v>
      </c>
      <c r="OH5">
        <v>17844</v>
      </c>
      <c r="OI5">
        <v>10467</v>
      </c>
      <c r="OJ5">
        <v>65</v>
      </c>
      <c r="OK5">
        <v>43742</v>
      </c>
      <c r="OL5">
        <v>17844</v>
      </c>
      <c r="OM5">
        <v>10467</v>
      </c>
      <c r="ON5">
        <v>1159380</v>
      </c>
      <c r="OO5">
        <v>1159380</v>
      </c>
      <c r="OP5">
        <v>9253.9619999999995</v>
      </c>
      <c r="OQ5">
        <v>4576.3500000000004</v>
      </c>
      <c r="OR5">
        <v>4309.2579999999998</v>
      </c>
      <c r="OS5">
        <v>383.59320000000002</v>
      </c>
      <c r="OT5">
        <v>1116.9829999999999</v>
      </c>
      <c r="OU5">
        <v>965.1644</v>
      </c>
      <c r="OV5">
        <v>244.5257</v>
      </c>
      <c r="OW5">
        <v>969.60419999999999</v>
      </c>
      <c r="OX5">
        <v>1026.925</v>
      </c>
      <c r="OY5">
        <v>1032.98</v>
      </c>
      <c r="OZ5">
        <v>477.3897</v>
      </c>
      <c r="PA5">
        <v>15465.99</v>
      </c>
      <c r="PB5">
        <v>4782.7150000000001</v>
      </c>
      <c r="PC5">
        <v>1090.308</v>
      </c>
      <c r="PD5">
        <v>1715.6780000000001</v>
      </c>
      <c r="PE5">
        <v>4849.3729999999996</v>
      </c>
      <c r="PF5">
        <v>1103.3119999999999</v>
      </c>
      <c r="PG5">
        <v>2003.67</v>
      </c>
      <c r="PH5">
        <v>146880</v>
      </c>
      <c r="PI5">
        <v>60600.959999999999</v>
      </c>
      <c r="PJ5">
        <v>1.7605580000000001</v>
      </c>
      <c r="PK5">
        <v>653.32470000000001</v>
      </c>
      <c r="PL5">
        <v>22.53838</v>
      </c>
      <c r="PM5">
        <v>1403.4570000000001</v>
      </c>
      <c r="PN5">
        <v>633.08040000000005</v>
      </c>
      <c r="PO5">
        <v>137.00450000000001</v>
      </c>
      <c r="PP5">
        <v>271.13749999999999</v>
      </c>
      <c r="PQ5">
        <v>208.90190000000001</v>
      </c>
      <c r="PR5">
        <v>91.044179999999997</v>
      </c>
      <c r="PS5">
        <v>533.33820000000003</v>
      </c>
      <c r="PT5">
        <v>260.85340000000002</v>
      </c>
      <c r="PU5">
        <v>556.32809999999995</v>
      </c>
      <c r="PV5">
        <v>925.74279999999999</v>
      </c>
      <c r="PW5">
        <v>12.11312</v>
      </c>
      <c r="PX5">
        <v>88.337299999999999</v>
      </c>
      <c r="PY5">
        <v>132.30760000000001</v>
      </c>
      <c r="PZ5">
        <v>120.2734</v>
      </c>
      <c r="QA5">
        <v>268900.3</v>
      </c>
      <c r="QB5">
        <v>5293.1170000000002</v>
      </c>
      <c r="QC5">
        <v>38763.65</v>
      </c>
      <c r="QD5">
        <v>33.596260000000001</v>
      </c>
      <c r="QE5">
        <v>6872.4849999999997</v>
      </c>
      <c r="QF5">
        <v>12857.91</v>
      </c>
      <c r="QG5">
        <v>14525.44</v>
      </c>
      <c r="QH5">
        <v>13010.51</v>
      </c>
      <c r="QI5">
        <v>6159.2650000000003</v>
      </c>
      <c r="QJ5">
        <v>2034.432</v>
      </c>
      <c r="QK5">
        <v>9253.9619999999995</v>
      </c>
      <c r="QL5">
        <v>4576.3500000000004</v>
      </c>
      <c r="QM5">
        <v>4309.2579999999998</v>
      </c>
      <c r="QN5">
        <v>383.59320000000002</v>
      </c>
      <c r="QO5">
        <v>1116.9829999999999</v>
      </c>
      <c r="QP5">
        <v>965.1644</v>
      </c>
      <c r="QQ5">
        <v>244.5257</v>
      </c>
      <c r="QR5">
        <v>969.60419999999999</v>
      </c>
      <c r="QS5">
        <v>1026.925</v>
      </c>
      <c r="QT5">
        <v>1032.98</v>
      </c>
      <c r="QU5">
        <v>477.3897</v>
      </c>
      <c r="QV5">
        <v>15465.99</v>
      </c>
      <c r="QW5">
        <v>4782.7150000000001</v>
      </c>
      <c r="QX5">
        <v>1090.308</v>
      </c>
      <c r="QY5">
        <v>1715.6780000000001</v>
      </c>
      <c r="QZ5">
        <v>4849.3729999999996</v>
      </c>
      <c r="RA5">
        <v>1103.3119999999999</v>
      </c>
      <c r="RB5">
        <v>2003.67</v>
      </c>
      <c r="RC5">
        <v>146880</v>
      </c>
      <c r="RD5">
        <v>60600.959999999999</v>
      </c>
      <c r="RE5">
        <v>1.7605580000000001</v>
      </c>
      <c r="RF5">
        <v>653.32470000000001</v>
      </c>
      <c r="RG5">
        <v>22.53838</v>
      </c>
      <c r="RH5">
        <v>1403.4570000000001</v>
      </c>
      <c r="RI5">
        <v>633.08040000000005</v>
      </c>
      <c r="RJ5">
        <v>137.00450000000001</v>
      </c>
      <c r="RK5">
        <v>271.13749999999999</v>
      </c>
      <c r="RL5">
        <v>208.90190000000001</v>
      </c>
      <c r="RM5">
        <v>91.044179999999997</v>
      </c>
      <c r="RN5">
        <v>533.33820000000003</v>
      </c>
      <c r="RO5">
        <v>260.85340000000002</v>
      </c>
      <c r="RP5">
        <v>556.32809999999995</v>
      </c>
      <c r="RQ5">
        <v>925.74279999999999</v>
      </c>
      <c r="RR5">
        <v>12.11312</v>
      </c>
      <c r="RS5">
        <v>88.337299999999999</v>
      </c>
      <c r="RT5">
        <v>132.30760000000001</v>
      </c>
      <c r="RU5">
        <v>120.2734</v>
      </c>
      <c r="RV5">
        <v>268900.3</v>
      </c>
      <c r="RW5">
        <v>5293.1170000000002</v>
      </c>
      <c r="RX5">
        <v>38763.65</v>
      </c>
      <c r="RY5">
        <v>33.596260000000001</v>
      </c>
      <c r="RZ5">
        <v>6872.4849999999997</v>
      </c>
      <c r="SA5">
        <v>12857.91</v>
      </c>
      <c r="SB5">
        <v>14525.44</v>
      </c>
      <c r="SC5">
        <v>13010.51</v>
      </c>
      <c r="SD5">
        <v>6159.2650000000003</v>
      </c>
      <c r="SE5">
        <v>2034.432</v>
      </c>
      <c r="SF5">
        <v>38578.730000000003</v>
      </c>
      <c r="SG5">
        <v>64.999979999999994</v>
      </c>
      <c r="SH5">
        <v>10202.77</v>
      </c>
      <c r="SI5">
        <v>17843.97</v>
      </c>
      <c r="SJ5">
        <v>10467</v>
      </c>
      <c r="SK5">
        <v>38578.730000000003</v>
      </c>
      <c r="SL5">
        <v>64.999979999999994</v>
      </c>
      <c r="SM5">
        <v>10202.77</v>
      </c>
      <c r="SN5">
        <v>17843.97</v>
      </c>
      <c r="SO5">
        <v>10467</v>
      </c>
      <c r="SP5">
        <v>82635.67</v>
      </c>
      <c r="SQ5">
        <v>90127.96</v>
      </c>
      <c r="SR5">
        <v>82635.67</v>
      </c>
      <c r="SS5">
        <v>90127.96</v>
      </c>
      <c r="ST5">
        <v>44.496510000000001</v>
      </c>
      <c r="SU5">
        <v>0.39149600000000001</v>
      </c>
      <c r="SV5">
        <v>7.3433000000000002</v>
      </c>
      <c r="SW5">
        <v>12.740180000000001</v>
      </c>
      <c r="SX5">
        <v>24.021529999999998</v>
      </c>
      <c r="SY5">
        <v>44.496510000000001</v>
      </c>
      <c r="SZ5">
        <v>0.39149600000000001</v>
      </c>
      <c r="TA5">
        <v>7.3433000000000002</v>
      </c>
      <c r="TB5">
        <v>12.740180000000001</v>
      </c>
      <c r="TC5">
        <v>24.021529999999998</v>
      </c>
      <c r="TD5">
        <v>24812.01</v>
      </c>
      <c r="TE5">
        <v>867.65499999999997</v>
      </c>
      <c r="TF5">
        <v>484.06330000000003</v>
      </c>
      <c r="TG5">
        <v>227.0806</v>
      </c>
      <c r="TH5">
        <v>50.795050000000003</v>
      </c>
      <c r="TI5">
        <v>97.677769999999995</v>
      </c>
      <c r="TJ5">
        <v>86.124920000000003</v>
      </c>
      <c r="TK5">
        <v>26.870010000000001</v>
      </c>
      <c r="TL5">
        <v>31.854710000000001</v>
      </c>
      <c r="TM5">
        <v>167.1644</v>
      </c>
      <c r="TN5">
        <v>50.796979999999998</v>
      </c>
      <c r="TO5">
        <v>27.466059999999999</v>
      </c>
      <c r="TP5">
        <v>2044.1569999999999</v>
      </c>
      <c r="TQ5">
        <v>1762.8340000000001</v>
      </c>
      <c r="TR5">
        <v>100.5732</v>
      </c>
      <c r="TS5">
        <v>184.84960000000001</v>
      </c>
      <c r="TT5">
        <v>422.87439999999998</v>
      </c>
      <c r="TU5">
        <v>44.389299999999999</v>
      </c>
      <c r="TV5">
        <v>76.275139999999993</v>
      </c>
      <c r="TW5">
        <v>11903.16</v>
      </c>
      <c r="TX5">
        <v>6015.9610000000002</v>
      </c>
      <c r="TY5">
        <v>0.59899800000000003</v>
      </c>
      <c r="TZ5">
        <v>13.19102</v>
      </c>
      <c r="UA5">
        <v>1.839162</v>
      </c>
      <c r="UB5">
        <v>71.503690000000006</v>
      </c>
      <c r="UC5">
        <v>1.0517879999999999</v>
      </c>
      <c r="UD5">
        <v>2.4789370000000002</v>
      </c>
      <c r="UE5">
        <v>5.2844119999999997</v>
      </c>
      <c r="UF5">
        <v>0.92509799999999998</v>
      </c>
      <c r="UG5">
        <v>0.87379700000000005</v>
      </c>
      <c r="UH5">
        <v>11.33127</v>
      </c>
      <c r="UI5">
        <v>1.8419589999999999</v>
      </c>
      <c r="UJ5">
        <v>19.888369999999998</v>
      </c>
      <c r="UK5">
        <v>7.1255629999999996</v>
      </c>
      <c r="UL5">
        <v>0.14111599999999999</v>
      </c>
      <c r="UM5">
        <v>0.40458699999999997</v>
      </c>
      <c r="UN5">
        <v>0.53526200000000002</v>
      </c>
      <c r="UO5">
        <v>0.37225799999999998</v>
      </c>
      <c r="UP5">
        <v>24812.01</v>
      </c>
      <c r="UQ5">
        <v>867.65499999999997</v>
      </c>
      <c r="UR5">
        <v>484.06330000000003</v>
      </c>
      <c r="US5">
        <v>227.0806</v>
      </c>
      <c r="UT5">
        <v>50.795050000000003</v>
      </c>
      <c r="UU5">
        <v>97.677769999999995</v>
      </c>
      <c r="UV5">
        <v>86.124920000000003</v>
      </c>
      <c r="UW5">
        <v>26.870010000000001</v>
      </c>
      <c r="UX5">
        <v>31.854710000000001</v>
      </c>
      <c r="UY5">
        <v>167.1644</v>
      </c>
      <c r="UZ5">
        <v>50.796979999999998</v>
      </c>
      <c r="VA5">
        <v>27.466059999999999</v>
      </c>
      <c r="VB5">
        <v>2044.1569999999999</v>
      </c>
      <c r="VC5">
        <v>1762.8340000000001</v>
      </c>
      <c r="VD5">
        <v>100.5732</v>
      </c>
      <c r="VE5">
        <v>184.84960000000001</v>
      </c>
      <c r="VF5">
        <v>422.87439999999998</v>
      </c>
      <c r="VG5">
        <v>44.389299999999999</v>
      </c>
      <c r="VH5">
        <v>76.275139999999993</v>
      </c>
      <c r="VI5">
        <v>11903.16</v>
      </c>
      <c r="VJ5">
        <v>6015.9610000000002</v>
      </c>
      <c r="VK5">
        <v>0.59899800000000003</v>
      </c>
      <c r="VL5">
        <v>13.19102</v>
      </c>
      <c r="VM5">
        <v>1.839162</v>
      </c>
      <c r="VN5">
        <v>71.503690000000006</v>
      </c>
      <c r="VO5">
        <v>1.0517879999999999</v>
      </c>
      <c r="VP5">
        <v>2.4789370000000002</v>
      </c>
      <c r="VQ5">
        <v>5.2844119999999997</v>
      </c>
      <c r="VR5">
        <v>0.92509799999999998</v>
      </c>
      <c r="VS5">
        <v>0.87379700000000005</v>
      </c>
      <c r="VT5">
        <v>11.33127</v>
      </c>
      <c r="VU5">
        <v>1.8419589999999999</v>
      </c>
      <c r="VV5">
        <v>19.888369999999998</v>
      </c>
      <c r="VW5">
        <v>7.1255629999999996</v>
      </c>
      <c r="VX5">
        <v>0.14111599999999999</v>
      </c>
      <c r="VY5">
        <v>0.40458699999999997</v>
      </c>
      <c r="VZ5">
        <v>0.53526200000000002</v>
      </c>
      <c r="WA5">
        <v>0.37225799999999998</v>
      </c>
      <c r="WB5">
        <v>8.8152999999999995E-2</v>
      </c>
      <c r="WC5">
        <v>8.8152999999999995E-2</v>
      </c>
      <c r="WD5">
        <v>-1.2596E-2</v>
      </c>
      <c r="WE5">
        <v>-1.2596E-2</v>
      </c>
      <c r="WF5">
        <v>0.61869499999999999</v>
      </c>
      <c r="WG5">
        <v>0.61869499999999999</v>
      </c>
      <c r="WH5">
        <v>-2.1534000000000001E-2</v>
      </c>
      <c r="WI5">
        <v>-2.1534000000000001E-2</v>
      </c>
      <c r="WJ5">
        <v>1807455</v>
      </c>
      <c r="WK5">
        <v>1807455</v>
      </c>
    </row>
    <row r="6" spans="1:609" ht="14.45" x14ac:dyDescent="0.35">
      <c r="A6">
        <v>2007</v>
      </c>
      <c r="B6">
        <v>1.201E-3</v>
      </c>
      <c r="C6">
        <v>100.80370000000001</v>
      </c>
      <c r="D6">
        <v>2.1580000000000002E-3</v>
      </c>
      <c r="E6">
        <v>7.4100000000000001E-4</v>
      </c>
      <c r="F6" s="21">
        <v>-3.8899999999999997E-5</v>
      </c>
      <c r="G6">
        <v>9.2100000000000005E-4</v>
      </c>
      <c r="H6">
        <v>-5.0299999999999997E-4</v>
      </c>
      <c r="I6">
        <v>5.1699999999999999E-4</v>
      </c>
      <c r="J6">
        <v>3.6900000000000002E-4</v>
      </c>
      <c r="K6">
        <v>1.27E-4</v>
      </c>
      <c r="L6">
        <v>2.42E-4</v>
      </c>
      <c r="M6">
        <v>2.4699999999999999E-4</v>
      </c>
      <c r="N6">
        <v>0</v>
      </c>
      <c r="O6">
        <v>-1.0449999999999999E-3</v>
      </c>
      <c r="P6">
        <v>-1.5899999999999999E-4</v>
      </c>
      <c r="Q6">
        <v>-0.44826300000000002</v>
      </c>
      <c r="R6">
        <v>97.802289999999999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0.111</v>
      </c>
      <c r="Z6">
        <v>0.562446</v>
      </c>
      <c r="AA6" s="21">
        <v>-4.46E-5</v>
      </c>
      <c r="AB6" s="21">
        <v>-8.4499999999999994E-5</v>
      </c>
      <c r="AC6">
        <v>4.3327999999999998E-2</v>
      </c>
      <c r="AD6">
        <v>0</v>
      </c>
      <c r="AE6">
        <v>6.0278999999999998</v>
      </c>
      <c r="AF6">
        <v>8.4694000000000003</v>
      </c>
      <c r="AG6">
        <v>0.6492</v>
      </c>
      <c r="AH6">
        <v>3.3371400000000002</v>
      </c>
      <c r="AI6" s="21">
        <v>-1.9300000000000002E-5</v>
      </c>
      <c r="AJ6">
        <v>0.107964</v>
      </c>
      <c r="AK6">
        <v>103.735</v>
      </c>
      <c r="AL6">
        <v>2.1723810000000001</v>
      </c>
      <c r="AM6">
        <v>0.10606</v>
      </c>
      <c r="AN6">
        <v>101.9059</v>
      </c>
      <c r="AO6">
        <v>2.134077</v>
      </c>
      <c r="AP6">
        <v>68.688370000000006</v>
      </c>
      <c r="AQ6">
        <v>67.477239999999995</v>
      </c>
      <c r="AR6">
        <v>175.55969999999999</v>
      </c>
      <c r="AS6">
        <v>1.2100280000000001</v>
      </c>
      <c r="AT6">
        <v>383.03149999999999</v>
      </c>
      <c r="AU6">
        <v>50.716880000000003</v>
      </c>
      <c r="AV6">
        <v>4.5991049999999998</v>
      </c>
      <c r="AW6">
        <v>1.178E-3</v>
      </c>
      <c r="AX6">
        <v>1.088E-3</v>
      </c>
      <c r="AY6">
        <v>2.7750000000000001E-3</v>
      </c>
      <c r="AZ6">
        <v>2.33E-4</v>
      </c>
      <c r="BA6">
        <v>1.041E-3</v>
      </c>
      <c r="BB6">
        <v>6.7000000000000002E-4</v>
      </c>
      <c r="BC6">
        <v>1.14E-3</v>
      </c>
      <c r="BD6">
        <v>6.0800000000000003E-4</v>
      </c>
      <c r="BE6">
        <v>1.8599999999999999E-4</v>
      </c>
      <c r="BF6">
        <v>8.4800000000000001E-4</v>
      </c>
      <c r="BG6">
        <v>2.9999999999999997E-4</v>
      </c>
      <c r="BH6">
        <v>2.03E-4</v>
      </c>
      <c r="BI6">
        <v>9.4700000000000003E-4</v>
      </c>
      <c r="BJ6">
        <v>4.8500000000000003E-4</v>
      </c>
      <c r="BK6">
        <v>2.8800000000000001E-4</v>
      </c>
      <c r="BL6">
        <v>2.0100000000000001E-4</v>
      </c>
      <c r="BM6">
        <v>9.8999999999999999E-4</v>
      </c>
      <c r="BN6">
        <v>1.25E-4</v>
      </c>
      <c r="BO6">
        <v>3.9800000000000002E-4</v>
      </c>
      <c r="BP6">
        <v>1.629E-3</v>
      </c>
      <c r="BQ6">
        <v>2.31E-4</v>
      </c>
      <c r="BR6">
        <v>-4.6357000000000002E-2</v>
      </c>
      <c r="BS6">
        <v>-2.8379999999999998E-3</v>
      </c>
      <c r="BT6">
        <v>-1.1575999999999999E-2</v>
      </c>
      <c r="BU6">
        <v>1.2260000000000001E-3</v>
      </c>
      <c r="BV6">
        <v>-5.9800000000000001E-4</v>
      </c>
      <c r="BW6">
        <v>1.281E-3</v>
      </c>
      <c r="BX6">
        <v>1.176E-3</v>
      </c>
      <c r="BY6">
        <v>1.093E-3</v>
      </c>
      <c r="BZ6">
        <v>1.1100000000000001E-3</v>
      </c>
      <c r="CA6">
        <v>1.0920000000000001E-3</v>
      </c>
      <c r="CB6">
        <v>1.0970000000000001E-3</v>
      </c>
      <c r="CC6">
        <v>3.5530000000000002E-3</v>
      </c>
      <c r="CD6">
        <v>4.64E-4</v>
      </c>
      <c r="CE6">
        <v>4.6299999999999998E-4</v>
      </c>
      <c r="CF6">
        <v>4.6000000000000001E-4</v>
      </c>
      <c r="CG6">
        <v>4.5899999999999999E-4</v>
      </c>
      <c r="CH6">
        <v>4.6099999999999998E-4</v>
      </c>
      <c r="CI6">
        <v>6.78E-4</v>
      </c>
      <c r="CJ6">
        <v>1.4840000000000001E-3</v>
      </c>
      <c r="CK6">
        <v>1.0900000000000001E-4</v>
      </c>
      <c r="CL6">
        <v>6.3299999999999999E-4</v>
      </c>
      <c r="CM6">
        <v>3.97E-4</v>
      </c>
      <c r="CN6">
        <v>6.1300000000000005E-4</v>
      </c>
      <c r="CO6">
        <v>2.6899999999999998E-4</v>
      </c>
      <c r="CP6" s="21">
        <v>8.4099999999999998E-5</v>
      </c>
      <c r="CQ6">
        <v>4.8999999999999998E-4</v>
      </c>
      <c r="CR6">
        <v>1.5100000000000001E-4</v>
      </c>
      <c r="CS6">
        <v>1.02E-4</v>
      </c>
      <c r="CT6">
        <v>5.4500000000000002E-4</v>
      </c>
      <c r="CU6">
        <v>3.0600000000000001E-4</v>
      </c>
      <c r="CV6">
        <v>1.9799999999999999E-4</v>
      </c>
      <c r="CW6">
        <v>1.4100000000000001E-4</v>
      </c>
      <c r="CX6">
        <v>6.2100000000000002E-4</v>
      </c>
      <c r="CY6" s="21">
        <v>7.1799999999999997E-5</v>
      </c>
      <c r="CZ6">
        <v>2.4499999999999999E-4</v>
      </c>
      <c r="DA6">
        <v>1.07E-3</v>
      </c>
      <c r="DB6">
        <v>1.65E-4</v>
      </c>
      <c r="DC6">
        <v>4.2999999999999999E-4</v>
      </c>
      <c r="DD6">
        <v>-7.18E-4</v>
      </c>
      <c r="DE6">
        <v>-9.7300000000000002E-4</v>
      </c>
      <c r="DF6">
        <v>7.3700000000000002E-4</v>
      </c>
      <c r="DG6">
        <v>7.3800000000000005E-4</v>
      </c>
      <c r="DH6">
        <v>7.3800000000000005E-4</v>
      </c>
      <c r="DI6">
        <v>7.3899999999999997E-4</v>
      </c>
      <c r="DJ6">
        <v>7.3800000000000005E-4</v>
      </c>
      <c r="DK6">
        <v>7.3899999999999997E-4</v>
      </c>
      <c r="DL6">
        <v>7.3899999999999997E-4</v>
      </c>
      <c r="DM6">
        <v>7.3899999999999997E-4</v>
      </c>
      <c r="DN6">
        <v>3.1300000000000002E-4</v>
      </c>
      <c r="DO6">
        <v>3.2299999999999999E-4</v>
      </c>
      <c r="DP6">
        <v>3.21E-4</v>
      </c>
      <c r="DQ6">
        <v>3.2200000000000002E-4</v>
      </c>
      <c r="DR6">
        <v>3.21E-4</v>
      </c>
      <c r="DS6">
        <v>3.2200000000000002E-4</v>
      </c>
      <c r="DT6" s="21">
        <v>3.1600000000000002E-5</v>
      </c>
      <c r="DU6">
        <v>3.1020000000000002E-3</v>
      </c>
      <c r="DV6" s="21">
        <v>1.6500000000000001E-5</v>
      </c>
      <c r="DW6">
        <v>3.1350000000000002E-3</v>
      </c>
      <c r="DX6">
        <v>3.14E-3</v>
      </c>
      <c r="DY6">
        <v>3.14E-3</v>
      </c>
      <c r="DZ6">
        <v>3.1549999999999998E-3</v>
      </c>
      <c r="EA6">
        <v>3.176E-3</v>
      </c>
      <c r="EB6">
        <v>3.1580000000000002E-3</v>
      </c>
      <c r="EC6">
        <v>0</v>
      </c>
      <c r="ED6">
        <v>3.1700000000000001E-3</v>
      </c>
      <c r="EE6">
        <v>3.143E-3</v>
      </c>
      <c r="EF6">
        <v>1.2999999999999999E-4</v>
      </c>
      <c r="EG6">
        <v>0</v>
      </c>
      <c r="EH6">
        <v>0</v>
      </c>
      <c r="EI6">
        <v>3.1340000000000001E-3</v>
      </c>
      <c r="EJ6">
        <v>3.1710000000000002E-3</v>
      </c>
      <c r="EK6" s="21">
        <v>2.3799999999999999E-5</v>
      </c>
      <c r="EL6">
        <v>3.1029999999999999E-3</v>
      </c>
      <c r="EM6">
        <v>3.143E-3</v>
      </c>
      <c r="EN6" s="21">
        <v>3.29E-5</v>
      </c>
      <c r="EO6">
        <v>-4.7400000000000003E-3</v>
      </c>
      <c r="EP6">
        <v>1.6169999999999999E-3</v>
      </c>
      <c r="EQ6" s="21">
        <v>1.6399999999999999E-5</v>
      </c>
      <c r="ER6">
        <v>6.8334679999999999</v>
      </c>
      <c r="ES6">
        <v>75.878299999999996</v>
      </c>
      <c r="ET6">
        <v>0.75625399999999998</v>
      </c>
      <c r="EU6">
        <v>32.177630000000001</v>
      </c>
      <c r="EV6">
        <v>0.61400100000000002</v>
      </c>
      <c r="EW6">
        <v>1.648666</v>
      </c>
      <c r="EX6">
        <v>2.3976099999999998</v>
      </c>
      <c r="EY6">
        <v>0.37733899999999998</v>
      </c>
      <c r="EZ6">
        <v>9.4267000000000004E-2</v>
      </c>
      <c r="FA6">
        <v>4.6025609999999997</v>
      </c>
      <c r="FB6">
        <v>0.61255700000000002</v>
      </c>
      <c r="FC6">
        <v>35.774709999999999</v>
      </c>
      <c r="FD6">
        <v>9.2449700000000004</v>
      </c>
      <c r="FE6">
        <v>0.19237099999999999</v>
      </c>
      <c r="FF6">
        <v>0.61249399999999998</v>
      </c>
      <c r="FG6">
        <v>0.50779399999999997</v>
      </c>
      <c r="FH6">
        <v>0.300099</v>
      </c>
      <c r="FI6">
        <v>6.8334890000000001</v>
      </c>
      <c r="FJ6">
        <v>75.877129999999994</v>
      </c>
      <c r="FK6">
        <v>0.75623899999999999</v>
      </c>
      <c r="FL6">
        <v>32.17794</v>
      </c>
      <c r="FM6">
        <v>0.61400699999999997</v>
      </c>
      <c r="FN6">
        <v>1.6486810000000001</v>
      </c>
      <c r="FO6">
        <v>2.3976329999999999</v>
      </c>
      <c r="FP6">
        <v>0.37734299999999998</v>
      </c>
      <c r="FQ6">
        <v>9.4268000000000005E-2</v>
      </c>
      <c r="FR6">
        <v>4.6026049999999996</v>
      </c>
      <c r="FS6">
        <v>0.61256200000000005</v>
      </c>
      <c r="FT6">
        <v>35.774850000000001</v>
      </c>
      <c r="FU6">
        <v>9.2450069999999993</v>
      </c>
      <c r="FV6">
        <v>0.19237199999999999</v>
      </c>
      <c r="FW6">
        <v>0.61249600000000004</v>
      </c>
      <c r="FX6">
        <v>0.50779600000000003</v>
      </c>
      <c r="FY6">
        <v>0.30009999999999998</v>
      </c>
      <c r="FZ6">
        <v>4.8886989999999999</v>
      </c>
      <c r="GA6">
        <v>62.813809999999997</v>
      </c>
      <c r="GB6">
        <v>0.75625399999999998</v>
      </c>
      <c r="GC6">
        <v>28.053709999999999</v>
      </c>
      <c r="GD6">
        <v>0.53530999999999995</v>
      </c>
      <c r="GE6">
        <v>1.437371</v>
      </c>
      <c r="GF6">
        <v>2.0903299999999998</v>
      </c>
      <c r="GG6">
        <v>0.32897900000000002</v>
      </c>
      <c r="GH6">
        <v>8.2185999999999995E-2</v>
      </c>
      <c r="GI6">
        <v>4.0126920000000004</v>
      </c>
      <c r="GJ6">
        <v>0.53405100000000005</v>
      </c>
      <c r="GK6">
        <v>34.227600000000002</v>
      </c>
      <c r="GL6">
        <v>9.2449700000000004</v>
      </c>
      <c r="GM6">
        <v>0.19237099999999999</v>
      </c>
      <c r="GN6">
        <v>0.61249399999999998</v>
      </c>
      <c r="GO6">
        <v>0.50779399999999997</v>
      </c>
      <c r="GP6">
        <v>0.300099</v>
      </c>
      <c r="GQ6">
        <v>4.8887159999999996</v>
      </c>
      <c r="GR6">
        <v>62.812620000000003</v>
      </c>
      <c r="GS6">
        <v>0.75623899999999999</v>
      </c>
      <c r="GT6">
        <v>28.054020000000001</v>
      </c>
      <c r="GU6">
        <v>0.53531600000000001</v>
      </c>
      <c r="GV6">
        <v>1.437387</v>
      </c>
      <c r="GW6">
        <v>2.0903529999999999</v>
      </c>
      <c r="GX6">
        <v>0.32898300000000003</v>
      </c>
      <c r="GY6">
        <v>8.2186999999999996E-2</v>
      </c>
      <c r="GZ6">
        <v>4.0127360000000003</v>
      </c>
      <c r="HA6">
        <v>0.534057</v>
      </c>
      <c r="HB6">
        <v>34.227739999999997</v>
      </c>
      <c r="HC6">
        <v>9.2450069999999993</v>
      </c>
      <c r="HD6">
        <v>0.19237199999999999</v>
      </c>
      <c r="HE6">
        <v>0.61249600000000004</v>
      </c>
      <c r="HF6">
        <v>0.50779600000000003</v>
      </c>
      <c r="HG6">
        <v>0.30009999999999998</v>
      </c>
      <c r="HH6">
        <v>4.9768720000000002</v>
      </c>
      <c r="HI6">
        <v>67.515029999999996</v>
      </c>
      <c r="HJ6">
        <v>0.75625399999999998</v>
      </c>
      <c r="HK6">
        <v>116.1632</v>
      </c>
      <c r="HL6">
        <v>1.326252</v>
      </c>
      <c r="HM6">
        <v>3.5611440000000001</v>
      </c>
      <c r="HN6">
        <v>5.178877</v>
      </c>
      <c r="HO6">
        <v>0.40793200000000002</v>
      </c>
      <c r="HP6">
        <v>0.10191</v>
      </c>
      <c r="HQ6">
        <v>4.9757100000000003</v>
      </c>
      <c r="HR6">
        <v>1.7904439999999999</v>
      </c>
      <c r="HS6">
        <v>34.462780000000002</v>
      </c>
      <c r="HT6">
        <v>9.3832389999999997</v>
      </c>
      <c r="HU6">
        <v>0.195248</v>
      </c>
      <c r="HV6">
        <v>0.62165400000000004</v>
      </c>
      <c r="HW6">
        <v>0.51538899999999999</v>
      </c>
      <c r="HX6">
        <v>0.304587</v>
      </c>
      <c r="HY6">
        <v>4.9516609999999996</v>
      </c>
      <c r="HZ6">
        <v>66.991990000000001</v>
      </c>
      <c r="IA6">
        <v>0.75623899999999999</v>
      </c>
      <c r="IB6">
        <v>116.1643</v>
      </c>
      <c r="IC6">
        <v>1.326265</v>
      </c>
      <c r="ID6">
        <v>3.561178</v>
      </c>
      <c r="IE6">
        <v>5.1789259999999997</v>
      </c>
      <c r="IF6">
        <v>0.40793600000000002</v>
      </c>
      <c r="IG6">
        <v>0.101911</v>
      </c>
      <c r="IH6">
        <v>4.9757569999999998</v>
      </c>
      <c r="II6">
        <v>1.7904610000000001</v>
      </c>
      <c r="IJ6">
        <v>34.462919999999997</v>
      </c>
      <c r="IK6">
        <v>9.3832769999999996</v>
      </c>
      <c r="IL6">
        <v>0.19524900000000001</v>
      </c>
      <c r="IM6">
        <v>0.62165700000000002</v>
      </c>
      <c r="IN6">
        <v>0.51539100000000004</v>
      </c>
      <c r="IO6">
        <v>0.304589</v>
      </c>
      <c r="IP6">
        <v>3.9164629999999998</v>
      </c>
      <c r="IQ6">
        <v>4.2378830000000001</v>
      </c>
      <c r="IR6">
        <v>0.90943200000000002</v>
      </c>
      <c r="IS6">
        <v>1.505374</v>
      </c>
      <c r="IT6">
        <v>3.128476</v>
      </c>
      <c r="IU6">
        <v>3.3435269999999999</v>
      </c>
      <c r="IV6">
        <v>4.2237450000000001</v>
      </c>
      <c r="IW6">
        <v>4.6856640000000001</v>
      </c>
      <c r="IX6">
        <v>0.60677499999999995</v>
      </c>
      <c r="IY6">
        <v>5.4207289999999997</v>
      </c>
      <c r="IZ6">
        <v>1.4277200000000001</v>
      </c>
      <c r="JA6">
        <v>6.454142</v>
      </c>
      <c r="JB6">
        <v>0.31792500000000001</v>
      </c>
      <c r="JC6">
        <v>0.97173600000000004</v>
      </c>
      <c r="JD6">
        <v>0.87098500000000001</v>
      </c>
      <c r="JE6">
        <v>16.173079999999999</v>
      </c>
      <c r="JF6">
        <v>0.32824999999999999</v>
      </c>
      <c r="JG6">
        <v>1.736391</v>
      </c>
      <c r="JH6">
        <v>17.08381</v>
      </c>
      <c r="JI6">
        <v>5.5845929999999999</v>
      </c>
      <c r="JJ6">
        <v>23.742319999999999</v>
      </c>
      <c r="JK6">
        <v>43.949689999999997</v>
      </c>
      <c r="JL6">
        <v>3.9164979999999998</v>
      </c>
      <c r="JM6">
        <v>4.237965</v>
      </c>
      <c r="JN6">
        <v>0.90943300000000005</v>
      </c>
      <c r="JO6">
        <v>1.5053859999999999</v>
      </c>
      <c r="JP6">
        <v>3.1284930000000002</v>
      </c>
      <c r="JQ6">
        <v>3.3435540000000001</v>
      </c>
      <c r="JR6">
        <v>4.2237600000000004</v>
      </c>
      <c r="JS6">
        <v>4.68567</v>
      </c>
      <c r="JT6">
        <v>0.60677899999999996</v>
      </c>
      <c r="JU6">
        <v>5.4207409999999996</v>
      </c>
      <c r="JV6">
        <v>1.4277219999999999</v>
      </c>
      <c r="JW6">
        <v>6.4541880000000003</v>
      </c>
      <c r="JX6">
        <v>0.31792599999999999</v>
      </c>
      <c r="JY6">
        <v>0.97173900000000002</v>
      </c>
      <c r="JZ6">
        <v>0.87098699999999996</v>
      </c>
      <c r="KA6">
        <v>16.173210000000001</v>
      </c>
      <c r="KB6">
        <v>0.32824999999999999</v>
      </c>
      <c r="KC6">
        <v>1.736397</v>
      </c>
      <c r="KD6">
        <v>17.084050000000001</v>
      </c>
      <c r="KE6">
        <v>5.5846049999999998</v>
      </c>
      <c r="KF6">
        <v>23.741070000000001</v>
      </c>
      <c r="KG6">
        <v>43.9497</v>
      </c>
      <c r="KH6">
        <v>69.115690000000001</v>
      </c>
      <c r="KI6">
        <v>1916.6030000000001</v>
      </c>
      <c r="KJ6">
        <v>4071.8960000000002</v>
      </c>
      <c r="KK6">
        <v>5384.6679999999997</v>
      </c>
      <c r="KL6">
        <v>12698.28</v>
      </c>
      <c r="KM6">
        <v>4461.2969999999996</v>
      </c>
      <c r="KN6">
        <v>2003.9359999999999</v>
      </c>
      <c r="KO6">
        <v>0</v>
      </c>
      <c r="KP6">
        <v>30599.11</v>
      </c>
      <c r="KQ6">
        <v>6.6794609999999999</v>
      </c>
      <c r="KR6">
        <v>0</v>
      </c>
      <c r="KS6">
        <v>73.164839999999998</v>
      </c>
      <c r="KT6">
        <v>1915.7739999999999</v>
      </c>
      <c r="KU6">
        <v>4071.0250000000001</v>
      </c>
      <c r="KV6">
        <v>5383.8159999999998</v>
      </c>
      <c r="KW6">
        <v>12697.49</v>
      </c>
      <c r="KX6">
        <v>4460.5860000000002</v>
      </c>
      <c r="KY6">
        <v>2003.9359999999999</v>
      </c>
      <c r="KZ6">
        <v>0</v>
      </c>
      <c r="LA6">
        <v>30598.15</v>
      </c>
      <c r="LB6">
        <v>7.642671</v>
      </c>
      <c r="LC6">
        <v>0</v>
      </c>
      <c r="LD6">
        <v>3178530</v>
      </c>
      <c r="LE6">
        <v>53505488</v>
      </c>
      <c r="LF6" s="21">
        <v>326000000</v>
      </c>
      <c r="LG6" s="21">
        <v>660000000</v>
      </c>
      <c r="LH6" s="21">
        <v>778000000</v>
      </c>
      <c r="LI6" s="21">
        <v>408000000</v>
      </c>
      <c r="LJ6" s="21">
        <v>181000000</v>
      </c>
      <c r="LK6" s="21">
        <v>1.5999999999999999E-6</v>
      </c>
      <c r="LL6" s="21">
        <v>3.0400000000000001E-6</v>
      </c>
      <c r="LM6" s="21">
        <v>5.5899999999999998E-6</v>
      </c>
      <c r="LN6" s="21">
        <v>1.1600000000000001E-5</v>
      </c>
      <c r="LO6" s="21">
        <v>1.7E-5</v>
      </c>
      <c r="LP6" s="21">
        <v>2.41E-5</v>
      </c>
      <c r="LQ6" s="21">
        <v>3.5299999999999997E-5</v>
      </c>
      <c r="LR6">
        <v>3178557</v>
      </c>
      <c r="LS6">
        <v>53505548</v>
      </c>
      <c r="LT6" s="21">
        <v>326000000</v>
      </c>
      <c r="LU6" s="21">
        <v>660000000</v>
      </c>
      <c r="LV6" s="21">
        <v>778000000</v>
      </c>
      <c r="LW6" s="21">
        <v>408000000</v>
      </c>
      <c r="LX6" s="21">
        <v>181000000</v>
      </c>
      <c r="LY6" s="21">
        <v>1.5999999999999999E-6</v>
      </c>
      <c r="LZ6" s="21">
        <v>3.0400000000000001E-6</v>
      </c>
      <c r="MA6" s="21">
        <v>5.5899999999999998E-6</v>
      </c>
      <c r="MB6" s="21">
        <v>1.1600000000000001E-5</v>
      </c>
      <c r="MC6" s="21">
        <v>1.7E-5</v>
      </c>
      <c r="MD6" s="21">
        <v>2.41E-5</v>
      </c>
      <c r="ME6" s="21">
        <v>3.5299999999999997E-5</v>
      </c>
      <c r="MF6">
        <v>2.7334000000000001E-2</v>
      </c>
      <c r="MG6">
        <v>0.198681</v>
      </c>
      <c r="MH6">
        <v>0.28129300000000002</v>
      </c>
      <c r="MI6">
        <v>0.26528099999999999</v>
      </c>
      <c r="MJ6">
        <v>0.16789999999999999</v>
      </c>
      <c r="MK6">
        <v>5.2011000000000002E-2</v>
      </c>
      <c r="ML6">
        <v>7.4999999999999997E-3</v>
      </c>
      <c r="MM6">
        <v>5.5188000000000001E-2</v>
      </c>
      <c r="MN6">
        <v>0.223519</v>
      </c>
      <c r="MO6">
        <v>0.28647600000000001</v>
      </c>
      <c r="MP6">
        <v>0.25766</v>
      </c>
      <c r="MQ6">
        <v>0.160214</v>
      </c>
      <c r="MR6">
        <v>4.5268000000000003E-2</v>
      </c>
      <c r="MS6">
        <v>-2.8327000000000001E-2</v>
      </c>
      <c r="MT6">
        <v>2.8981E-2</v>
      </c>
      <c r="MU6">
        <v>0.19834399999999999</v>
      </c>
      <c r="MV6">
        <v>0.28093800000000002</v>
      </c>
      <c r="MW6">
        <v>0.26493499999999998</v>
      </c>
      <c r="MX6">
        <v>0.16758000000000001</v>
      </c>
      <c r="MY6">
        <v>5.1721999999999997E-2</v>
      </c>
      <c r="MZ6">
        <v>7.4999999999999997E-3</v>
      </c>
      <c r="NA6">
        <v>5.8608E-2</v>
      </c>
      <c r="NB6">
        <v>0.22294800000000001</v>
      </c>
      <c r="NC6">
        <v>0.28590599999999999</v>
      </c>
      <c r="ND6">
        <v>0.25708999999999999</v>
      </c>
      <c r="NE6">
        <v>0.15964400000000001</v>
      </c>
      <c r="NF6">
        <v>4.4699000000000003E-2</v>
      </c>
      <c r="NG6">
        <v>-2.8894E-2</v>
      </c>
      <c r="NH6">
        <v>1.4E-3</v>
      </c>
      <c r="NI6">
        <v>1.408E-3</v>
      </c>
      <c r="NJ6">
        <v>1.1348E-2</v>
      </c>
      <c r="NK6">
        <v>1.3620999999999999E-2</v>
      </c>
      <c r="NL6">
        <v>1.4199E-2</v>
      </c>
      <c r="NM6">
        <v>4.1175000000000003E-2</v>
      </c>
      <c r="NN6">
        <v>1.4E-3</v>
      </c>
      <c r="NO6">
        <v>1.408E-3</v>
      </c>
      <c r="NP6">
        <v>1.1348E-2</v>
      </c>
      <c r="NQ6">
        <v>1.3620999999999999E-2</v>
      </c>
      <c r="NR6">
        <v>1.4199E-2</v>
      </c>
      <c r="NS6">
        <v>4.1175000000000003E-2</v>
      </c>
      <c r="NT6">
        <v>1.4E-3</v>
      </c>
      <c r="NU6">
        <v>1.408E-3</v>
      </c>
      <c r="NV6">
        <v>1.1349E-2</v>
      </c>
      <c r="NW6">
        <v>1.3620999999999999E-2</v>
      </c>
      <c r="NX6">
        <v>1.4199E-2</v>
      </c>
      <c r="NY6">
        <v>4.1175999999999997E-2</v>
      </c>
      <c r="NZ6">
        <v>1.4E-3</v>
      </c>
      <c r="OA6">
        <v>1.408E-3</v>
      </c>
      <c r="OB6">
        <v>1.1349E-2</v>
      </c>
      <c r="OC6">
        <v>1.3620999999999999E-2</v>
      </c>
      <c r="OD6">
        <v>1.4199E-2</v>
      </c>
      <c r="OE6">
        <v>4.1175999999999997E-2</v>
      </c>
      <c r="OF6">
        <v>63.47851</v>
      </c>
      <c r="OG6">
        <v>42997.66</v>
      </c>
      <c r="OH6">
        <v>17825.05</v>
      </c>
      <c r="OI6">
        <v>10299.02</v>
      </c>
      <c r="OJ6">
        <v>63.478529999999999</v>
      </c>
      <c r="OK6">
        <v>42995.62</v>
      </c>
      <c r="OL6">
        <v>17825.34</v>
      </c>
      <c r="OM6">
        <v>10299.02</v>
      </c>
      <c r="ON6">
        <v>1166914</v>
      </c>
      <c r="OO6">
        <v>1166916</v>
      </c>
      <c r="OP6">
        <v>9087.7939999999999</v>
      </c>
      <c r="OQ6">
        <v>4583.6980000000003</v>
      </c>
      <c r="OR6">
        <v>4240.0969999999998</v>
      </c>
      <c r="OS6">
        <v>380.52929999999998</v>
      </c>
      <c r="OT6">
        <v>1165.202</v>
      </c>
      <c r="OU6">
        <v>954.59169999999995</v>
      </c>
      <c r="OV6">
        <v>239.6379</v>
      </c>
      <c r="OW6">
        <v>942.59619999999995</v>
      </c>
      <c r="OX6">
        <v>1023.853</v>
      </c>
      <c r="OY6">
        <v>1014.801</v>
      </c>
      <c r="OZ6">
        <v>461.31189999999998</v>
      </c>
      <c r="PA6">
        <v>15318.8</v>
      </c>
      <c r="PB6">
        <v>5209.9799999999996</v>
      </c>
      <c r="PC6">
        <v>1085.8489999999999</v>
      </c>
      <c r="PD6">
        <v>1731.575</v>
      </c>
      <c r="PE6">
        <v>4836.1279999999997</v>
      </c>
      <c r="PF6">
        <v>1084.317</v>
      </c>
      <c r="PG6">
        <v>1978.1880000000001</v>
      </c>
      <c r="PH6">
        <v>147561.9</v>
      </c>
      <c r="PI6">
        <v>61458.99</v>
      </c>
      <c r="PJ6">
        <v>1.771863</v>
      </c>
      <c r="PK6">
        <v>651.8365</v>
      </c>
      <c r="PL6">
        <v>26.499369999999999</v>
      </c>
      <c r="PM6">
        <v>1402.6489999999999</v>
      </c>
      <c r="PN6">
        <v>626.83270000000005</v>
      </c>
      <c r="PO6">
        <v>138.36269999999999</v>
      </c>
      <c r="PP6">
        <v>271.7165</v>
      </c>
      <c r="PQ6">
        <v>217.23990000000001</v>
      </c>
      <c r="PR6">
        <v>92.968059999999994</v>
      </c>
      <c r="PS6">
        <v>535.61450000000002</v>
      </c>
      <c r="PT6">
        <v>303.21640000000002</v>
      </c>
      <c r="PU6">
        <v>551.72019999999998</v>
      </c>
      <c r="PV6">
        <v>923.71519999999998</v>
      </c>
      <c r="PW6">
        <v>14.57578</v>
      </c>
      <c r="PX6">
        <v>91.040059999999997</v>
      </c>
      <c r="PY6">
        <v>158.10659999999999</v>
      </c>
      <c r="PZ6">
        <v>122.2649</v>
      </c>
      <c r="QA6">
        <v>270490</v>
      </c>
      <c r="QB6">
        <v>4989.6220000000003</v>
      </c>
      <c r="QC6">
        <v>67813.649999999994</v>
      </c>
      <c r="QD6">
        <v>914.84280000000001</v>
      </c>
      <c r="QE6">
        <v>7556.98</v>
      </c>
      <c r="QF6">
        <v>12687.05</v>
      </c>
      <c r="QG6">
        <v>13709.71</v>
      </c>
      <c r="QH6">
        <v>12089.93</v>
      </c>
      <c r="QI6">
        <v>5318.8810000000003</v>
      </c>
      <c r="QJ6">
        <v>1013.359</v>
      </c>
      <c r="QK6">
        <v>9087.8559999999998</v>
      </c>
      <c r="QL6">
        <v>4583.7659999999996</v>
      </c>
      <c r="QM6">
        <v>4240.1019999999999</v>
      </c>
      <c r="QN6">
        <v>380.5317</v>
      </c>
      <c r="QO6">
        <v>1165.2070000000001</v>
      </c>
      <c r="QP6">
        <v>954.59749999999997</v>
      </c>
      <c r="QQ6">
        <v>239.63849999999999</v>
      </c>
      <c r="QR6">
        <v>942.59699999999998</v>
      </c>
      <c r="QS6">
        <v>1023.8579999999999</v>
      </c>
      <c r="QT6">
        <v>1014.803</v>
      </c>
      <c r="QU6">
        <v>461.31240000000003</v>
      </c>
      <c r="QV6">
        <v>15318.89</v>
      </c>
      <c r="QW6">
        <v>5209.9949999999999</v>
      </c>
      <c r="QX6">
        <v>1085.8510000000001</v>
      </c>
      <c r="QY6">
        <v>1731.578</v>
      </c>
      <c r="QZ6">
        <v>4836.1580000000004</v>
      </c>
      <c r="RA6">
        <v>1084.318</v>
      </c>
      <c r="RB6">
        <v>1978.192</v>
      </c>
      <c r="RC6">
        <v>147563.5</v>
      </c>
      <c r="RD6">
        <v>61459.09</v>
      </c>
      <c r="RE6">
        <v>1.7718700000000001</v>
      </c>
      <c r="RF6">
        <v>651.83180000000004</v>
      </c>
      <c r="RG6">
        <v>26.499110000000002</v>
      </c>
      <c r="RH6">
        <v>1402.66</v>
      </c>
      <c r="RI6">
        <v>626.83730000000003</v>
      </c>
      <c r="RJ6">
        <v>138.36369999999999</v>
      </c>
      <c r="RK6">
        <v>271.71850000000001</v>
      </c>
      <c r="RL6">
        <v>217.2415</v>
      </c>
      <c r="RM6">
        <v>92.96875</v>
      </c>
      <c r="RN6">
        <v>535.61850000000004</v>
      </c>
      <c r="RO6">
        <v>303.21859999999998</v>
      </c>
      <c r="RP6">
        <v>551.72199999999998</v>
      </c>
      <c r="RQ6">
        <v>923.71820000000002</v>
      </c>
      <c r="RR6">
        <v>14.57583</v>
      </c>
      <c r="RS6">
        <v>91.040350000000004</v>
      </c>
      <c r="RT6">
        <v>158.1071</v>
      </c>
      <c r="RU6">
        <v>122.2653</v>
      </c>
      <c r="RV6">
        <v>270492</v>
      </c>
      <c r="RW6">
        <v>4989.5940000000001</v>
      </c>
      <c r="RX6">
        <v>67813.61</v>
      </c>
      <c r="RY6">
        <v>969.96619999999996</v>
      </c>
      <c r="RZ6">
        <v>7544.1369999999997</v>
      </c>
      <c r="SA6">
        <v>12671.06</v>
      </c>
      <c r="SB6">
        <v>13691.79</v>
      </c>
      <c r="SC6">
        <v>12066.87</v>
      </c>
      <c r="SD6">
        <v>5289.3220000000001</v>
      </c>
      <c r="SE6">
        <v>1013.3579999999999</v>
      </c>
      <c r="SF6">
        <v>38197.68</v>
      </c>
      <c r="SG6">
        <v>63.47851</v>
      </c>
      <c r="SH6">
        <v>10012.16</v>
      </c>
      <c r="SI6">
        <v>17823.03</v>
      </c>
      <c r="SJ6">
        <v>10299.02</v>
      </c>
      <c r="SK6">
        <v>38197.69</v>
      </c>
      <c r="SL6">
        <v>63.478529999999999</v>
      </c>
      <c r="SM6">
        <v>10012.16</v>
      </c>
      <c r="SN6">
        <v>17823.03</v>
      </c>
      <c r="SO6">
        <v>10299.02</v>
      </c>
      <c r="SP6">
        <v>88667.27</v>
      </c>
      <c r="SQ6">
        <v>88493.65</v>
      </c>
      <c r="SR6">
        <v>88667.13</v>
      </c>
      <c r="SS6">
        <v>88453.32</v>
      </c>
      <c r="ST6">
        <v>43.949689999999997</v>
      </c>
      <c r="SU6">
        <v>0.38233200000000001</v>
      </c>
      <c r="SV6">
        <v>7.2061089999999997</v>
      </c>
      <c r="SW6">
        <v>12.72523</v>
      </c>
      <c r="SX6">
        <v>23.636019999999998</v>
      </c>
      <c r="SY6">
        <v>43.9497</v>
      </c>
      <c r="SZ6">
        <v>0.38233200000000001</v>
      </c>
      <c r="TA6">
        <v>7.2061130000000002</v>
      </c>
      <c r="TB6">
        <v>12.72523</v>
      </c>
      <c r="TC6">
        <v>23.636030000000002</v>
      </c>
      <c r="TD6">
        <v>24805.97</v>
      </c>
      <c r="TE6">
        <v>848.84090000000003</v>
      </c>
      <c r="TF6">
        <v>480.6551</v>
      </c>
      <c r="TG6">
        <v>222.53059999999999</v>
      </c>
      <c r="TH6">
        <v>50.079050000000002</v>
      </c>
      <c r="TI6">
        <v>100.00109999999999</v>
      </c>
      <c r="TJ6">
        <v>84.725470000000001</v>
      </c>
      <c r="TK6">
        <v>26.24128</v>
      </c>
      <c r="TL6">
        <v>30.92118</v>
      </c>
      <c r="TM6">
        <v>165.44290000000001</v>
      </c>
      <c r="TN6">
        <v>49.71322</v>
      </c>
      <c r="TO6">
        <v>26.5503</v>
      </c>
      <c r="TP6">
        <v>2013.0239999999999</v>
      </c>
      <c r="TQ6">
        <v>1864.277</v>
      </c>
      <c r="TR6">
        <v>99.74315</v>
      </c>
      <c r="TS6">
        <v>184.61779999999999</v>
      </c>
      <c r="TT6">
        <v>418.56720000000001</v>
      </c>
      <c r="TU6">
        <v>43.459690000000002</v>
      </c>
      <c r="TV6">
        <v>74.931179999999998</v>
      </c>
      <c r="TW6">
        <v>11849.42</v>
      </c>
      <c r="TX6">
        <v>6033.4849999999997</v>
      </c>
      <c r="TY6">
        <v>0.59323800000000004</v>
      </c>
      <c r="TZ6">
        <v>13.063610000000001</v>
      </c>
      <c r="UA6">
        <v>2.0508039999999998</v>
      </c>
      <c r="UB6">
        <v>70.901690000000002</v>
      </c>
      <c r="UC6">
        <v>1.03566</v>
      </c>
      <c r="UD6">
        <v>2.4773969999999998</v>
      </c>
      <c r="UE6">
        <v>5.250604</v>
      </c>
      <c r="UF6">
        <v>0.94505399999999995</v>
      </c>
      <c r="UG6">
        <v>0.88052799999999998</v>
      </c>
      <c r="UH6">
        <v>11.276770000000001</v>
      </c>
      <c r="UI6">
        <v>2.0455860000000001</v>
      </c>
      <c r="UJ6">
        <v>19.606780000000001</v>
      </c>
      <c r="UK6">
        <v>7.0570899999999996</v>
      </c>
      <c r="UL6">
        <v>0.160834</v>
      </c>
      <c r="UM6">
        <v>0.41053499999999998</v>
      </c>
      <c r="UN6">
        <v>0.60689300000000002</v>
      </c>
      <c r="UO6">
        <v>0.373865</v>
      </c>
      <c r="UP6">
        <v>24806.09</v>
      </c>
      <c r="UQ6">
        <v>848.84519999999998</v>
      </c>
      <c r="UR6">
        <v>480.66050000000001</v>
      </c>
      <c r="US6">
        <v>222.5308</v>
      </c>
      <c r="UT6">
        <v>50.07929</v>
      </c>
      <c r="UU6">
        <v>100.0014</v>
      </c>
      <c r="UV6">
        <v>84.725849999999994</v>
      </c>
      <c r="UW6">
        <v>26.241330000000001</v>
      </c>
      <c r="UX6">
        <v>30.921199999999999</v>
      </c>
      <c r="UY6">
        <v>165.4435</v>
      </c>
      <c r="UZ6">
        <v>49.713270000000001</v>
      </c>
      <c r="VA6">
        <v>26.55031</v>
      </c>
      <c r="VB6">
        <v>2013.0319999999999</v>
      </c>
      <c r="VC6">
        <v>1864.2809999999999</v>
      </c>
      <c r="VD6">
        <v>99.743290000000002</v>
      </c>
      <c r="VE6">
        <v>184.61789999999999</v>
      </c>
      <c r="VF6">
        <v>418.56920000000002</v>
      </c>
      <c r="VG6">
        <v>43.459710000000001</v>
      </c>
      <c r="VH6">
        <v>74.931319999999999</v>
      </c>
      <c r="VI6">
        <v>11849.52</v>
      </c>
      <c r="VJ6">
        <v>6033.4920000000002</v>
      </c>
      <c r="VK6">
        <v>0.59324100000000002</v>
      </c>
      <c r="VL6">
        <v>13.06354</v>
      </c>
      <c r="VM6">
        <v>2.050789</v>
      </c>
      <c r="VN6">
        <v>70.902079999999998</v>
      </c>
      <c r="VO6">
        <v>1.035666</v>
      </c>
      <c r="VP6">
        <v>2.4774099999999999</v>
      </c>
      <c r="VQ6">
        <v>5.2506329999999997</v>
      </c>
      <c r="VR6">
        <v>0.94505899999999998</v>
      </c>
      <c r="VS6">
        <v>0.88053199999999998</v>
      </c>
      <c r="VT6">
        <v>11.27683</v>
      </c>
      <c r="VU6">
        <v>2.0455969999999999</v>
      </c>
      <c r="VV6">
        <v>19.606829999999999</v>
      </c>
      <c r="VW6">
        <v>7.0571060000000001</v>
      </c>
      <c r="VX6">
        <v>0.160834</v>
      </c>
      <c r="VY6">
        <v>0.41053600000000001</v>
      </c>
      <c r="VZ6">
        <v>0.60689499999999996</v>
      </c>
      <c r="WA6">
        <v>0.37386599999999998</v>
      </c>
      <c r="WB6">
        <v>9.1994999999999993E-2</v>
      </c>
      <c r="WC6">
        <v>9.1990000000000002E-2</v>
      </c>
      <c r="WD6">
        <v>-2.8038E-2</v>
      </c>
      <c r="WE6">
        <v>-2.8039999999999999E-2</v>
      </c>
      <c r="WF6">
        <v>0.62139599999999995</v>
      </c>
      <c r="WG6">
        <v>0.62138499999999997</v>
      </c>
      <c r="WH6">
        <v>-1.8447999999999999E-2</v>
      </c>
      <c r="WI6">
        <v>-1.8446000000000001E-2</v>
      </c>
      <c r="WJ6">
        <v>1821960</v>
      </c>
      <c r="WK6">
        <v>1821982</v>
      </c>
    </row>
    <row r="7" spans="1:609" ht="14.45" x14ac:dyDescent="0.35">
      <c r="A7">
        <v>2008</v>
      </c>
      <c r="B7">
        <v>3.9839999999999997E-3</v>
      </c>
      <c r="C7">
        <v>101.6153</v>
      </c>
      <c r="D7">
        <v>7.1469999999999997E-3</v>
      </c>
      <c r="E7">
        <v>2.8010000000000001E-3</v>
      </c>
      <c r="F7">
        <v>-1.9699999999999999E-4</v>
      </c>
      <c r="G7">
        <v>3.1319999999999998E-3</v>
      </c>
      <c r="H7">
        <v>-1.98E-3</v>
      </c>
      <c r="I7">
        <v>2.016E-3</v>
      </c>
      <c r="J7">
        <v>1.769E-3</v>
      </c>
      <c r="K7">
        <v>7.4200000000000004E-4</v>
      </c>
      <c r="L7">
        <v>1.026E-3</v>
      </c>
      <c r="M7">
        <v>7.9900000000000001E-4</v>
      </c>
      <c r="N7">
        <v>0</v>
      </c>
      <c r="O7">
        <v>-3.3809999999999999E-3</v>
      </c>
      <c r="P7">
        <v>-1.16E-4</v>
      </c>
      <c r="Q7">
        <v>-0.45168999999999998</v>
      </c>
      <c r="R7">
        <v>96.001949999999994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0.115</v>
      </c>
      <c r="Z7">
        <v>0.562446</v>
      </c>
      <c r="AA7" s="21">
        <v>-2.9300000000000001E-5</v>
      </c>
      <c r="AB7">
        <v>-2.63E-4</v>
      </c>
      <c r="AC7">
        <v>4.3327999999999998E-2</v>
      </c>
      <c r="AD7">
        <v>0</v>
      </c>
      <c r="AE7">
        <v>34.917000000000002</v>
      </c>
      <c r="AF7">
        <v>35.253300000000003</v>
      </c>
      <c r="AG7">
        <v>3.3128000000000002</v>
      </c>
      <c r="AH7">
        <v>11.6716</v>
      </c>
      <c r="AI7" s="21">
        <v>-6.0000000000000002E-5</v>
      </c>
      <c r="AJ7">
        <v>0.109346</v>
      </c>
      <c r="AK7">
        <v>104.7685</v>
      </c>
      <c r="AL7">
        <v>2.1918920000000002</v>
      </c>
      <c r="AM7">
        <v>0.10565099999999999</v>
      </c>
      <c r="AN7">
        <v>101.2278</v>
      </c>
      <c r="AO7">
        <v>2.1178149999999998</v>
      </c>
      <c r="AP7">
        <v>69.417410000000004</v>
      </c>
      <c r="AQ7">
        <v>67.07141</v>
      </c>
      <c r="AR7">
        <v>172.7235</v>
      </c>
      <c r="AS7">
        <v>1.2153879999999999</v>
      </c>
      <c r="AT7">
        <v>377.2842</v>
      </c>
      <c r="AU7">
        <v>50.171390000000002</v>
      </c>
      <c r="AV7">
        <v>4.5361909999999996</v>
      </c>
      <c r="AW7">
        <v>3.9150000000000001E-3</v>
      </c>
      <c r="AX7">
        <v>3.6150000000000002E-3</v>
      </c>
      <c r="AY7">
        <v>8.6079999999999993E-3</v>
      </c>
      <c r="AZ7">
        <v>7.1500000000000003E-4</v>
      </c>
      <c r="BA7">
        <v>3.3570000000000002E-3</v>
      </c>
      <c r="BB7">
        <v>2.3189999999999999E-3</v>
      </c>
      <c r="BC7">
        <v>3.601E-3</v>
      </c>
      <c r="BD7">
        <v>1.8090000000000001E-3</v>
      </c>
      <c r="BE7">
        <v>5.0699999999999996E-4</v>
      </c>
      <c r="BF7">
        <v>2.7620000000000001E-3</v>
      </c>
      <c r="BG7">
        <v>1.0089999999999999E-3</v>
      </c>
      <c r="BH7">
        <v>5.7899999999999998E-4</v>
      </c>
      <c r="BI7">
        <v>3.045E-3</v>
      </c>
      <c r="BJ7">
        <v>1.781E-3</v>
      </c>
      <c r="BK7">
        <v>9.2699999999999998E-4</v>
      </c>
      <c r="BL7">
        <v>6.8999999999999997E-4</v>
      </c>
      <c r="BM7">
        <v>3.212E-3</v>
      </c>
      <c r="BN7">
        <v>1.8200000000000001E-4</v>
      </c>
      <c r="BO7">
        <v>1.2849999999999999E-3</v>
      </c>
      <c r="BP7">
        <v>5.4050000000000001E-3</v>
      </c>
      <c r="BQ7">
        <v>7.6000000000000004E-4</v>
      </c>
      <c r="BR7">
        <v>-7.6825000000000004E-2</v>
      </c>
      <c r="BS7">
        <v>-9.8820000000000002E-3</v>
      </c>
      <c r="BT7">
        <v>-1.8849999999999999E-2</v>
      </c>
      <c r="BU7">
        <v>5.8589999999999996E-3</v>
      </c>
      <c r="BV7">
        <v>-1.0250000000000001E-3</v>
      </c>
      <c r="BW7">
        <v>6.0679999999999996E-3</v>
      </c>
      <c r="BX7">
        <v>5.6620000000000004E-3</v>
      </c>
      <c r="BY7">
        <v>5.3330000000000001E-3</v>
      </c>
      <c r="BZ7">
        <v>5.4019999999999997E-3</v>
      </c>
      <c r="CA7">
        <v>5.3319999999999999E-3</v>
      </c>
      <c r="CB7">
        <v>5.3460000000000001E-3</v>
      </c>
      <c r="CC7">
        <v>1.0239E-2</v>
      </c>
      <c r="CD7">
        <v>1.696E-3</v>
      </c>
      <c r="CE7">
        <v>1.686E-3</v>
      </c>
      <c r="CF7">
        <v>1.6819999999999999E-3</v>
      </c>
      <c r="CG7">
        <v>1.673E-3</v>
      </c>
      <c r="CH7">
        <v>1.689E-3</v>
      </c>
      <c r="CI7">
        <v>2.5860000000000002E-3</v>
      </c>
      <c r="CJ7">
        <v>5.509E-3</v>
      </c>
      <c r="CK7">
        <v>4.2400000000000001E-4</v>
      </c>
      <c r="CL7">
        <v>2.3779999999999999E-3</v>
      </c>
      <c r="CM7">
        <v>1.5900000000000001E-3</v>
      </c>
      <c r="CN7">
        <v>2.3259999999999999E-3</v>
      </c>
      <c r="CO7">
        <v>1.031E-3</v>
      </c>
      <c r="CP7">
        <v>2.92E-4</v>
      </c>
      <c r="CQ7">
        <v>1.8829999999999999E-3</v>
      </c>
      <c r="CR7">
        <v>6.1600000000000001E-4</v>
      </c>
      <c r="CS7">
        <v>3.8099999999999999E-4</v>
      </c>
      <c r="CT7">
        <v>2.0630000000000002E-3</v>
      </c>
      <c r="CU7">
        <v>1.2750000000000001E-3</v>
      </c>
      <c r="CV7">
        <v>7.3899999999999997E-4</v>
      </c>
      <c r="CW7">
        <v>5.5500000000000005E-4</v>
      </c>
      <c r="CX7">
        <v>2.3219999999999998E-3</v>
      </c>
      <c r="CY7">
        <v>1.5899999999999999E-4</v>
      </c>
      <c r="CZ7">
        <v>9.2800000000000001E-4</v>
      </c>
      <c r="DA7">
        <v>4.0249999999999999E-3</v>
      </c>
      <c r="DB7">
        <v>6.2600000000000004E-4</v>
      </c>
      <c r="DC7">
        <v>2.0720000000000001E-3</v>
      </c>
      <c r="DD7">
        <v>-3.212E-3</v>
      </c>
      <c r="DE7">
        <v>-4.3359999999999996E-3</v>
      </c>
      <c r="DF7">
        <v>3.898E-3</v>
      </c>
      <c r="DG7">
        <v>3.8999999999999998E-3</v>
      </c>
      <c r="DH7">
        <v>3.9029999999999998E-3</v>
      </c>
      <c r="DI7">
        <v>3.9060000000000002E-3</v>
      </c>
      <c r="DJ7">
        <v>3.9050000000000001E-3</v>
      </c>
      <c r="DK7">
        <v>3.9110000000000004E-3</v>
      </c>
      <c r="DL7">
        <v>3.9110000000000004E-3</v>
      </c>
      <c r="DM7">
        <v>3.9069999999999999E-3</v>
      </c>
      <c r="DN7">
        <v>1.2669999999999999E-3</v>
      </c>
      <c r="DO7">
        <v>1.3079999999999999E-3</v>
      </c>
      <c r="DP7">
        <v>1.2960000000000001E-3</v>
      </c>
      <c r="DQ7">
        <v>1.3029999999999999E-3</v>
      </c>
      <c r="DR7">
        <v>1.292E-3</v>
      </c>
      <c r="DS7">
        <v>1.302E-3</v>
      </c>
      <c r="DT7">
        <v>1.05E-4</v>
      </c>
      <c r="DU7">
        <v>1.0307E-2</v>
      </c>
      <c r="DV7" s="21">
        <v>8.0500000000000005E-5</v>
      </c>
      <c r="DW7">
        <v>1.0433E-2</v>
      </c>
      <c r="DX7">
        <v>1.0451E-2</v>
      </c>
      <c r="DY7">
        <v>1.0458E-2</v>
      </c>
      <c r="DZ7">
        <v>1.052E-2</v>
      </c>
      <c r="EA7">
        <v>1.0624E-2</v>
      </c>
      <c r="EB7">
        <v>1.0541E-2</v>
      </c>
      <c r="EC7">
        <v>0</v>
      </c>
      <c r="ED7">
        <v>1.0592000000000001E-2</v>
      </c>
      <c r="EE7">
        <v>1.0473E-2</v>
      </c>
      <c r="EF7">
        <v>5.22E-4</v>
      </c>
      <c r="EG7">
        <v>0</v>
      </c>
      <c r="EH7">
        <v>0</v>
      </c>
      <c r="EI7">
        <v>1.0428E-2</v>
      </c>
      <c r="EJ7">
        <v>1.0593999999999999E-2</v>
      </c>
      <c r="EK7" s="21">
        <v>9.9699999999999998E-5</v>
      </c>
      <c r="EL7">
        <v>1.0295E-2</v>
      </c>
      <c r="EM7">
        <v>1.0436000000000001E-2</v>
      </c>
      <c r="EN7">
        <v>1.5100000000000001E-4</v>
      </c>
      <c r="EO7">
        <v>-1.8978999999999999E-2</v>
      </c>
      <c r="EP7">
        <v>9.5370000000000003E-3</v>
      </c>
      <c r="EQ7" s="21">
        <v>7.9699999999999999E-5</v>
      </c>
      <c r="ER7">
        <v>6.5780690000000002</v>
      </c>
      <c r="ES7">
        <v>74.698269999999994</v>
      </c>
      <c r="ET7">
        <v>1.1575070000000001</v>
      </c>
      <c r="EU7">
        <v>31.76127</v>
      </c>
      <c r="EV7">
        <v>0.58368100000000001</v>
      </c>
      <c r="EW7">
        <v>1.688704</v>
      </c>
      <c r="EX7">
        <v>2.3811170000000002</v>
      </c>
      <c r="EY7">
        <v>0.43867099999999998</v>
      </c>
      <c r="EZ7">
        <v>9.8462999999999995E-2</v>
      </c>
      <c r="FA7">
        <v>4.6358769999999998</v>
      </c>
      <c r="FB7">
        <v>0.89417199999999997</v>
      </c>
      <c r="FC7">
        <v>34.892150000000001</v>
      </c>
      <c r="FD7">
        <v>9.1860800000000005</v>
      </c>
      <c r="FE7">
        <v>0.30193300000000001</v>
      </c>
      <c r="FF7">
        <v>0.67874699999999999</v>
      </c>
      <c r="FG7">
        <v>0.79627599999999998</v>
      </c>
      <c r="FH7">
        <v>0.31627100000000002</v>
      </c>
      <c r="FI7">
        <v>6.5781450000000001</v>
      </c>
      <c r="FJ7">
        <v>74.693579999999997</v>
      </c>
      <c r="FK7">
        <v>1.1574180000000001</v>
      </c>
      <c r="FL7">
        <v>31.762699999999999</v>
      </c>
      <c r="FM7">
        <v>0.583708</v>
      </c>
      <c r="FN7">
        <v>1.6887799999999999</v>
      </c>
      <c r="FO7">
        <v>2.381224</v>
      </c>
      <c r="FP7">
        <v>0.438691</v>
      </c>
      <c r="FQ7">
        <v>9.8466999999999999E-2</v>
      </c>
      <c r="FR7">
        <v>4.6360859999999997</v>
      </c>
      <c r="FS7">
        <v>0.89421200000000001</v>
      </c>
      <c r="FT7">
        <v>34.89264</v>
      </c>
      <c r="FU7">
        <v>9.1862130000000004</v>
      </c>
      <c r="FV7">
        <v>0.30193799999999998</v>
      </c>
      <c r="FW7">
        <v>0.67875600000000003</v>
      </c>
      <c r="FX7">
        <v>0.79628699999999997</v>
      </c>
      <c r="FY7">
        <v>0.316276</v>
      </c>
      <c r="FZ7">
        <v>4.7383610000000003</v>
      </c>
      <c r="GA7">
        <v>61.704059999999998</v>
      </c>
      <c r="GB7">
        <v>1.1575070000000001</v>
      </c>
      <c r="GC7">
        <v>27.686620000000001</v>
      </c>
      <c r="GD7">
        <v>0.50880099999999995</v>
      </c>
      <c r="GE7">
        <v>1.4720610000000001</v>
      </c>
      <c r="GF7">
        <v>2.075644</v>
      </c>
      <c r="GG7">
        <v>0.38239400000000001</v>
      </c>
      <c r="GH7">
        <v>8.5831000000000005E-2</v>
      </c>
      <c r="GI7">
        <v>4.0411409999999997</v>
      </c>
      <c r="GJ7">
        <v>0.77945799999999998</v>
      </c>
      <c r="GK7">
        <v>33.353369999999998</v>
      </c>
      <c r="GL7">
        <v>9.1860800000000005</v>
      </c>
      <c r="GM7">
        <v>0.30193300000000001</v>
      </c>
      <c r="GN7">
        <v>0.67874699999999999</v>
      </c>
      <c r="GO7">
        <v>0.79627599999999998</v>
      </c>
      <c r="GP7">
        <v>0.31627100000000002</v>
      </c>
      <c r="GQ7">
        <v>4.7384230000000001</v>
      </c>
      <c r="GR7">
        <v>61.69932</v>
      </c>
      <c r="GS7">
        <v>1.1574180000000001</v>
      </c>
      <c r="GT7">
        <v>27.68805</v>
      </c>
      <c r="GU7">
        <v>0.50882700000000003</v>
      </c>
      <c r="GV7">
        <v>1.472137</v>
      </c>
      <c r="GW7">
        <v>2.0757509999999999</v>
      </c>
      <c r="GX7">
        <v>0.38241399999999998</v>
      </c>
      <c r="GY7">
        <v>8.5835999999999996E-2</v>
      </c>
      <c r="GZ7">
        <v>4.0413500000000004</v>
      </c>
      <c r="HA7">
        <v>0.77949900000000005</v>
      </c>
      <c r="HB7">
        <v>33.353850000000001</v>
      </c>
      <c r="HC7">
        <v>9.1862130000000004</v>
      </c>
      <c r="HD7">
        <v>0.30193799999999998</v>
      </c>
      <c r="HE7">
        <v>0.67875600000000003</v>
      </c>
      <c r="HF7">
        <v>0.79628699999999997</v>
      </c>
      <c r="HG7">
        <v>0.316276</v>
      </c>
      <c r="HH7">
        <v>4.8238219999999998</v>
      </c>
      <c r="HI7">
        <v>66.322230000000005</v>
      </c>
      <c r="HJ7">
        <v>1.1575070000000001</v>
      </c>
      <c r="HK7">
        <v>114.6601</v>
      </c>
      <c r="HL7">
        <v>1.260761</v>
      </c>
      <c r="HM7">
        <v>3.6476280000000001</v>
      </c>
      <c r="HN7">
        <v>5.1432510000000002</v>
      </c>
      <c r="HO7">
        <v>0.47423599999999999</v>
      </c>
      <c r="HP7">
        <v>0.106446</v>
      </c>
      <c r="HQ7">
        <v>5.0117269999999996</v>
      </c>
      <c r="HR7">
        <v>2.613578</v>
      </c>
      <c r="HS7">
        <v>33.582529999999998</v>
      </c>
      <c r="HT7">
        <v>9.3234680000000001</v>
      </c>
      <c r="HU7">
        <v>0.30644900000000003</v>
      </c>
      <c r="HV7">
        <v>0.68889800000000001</v>
      </c>
      <c r="HW7">
        <v>0.80818500000000004</v>
      </c>
      <c r="HX7">
        <v>0.32100099999999998</v>
      </c>
      <c r="HY7">
        <v>4.7994329999999996</v>
      </c>
      <c r="HZ7">
        <v>65.804609999999997</v>
      </c>
      <c r="IA7">
        <v>1.1574180000000001</v>
      </c>
      <c r="IB7">
        <v>114.6652</v>
      </c>
      <c r="IC7">
        <v>1.260818</v>
      </c>
      <c r="ID7">
        <v>3.6477930000000001</v>
      </c>
      <c r="IE7">
        <v>5.1434829999999998</v>
      </c>
      <c r="IF7">
        <v>0.47425699999999998</v>
      </c>
      <c r="IG7">
        <v>0.106451</v>
      </c>
      <c r="IH7">
        <v>5.0119530000000001</v>
      </c>
      <c r="II7">
        <v>2.613696</v>
      </c>
      <c r="IJ7">
        <v>33.583019999999998</v>
      </c>
      <c r="IK7">
        <v>9.3236039999999996</v>
      </c>
      <c r="IL7">
        <v>0.306454</v>
      </c>
      <c r="IM7">
        <v>0.68890799999999996</v>
      </c>
      <c r="IN7">
        <v>0.80819700000000005</v>
      </c>
      <c r="IO7">
        <v>0.32100600000000001</v>
      </c>
      <c r="IP7">
        <v>3.896156</v>
      </c>
      <c r="IQ7">
        <v>4.2452170000000002</v>
      </c>
      <c r="IR7">
        <v>0.88783599999999996</v>
      </c>
      <c r="IS7">
        <v>1.500802</v>
      </c>
      <c r="IT7">
        <v>3.1811219999999998</v>
      </c>
      <c r="IU7">
        <v>3.3372229999999998</v>
      </c>
      <c r="IV7">
        <v>4.1942500000000003</v>
      </c>
      <c r="IW7">
        <v>4.6750439999999998</v>
      </c>
      <c r="IX7">
        <v>0.60907199999999995</v>
      </c>
      <c r="IY7">
        <v>5.1573289999999998</v>
      </c>
      <c r="IZ7">
        <v>1.420326</v>
      </c>
      <c r="JA7">
        <v>6.459473</v>
      </c>
      <c r="JB7">
        <v>0.32431900000000002</v>
      </c>
      <c r="JC7">
        <v>0.98133300000000001</v>
      </c>
      <c r="JD7">
        <v>0.86619699999999999</v>
      </c>
      <c r="JE7">
        <v>16.08888</v>
      </c>
      <c r="JF7">
        <v>0.32451999999999998</v>
      </c>
      <c r="JG7">
        <v>1.7200009999999999</v>
      </c>
      <c r="JH7">
        <v>17.07122</v>
      </c>
      <c r="JI7">
        <v>5.633699</v>
      </c>
      <c r="JJ7">
        <v>23.319210000000002</v>
      </c>
      <c r="JK7">
        <v>43.37133</v>
      </c>
      <c r="JL7">
        <v>3.8962819999999998</v>
      </c>
      <c r="JM7">
        <v>4.2455020000000001</v>
      </c>
      <c r="JN7">
        <v>0.88783999999999996</v>
      </c>
      <c r="JO7">
        <v>1.500845</v>
      </c>
      <c r="JP7">
        <v>3.1811850000000002</v>
      </c>
      <c r="JQ7">
        <v>3.3373179999999998</v>
      </c>
      <c r="JR7">
        <v>4.1943039999999998</v>
      </c>
      <c r="JS7">
        <v>4.6750639999999999</v>
      </c>
      <c r="JT7">
        <v>0.60908499999999999</v>
      </c>
      <c r="JU7">
        <v>5.1573719999999996</v>
      </c>
      <c r="JV7">
        <v>1.4203319999999999</v>
      </c>
      <c r="JW7">
        <v>6.4596369999999999</v>
      </c>
      <c r="JX7">
        <v>0.324324</v>
      </c>
      <c r="JY7">
        <v>0.98134100000000002</v>
      </c>
      <c r="JZ7">
        <v>0.86620299999999995</v>
      </c>
      <c r="KA7">
        <v>16.08934</v>
      </c>
      <c r="KB7">
        <v>0.324521</v>
      </c>
      <c r="KC7">
        <v>1.7200219999999999</v>
      </c>
      <c r="KD7">
        <v>17.072050000000001</v>
      </c>
      <c r="KE7">
        <v>5.6337390000000003</v>
      </c>
      <c r="KF7">
        <v>23.314689999999999</v>
      </c>
      <c r="KG7">
        <v>43.37135</v>
      </c>
      <c r="KH7">
        <v>226.55719999999999</v>
      </c>
      <c r="KI7">
        <v>2322.3820000000001</v>
      </c>
      <c r="KJ7">
        <v>4438.1610000000001</v>
      </c>
      <c r="KK7">
        <v>5568.134</v>
      </c>
      <c r="KL7">
        <v>12089.18</v>
      </c>
      <c r="KM7">
        <v>4215.5749999999998</v>
      </c>
      <c r="KN7">
        <v>1859.04</v>
      </c>
      <c r="KO7">
        <v>0</v>
      </c>
      <c r="KP7">
        <v>30696.06</v>
      </c>
      <c r="KQ7">
        <v>22.97072</v>
      </c>
      <c r="KR7">
        <v>0</v>
      </c>
      <c r="KS7">
        <v>240.00479999999999</v>
      </c>
      <c r="KT7">
        <v>2319.5700000000002</v>
      </c>
      <c r="KU7">
        <v>4435.2659999999996</v>
      </c>
      <c r="KV7">
        <v>5565.3320000000003</v>
      </c>
      <c r="KW7">
        <v>12086.59</v>
      </c>
      <c r="KX7">
        <v>4213.2269999999999</v>
      </c>
      <c r="KY7">
        <v>1859.04</v>
      </c>
      <c r="KZ7">
        <v>0</v>
      </c>
      <c r="LA7">
        <v>30690.37</v>
      </c>
      <c r="LB7">
        <v>28.66253</v>
      </c>
      <c r="LC7">
        <v>0</v>
      </c>
      <c r="LD7">
        <v>6086710</v>
      </c>
      <c r="LE7">
        <v>65278784</v>
      </c>
      <c r="LF7" s="21">
        <v>351000000</v>
      </c>
      <c r="LG7" s="21">
        <v>657000000</v>
      </c>
      <c r="LH7" s="21">
        <v>768000000</v>
      </c>
      <c r="LI7" s="21">
        <v>404000000</v>
      </c>
      <c r="LJ7" s="21">
        <v>175000000</v>
      </c>
      <c r="LK7" s="21">
        <v>1.6300000000000001E-6</v>
      </c>
      <c r="LL7" s="21">
        <v>3.1E-6</v>
      </c>
      <c r="LM7" s="21">
        <v>5.7100000000000004E-6</v>
      </c>
      <c r="LN7" s="21">
        <v>1.1800000000000001E-5</v>
      </c>
      <c r="LO7" s="21">
        <v>1.7499999999999998E-5</v>
      </c>
      <c r="LP7" s="21">
        <v>2.48E-5</v>
      </c>
      <c r="LQ7" s="21">
        <v>3.6300000000000001E-5</v>
      </c>
      <c r="LR7">
        <v>6086800</v>
      </c>
      <c r="LS7">
        <v>65278970</v>
      </c>
      <c r="LT7" s="21">
        <v>351000000</v>
      </c>
      <c r="LU7" s="21">
        <v>657000000</v>
      </c>
      <c r="LV7" s="21">
        <v>768000000</v>
      </c>
      <c r="LW7" s="21">
        <v>404000000</v>
      </c>
      <c r="LX7" s="21">
        <v>175000000</v>
      </c>
      <c r="LY7" s="21">
        <v>1.6300000000000001E-6</v>
      </c>
      <c r="LZ7" s="21">
        <v>3.1E-6</v>
      </c>
      <c r="MA7" s="21">
        <v>5.7100000000000004E-6</v>
      </c>
      <c r="MB7" s="21">
        <v>1.1800000000000001E-5</v>
      </c>
      <c r="MC7" s="21">
        <v>1.7499999999999998E-5</v>
      </c>
      <c r="MD7" s="21">
        <v>2.48E-5</v>
      </c>
      <c r="ME7" s="21">
        <v>3.6300000000000001E-5</v>
      </c>
      <c r="MF7">
        <v>6.5960000000000005E-2</v>
      </c>
      <c r="MG7">
        <v>0.22419500000000001</v>
      </c>
      <c r="MH7">
        <v>0.27537099999999998</v>
      </c>
      <c r="MI7">
        <v>0.24221400000000001</v>
      </c>
      <c r="MJ7">
        <v>0.14901500000000001</v>
      </c>
      <c r="MK7">
        <v>3.9495000000000002E-2</v>
      </c>
      <c r="ML7">
        <v>3.7499999999999999E-3</v>
      </c>
      <c r="MM7">
        <v>0.112969</v>
      </c>
      <c r="MN7">
        <v>0.26972499999999999</v>
      </c>
      <c r="MO7">
        <v>0.29104799999999997</v>
      </c>
      <c r="MP7">
        <v>0.23671200000000001</v>
      </c>
      <c r="MQ7">
        <v>0.14055899999999999</v>
      </c>
      <c r="MR7">
        <v>2.9142000000000001E-2</v>
      </c>
      <c r="MS7">
        <v>-8.0155000000000004E-2</v>
      </c>
      <c r="MT7">
        <v>6.9894999999999999E-2</v>
      </c>
      <c r="MU7">
        <v>0.22336600000000001</v>
      </c>
      <c r="MV7">
        <v>0.27452399999999999</v>
      </c>
      <c r="MW7">
        <v>0.241397</v>
      </c>
      <c r="MX7">
        <v>0.148258</v>
      </c>
      <c r="MY7">
        <v>3.8809000000000003E-2</v>
      </c>
      <c r="MZ7">
        <v>3.7499999999999999E-3</v>
      </c>
      <c r="NA7">
        <v>0.11981600000000001</v>
      </c>
      <c r="NB7">
        <v>0.26857900000000001</v>
      </c>
      <c r="NC7">
        <v>0.28990300000000002</v>
      </c>
      <c r="ND7">
        <v>0.235568</v>
      </c>
      <c r="NE7">
        <v>0.13941700000000001</v>
      </c>
      <c r="NF7">
        <v>2.8001999999999999E-2</v>
      </c>
      <c r="NG7">
        <v>-8.1284999999999996E-2</v>
      </c>
      <c r="NH7">
        <v>2.421E-3</v>
      </c>
      <c r="NI7">
        <v>2.4399999999999999E-3</v>
      </c>
      <c r="NJ7">
        <v>1.2225E-2</v>
      </c>
      <c r="NK7">
        <v>1.5044E-2</v>
      </c>
      <c r="NL7">
        <v>1.5793999999999999E-2</v>
      </c>
      <c r="NM7">
        <v>4.3486999999999998E-2</v>
      </c>
      <c r="NN7">
        <v>2.421E-3</v>
      </c>
      <c r="NO7">
        <v>2.4399999999999999E-3</v>
      </c>
      <c r="NP7">
        <v>1.2225E-2</v>
      </c>
      <c r="NQ7">
        <v>1.5044E-2</v>
      </c>
      <c r="NR7">
        <v>1.5793999999999999E-2</v>
      </c>
      <c r="NS7">
        <v>4.3486999999999998E-2</v>
      </c>
      <c r="NT7">
        <v>2.421E-3</v>
      </c>
      <c r="NU7">
        <v>2.4399999999999999E-3</v>
      </c>
      <c r="NV7">
        <v>1.2225E-2</v>
      </c>
      <c r="NW7">
        <v>1.5044E-2</v>
      </c>
      <c r="NX7">
        <v>1.5795E-2</v>
      </c>
      <c r="NY7">
        <v>4.3486999999999998E-2</v>
      </c>
      <c r="NZ7">
        <v>2.421E-3</v>
      </c>
      <c r="OA7">
        <v>2.4399999999999999E-3</v>
      </c>
      <c r="OB7">
        <v>1.2225E-2</v>
      </c>
      <c r="OC7">
        <v>1.5044E-2</v>
      </c>
      <c r="OD7">
        <v>1.5795E-2</v>
      </c>
      <c r="OE7">
        <v>4.3486999999999998E-2</v>
      </c>
      <c r="OF7">
        <v>62.000529999999998</v>
      </c>
      <c r="OG7">
        <v>42203</v>
      </c>
      <c r="OH7">
        <v>17810.34</v>
      </c>
      <c r="OI7">
        <v>10120.26</v>
      </c>
      <c r="OJ7">
        <v>62.000630000000001</v>
      </c>
      <c r="OK7">
        <v>42194.99</v>
      </c>
      <c r="OL7">
        <v>17812.04</v>
      </c>
      <c r="OM7">
        <v>10120.27</v>
      </c>
      <c r="ON7">
        <v>1172153</v>
      </c>
      <c r="OO7">
        <v>1172165</v>
      </c>
      <c r="OP7">
        <v>9044.7350000000006</v>
      </c>
      <c r="OQ7">
        <v>4603.8119999999999</v>
      </c>
      <c r="OR7">
        <v>4224.8310000000001</v>
      </c>
      <c r="OS7">
        <v>380.68389999999999</v>
      </c>
      <c r="OT7">
        <v>1195.3599999999999</v>
      </c>
      <c r="OU7">
        <v>953.1327</v>
      </c>
      <c r="OV7">
        <v>238.2381</v>
      </c>
      <c r="OW7">
        <v>935.63459999999998</v>
      </c>
      <c r="OX7">
        <v>1025.9380000000001</v>
      </c>
      <c r="OY7">
        <v>967.57939999999996</v>
      </c>
      <c r="OZ7">
        <v>456.22269999999997</v>
      </c>
      <c r="PA7">
        <v>15310.15</v>
      </c>
      <c r="PB7">
        <v>5415.4859999999999</v>
      </c>
      <c r="PC7">
        <v>1081.229</v>
      </c>
      <c r="PD7">
        <v>1744.499</v>
      </c>
      <c r="PE7">
        <v>4841.5879999999997</v>
      </c>
      <c r="PF7">
        <v>1077.7149999999999</v>
      </c>
      <c r="PG7">
        <v>1973.2650000000001</v>
      </c>
      <c r="PH7">
        <v>148345.29999999999</v>
      </c>
      <c r="PI7">
        <v>62330.38</v>
      </c>
      <c r="PJ7">
        <v>1.759228</v>
      </c>
      <c r="PK7">
        <v>644.55039999999997</v>
      </c>
      <c r="PL7">
        <v>37.898589999999999</v>
      </c>
      <c r="PM7">
        <v>1388.78</v>
      </c>
      <c r="PN7">
        <v>602.28620000000001</v>
      </c>
      <c r="PO7">
        <v>141.1</v>
      </c>
      <c r="PP7">
        <v>270.38869999999997</v>
      </c>
      <c r="PQ7">
        <v>244.62280000000001</v>
      </c>
      <c r="PR7">
        <v>96.395499999999998</v>
      </c>
      <c r="PS7">
        <v>539.15549999999996</v>
      </c>
      <c r="PT7">
        <v>418.23820000000001</v>
      </c>
      <c r="PU7">
        <v>540.52809999999999</v>
      </c>
      <c r="PV7">
        <v>918.35940000000005</v>
      </c>
      <c r="PW7">
        <v>21.2319</v>
      </c>
      <c r="PX7">
        <v>98.636089999999996</v>
      </c>
      <c r="PY7">
        <v>229.5899</v>
      </c>
      <c r="PZ7">
        <v>127.3663</v>
      </c>
      <c r="QA7">
        <v>272466.59999999998</v>
      </c>
      <c r="QB7">
        <v>5410.5780000000004</v>
      </c>
      <c r="QC7">
        <v>68526.86</v>
      </c>
      <c r="QD7">
        <v>2212.8580000000002</v>
      </c>
      <c r="QE7">
        <v>8547.7330000000002</v>
      </c>
      <c r="QF7">
        <v>12449.55</v>
      </c>
      <c r="QG7">
        <v>12547.38</v>
      </c>
      <c r="QH7">
        <v>10755.57</v>
      </c>
      <c r="QI7">
        <v>4048.5839999999998</v>
      </c>
      <c r="QJ7">
        <v>507.88580000000002</v>
      </c>
      <c r="QK7">
        <v>9044.9689999999991</v>
      </c>
      <c r="QL7">
        <v>4604.0659999999998</v>
      </c>
      <c r="QM7">
        <v>4224.848</v>
      </c>
      <c r="QN7">
        <v>380.69299999999998</v>
      </c>
      <c r="QO7">
        <v>1195.3789999999999</v>
      </c>
      <c r="QP7">
        <v>953.15480000000002</v>
      </c>
      <c r="QQ7">
        <v>238.2406</v>
      </c>
      <c r="QR7">
        <v>935.63729999999998</v>
      </c>
      <c r="QS7">
        <v>1025.9570000000001</v>
      </c>
      <c r="QT7">
        <v>967.58540000000005</v>
      </c>
      <c r="QU7">
        <v>456.2244</v>
      </c>
      <c r="QV7">
        <v>15310.47</v>
      </c>
      <c r="QW7">
        <v>5415.5550000000003</v>
      </c>
      <c r="QX7">
        <v>1081.2370000000001</v>
      </c>
      <c r="QY7">
        <v>1744.509</v>
      </c>
      <c r="QZ7">
        <v>4841.701</v>
      </c>
      <c r="RA7">
        <v>1077.7170000000001</v>
      </c>
      <c r="RB7">
        <v>1973.2829999999999</v>
      </c>
      <c r="RC7">
        <v>148351.20000000001</v>
      </c>
      <c r="RD7">
        <v>62330.77</v>
      </c>
      <c r="RE7">
        <v>1.7592639999999999</v>
      </c>
      <c r="RF7">
        <v>644.52970000000005</v>
      </c>
      <c r="RG7">
        <v>37.896949999999997</v>
      </c>
      <c r="RH7">
        <v>1388.8340000000001</v>
      </c>
      <c r="RI7">
        <v>602.30970000000002</v>
      </c>
      <c r="RJ7">
        <v>141.10550000000001</v>
      </c>
      <c r="RK7">
        <v>270.39929999999998</v>
      </c>
      <c r="RL7">
        <v>244.63239999999999</v>
      </c>
      <c r="RM7">
        <v>96.399270000000001</v>
      </c>
      <c r="RN7">
        <v>539.17660000000001</v>
      </c>
      <c r="RO7">
        <v>418.25450000000001</v>
      </c>
      <c r="RP7">
        <v>540.53499999999997</v>
      </c>
      <c r="RQ7">
        <v>918.37139999999999</v>
      </c>
      <c r="RR7">
        <v>21.23218</v>
      </c>
      <c r="RS7">
        <v>98.637370000000004</v>
      </c>
      <c r="RT7">
        <v>229.59289999999999</v>
      </c>
      <c r="RU7">
        <v>127.36799999999999</v>
      </c>
      <c r="RV7">
        <v>272474.3</v>
      </c>
      <c r="RW7">
        <v>5410.57</v>
      </c>
      <c r="RX7">
        <v>68526.759999999995</v>
      </c>
      <c r="RY7">
        <v>2344.8629999999998</v>
      </c>
      <c r="RZ7">
        <v>8516.0830000000005</v>
      </c>
      <c r="SA7">
        <v>12411.18</v>
      </c>
      <c r="SB7">
        <v>12505.02</v>
      </c>
      <c r="SC7">
        <v>10700.94</v>
      </c>
      <c r="SD7">
        <v>3978.2719999999999</v>
      </c>
      <c r="SE7">
        <v>507.88339999999999</v>
      </c>
      <c r="SF7">
        <v>37796.07</v>
      </c>
      <c r="SG7">
        <v>62.000529999999998</v>
      </c>
      <c r="SH7">
        <v>9810.3989999999994</v>
      </c>
      <c r="SI7">
        <v>17803.41</v>
      </c>
      <c r="SJ7">
        <v>10120.26</v>
      </c>
      <c r="SK7">
        <v>37796.080000000002</v>
      </c>
      <c r="SL7">
        <v>62.000630000000001</v>
      </c>
      <c r="SM7">
        <v>9810.4220000000005</v>
      </c>
      <c r="SN7">
        <v>17803.39</v>
      </c>
      <c r="SO7">
        <v>10120.27</v>
      </c>
      <c r="SP7">
        <v>91168.94</v>
      </c>
      <c r="SQ7">
        <v>86696.04</v>
      </c>
      <c r="SR7">
        <v>91168.45</v>
      </c>
      <c r="SS7">
        <v>86583.21</v>
      </c>
      <c r="ST7">
        <v>43.37133</v>
      </c>
      <c r="SU7">
        <v>0.37342999999999998</v>
      </c>
      <c r="SV7">
        <v>7.0608959999999996</v>
      </c>
      <c r="SW7">
        <v>12.711220000000001</v>
      </c>
      <c r="SX7">
        <v>23.22578</v>
      </c>
      <c r="SY7">
        <v>43.37135</v>
      </c>
      <c r="SZ7">
        <v>0.37343100000000001</v>
      </c>
      <c r="TA7">
        <v>7.0609130000000002</v>
      </c>
      <c r="TB7">
        <v>12.711209999999999</v>
      </c>
      <c r="TC7">
        <v>23.2258</v>
      </c>
      <c r="TD7">
        <v>24757.52</v>
      </c>
      <c r="TE7">
        <v>835.2944</v>
      </c>
      <c r="TF7">
        <v>477.38069999999999</v>
      </c>
      <c r="TG7">
        <v>219.33320000000001</v>
      </c>
      <c r="TH7">
        <v>49.546010000000003</v>
      </c>
      <c r="TI7">
        <v>101.4023</v>
      </c>
      <c r="TJ7">
        <v>83.684820000000002</v>
      </c>
      <c r="TK7">
        <v>25.782900000000001</v>
      </c>
      <c r="TL7">
        <v>30.31758</v>
      </c>
      <c r="TM7">
        <v>164.0095</v>
      </c>
      <c r="TN7">
        <v>47.382620000000003</v>
      </c>
      <c r="TO7">
        <v>25.962769999999999</v>
      </c>
      <c r="TP7">
        <v>1989.8209999999999</v>
      </c>
      <c r="TQ7">
        <v>1918.47</v>
      </c>
      <c r="TR7">
        <v>99.089500000000001</v>
      </c>
      <c r="TS7">
        <v>183.98500000000001</v>
      </c>
      <c r="TT7">
        <v>414.57870000000003</v>
      </c>
      <c r="TU7">
        <v>42.745139999999999</v>
      </c>
      <c r="TV7">
        <v>73.932209999999998</v>
      </c>
      <c r="TW7">
        <v>11786.33</v>
      </c>
      <c r="TX7">
        <v>6050.3609999999999</v>
      </c>
      <c r="TY7">
        <v>0.579071</v>
      </c>
      <c r="TZ7">
        <v>12.82441</v>
      </c>
      <c r="UA7">
        <v>2.7010360000000002</v>
      </c>
      <c r="UB7">
        <v>69.672409999999999</v>
      </c>
      <c r="UC7">
        <v>0.99419999999999997</v>
      </c>
      <c r="UD7">
        <v>2.4923700000000002</v>
      </c>
      <c r="UE7">
        <v>5.1817029999999997</v>
      </c>
      <c r="UF7">
        <v>1.0278099999999999</v>
      </c>
      <c r="UG7">
        <v>0.89887700000000004</v>
      </c>
      <c r="UH7">
        <v>11.220940000000001</v>
      </c>
      <c r="UI7">
        <v>2.6184630000000002</v>
      </c>
      <c r="UJ7">
        <v>19.101649999999999</v>
      </c>
      <c r="UK7">
        <v>6.9570610000000004</v>
      </c>
      <c r="UL7">
        <v>0.215697</v>
      </c>
      <c r="UM7">
        <v>0.43321700000000002</v>
      </c>
      <c r="UN7">
        <v>0.811307</v>
      </c>
      <c r="UO7">
        <v>0.38251400000000002</v>
      </c>
      <c r="UP7">
        <v>24758.02</v>
      </c>
      <c r="UQ7">
        <v>835.31100000000004</v>
      </c>
      <c r="UR7">
        <v>477.40120000000002</v>
      </c>
      <c r="US7">
        <v>219.3339</v>
      </c>
      <c r="UT7">
        <v>49.54692</v>
      </c>
      <c r="UU7">
        <v>101.40349999999999</v>
      </c>
      <c r="UV7">
        <v>83.686310000000006</v>
      </c>
      <c r="UW7">
        <v>25.783100000000001</v>
      </c>
      <c r="UX7">
        <v>30.31765</v>
      </c>
      <c r="UY7">
        <v>164.01179999999999</v>
      </c>
      <c r="UZ7">
        <v>47.382829999999998</v>
      </c>
      <c r="VA7">
        <v>25.96284</v>
      </c>
      <c r="VB7">
        <v>1989.8530000000001</v>
      </c>
      <c r="VC7">
        <v>1918.489</v>
      </c>
      <c r="VD7">
        <v>99.090019999999996</v>
      </c>
      <c r="VE7">
        <v>183.98570000000001</v>
      </c>
      <c r="VF7">
        <v>414.58609999999999</v>
      </c>
      <c r="VG7">
        <v>42.745179999999998</v>
      </c>
      <c r="VH7">
        <v>73.932720000000003</v>
      </c>
      <c r="VI7">
        <v>11786.7</v>
      </c>
      <c r="VJ7">
        <v>6050.3879999999999</v>
      </c>
      <c r="VK7">
        <v>0.57908700000000002</v>
      </c>
      <c r="VL7">
        <v>12.82409</v>
      </c>
      <c r="VM7">
        <v>2.7009439999999998</v>
      </c>
      <c r="VN7">
        <v>69.674499999999995</v>
      </c>
      <c r="VO7">
        <v>0.99422999999999995</v>
      </c>
      <c r="VP7">
        <v>2.4924439999999999</v>
      </c>
      <c r="VQ7">
        <v>5.1818580000000001</v>
      </c>
      <c r="VR7">
        <v>1.0278400000000001</v>
      </c>
      <c r="VS7">
        <v>0.89890400000000004</v>
      </c>
      <c r="VT7">
        <v>11.221270000000001</v>
      </c>
      <c r="VU7">
        <v>2.6185420000000001</v>
      </c>
      <c r="VV7">
        <v>19.101839999999999</v>
      </c>
      <c r="VW7">
        <v>6.9571290000000001</v>
      </c>
      <c r="VX7">
        <v>0.215699</v>
      </c>
      <c r="VY7">
        <v>0.43322100000000002</v>
      </c>
      <c r="VZ7">
        <v>0.81131500000000001</v>
      </c>
      <c r="WA7">
        <v>0.38251800000000002</v>
      </c>
      <c r="WB7">
        <v>9.7728999999999996E-2</v>
      </c>
      <c r="WC7">
        <v>9.7709000000000004E-2</v>
      </c>
      <c r="WD7">
        <v>-3.0095E-2</v>
      </c>
      <c r="WE7">
        <v>-3.0100999999999999E-2</v>
      </c>
      <c r="WF7">
        <v>0.62534000000000001</v>
      </c>
      <c r="WG7">
        <v>0.62530600000000003</v>
      </c>
      <c r="WH7">
        <v>-1.9026999999999999E-2</v>
      </c>
      <c r="WI7">
        <v>-1.9026000000000001E-2</v>
      </c>
      <c r="WJ7">
        <v>1836577</v>
      </c>
      <c r="WK7">
        <v>1836650</v>
      </c>
    </row>
    <row r="8" spans="1:609" ht="14.45" x14ac:dyDescent="0.35">
      <c r="A8">
        <v>2009</v>
      </c>
      <c r="B8">
        <v>8.0719999999999993E-3</v>
      </c>
      <c r="C8">
        <v>102.43689999999999</v>
      </c>
      <c r="D8">
        <v>1.4478E-2</v>
      </c>
      <c r="E8">
        <v>6.2960000000000004E-3</v>
      </c>
      <c r="F8">
        <v>-5.8E-4</v>
      </c>
      <c r="G8">
        <v>6.4190000000000002E-3</v>
      </c>
      <c r="H8">
        <v>-4.581E-3</v>
      </c>
      <c r="I8">
        <v>4.6299999999999996E-3</v>
      </c>
      <c r="J8">
        <v>4.8630000000000001E-3</v>
      </c>
      <c r="K8">
        <v>2.2550000000000001E-3</v>
      </c>
      <c r="L8">
        <v>2.6080000000000001E-3</v>
      </c>
      <c r="M8">
        <v>1.6100000000000001E-3</v>
      </c>
      <c r="N8">
        <v>0</v>
      </c>
      <c r="O8">
        <v>-7.5680000000000001E-3</v>
      </c>
      <c r="P8">
        <v>-5.8E-4</v>
      </c>
      <c r="Q8">
        <v>-0.458262</v>
      </c>
      <c r="R8">
        <v>94.01088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0.11899999999999999</v>
      </c>
      <c r="Z8">
        <v>0.562446</v>
      </c>
      <c r="AA8">
        <v>2.0599999999999999E-4</v>
      </c>
      <c r="AB8">
        <v>-5.0000000000000001E-4</v>
      </c>
      <c r="AC8">
        <v>4.3327999999999998E-2</v>
      </c>
      <c r="AD8">
        <v>0</v>
      </c>
      <c r="AE8">
        <v>78.576999999999998</v>
      </c>
      <c r="AF8">
        <v>85.533000000000001</v>
      </c>
      <c r="AG8">
        <v>9.3794000000000004</v>
      </c>
      <c r="AH8">
        <v>24.845849999999999</v>
      </c>
      <c r="AI8">
        <v>-1.1400000000000001E-4</v>
      </c>
      <c r="AJ8">
        <v>0.110698</v>
      </c>
      <c r="AK8">
        <v>105.9575</v>
      </c>
      <c r="AL8">
        <v>2.215004</v>
      </c>
      <c r="AM8">
        <v>0.105308</v>
      </c>
      <c r="AN8">
        <v>100.798</v>
      </c>
      <c r="AO8">
        <v>2.1071460000000002</v>
      </c>
      <c r="AP8">
        <v>70.242699999999999</v>
      </c>
      <c r="AQ8">
        <v>66.822289999999995</v>
      </c>
      <c r="AR8">
        <v>169.82050000000001</v>
      </c>
      <c r="AS8">
        <v>1.2158679999999999</v>
      </c>
      <c r="AT8">
        <v>371.62819999999999</v>
      </c>
      <c r="AU8">
        <v>49.586640000000003</v>
      </c>
      <c r="AV8">
        <v>4.4757870000000004</v>
      </c>
      <c r="AW8">
        <v>7.9570000000000005E-3</v>
      </c>
      <c r="AX8">
        <v>7.306E-3</v>
      </c>
      <c r="AY8">
        <v>1.6643000000000002E-2</v>
      </c>
      <c r="AZ8">
        <v>1.294E-3</v>
      </c>
      <c r="BA8">
        <v>6.6150000000000002E-3</v>
      </c>
      <c r="BB8">
        <v>4.8669999999999998E-3</v>
      </c>
      <c r="BC8">
        <v>6.9829999999999996E-3</v>
      </c>
      <c r="BD8">
        <v>3.2460000000000002E-3</v>
      </c>
      <c r="BE8">
        <v>7.67E-4</v>
      </c>
      <c r="BF8">
        <v>5.4679999999999998E-3</v>
      </c>
      <c r="BG8">
        <v>2.0170000000000001E-3</v>
      </c>
      <c r="BH8">
        <v>9.5200000000000005E-4</v>
      </c>
      <c r="BI8">
        <v>6.0000000000000001E-3</v>
      </c>
      <c r="BJ8">
        <v>3.9179999999999996E-3</v>
      </c>
      <c r="BK8">
        <v>1.7639999999999999E-3</v>
      </c>
      <c r="BL8">
        <v>1.426E-3</v>
      </c>
      <c r="BM8">
        <v>6.3119999999999999E-3</v>
      </c>
      <c r="BN8">
        <v>-2.2100000000000001E-4</v>
      </c>
      <c r="BO8">
        <v>2.4859999999999999E-3</v>
      </c>
      <c r="BP8">
        <v>1.0965000000000001E-2</v>
      </c>
      <c r="BQ8">
        <v>1.5269999999999999E-3</v>
      </c>
      <c r="BR8">
        <v>-0.108164</v>
      </c>
      <c r="BS8">
        <v>-2.2346999999999999E-2</v>
      </c>
      <c r="BT8">
        <v>-5.0394000000000001E-2</v>
      </c>
      <c r="BU8">
        <v>1.5852000000000002E-2</v>
      </c>
      <c r="BV8">
        <v>1.108E-3</v>
      </c>
      <c r="BW8">
        <v>1.6306999999999999E-2</v>
      </c>
      <c r="BX8">
        <v>1.5419E-2</v>
      </c>
      <c r="BY8">
        <v>1.4689000000000001E-2</v>
      </c>
      <c r="BZ8">
        <v>1.4843E-2</v>
      </c>
      <c r="CA8">
        <v>1.4689000000000001E-2</v>
      </c>
      <c r="CB8">
        <v>1.4723999999999999E-2</v>
      </c>
      <c r="CC8">
        <v>1.7905999999999998E-2</v>
      </c>
      <c r="CD8">
        <v>3.7659999999999998E-3</v>
      </c>
      <c r="CE8">
        <v>3.7360000000000002E-3</v>
      </c>
      <c r="CF8">
        <v>3.7369999999999999E-3</v>
      </c>
      <c r="CG8">
        <v>3.7160000000000001E-3</v>
      </c>
      <c r="CH8">
        <v>3.751E-3</v>
      </c>
      <c r="CI8">
        <v>5.8259999999999996E-3</v>
      </c>
      <c r="CJ8">
        <v>1.2193000000000001E-2</v>
      </c>
      <c r="CK8">
        <v>9.5299999999999996E-4</v>
      </c>
      <c r="CL8">
        <v>5.2909999999999997E-3</v>
      </c>
      <c r="CM8">
        <v>3.7529999999999998E-3</v>
      </c>
      <c r="CN8">
        <v>5.2030000000000002E-3</v>
      </c>
      <c r="CO8">
        <v>2.3010000000000001E-3</v>
      </c>
      <c r="CP8">
        <v>5.5199999999999997E-4</v>
      </c>
      <c r="CQ8">
        <v>4.254E-3</v>
      </c>
      <c r="CR8">
        <v>1.4580000000000001E-3</v>
      </c>
      <c r="CS8">
        <v>8.1499999999999997E-4</v>
      </c>
      <c r="CT8">
        <v>4.62E-3</v>
      </c>
      <c r="CU8">
        <v>3.1089999999999998E-3</v>
      </c>
      <c r="CV8">
        <v>1.609E-3</v>
      </c>
      <c r="CW8">
        <v>1.294E-3</v>
      </c>
      <c r="CX8">
        <v>5.1089999999999998E-3</v>
      </c>
      <c r="CY8" s="21">
        <v>1.8899999999999999E-5</v>
      </c>
      <c r="CZ8">
        <v>2.049E-3</v>
      </c>
      <c r="DA8">
        <v>8.9949999999999995E-3</v>
      </c>
      <c r="DB8">
        <v>1.423E-3</v>
      </c>
      <c r="DC8">
        <v>5.751E-3</v>
      </c>
      <c r="DD8">
        <v>-8.7489999999999998E-3</v>
      </c>
      <c r="DE8">
        <v>-1.1771999999999999E-2</v>
      </c>
      <c r="DF8">
        <v>1.1505E-2</v>
      </c>
      <c r="DG8">
        <v>1.1507E-2</v>
      </c>
      <c r="DH8">
        <v>1.1516E-2</v>
      </c>
      <c r="DI8">
        <v>1.1528999999999999E-2</v>
      </c>
      <c r="DJ8">
        <v>1.1521999999999999E-2</v>
      </c>
      <c r="DK8">
        <v>1.1545E-2</v>
      </c>
      <c r="DL8">
        <v>1.1546000000000001E-2</v>
      </c>
      <c r="DM8">
        <v>1.1525000000000001E-2</v>
      </c>
      <c r="DN8">
        <v>3.0349999999999999E-3</v>
      </c>
      <c r="DO8">
        <v>3.143E-3</v>
      </c>
      <c r="DP8">
        <v>3.1129999999999999E-3</v>
      </c>
      <c r="DQ8">
        <v>3.1250000000000002E-3</v>
      </c>
      <c r="DR8">
        <v>3.1020000000000002E-3</v>
      </c>
      <c r="DS8">
        <v>3.1220000000000002E-3</v>
      </c>
      <c r="DT8">
        <v>2.1499999999999999E-4</v>
      </c>
      <c r="DU8">
        <v>2.1028000000000002E-2</v>
      </c>
      <c r="DV8">
        <v>2.13E-4</v>
      </c>
      <c r="DW8">
        <v>2.1302999999999999E-2</v>
      </c>
      <c r="DX8">
        <v>2.1349E-2</v>
      </c>
      <c r="DY8">
        <v>2.1385999999999999E-2</v>
      </c>
      <c r="DZ8">
        <v>2.1531000000000002E-2</v>
      </c>
      <c r="EA8">
        <v>2.1829000000000001E-2</v>
      </c>
      <c r="EB8">
        <v>2.1607000000000001E-2</v>
      </c>
      <c r="EC8">
        <v>0</v>
      </c>
      <c r="ED8">
        <v>2.1735999999999998E-2</v>
      </c>
      <c r="EE8">
        <v>2.1423000000000001E-2</v>
      </c>
      <c r="EF8">
        <v>1.2589999999999999E-3</v>
      </c>
      <c r="EG8">
        <v>0</v>
      </c>
      <c r="EH8">
        <v>0</v>
      </c>
      <c r="EI8">
        <v>2.1297E-2</v>
      </c>
      <c r="EJ8">
        <v>2.1735999999999998E-2</v>
      </c>
      <c r="EK8">
        <v>2.5099999999999998E-4</v>
      </c>
      <c r="EL8">
        <v>2.0952999999999999E-2</v>
      </c>
      <c r="EM8">
        <v>2.1229999999999999E-2</v>
      </c>
      <c r="EN8">
        <v>4.0400000000000001E-4</v>
      </c>
      <c r="EO8">
        <v>-4.7253999999999997E-2</v>
      </c>
      <c r="EP8">
        <v>2.9068E-2</v>
      </c>
      <c r="EQ8">
        <v>2.1699999999999999E-4</v>
      </c>
      <c r="ER8">
        <v>6.3473819999999996</v>
      </c>
      <c r="ES8">
        <v>73.482050000000001</v>
      </c>
      <c r="ET8">
        <v>1.6701589999999999</v>
      </c>
      <c r="EU8">
        <v>31.265969999999999</v>
      </c>
      <c r="EV8">
        <v>0.54142800000000002</v>
      </c>
      <c r="EW8">
        <v>1.7434350000000001</v>
      </c>
      <c r="EX8">
        <v>2.3439030000000001</v>
      </c>
      <c r="EY8">
        <v>0.54980200000000001</v>
      </c>
      <c r="EZ8">
        <v>0.10023600000000001</v>
      </c>
      <c r="FA8">
        <v>4.7151519999999998</v>
      </c>
      <c r="FB8">
        <v>1.24204</v>
      </c>
      <c r="FC8">
        <v>33.90063</v>
      </c>
      <c r="FD8">
        <v>9.1331129999999998</v>
      </c>
      <c r="FE8">
        <v>0.43390099999999998</v>
      </c>
      <c r="FF8">
        <v>0.76370000000000005</v>
      </c>
      <c r="FG8">
        <v>1.163338</v>
      </c>
      <c r="FH8">
        <v>0.33315499999999998</v>
      </c>
      <c r="FI8">
        <v>6.34755</v>
      </c>
      <c r="FJ8">
        <v>73.470380000000006</v>
      </c>
      <c r="FK8">
        <v>1.669834</v>
      </c>
      <c r="FL8">
        <v>31.26979</v>
      </c>
      <c r="FM8">
        <v>0.54149400000000003</v>
      </c>
      <c r="FN8">
        <v>1.7436480000000001</v>
      </c>
      <c r="FO8">
        <v>2.3441890000000001</v>
      </c>
      <c r="FP8">
        <v>0.54986900000000005</v>
      </c>
      <c r="FQ8">
        <v>0.100248</v>
      </c>
      <c r="FR8">
        <v>4.7157270000000002</v>
      </c>
      <c r="FS8">
        <v>1.242192</v>
      </c>
      <c r="FT8">
        <v>33.90166</v>
      </c>
      <c r="FU8">
        <v>9.1333990000000007</v>
      </c>
      <c r="FV8">
        <v>0.43391400000000002</v>
      </c>
      <c r="FW8">
        <v>0.76372399999999996</v>
      </c>
      <c r="FX8">
        <v>1.163375</v>
      </c>
      <c r="FY8">
        <v>0.33316600000000002</v>
      </c>
      <c r="FZ8">
        <v>4.6029099999999996</v>
      </c>
      <c r="GA8">
        <v>60.47</v>
      </c>
      <c r="GB8">
        <v>1.6701589999999999</v>
      </c>
      <c r="GC8">
        <v>27.25676</v>
      </c>
      <c r="GD8">
        <v>0.472001</v>
      </c>
      <c r="GE8">
        <v>1.5198750000000001</v>
      </c>
      <c r="GF8">
        <v>2.0433460000000001</v>
      </c>
      <c r="GG8">
        <v>0.47930099999999998</v>
      </c>
      <c r="GH8">
        <v>8.7382000000000001E-2</v>
      </c>
      <c r="GI8">
        <v>4.1105309999999999</v>
      </c>
      <c r="GJ8">
        <v>1.0827739999999999</v>
      </c>
      <c r="GK8">
        <v>32.359729999999999</v>
      </c>
      <c r="GL8">
        <v>9.1331129999999998</v>
      </c>
      <c r="GM8">
        <v>0.43390099999999998</v>
      </c>
      <c r="GN8">
        <v>0.76370000000000005</v>
      </c>
      <c r="GO8">
        <v>1.163338</v>
      </c>
      <c r="GP8">
        <v>0.33315499999999998</v>
      </c>
      <c r="GQ8">
        <v>4.6030499999999996</v>
      </c>
      <c r="GR8">
        <v>60.45823</v>
      </c>
      <c r="GS8">
        <v>1.669834</v>
      </c>
      <c r="GT8">
        <v>27.260570000000001</v>
      </c>
      <c r="GU8">
        <v>0.47206700000000001</v>
      </c>
      <c r="GV8">
        <v>1.5200880000000001</v>
      </c>
      <c r="GW8">
        <v>2.0436320000000001</v>
      </c>
      <c r="GX8">
        <v>0.47936800000000002</v>
      </c>
      <c r="GY8">
        <v>8.7395E-2</v>
      </c>
      <c r="GZ8">
        <v>4.1111069999999996</v>
      </c>
      <c r="HA8">
        <v>1.0829260000000001</v>
      </c>
      <c r="HB8">
        <v>32.36074</v>
      </c>
      <c r="HC8">
        <v>9.1333990000000007</v>
      </c>
      <c r="HD8">
        <v>0.43391400000000002</v>
      </c>
      <c r="HE8">
        <v>0.76372399999999996</v>
      </c>
      <c r="HF8">
        <v>1.163375</v>
      </c>
      <c r="HG8">
        <v>0.33316600000000002</v>
      </c>
      <c r="HH8">
        <v>4.6859289999999998</v>
      </c>
      <c r="HI8">
        <v>64.995800000000003</v>
      </c>
      <c r="HJ8">
        <v>1.6701589999999999</v>
      </c>
      <c r="HK8">
        <v>112.872</v>
      </c>
      <c r="HL8">
        <v>1.169494</v>
      </c>
      <c r="HM8">
        <v>3.7658480000000001</v>
      </c>
      <c r="HN8">
        <v>5.0628690000000001</v>
      </c>
      <c r="HO8">
        <v>0.59437700000000004</v>
      </c>
      <c r="HP8">
        <v>0.108362</v>
      </c>
      <c r="HQ8">
        <v>5.0974300000000001</v>
      </c>
      <c r="HR8">
        <v>3.6303649999999998</v>
      </c>
      <c r="HS8">
        <v>32.582070000000002</v>
      </c>
      <c r="HT8">
        <v>9.2697090000000006</v>
      </c>
      <c r="HU8">
        <v>0.44039</v>
      </c>
      <c r="HV8">
        <v>0.77512199999999998</v>
      </c>
      <c r="HW8">
        <v>1.1807369999999999</v>
      </c>
      <c r="HX8">
        <v>0.33813799999999999</v>
      </c>
      <c r="HY8">
        <v>4.6623159999999997</v>
      </c>
      <c r="HZ8">
        <v>64.480940000000004</v>
      </c>
      <c r="IA8">
        <v>1.669834</v>
      </c>
      <c r="IB8">
        <v>112.8858</v>
      </c>
      <c r="IC8">
        <v>1.1696359999999999</v>
      </c>
      <c r="ID8">
        <v>3.7663069999999998</v>
      </c>
      <c r="IE8">
        <v>5.0634870000000003</v>
      </c>
      <c r="IF8">
        <v>0.59444900000000001</v>
      </c>
      <c r="IG8">
        <v>0.108375</v>
      </c>
      <c r="IH8">
        <v>5.0980509999999999</v>
      </c>
      <c r="II8">
        <v>3.630808</v>
      </c>
      <c r="IJ8">
        <v>32.583089999999999</v>
      </c>
      <c r="IK8">
        <v>9.27</v>
      </c>
      <c r="IL8">
        <v>0.44040400000000002</v>
      </c>
      <c r="IM8">
        <v>0.775146</v>
      </c>
      <c r="IN8">
        <v>1.180774</v>
      </c>
      <c r="IO8">
        <v>0.33814899999999998</v>
      </c>
      <c r="IP8">
        <v>3.886965</v>
      </c>
      <c r="IQ8">
        <v>4.2491159999999999</v>
      </c>
      <c r="IR8">
        <v>0.87081299999999995</v>
      </c>
      <c r="IS8">
        <v>1.4996579999999999</v>
      </c>
      <c r="IT8">
        <v>3.2044450000000002</v>
      </c>
      <c r="IU8">
        <v>3.3431600000000001</v>
      </c>
      <c r="IV8">
        <v>4.190817</v>
      </c>
      <c r="IW8">
        <v>4.6937749999999996</v>
      </c>
      <c r="IX8">
        <v>0.61269300000000004</v>
      </c>
      <c r="IY8">
        <v>4.9149050000000001</v>
      </c>
      <c r="IZ8">
        <v>1.424253</v>
      </c>
      <c r="JA8">
        <v>6.4829309999999998</v>
      </c>
      <c r="JB8">
        <v>0.32732899999999998</v>
      </c>
      <c r="JC8">
        <v>0.99532299999999996</v>
      </c>
      <c r="JD8">
        <v>0.86047499999999999</v>
      </c>
      <c r="JE8">
        <v>16.02073</v>
      </c>
      <c r="JF8">
        <v>0.32175100000000001</v>
      </c>
      <c r="JG8">
        <v>1.7086749999999999</v>
      </c>
      <c r="JH8">
        <v>17.047699999999999</v>
      </c>
      <c r="JI8">
        <v>5.6768390000000002</v>
      </c>
      <c r="JJ8">
        <v>22.870799999999999</v>
      </c>
      <c r="JK8">
        <v>42.778820000000003</v>
      </c>
      <c r="JL8">
        <v>3.887238</v>
      </c>
      <c r="JM8">
        <v>4.2497109999999996</v>
      </c>
      <c r="JN8">
        <v>0.87082099999999996</v>
      </c>
      <c r="JO8">
        <v>1.4997499999999999</v>
      </c>
      <c r="JP8">
        <v>3.2045880000000002</v>
      </c>
      <c r="JQ8">
        <v>3.3433600000000001</v>
      </c>
      <c r="JR8">
        <v>4.1909299999999998</v>
      </c>
      <c r="JS8">
        <v>4.6938139999999997</v>
      </c>
      <c r="JT8">
        <v>0.61272199999999999</v>
      </c>
      <c r="JU8">
        <v>4.9149989999999999</v>
      </c>
      <c r="JV8">
        <v>1.4242630000000001</v>
      </c>
      <c r="JW8">
        <v>6.4832799999999997</v>
      </c>
      <c r="JX8">
        <v>0.32734099999999999</v>
      </c>
      <c r="JY8">
        <v>0.99533899999999997</v>
      </c>
      <c r="JZ8">
        <v>0.86048999999999998</v>
      </c>
      <c r="KA8">
        <v>16.02169</v>
      </c>
      <c r="KB8">
        <v>0.32175199999999998</v>
      </c>
      <c r="KC8">
        <v>1.7087190000000001</v>
      </c>
      <c r="KD8">
        <v>17.049440000000001</v>
      </c>
      <c r="KE8">
        <v>5.6769239999999996</v>
      </c>
      <c r="KF8">
        <v>22.860530000000001</v>
      </c>
      <c r="KG8">
        <v>42.778880000000001</v>
      </c>
      <c r="KH8">
        <v>479.33429999999998</v>
      </c>
      <c r="KI8">
        <v>2767.163</v>
      </c>
      <c r="KJ8">
        <v>4761.0249999999996</v>
      </c>
      <c r="KK8">
        <v>5675.5940000000001</v>
      </c>
      <c r="KL8">
        <v>11475.48</v>
      </c>
      <c r="KM8">
        <v>3953.415</v>
      </c>
      <c r="KN8">
        <v>1720.681</v>
      </c>
      <c r="KO8">
        <v>0</v>
      </c>
      <c r="KP8">
        <v>30779.39</v>
      </c>
      <c r="KQ8">
        <v>53.304360000000003</v>
      </c>
      <c r="KR8">
        <v>0</v>
      </c>
      <c r="KS8">
        <v>507.65230000000003</v>
      </c>
      <c r="KT8">
        <v>2761.125</v>
      </c>
      <c r="KU8">
        <v>4754.9229999999998</v>
      </c>
      <c r="KV8">
        <v>5669.75</v>
      </c>
      <c r="KW8">
        <v>11470.07</v>
      </c>
      <c r="KX8">
        <v>3948.4960000000001</v>
      </c>
      <c r="KY8">
        <v>1720.681</v>
      </c>
      <c r="KZ8">
        <v>0</v>
      </c>
      <c r="LA8">
        <v>30762.03</v>
      </c>
      <c r="LB8">
        <v>70.666499999999999</v>
      </c>
      <c r="LC8">
        <v>0</v>
      </c>
      <c r="LD8">
        <v>9291770</v>
      </c>
      <c r="LE8">
        <v>77448842</v>
      </c>
      <c r="LF8" s="21">
        <v>376000000</v>
      </c>
      <c r="LG8" s="21">
        <v>655000000</v>
      </c>
      <c r="LH8" s="21">
        <v>758000000</v>
      </c>
      <c r="LI8" s="21">
        <v>399000000</v>
      </c>
      <c r="LJ8" s="21">
        <v>168000000</v>
      </c>
      <c r="LK8" s="21">
        <v>1.66E-6</v>
      </c>
      <c r="LL8" s="21">
        <v>3.1599999999999998E-6</v>
      </c>
      <c r="LM8" s="21">
        <v>5.8200000000000002E-6</v>
      </c>
      <c r="LN8" s="21">
        <v>1.2099999999999999E-5</v>
      </c>
      <c r="LO8" s="21">
        <v>1.7900000000000001E-5</v>
      </c>
      <c r="LP8" s="21">
        <v>2.55E-5</v>
      </c>
      <c r="LQ8" s="21">
        <v>3.7299999999999999E-5</v>
      </c>
      <c r="LR8">
        <v>9291969</v>
      </c>
      <c r="LS8">
        <v>77449222</v>
      </c>
      <c r="LT8" s="21">
        <v>376000000</v>
      </c>
      <c r="LU8" s="21">
        <v>655000000</v>
      </c>
      <c r="LV8" s="21">
        <v>758000000</v>
      </c>
      <c r="LW8" s="21">
        <v>399000000</v>
      </c>
      <c r="LX8" s="21">
        <v>168000000</v>
      </c>
      <c r="LY8" s="21">
        <v>1.66E-6</v>
      </c>
      <c r="LZ8" s="21">
        <v>3.1599999999999998E-6</v>
      </c>
      <c r="MA8" s="21">
        <v>5.8200000000000002E-6</v>
      </c>
      <c r="MB8" s="21">
        <v>1.2099999999999999E-5</v>
      </c>
      <c r="MC8" s="21">
        <v>1.7900000000000001E-5</v>
      </c>
      <c r="MD8" s="21">
        <v>2.55E-5</v>
      </c>
      <c r="ME8" s="21">
        <v>3.7299999999999999E-5</v>
      </c>
      <c r="MF8">
        <v>0.1091</v>
      </c>
      <c r="MG8">
        <v>0.25172</v>
      </c>
      <c r="MH8">
        <v>0.268208</v>
      </c>
      <c r="MI8">
        <v>0.216331</v>
      </c>
      <c r="MJ8">
        <v>0.12768599999999999</v>
      </c>
      <c r="MK8">
        <v>2.5080000000000002E-2</v>
      </c>
      <c r="ML8">
        <v>1.8749999999999999E-3</v>
      </c>
      <c r="MM8">
        <v>0.17313000000000001</v>
      </c>
      <c r="MN8">
        <v>0.31756200000000001</v>
      </c>
      <c r="MO8">
        <v>0.29686400000000002</v>
      </c>
      <c r="MP8">
        <v>0.21657999999999999</v>
      </c>
      <c r="MQ8">
        <v>0.12095</v>
      </c>
      <c r="MR8">
        <v>1.2128E-2</v>
      </c>
      <c r="MS8">
        <v>-0.137214</v>
      </c>
      <c r="MT8">
        <v>0.115522</v>
      </c>
      <c r="MU8">
        <v>0.25033</v>
      </c>
      <c r="MV8">
        <v>0.26682299999999998</v>
      </c>
      <c r="MW8">
        <v>0.21501500000000001</v>
      </c>
      <c r="MX8">
        <v>0.12646499999999999</v>
      </c>
      <c r="MY8">
        <v>2.3969000000000001E-2</v>
      </c>
      <c r="MZ8">
        <v>1.8749999999999999E-3</v>
      </c>
      <c r="NA8">
        <v>0.183536</v>
      </c>
      <c r="NB8">
        <v>0.31581500000000001</v>
      </c>
      <c r="NC8">
        <v>0.29511900000000002</v>
      </c>
      <c r="ND8">
        <v>0.214838</v>
      </c>
      <c r="NE8">
        <v>0.119213</v>
      </c>
      <c r="NF8">
        <v>1.0397E-2</v>
      </c>
      <c r="NG8">
        <v>-0.13891800000000001</v>
      </c>
      <c r="NH8">
        <v>3.0500000000000002E-3</v>
      </c>
      <c r="NI8">
        <v>3.0829999999999998E-3</v>
      </c>
      <c r="NJ8">
        <v>1.2643E-2</v>
      </c>
      <c r="NK8">
        <v>1.6234999999999999E-2</v>
      </c>
      <c r="NL8">
        <v>1.7243000000000001E-2</v>
      </c>
      <c r="NM8">
        <v>4.5825999999999999E-2</v>
      </c>
      <c r="NN8">
        <v>3.0500000000000002E-3</v>
      </c>
      <c r="NO8">
        <v>3.0829999999999998E-3</v>
      </c>
      <c r="NP8">
        <v>1.2643E-2</v>
      </c>
      <c r="NQ8">
        <v>1.6234999999999999E-2</v>
      </c>
      <c r="NR8">
        <v>1.7243000000000001E-2</v>
      </c>
      <c r="NS8">
        <v>4.5825999999999999E-2</v>
      </c>
      <c r="NT8">
        <v>3.0500000000000002E-3</v>
      </c>
      <c r="NU8">
        <v>3.0829999999999998E-3</v>
      </c>
      <c r="NV8">
        <v>1.2643E-2</v>
      </c>
      <c r="NW8">
        <v>1.6236E-2</v>
      </c>
      <c r="NX8">
        <v>1.7243000000000001E-2</v>
      </c>
      <c r="NY8">
        <v>4.5825999999999999E-2</v>
      </c>
      <c r="NZ8">
        <v>3.0500000000000002E-3</v>
      </c>
      <c r="OA8">
        <v>3.0829999999999998E-3</v>
      </c>
      <c r="OB8">
        <v>1.2643E-2</v>
      </c>
      <c r="OC8">
        <v>1.6236E-2</v>
      </c>
      <c r="OD8">
        <v>1.7243000000000001E-2</v>
      </c>
      <c r="OE8">
        <v>4.5825999999999999E-2</v>
      </c>
      <c r="OF8">
        <v>60.577730000000003</v>
      </c>
      <c r="OG8">
        <v>41363.53</v>
      </c>
      <c r="OH8">
        <v>17799.32</v>
      </c>
      <c r="OI8">
        <v>9937.0540000000001</v>
      </c>
      <c r="OJ8">
        <v>60.577970000000001</v>
      </c>
      <c r="OK8">
        <v>41343.980000000003</v>
      </c>
      <c r="OL8">
        <v>17804.490000000002</v>
      </c>
      <c r="OM8">
        <v>9937.0750000000007</v>
      </c>
      <c r="ON8">
        <v>1175676</v>
      </c>
      <c r="OO8">
        <v>1175710</v>
      </c>
      <c r="OP8">
        <v>9055.9750000000004</v>
      </c>
      <c r="OQ8">
        <v>4627.3720000000003</v>
      </c>
      <c r="OR8">
        <v>4233.1509999999998</v>
      </c>
      <c r="OS8">
        <v>382.24169999999998</v>
      </c>
      <c r="OT8">
        <v>1214.5350000000001</v>
      </c>
      <c r="OU8">
        <v>956.07619999999997</v>
      </c>
      <c r="OV8">
        <v>238.74420000000001</v>
      </c>
      <c r="OW8">
        <v>937.44629999999995</v>
      </c>
      <c r="OX8">
        <v>1030.4829999999999</v>
      </c>
      <c r="OY8">
        <v>915.77210000000002</v>
      </c>
      <c r="OZ8">
        <v>455.8897</v>
      </c>
      <c r="PA8">
        <v>15364.03</v>
      </c>
      <c r="PB8">
        <v>5535.5649999999996</v>
      </c>
      <c r="PC8">
        <v>1075.6659999999999</v>
      </c>
      <c r="PD8">
        <v>1756.4169999999999</v>
      </c>
      <c r="PE8">
        <v>4856.3140000000003</v>
      </c>
      <c r="PF8">
        <v>1076.2360000000001</v>
      </c>
      <c r="PG8">
        <v>1977.5160000000001</v>
      </c>
      <c r="PH8">
        <v>149149</v>
      </c>
      <c r="PI8">
        <v>63217.21</v>
      </c>
      <c r="PJ8">
        <v>1.734416</v>
      </c>
      <c r="PK8">
        <v>633.9982</v>
      </c>
      <c r="PL8">
        <v>55.96134</v>
      </c>
      <c r="PM8">
        <v>1366.5340000000001</v>
      </c>
      <c r="PN8">
        <v>561.93439999999998</v>
      </c>
      <c r="PO8">
        <v>145.09370000000001</v>
      </c>
      <c r="PP8">
        <v>266.45580000000001</v>
      </c>
      <c r="PQ8">
        <v>298.94600000000003</v>
      </c>
      <c r="PR8">
        <v>98.704400000000007</v>
      </c>
      <c r="PS8">
        <v>546.22760000000005</v>
      </c>
      <c r="PT8">
        <v>593.79769999999996</v>
      </c>
      <c r="PU8">
        <v>525.44989999999996</v>
      </c>
      <c r="PV8">
        <v>911.56500000000005</v>
      </c>
      <c r="PW8">
        <v>31.3735</v>
      </c>
      <c r="PX8">
        <v>110.0086</v>
      </c>
      <c r="PY8">
        <v>342.77179999999998</v>
      </c>
      <c r="PZ8">
        <v>133.8013</v>
      </c>
      <c r="QA8">
        <v>274679.90000000002</v>
      </c>
      <c r="QB8">
        <v>5820.8249999999998</v>
      </c>
      <c r="QC8">
        <v>68980.06</v>
      </c>
      <c r="QD8">
        <v>3673.6509999999998</v>
      </c>
      <c r="QE8">
        <v>9632.5370000000003</v>
      </c>
      <c r="QF8">
        <v>12170.41</v>
      </c>
      <c r="QG8">
        <v>11247.88</v>
      </c>
      <c r="QH8">
        <v>9250.0660000000007</v>
      </c>
      <c r="QI8">
        <v>2580.4009999999998</v>
      </c>
      <c r="QJ8">
        <v>254.8792</v>
      </c>
      <c r="QK8">
        <v>9056.5020000000004</v>
      </c>
      <c r="QL8">
        <v>4627.9369999999999</v>
      </c>
      <c r="QM8">
        <v>4233.1909999999998</v>
      </c>
      <c r="QN8">
        <v>382.26190000000003</v>
      </c>
      <c r="QO8">
        <v>1214.5809999999999</v>
      </c>
      <c r="QP8">
        <v>956.12599999999998</v>
      </c>
      <c r="QQ8">
        <v>238.74969999999999</v>
      </c>
      <c r="QR8">
        <v>937.45150000000001</v>
      </c>
      <c r="QS8">
        <v>1030.527</v>
      </c>
      <c r="QT8">
        <v>915.78549999999996</v>
      </c>
      <c r="QU8">
        <v>455.89339999999999</v>
      </c>
      <c r="QV8">
        <v>15364.74</v>
      </c>
      <c r="QW8">
        <v>5535.7370000000001</v>
      </c>
      <c r="QX8">
        <v>1075.683</v>
      </c>
      <c r="QY8">
        <v>1756.44</v>
      </c>
      <c r="QZ8">
        <v>4856.5619999999999</v>
      </c>
      <c r="RA8">
        <v>1076.2360000000001</v>
      </c>
      <c r="RB8">
        <v>1977.557</v>
      </c>
      <c r="RC8">
        <v>149162.4</v>
      </c>
      <c r="RD8">
        <v>63218.11</v>
      </c>
      <c r="RE8">
        <v>1.734515</v>
      </c>
      <c r="RF8">
        <v>633.94280000000003</v>
      </c>
      <c r="RG8">
        <v>55.954749999999997</v>
      </c>
      <c r="RH8">
        <v>1366.691</v>
      </c>
      <c r="RI8">
        <v>561.9991</v>
      </c>
      <c r="RJ8">
        <v>145.1104</v>
      </c>
      <c r="RK8">
        <v>266.48649999999998</v>
      </c>
      <c r="RL8">
        <v>298.98039999999997</v>
      </c>
      <c r="RM8">
        <v>98.715800000000002</v>
      </c>
      <c r="RN8">
        <v>546.29060000000004</v>
      </c>
      <c r="RO8">
        <v>593.86620000000005</v>
      </c>
      <c r="RP8">
        <v>525.46590000000003</v>
      </c>
      <c r="RQ8">
        <v>911.59370000000001</v>
      </c>
      <c r="RR8">
        <v>31.374469999999999</v>
      </c>
      <c r="RS8">
        <v>110.012</v>
      </c>
      <c r="RT8">
        <v>342.78250000000003</v>
      </c>
      <c r="RU8">
        <v>133.80549999999999</v>
      </c>
      <c r="RV8">
        <v>274697.2</v>
      </c>
      <c r="RW8">
        <v>5820.902</v>
      </c>
      <c r="RX8">
        <v>68979.95</v>
      </c>
      <c r="RY8">
        <v>3889.848</v>
      </c>
      <c r="RZ8">
        <v>9579.2289999999994</v>
      </c>
      <c r="SA8">
        <v>12107.44</v>
      </c>
      <c r="SB8">
        <v>11179.36</v>
      </c>
      <c r="SC8">
        <v>9161.5689999999995</v>
      </c>
      <c r="SD8">
        <v>2466.08</v>
      </c>
      <c r="SE8">
        <v>254.87639999999999</v>
      </c>
      <c r="SF8">
        <v>37384.14</v>
      </c>
      <c r="SG8">
        <v>60.577730000000003</v>
      </c>
      <c r="SH8">
        <v>9603.2819999999992</v>
      </c>
      <c r="SI8">
        <v>17783.23</v>
      </c>
      <c r="SJ8">
        <v>9937.0540000000001</v>
      </c>
      <c r="SK8">
        <v>37384.17</v>
      </c>
      <c r="SL8">
        <v>60.577970000000001</v>
      </c>
      <c r="SM8">
        <v>9603.3439999999991</v>
      </c>
      <c r="SN8">
        <v>17783.169999999998</v>
      </c>
      <c r="SO8">
        <v>9937.0750000000007</v>
      </c>
      <c r="SP8">
        <v>93616.48</v>
      </c>
      <c r="SQ8">
        <v>84727.97</v>
      </c>
      <c r="SR8">
        <v>93615.35</v>
      </c>
      <c r="SS8">
        <v>84527.62</v>
      </c>
      <c r="ST8">
        <v>42.778820000000003</v>
      </c>
      <c r="SU8">
        <v>0.36486099999999999</v>
      </c>
      <c r="SV8">
        <v>6.9118269999999997</v>
      </c>
      <c r="SW8">
        <v>12.696809999999999</v>
      </c>
      <c r="SX8">
        <v>22.805319999999998</v>
      </c>
      <c r="SY8">
        <v>42.778880000000001</v>
      </c>
      <c r="SZ8">
        <v>0.36486200000000002</v>
      </c>
      <c r="TA8">
        <v>6.9118709999999997</v>
      </c>
      <c r="TB8">
        <v>12.696770000000001</v>
      </c>
      <c r="TC8">
        <v>22.80537</v>
      </c>
      <c r="TD8">
        <v>24689.37</v>
      </c>
      <c r="TE8">
        <v>825.50909999999999</v>
      </c>
      <c r="TF8">
        <v>474.1619</v>
      </c>
      <c r="TG8">
        <v>217.1182</v>
      </c>
      <c r="TH8">
        <v>49.149270000000001</v>
      </c>
      <c r="TI8">
        <v>102.0014</v>
      </c>
      <c r="TJ8">
        <v>82.942359999999994</v>
      </c>
      <c r="TK8">
        <v>25.472249999999999</v>
      </c>
      <c r="TL8">
        <v>29.933540000000001</v>
      </c>
      <c r="TM8">
        <v>162.8613</v>
      </c>
      <c r="TN8">
        <v>44.687980000000003</v>
      </c>
      <c r="TO8">
        <v>25.598230000000001</v>
      </c>
      <c r="TP8">
        <v>1972.7360000000001</v>
      </c>
      <c r="TQ8">
        <v>1944.873</v>
      </c>
      <c r="TR8">
        <v>98.638930000000002</v>
      </c>
      <c r="TS8">
        <v>183.1756</v>
      </c>
      <c r="TT8">
        <v>411.04410000000001</v>
      </c>
      <c r="TU8">
        <v>42.185949999999998</v>
      </c>
      <c r="TV8">
        <v>73.193870000000004</v>
      </c>
      <c r="TW8">
        <v>11719.44</v>
      </c>
      <c r="TX8">
        <v>6066.8180000000002</v>
      </c>
      <c r="TY8">
        <v>0.56374400000000002</v>
      </c>
      <c r="TZ8">
        <v>12.517950000000001</v>
      </c>
      <c r="UA8">
        <v>3.7560790000000002</v>
      </c>
      <c r="UB8">
        <v>68.016139999999993</v>
      </c>
      <c r="UC8">
        <v>0.92948399999999998</v>
      </c>
      <c r="UD8">
        <v>2.525369</v>
      </c>
      <c r="UE8">
        <v>5.069782</v>
      </c>
      <c r="UF8">
        <v>1.200688</v>
      </c>
      <c r="UG8">
        <v>0.910999</v>
      </c>
      <c r="UH8">
        <v>11.21683</v>
      </c>
      <c r="UI8">
        <v>3.5128439999999999</v>
      </c>
      <c r="UJ8">
        <v>18.45777</v>
      </c>
      <c r="UK8">
        <v>6.843648</v>
      </c>
      <c r="UL8">
        <v>0.30107600000000001</v>
      </c>
      <c r="UM8">
        <v>0.470196</v>
      </c>
      <c r="UN8">
        <v>1.1403019999999999</v>
      </c>
      <c r="UO8">
        <v>0.39503199999999999</v>
      </c>
      <c r="UP8">
        <v>24690.51</v>
      </c>
      <c r="UQ8">
        <v>825.5471</v>
      </c>
      <c r="UR8">
        <v>474.20819999999998</v>
      </c>
      <c r="US8">
        <v>217.11959999999999</v>
      </c>
      <c r="UT8">
        <v>49.151299999999999</v>
      </c>
      <c r="UU8">
        <v>102.0044</v>
      </c>
      <c r="UV8">
        <v>82.945740000000001</v>
      </c>
      <c r="UW8">
        <v>25.4727</v>
      </c>
      <c r="UX8">
        <v>29.93366</v>
      </c>
      <c r="UY8">
        <v>162.86670000000001</v>
      </c>
      <c r="UZ8">
        <v>44.688450000000003</v>
      </c>
      <c r="VA8">
        <v>25.59835</v>
      </c>
      <c r="VB8">
        <v>1972.808</v>
      </c>
      <c r="VC8">
        <v>1944.92</v>
      </c>
      <c r="VD8">
        <v>98.640039999999999</v>
      </c>
      <c r="VE8">
        <v>183.1772</v>
      </c>
      <c r="VF8">
        <v>411.06060000000002</v>
      </c>
      <c r="VG8">
        <v>42.185920000000003</v>
      </c>
      <c r="VH8">
        <v>73.194990000000004</v>
      </c>
      <c r="VI8">
        <v>11720.28</v>
      </c>
      <c r="VJ8">
        <v>6066.8770000000004</v>
      </c>
      <c r="VK8">
        <v>0.56378399999999995</v>
      </c>
      <c r="VL8">
        <v>12.51708</v>
      </c>
      <c r="VM8">
        <v>3.7557239999999998</v>
      </c>
      <c r="VN8">
        <v>68.022329999999997</v>
      </c>
      <c r="VO8">
        <v>0.92956799999999995</v>
      </c>
      <c r="VP8">
        <v>2.525598</v>
      </c>
      <c r="VQ8">
        <v>5.0702420000000004</v>
      </c>
      <c r="VR8">
        <v>1.200796</v>
      </c>
      <c r="VS8">
        <v>0.91108100000000003</v>
      </c>
      <c r="VT8">
        <v>11.21785</v>
      </c>
      <c r="VU8">
        <v>3.5131600000000001</v>
      </c>
      <c r="VV8">
        <v>18.458210000000001</v>
      </c>
      <c r="VW8">
        <v>6.8438109999999996</v>
      </c>
      <c r="VX8">
        <v>0.30108299999999999</v>
      </c>
      <c r="VY8">
        <v>0.47020699999999999</v>
      </c>
      <c r="VZ8">
        <v>1.1403289999999999</v>
      </c>
      <c r="WA8">
        <v>0.395042</v>
      </c>
      <c r="WB8">
        <v>0.104486</v>
      </c>
      <c r="WC8">
        <v>0.10444000000000001</v>
      </c>
      <c r="WD8">
        <v>-3.1364000000000003E-2</v>
      </c>
      <c r="WE8">
        <v>-3.1376000000000001E-2</v>
      </c>
      <c r="WF8">
        <v>0.63070499999999996</v>
      </c>
      <c r="WG8">
        <v>0.630629</v>
      </c>
      <c r="WH8">
        <v>-1.9909E-2</v>
      </c>
      <c r="WI8">
        <v>-1.9903000000000001E-2</v>
      </c>
      <c r="WJ8">
        <v>1851350</v>
      </c>
      <c r="WK8">
        <v>1851500</v>
      </c>
    </row>
    <row r="9" spans="1:609" ht="14.45" x14ac:dyDescent="0.35">
      <c r="A9">
        <v>2010</v>
      </c>
      <c r="B9">
        <v>1.1790999999999999E-2</v>
      </c>
      <c r="C9">
        <v>103.2877</v>
      </c>
      <c r="D9">
        <v>2.1142000000000001E-2</v>
      </c>
      <c r="E9">
        <v>1.03E-2</v>
      </c>
      <c r="F9">
        <v>-1.263E-3</v>
      </c>
      <c r="G9">
        <v>9.3749999999999997E-3</v>
      </c>
      <c r="H9">
        <v>-7.7140000000000004E-3</v>
      </c>
      <c r="I9">
        <v>7.6949999999999996E-3</v>
      </c>
      <c r="J9">
        <v>9.7660000000000004E-3</v>
      </c>
      <c r="K9">
        <v>4.8190000000000004E-3</v>
      </c>
      <c r="L9">
        <v>4.947E-3</v>
      </c>
      <c r="M9">
        <v>2.3800000000000002E-3</v>
      </c>
      <c r="N9">
        <v>0</v>
      </c>
      <c r="O9">
        <v>-1.2675000000000001E-2</v>
      </c>
      <c r="P9">
        <v>-1.127E-3</v>
      </c>
      <c r="Q9">
        <v>-0.46825600000000001</v>
      </c>
      <c r="R9">
        <v>91.995840000000001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0.123</v>
      </c>
      <c r="Z9">
        <v>0.562446</v>
      </c>
      <c r="AA9">
        <v>8.3799999999999999E-4</v>
      </c>
      <c r="AB9">
        <v>-6.6600000000000003E-4</v>
      </c>
      <c r="AC9">
        <v>4.3327999999999998E-2</v>
      </c>
      <c r="AD9">
        <v>0</v>
      </c>
      <c r="AE9">
        <v>136.89500000000001</v>
      </c>
      <c r="AF9">
        <v>151.99199999999999</v>
      </c>
      <c r="AG9">
        <v>19.1401</v>
      </c>
      <c r="AH9">
        <v>38.309480000000001</v>
      </c>
      <c r="AI9">
        <v>-1.5200000000000001E-4</v>
      </c>
      <c r="AJ9">
        <v>0.11193400000000001</v>
      </c>
      <c r="AK9">
        <v>107.17910000000001</v>
      </c>
      <c r="AL9">
        <v>2.235843</v>
      </c>
      <c r="AM9">
        <v>0.104904</v>
      </c>
      <c r="AN9">
        <v>100.4477</v>
      </c>
      <c r="AO9">
        <v>2.0954199999999998</v>
      </c>
      <c r="AP9">
        <v>71.082639999999998</v>
      </c>
      <c r="AQ9">
        <v>66.618260000000006</v>
      </c>
      <c r="AR9">
        <v>166.9186</v>
      </c>
      <c r="AS9">
        <v>1.206998</v>
      </c>
      <c r="AT9">
        <v>366.23509999999999</v>
      </c>
      <c r="AU9">
        <v>48.987029999999997</v>
      </c>
      <c r="AV9">
        <v>4.4194019999999998</v>
      </c>
      <c r="AW9">
        <v>1.1691999999999999E-2</v>
      </c>
      <c r="AX9">
        <v>1.0596E-2</v>
      </c>
      <c r="AY9">
        <v>2.3158999999999999E-2</v>
      </c>
      <c r="AZ9">
        <v>1.5330000000000001E-3</v>
      </c>
      <c r="BA9">
        <v>9.2949999999999994E-3</v>
      </c>
      <c r="BB9">
        <v>7.4200000000000004E-3</v>
      </c>
      <c r="BC9">
        <v>9.6310000000000007E-3</v>
      </c>
      <c r="BD9">
        <v>3.9090000000000001E-3</v>
      </c>
      <c r="BE9">
        <v>5.5000000000000003E-4</v>
      </c>
      <c r="BF9">
        <v>7.7070000000000003E-3</v>
      </c>
      <c r="BG9">
        <v>2.7669999999999999E-3</v>
      </c>
      <c r="BH9">
        <v>9.0399999999999996E-4</v>
      </c>
      <c r="BI9">
        <v>8.4510000000000002E-3</v>
      </c>
      <c r="BJ9">
        <v>6.332E-3</v>
      </c>
      <c r="BK9">
        <v>2.2629999999999998E-3</v>
      </c>
      <c r="BL9">
        <v>2.117E-3</v>
      </c>
      <c r="BM9">
        <v>8.7519999999999994E-3</v>
      </c>
      <c r="BN9">
        <v>-1.6869999999999999E-3</v>
      </c>
      <c r="BO9">
        <v>3.3370000000000001E-3</v>
      </c>
      <c r="BP9">
        <v>1.6046000000000001E-2</v>
      </c>
      <c r="BQ9">
        <v>2.2070000000000002E-3</v>
      </c>
      <c r="BR9">
        <v>-0.135295</v>
      </c>
      <c r="BS9">
        <v>-3.9065999999999997E-2</v>
      </c>
      <c r="BT9">
        <v>-0.164135</v>
      </c>
      <c r="BU9">
        <v>3.2146000000000001E-2</v>
      </c>
      <c r="BV9">
        <v>8.3929999999999994E-3</v>
      </c>
      <c r="BW9">
        <v>3.2892999999999999E-2</v>
      </c>
      <c r="BX9">
        <v>3.1441999999999998E-2</v>
      </c>
      <c r="BY9">
        <v>3.0238000000000001E-2</v>
      </c>
      <c r="BZ9">
        <v>3.0497E-2</v>
      </c>
      <c r="CA9">
        <v>3.0237E-2</v>
      </c>
      <c r="CB9">
        <v>3.0303E-2</v>
      </c>
      <c r="CC9">
        <v>2.1125999999999999E-2</v>
      </c>
      <c r="CD9">
        <v>6.149E-3</v>
      </c>
      <c r="CE9">
        <v>6.1050000000000002E-3</v>
      </c>
      <c r="CF9">
        <v>6.1130000000000004E-3</v>
      </c>
      <c r="CG9">
        <v>6.0870000000000004E-3</v>
      </c>
      <c r="CH9">
        <v>6.1320000000000003E-3</v>
      </c>
      <c r="CI9">
        <v>9.4850000000000004E-3</v>
      </c>
      <c r="CJ9">
        <v>1.9591000000000001E-2</v>
      </c>
      <c r="CK9">
        <v>1.5020000000000001E-3</v>
      </c>
      <c r="CL9">
        <v>8.5009999999999999E-3</v>
      </c>
      <c r="CM9">
        <v>6.4619999999999999E-3</v>
      </c>
      <c r="CN9">
        <v>8.3960000000000007E-3</v>
      </c>
      <c r="CO9">
        <v>3.6480000000000002E-3</v>
      </c>
      <c r="CP9">
        <v>6.1899999999999998E-4</v>
      </c>
      <c r="CQ9">
        <v>6.9350000000000002E-3</v>
      </c>
      <c r="CR9">
        <v>2.4459999999999998E-3</v>
      </c>
      <c r="CS9">
        <v>1.2030000000000001E-3</v>
      </c>
      <c r="CT9">
        <v>7.4799999999999997E-3</v>
      </c>
      <c r="CU9">
        <v>5.5659999999999998E-3</v>
      </c>
      <c r="CV9">
        <v>2.47E-3</v>
      </c>
      <c r="CW9">
        <v>2.2009999999999998E-3</v>
      </c>
      <c r="CX9">
        <v>8.0370000000000007E-3</v>
      </c>
      <c r="CY9">
        <v>-8.12E-4</v>
      </c>
      <c r="CZ9">
        <v>3.2200000000000002E-3</v>
      </c>
      <c r="DA9">
        <v>1.4585000000000001E-2</v>
      </c>
      <c r="DB9">
        <v>2.3700000000000001E-3</v>
      </c>
      <c r="DC9">
        <v>1.1814E-2</v>
      </c>
      <c r="DD9">
        <v>-1.8152000000000001E-2</v>
      </c>
      <c r="DE9">
        <v>-2.4323999999999998E-2</v>
      </c>
      <c r="DF9">
        <v>2.5139000000000002E-2</v>
      </c>
      <c r="DG9">
        <v>2.5139000000000002E-2</v>
      </c>
      <c r="DH9">
        <v>2.5156000000000001E-2</v>
      </c>
      <c r="DI9">
        <v>2.5193E-2</v>
      </c>
      <c r="DJ9">
        <v>2.5160999999999999E-2</v>
      </c>
      <c r="DK9">
        <v>2.5222999999999999E-2</v>
      </c>
      <c r="DL9">
        <v>2.5232999999999998E-2</v>
      </c>
      <c r="DM9">
        <v>2.5145000000000001E-2</v>
      </c>
      <c r="DN9">
        <v>5.3429999999999997E-3</v>
      </c>
      <c r="DO9">
        <v>5.555E-3</v>
      </c>
      <c r="DP9">
        <v>5.5100000000000001E-3</v>
      </c>
      <c r="DQ9">
        <v>5.5199999999999997E-3</v>
      </c>
      <c r="DR9">
        <v>5.4869999999999997E-3</v>
      </c>
      <c r="DS9">
        <v>5.5110000000000003E-3</v>
      </c>
      <c r="DT9">
        <v>3.1799999999999998E-4</v>
      </c>
      <c r="DU9">
        <v>3.1113999999999999E-2</v>
      </c>
      <c r="DV9">
        <v>4.0099999999999999E-4</v>
      </c>
      <c r="DW9">
        <v>3.1535000000000001E-2</v>
      </c>
      <c r="DX9">
        <v>3.1620000000000002E-2</v>
      </c>
      <c r="DY9">
        <v>3.1731000000000002E-2</v>
      </c>
      <c r="DZ9">
        <v>3.1977999999999999E-2</v>
      </c>
      <c r="EA9">
        <v>3.2608999999999999E-2</v>
      </c>
      <c r="EB9">
        <v>3.2169000000000003E-2</v>
      </c>
      <c r="EC9">
        <v>0</v>
      </c>
      <c r="ED9">
        <v>3.2404000000000002E-2</v>
      </c>
      <c r="EE9">
        <v>3.1798E-2</v>
      </c>
      <c r="EF9">
        <v>2.3029999999999999E-3</v>
      </c>
      <c r="EG9">
        <v>0</v>
      </c>
      <c r="EH9">
        <v>0</v>
      </c>
      <c r="EI9">
        <v>3.1539999999999999E-2</v>
      </c>
      <c r="EJ9">
        <v>3.2395E-2</v>
      </c>
      <c r="EK9">
        <v>4.73E-4</v>
      </c>
      <c r="EL9">
        <v>3.0877999999999999E-2</v>
      </c>
      <c r="EM9">
        <v>3.1223999999999998E-2</v>
      </c>
      <c r="EN9">
        <v>7.7300000000000003E-4</v>
      </c>
      <c r="EO9">
        <v>-8.9846999999999996E-2</v>
      </c>
      <c r="EP9">
        <v>6.4823000000000006E-2</v>
      </c>
      <c r="EQ9">
        <v>4.15E-4</v>
      </c>
      <c r="ER9">
        <v>6.1497229999999998</v>
      </c>
      <c r="ES9">
        <v>72.280090000000001</v>
      </c>
      <c r="ET9">
        <v>2.1684809999999999</v>
      </c>
      <c r="EU9">
        <v>30.78096</v>
      </c>
      <c r="EV9">
        <v>0.49253400000000003</v>
      </c>
      <c r="EW9">
        <v>1.799455</v>
      </c>
      <c r="EX9">
        <v>2.2724829999999998</v>
      </c>
      <c r="EY9">
        <v>0.71752099999999996</v>
      </c>
      <c r="EZ9">
        <v>9.5092999999999997E-2</v>
      </c>
      <c r="FA9">
        <v>4.8497519999999996</v>
      </c>
      <c r="FB9">
        <v>1.5560700000000001</v>
      </c>
      <c r="FC9">
        <v>32.969410000000003</v>
      </c>
      <c r="FD9">
        <v>9.0713939999999997</v>
      </c>
      <c r="FE9">
        <v>0.54787600000000003</v>
      </c>
      <c r="FF9">
        <v>0.84426800000000002</v>
      </c>
      <c r="FG9">
        <v>1.517887</v>
      </c>
      <c r="FH9">
        <v>0.34129999999999999</v>
      </c>
      <c r="FI9">
        <v>6.1499920000000001</v>
      </c>
      <c r="FJ9">
        <v>72.257869999999997</v>
      </c>
      <c r="FK9">
        <v>2.1676630000000001</v>
      </c>
      <c r="FL9">
        <v>30.78856</v>
      </c>
      <c r="FM9">
        <v>0.49265599999999998</v>
      </c>
      <c r="FN9">
        <v>1.7999000000000001</v>
      </c>
      <c r="FO9">
        <v>2.2730440000000001</v>
      </c>
      <c r="FP9">
        <v>0.71769799999999995</v>
      </c>
      <c r="FQ9">
        <v>9.5116999999999993E-2</v>
      </c>
      <c r="FR9">
        <v>4.8509500000000001</v>
      </c>
      <c r="FS9">
        <v>1.5564549999999999</v>
      </c>
      <c r="FT9">
        <v>32.970970000000001</v>
      </c>
      <c r="FU9">
        <v>9.0718390000000007</v>
      </c>
      <c r="FV9">
        <v>0.54790300000000003</v>
      </c>
      <c r="FW9">
        <v>0.84431</v>
      </c>
      <c r="FX9">
        <v>1.5179609999999999</v>
      </c>
      <c r="FY9">
        <v>0.34131699999999998</v>
      </c>
      <c r="FZ9">
        <v>4.4869709999999996</v>
      </c>
      <c r="GA9">
        <v>59.217599999999997</v>
      </c>
      <c r="GB9">
        <v>2.1684809999999999</v>
      </c>
      <c r="GC9">
        <v>26.839670000000002</v>
      </c>
      <c r="GD9">
        <v>0.42946800000000002</v>
      </c>
      <c r="GE9">
        <v>1.569048</v>
      </c>
      <c r="GF9">
        <v>1.981508</v>
      </c>
      <c r="GG9">
        <v>0.62564799999999998</v>
      </c>
      <c r="GH9">
        <v>8.2917000000000005E-2</v>
      </c>
      <c r="GI9">
        <v>4.2287759999999999</v>
      </c>
      <c r="GJ9">
        <v>1.3568260000000001</v>
      </c>
      <c r="GK9">
        <v>31.422529999999998</v>
      </c>
      <c r="GL9">
        <v>9.0713939999999997</v>
      </c>
      <c r="GM9">
        <v>0.54787600000000003</v>
      </c>
      <c r="GN9">
        <v>0.84426800000000002</v>
      </c>
      <c r="GO9">
        <v>1.517887</v>
      </c>
      <c r="GP9">
        <v>0.34129999999999999</v>
      </c>
      <c r="GQ9">
        <v>4.4871980000000002</v>
      </c>
      <c r="GR9">
        <v>59.195250000000001</v>
      </c>
      <c r="GS9">
        <v>2.1676630000000001</v>
      </c>
      <c r="GT9">
        <v>26.847280000000001</v>
      </c>
      <c r="GU9">
        <v>0.42959000000000003</v>
      </c>
      <c r="GV9">
        <v>1.569493</v>
      </c>
      <c r="GW9">
        <v>1.9820690000000001</v>
      </c>
      <c r="GX9">
        <v>0.62582499999999996</v>
      </c>
      <c r="GY9">
        <v>8.2941000000000001E-2</v>
      </c>
      <c r="GZ9">
        <v>4.2299740000000003</v>
      </c>
      <c r="HA9">
        <v>1.3572109999999999</v>
      </c>
      <c r="HB9">
        <v>31.42408</v>
      </c>
      <c r="HC9">
        <v>9.0718390000000007</v>
      </c>
      <c r="HD9">
        <v>0.54790300000000003</v>
      </c>
      <c r="HE9">
        <v>0.84431</v>
      </c>
      <c r="HF9">
        <v>1.5179609999999999</v>
      </c>
      <c r="HG9">
        <v>0.34131699999999998</v>
      </c>
      <c r="HH9">
        <v>4.5678979999999996</v>
      </c>
      <c r="HI9">
        <v>63.64967</v>
      </c>
      <c r="HJ9">
        <v>2.1684809999999999</v>
      </c>
      <c r="HK9">
        <v>111.1211</v>
      </c>
      <c r="HL9">
        <v>1.0638810000000001</v>
      </c>
      <c r="HM9">
        <v>3.8868529999999999</v>
      </c>
      <c r="HN9">
        <v>4.9085999999999999</v>
      </c>
      <c r="HO9">
        <v>0.77569399999999999</v>
      </c>
      <c r="HP9">
        <v>0.10280300000000001</v>
      </c>
      <c r="HQ9">
        <v>5.2429420000000002</v>
      </c>
      <c r="HR9">
        <v>4.5482440000000004</v>
      </c>
      <c r="HS9">
        <v>31.63843</v>
      </c>
      <c r="HT9">
        <v>9.2070670000000003</v>
      </c>
      <c r="HU9">
        <v>0.55606999999999995</v>
      </c>
      <c r="HV9">
        <v>0.85689499999999996</v>
      </c>
      <c r="HW9">
        <v>1.5405880000000001</v>
      </c>
      <c r="HX9">
        <v>0.34640399999999999</v>
      </c>
      <c r="HY9">
        <v>4.5449729999999997</v>
      </c>
      <c r="HZ9">
        <v>63.133929999999999</v>
      </c>
      <c r="IA9">
        <v>2.1676630000000001</v>
      </c>
      <c r="IB9">
        <v>111.1485</v>
      </c>
      <c r="IC9">
        <v>1.064144</v>
      </c>
      <c r="ID9">
        <v>3.887813</v>
      </c>
      <c r="IE9">
        <v>4.9098129999999998</v>
      </c>
      <c r="IF9">
        <v>0.77588500000000005</v>
      </c>
      <c r="IG9">
        <v>0.102828</v>
      </c>
      <c r="IH9">
        <v>5.244237</v>
      </c>
      <c r="II9">
        <v>4.5493680000000003</v>
      </c>
      <c r="IJ9">
        <v>31.639990000000001</v>
      </c>
      <c r="IK9">
        <v>9.2075189999999996</v>
      </c>
      <c r="IL9">
        <v>0.55609799999999998</v>
      </c>
      <c r="IM9">
        <v>0.85693699999999995</v>
      </c>
      <c r="IN9">
        <v>1.540664</v>
      </c>
      <c r="IO9">
        <v>0.34642200000000001</v>
      </c>
      <c r="IP9">
        <v>3.8785639999999999</v>
      </c>
      <c r="IQ9">
        <v>4.2474400000000001</v>
      </c>
      <c r="IR9">
        <v>0.85594999999999999</v>
      </c>
      <c r="IS9">
        <v>1.499617</v>
      </c>
      <c r="IT9">
        <v>3.2217920000000002</v>
      </c>
      <c r="IU9">
        <v>3.3533249999999999</v>
      </c>
      <c r="IV9">
        <v>4.1971939999999996</v>
      </c>
      <c r="IW9">
        <v>4.7221650000000004</v>
      </c>
      <c r="IX9">
        <v>0.61698299999999995</v>
      </c>
      <c r="IY9">
        <v>4.705247</v>
      </c>
      <c r="IZ9">
        <v>1.433071</v>
      </c>
      <c r="JA9">
        <v>6.513382</v>
      </c>
      <c r="JB9">
        <v>0.32966899999999999</v>
      </c>
      <c r="JC9">
        <v>1.0121519999999999</v>
      </c>
      <c r="JD9">
        <v>0.85399599999999998</v>
      </c>
      <c r="JE9">
        <v>15.953950000000001</v>
      </c>
      <c r="JF9">
        <v>0.31928299999999998</v>
      </c>
      <c r="JG9">
        <v>1.698733</v>
      </c>
      <c r="JH9">
        <v>17.011089999999999</v>
      </c>
      <c r="JI9">
        <v>5.7147779999999999</v>
      </c>
      <c r="JJ9">
        <v>22.402909999999999</v>
      </c>
      <c r="JK9">
        <v>42.19088</v>
      </c>
      <c r="JL9">
        <v>3.8789889999999998</v>
      </c>
      <c r="JM9">
        <v>4.2483420000000001</v>
      </c>
      <c r="JN9">
        <v>0.85596000000000005</v>
      </c>
      <c r="JO9">
        <v>1.4997549999999999</v>
      </c>
      <c r="JP9">
        <v>3.222029</v>
      </c>
      <c r="JQ9">
        <v>3.353631</v>
      </c>
      <c r="JR9">
        <v>4.197362</v>
      </c>
      <c r="JS9">
        <v>4.7222140000000001</v>
      </c>
      <c r="JT9">
        <v>0.61702800000000002</v>
      </c>
      <c r="JU9">
        <v>4.7053960000000004</v>
      </c>
      <c r="JV9">
        <v>1.433081</v>
      </c>
      <c r="JW9">
        <v>6.5139180000000003</v>
      </c>
      <c r="JX9">
        <v>0.32968900000000001</v>
      </c>
      <c r="JY9">
        <v>1.0121739999999999</v>
      </c>
      <c r="JZ9">
        <v>0.85402</v>
      </c>
      <c r="KA9">
        <v>15.95539</v>
      </c>
      <c r="KB9">
        <v>0.31928200000000001</v>
      </c>
      <c r="KC9">
        <v>1.6988000000000001</v>
      </c>
      <c r="KD9">
        <v>17.013750000000002</v>
      </c>
      <c r="KE9">
        <v>5.7149070000000002</v>
      </c>
      <c r="KF9">
        <v>22.38522</v>
      </c>
      <c r="KG9">
        <v>42.190959999999997</v>
      </c>
      <c r="KH9">
        <v>820.71420000000001</v>
      </c>
      <c r="KI9">
        <v>3245.7359999999999</v>
      </c>
      <c r="KJ9">
        <v>5041.6540000000005</v>
      </c>
      <c r="KK9">
        <v>5711.35</v>
      </c>
      <c r="KL9">
        <v>10856.19</v>
      </c>
      <c r="KM9">
        <v>3680.4780000000001</v>
      </c>
      <c r="KN9">
        <v>1590.6510000000001</v>
      </c>
      <c r="KO9">
        <v>0</v>
      </c>
      <c r="KP9">
        <v>30845.72</v>
      </c>
      <c r="KQ9">
        <v>101.0505</v>
      </c>
      <c r="KR9">
        <v>0</v>
      </c>
      <c r="KS9">
        <v>868.48180000000002</v>
      </c>
      <c r="KT9">
        <v>3234.518</v>
      </c>
      <c r="KU9">
        <v>5030.6400000000003</v>
      </c>
      <c r="KV9">
        <v>5701.0910000000003</v>
      </c>
      <c r="KW9">
        <v>10846.84</v>
      </c>
      <c r="KX9">
        <v>3674.558</v>
      </c>
      <c r="KY9">
        <v>1590.6510000000001</v>
      </c>
      <c r="KZ9">
        <v>0</v>
      </c>
      <c r="LA9">
        <v>30806.97</v>
      </c>
      <c r="LB9">
        <v>139.80189999999999</v>
      </c>
      <c r="LC9">
        <v>0</v>
      </c>
      <c r="LD9">
        <v>12705415</v>
      </c>
      <c r="LE9">
        <v>89799103</v>
      </c>
      <c r="LF9" s="21">
        <v>402000000</v>
      </c>
      <c r="LG9" s="21">
        <v>653000000</v>
      </c>
      <c r="LH9" s="21">
        <v>747000000</v>
      </c>
      <c r="LI9" s="21">
        <v>394000000</v>
      </c>
      <c r="LJ9" s="21">
        <v>163000000</v>
      </c>
      <c r="LK9" s="21">
        <v>1.68E-6</v>
      </c>
      <c r="LL9" s="21">
        <v>3.2200000000000001E-6</v>
      </c>
      <c r="LM9" s="21">
        <v>5.9399999999999999E-6</v>
      </c>
      <c r="LN9" s="21">
        <v>1.2300000000000001E-5</v>
      </c>
      <c r="LO9" s="21">
        <v>1.84E-5</v>
      </c>
      <c r="LP9" s="21">
        <v>2.62E-5</v>
      </c>
      <c r="LQ9" s="21">
        <v>3.8399999999999998E-5</v>
      </c>
      <c r="LR9">
        <v>12705870</v>
      </c>
      <c r="LS9">
        <v>89799906</v>
      </c>
      <c r="LT9" s="21">
        <v>402000000</v>
      </c>
      <c r="LU9" s="21">
        <v>653000000</v>
      </c>
      <c r="LV9" s="21">
        <v>747000000</v>
      </c>
      <c r="LW9" s="21">
        <v>394000000</v>
      </c>
      <c r="LX9" s="21">
        <v>163000000</v>
      </c>
      <c r="LY9" s="21">
        <v>1.6899999999999999E-6</v>
      </c>
      <c r="LZ9" s="21">
        <v>3.2200000000000001E-6</v>
      </c>
      <c r="MA9" s="21">
        <v>5.9399999999999999E-6</v>
      </c>
      <c r="MB9" s="21">
        <v>1.2300000000000001E-5</v>
      </c>
      <c r="MC9" s="21">
        <v>1.84E-5</v>
      </c>
      <c r="MD9" s="21">
        <v>2.62E-5</v>
      </c>
      <c r="ME9" s="21">
        <v>3.8399999999999998E-5</v>
      </c>
      <c r="MF9">
        <v>0.15216299999999999</v>
      </c>
      <c r="MG9">
        <v>0.27814899999999998</v>
      </c>
      <c r="MH9">
        <v>0.26022000000000001</v>
      </c>
      <c r="MI9">
        <v>0.19001399999999999</v>
      </c>
      <c r="MJ9">
        <v>0.105976</v>
      </c>
      <c r="MK9">
        <v>1.2540000000000001E-2</v>
      </c>
      <c r="ML9">
        <v>9.3800000000000003E-4</v>
      </c>
      <c r="MM9">
        <v>0.23474700000000001</v>
      </c>
      <c r="MN9">
        <v>0.36623600000000001</v>
      </c>
      <c r="MO9">
        <v>0.30329200000000001</v>
      </c>
      <c r="MP9">
        <v>0.19683400000000001</v>
      </c>
      <c r="MQ9">
        <v>0.101326</v>
      </c>
      <c r="MR9">
        <v>-5.3880000000000004E-3</v>
      </c>
      <c r="MS9">
        <v>-0.197046</v>
      </c>
      <c r="MT9">
        <v>0.16086400000000001</v>
      </c>
      <c r="MU9">
        <v>0.27587899999999999</v>
      </c>
      <c r="MV9">
        <v>0.25805499999999998</v>
      </c>
      <c r="MW9">
        <v>0.188056</v>
      </c>
      <c r="MX9">
        <v>0.104224</v>
      </c>
      <c r="MY9">
        <v>1.1985000000000001E-2</v>
      </c>
      <c r="MZ9">
        <v>9.3800000000000003E-4</v>
      </c>
      <c r="NA9">
        <v>0.24890899999999999</v>
      </c>
      <c r="NB9">
        <v>0.36385099999999998</v>
      </c>
      <c r="NC9">
        <v>0.30091200000000001</v>
      </c>
      <c r="ND9">
        <v>0.19445899999999999</v>
      </c>
      <c r="NE9">
        <v>9.8960000000000006E-2</v>
      </c>
      <c r="NF9">
        <v>-7.7419999999999998E-3</v>
      </c>
      <c r="NG9">
        <v>-0.199348</v>
      </c>
      <c r="NH9">
        <v>3.3679999999999999E-3</v>
      </c>
      <c r="NI9">
        <v>3.418E-3</v>
      </c>
      <c r="NJ9">
        <v>1.2704999999999999E-2</v>
      </c>
      <c r="NK9">
        <v>1.7239000000000001E-2</v>
      </c>
      <c r="NL9">
        <v>1.8567E-2</v>
      </c>
      <c r="NM9">
        <v>4.8168999999999997E-2</v>
      </c>
      <c r="NN9">
        <v>3.3679999999999999E-3</v>
      </c>
      <c r="NO9">
        <v>3.418E-3</v>
      </c>
      <c r="NP9">
        <v>1.2704999999999999E-2</v>
      </c>
      <c r="NQ9">
        <v>1.7239000000000001E-2</v>
      </c>
      <c r="NR9">
        <v>1.8567E-2</v>
      </c>
      <c r="NS9">
        <v>4.8168999999999997E-2</v>
      </c>
      <c r="NT9">
        <v>3.369E-3</v>
      </c>
      <c r="NU9">
        <v>3.418E-3</v>
      </c>
      <c r="NV9">
        <v>1.2706E-2</v>
      </c>
      <c r="NW9">
        <v>1.7239000000000001E-2</v>
      </c>
      <c r="NX9">
        <v>1.8567E-2</v>
      </c>
      <c r="NY9">
        <v>4.8168999999999997E-2</v>
      </c>
      <c r="NZ9">
        <v>3.369E-3</v>
      </c>
      <c r="OA9">
        <v>3.418E-3</v>
      </c>
      <c r="OB9">
        <v>1.2706E-2</v>
      </c>
      <c r="OC9">
        <v>1.7239000000000001E-2</v>
      </c>
      <c r="OD9">
        <v>1.8567E-2</v>
      </c>
      <c r="OE9">
        <v>4.8168999999999997E-2</v>
      </c>
      <c r="OF9">
        <v>59.219810000000003</v>
      </c>
      <c r="OG9">
        <v>40490.53</v>
      </c>
      <c r="OH9">
        <v>17795.009999999998</v>
      </c>
      <c r="OI9">
        <v>9755.5499999999993</v>
      </c>
      <c r="OJ9">
        <v>59.220269999999999</v>
      </c>
      <c r="OK9">
        <v>40454.15</v>
      </c>
      <c r="OL9">
        <v>17806.55</v>
      </c>
      <c r="OM9">
        <v>9755.59</v>
      </c>
      <c r="ON9">
        <v>1178434</v>
      </c>
      <c r="OO9">
        <v>1178501</v>
      </c>
      <c r="OP9">
        <v>9094.8389999999999</v>
      </c>
      <c r="OQ9">
        <v>4651.1459999999997</v>
      </c>
      <c r="OR9">
        <v>4253.2569999999996</v>
      </c>
      <c r="OS9">
        <v>384.55110000000002</v>
      </c>
      <c r="OT9">
        <v>1229.894</v>
      </c>
      <c r="OU9">
        <v>961.25049999999999</v>
      </c>
      <c r="OV9">
        <v>240.32749999999999</v>
      </c>
      <c r="OW9">
        <v>943.72640000000001</v>
      </c>
      <c r="OX9">
        <v>1036.4829999999999</v>
      </c>
      <c r="OY9">
        <v>866.69290000000001</v>
      </c>
      <c r="OZ9">
        <v>458.00439999999998</v>
      </c>
      <c r="PA9">
        <v>15452.48</v>
      </c>
      <c r="PB9">
        <v>5626.2520000000004</v>
      </c>
      <c r="PC9">
        <v>1069.2950000000001</v>
      </c>
      <c r="PD9">
        <v>1767.9739999999999</v>
      </c>
      <c r="PE9">
        <v>4876.6400000000003</v>
      </c>
      <c r="PF9">
        <v>1077.4359999999999</v>
      </c>
      <c r="PG9">
        <v>1986.597</v>
      </c>
      <c r="PH9">
        <v>149954.79999999999</v>
      </c>
      <c r="PI9">
        <v>64120.36</v>
      </c>
      <c r="PJ9">
        <v>1.6994910000000001</v>
      </c>
      <c r="PK9">
        <v>621.7269</v>
      </c>
      <c r="PL9">
        <v>78.115819999999999</v>
      </c>
      <c r="PM9">
        <v>1340.8009999999999</v>
      </c>
      <c r="PN9">
        <v>510.90539999999999</v>
      </c>
      <c r="PO9">
        <v>149.6155</v>
      </c>
      <c r="PP9">
        <v>258.70429999999999</v>
      </c>
      <c r="PQ9">
        <v>388.03879999999998</v>
      </c>
      <c r="PR9">
        <v>95.785390000000007</v>
      </c>
      <c r="PS9">
        <v>558.83939999999996</v>
      </c>
      <c r="PT9">
        <v>796.79809999999998</v>
      </c>
      <c r="PU9">
        <v>509.23129999999998</v>
      </c>
      <c r="PV9">
        <v>903.12919999999997</v>
      </c>
      <c r="PW9">
        <v>42.929769999999998</v>
      </c>
      <c r="PX9">
        <v>122.705</v>
      </c>
      <c r="PY9">
        <v>481.67950000000002</v>
      </c>
      <c r="PZ9">
        <v>138.4145</v>
      </c>
      <c r="QA9">
        <v>277051.09999999998</v>
      </c>
      <c r="QB9">
        <v>6183.1329999999998</v>
      </c>
      <c r="QC9">
        <v>69376.78</v>
      </c>
      <c r="QD9">
        <v>5145.2430000000004</v>
      </c>
      <c r="QE9">
        <v>10688.69</v>
      </c>
      <c r="QF9">
        <v>11857.62</v>
      </c>
      <c r="QG9">
        <v>9921.1180000000004</v>
      </c>
      <c r="QH9">
        <v>7709.6670000000004</v>
      </c>
      <c r="QI9">
        <v>1295.6300000000001</v>
      </c>
      <c r="QJ9">
        <v>127.9759</v>
      </c>
      <c r="QK9">
        <v>9095.7009999999991</v>
      </c>
      <c r="QL9">
        <v>4652.0569999999998</v>
      </c>
      <c r="QM9">
        <v>4253.3209999999999</v>
      </c>
      <c r="QN9">
        <v>384.5838</v>
      </c>
      <c r="QO9">
        <v>1229.9739999999999</v>
      </c>
      <c r="QP9">
        <v>961.33119999999997</v>
      </c>
      <c r="QQ9">
        <v>240.33619999999999</v>
      </c>
      <c r="QR9">
        <v>943.73230000000001</v>
      </c>
      <c r="QS9">
        <v>1036.5550000000001</v>
      </c>
      <c r="QT9">
        <v>866.71410000000003</v>
      </c>
      <c r="QU9">
        <v>458.00990000000002</v>
      </c>
      <c r="QV9">
        <v>15453.63</v>
      </c>
      <c r="QW9">
        <v>5626.5649999999996</v>
      </c>
      <c r="QX9">
        <v>1069.3219999999999</v>
      </c>
      <c r="QY9">
        <v>1768.0119999999999</v>
      </c>
      <c r="QZ9">
        <v>4877.0320000000002</v>
      </c>
      <c r="RA9">
        <v>1077.4269999999999</v>
      </c>
      <c r="RB9">
        <v>1986.6610000000001</v>
      </c>
      <c r="RC9">
        <v>149976.6</v>
      </c>
      <c r="RD9">
        <v>64121.88</v>
      </c>
      <c r="RE9">
        <v>1.699692</v>
      </c>
      <c r="RF9">
        <v>621.61400000000003</v>
      </c>
      <c r="RG9">
        <v>78.096819999999994</v>
      </c>
      <c r="RH9">
        <v>1341.1379999999999</v>
      </c>
      <c r="RI9">
        <v>511.03379999999999</v>
      </c>
      <c r="RJ9">
        <v>149.65309999999999</v>
      </c>
      <c r="RK9">
        <v>258.76949999999999</v>
      </c>
      <c r="RL9">
        <v>388.13639999999998</v>
      </c>
      <c r="RM9">
        <v>95.809550000000002</v>
      </c>
      <c r="RN9">
        <v>558.98040000000003</v>
      </c>
      <c r="RO9">
        <v>796.99850000000004</v>
      </c>
      <c r="RP9">
        <v>509.25850000000003</v>
      </c>
      <c r="RQ9">
        <v>903.17939999999999</v>
      </c>
      <c r="RR9">
        <v>42.932130000000001</v>
      </c>
      <c r="RS9">
        <v>122.7118</v>
      </c>
      <c r="RT9">
        <v>481.70589999999999</v>
      </c>
      <c r="RU9">
        <v>138.4221</v>
      </c>
      <c r="RV9">
        <v>277079.59999999998</v>
      </c>
      <c r="RW9">
        <v>6183.317</v>
      </c>
      <c r="RX9">
        <v>69376.850000000006</v>
      </c>
      <c r="RY9">
        <v>5439.3419999999996</v>
      </c>
      <c r="RZ9">
        <v>10601.24</v>
      </c>
      <c r="SA9">
        <v>11758.75</v>
      </c>
      <c r="SB9">
        <v>9818.7459999999992</v>
      </c>
      <c r="SC9">
        <v>7582.0330000000004</v>
      </c>
      <c r="SD9">
        <v>1238.22</v>
      </c>
      <c r="SE9">
        <v>127.9735</v>
      </c>
      <c r="SF9">
        <v>36974.36</v>
      </c>
      <c r="SG9">
        <v>59.219810000000003</v>
      </c>
      <c r="SH9">
        <v>9395.07</v>
      </c>
      <c r="SI9">
        <v>17764.52</v>
      </c>
      <c r="SJ9">
        <v>9755.5499999999993</v>
      </c>
      <c r="SK9">
        <v>36974.379999999997</v>
      </c>
      <c r="SL9">
        <v>59.220269999999999</v>
      </c>
      <c r="SM9">
        <v>9395.1880000000001</v>
      </c>
      <c r="SN9">
        <v>17764.38</v>
      </c>
      <c r="SO9">
        <v>9755.59</v>
      </c>
      <c r="SP9">
        <v>95986.73</v>
      </c>
      <c r="SQ9">
        <v>82840.98</v>
      </c>
      <c r="SR9">
        <v>95984.74</v>
      </c>
      <c r="SS9">
        <v>82590.62</v>
      </c>
      <c r="ST9">
        <v>42.19088</v>
      </c>
      <c r="SU9">
        <v>0.356682</v>
      </c>
      <c r="SV9">
        <v>6.7619689999999997</v>
      </c>
      <c r="SW9">
        <v>12.68346</v>
      </c>
      <c r="SX9">
        <v>22.388770000000001</v>
      </c>
      <c r="SY9">
        <v>42.190959999999997</v>
      </c>
      <c r="SZ9">
        <v>0.35668499999999997</v>
      </c>
      <c r="TA9">
        <v>6.762054</v>
      </c>
      <c r="TB9">
        <v>12.68336</v>
      </c>
      <c r="TC9">
        <v>22.388870000000001</v>
      </c>
      <c r="TD9">
        <v>24615.75</v>
      </c>
      <c r="TE9">
        <v>818.46680000000003</v>
      </c>
      <c r="TF9">
        <v>470.976</v>
      </c>
      <c r="TG9">
        <v>215.63200000000001</v>
      </c>
      <c r="TH9">
        <v>48.860930000000003</v>
      </c>
      <c r="TI9">
        <v>102.1657</v>
      </c>
      <c r="TJ9">
        <v>82.427040000000005</v>
      </c>
      <c r="TK9">
        <v>25.272870000000001</v>
      </c>
      <c r="TL9">
        <v>29.699190000000002</v>
      </c>
      <c r="TM9">
        <v>161.9837</v>
      </c>
      <c r="TN9">
        <v>42.047260000000001</v>
      </c>
      <c r="TO9">
        <v>25.392859999999999</v>
      </c>
      <c r="TP9">
        <v>1960.5989999999999</v>
      </c>
      <c r="TQ9">
        <v>1955.76</v>
      </c>
      <c r="TR9">
        <v>98.38109</v>
      </c>
      <c r="TS9">
        <v>182.3005</v>
      </c>
      <c r="TT9">
        <v>407.99400000000003</v>
      </c>
      <c r="TU9">
        <v>41.751170000000002</v>
      </c>
      <c r="TV9">
        <v>72.656710000000004</v>
      </c>
      <c r="TW9">
        <v>11652.42</v>
      </c>
      <c r="TX9">
        <v>6083.0550000000003</v>
      </c>
      <c r="TY9">
        <v>0.54639800000000005</v>
      </c>
      <c r="TZ9">
        <v>12.179349999999999</v>
      </c>
      <c r="UA9">
        <v>5.0759129999999999</v>
      </c>
      <c r="UB9">
        <v>66.174210000000002</v>
      </c>
      <c r="UC9">
        <v>0.84847399999999995</v>
      </c>
      <c r="UD9">
        <v>2.5676649999999999</v>
      </c>
      <c r="UE9">
        <v>4.898714</v>
      </c>
      <c r="UF9">
        <v>1.48645</v>
      </c>
      <c r="UG9">
        <v>0.88627</v>
      </c>
      <c r="UH9">
        <v>11.305210000000001</v>
      </c>
      <c r="UI9">
        <v>4.5695370000000004</v>
      </c>
      <c r="UJ9">
        <v>17.77092</v>
      </c>
      <c r="UK9">
        <v>6.7218410000000004</v>
      </c>
      <c r="UL9">
        <v>0.40099800000000002</v>
      </c>
      <c r="UM9">
        <v>0.51319499999999996</v>
      </c>
      <c r="UN9">
        <v>1.550581</v>
      </c>
      <c r="UO9">
        <v>0.404169</v>
      </c>
      <c r="UP9">
        <v>24617.64</v>
      </c>
      <c r="UQ9">
        <v>818.52949999999998</v>
      </c>
      <c r="UR9">
        <v>471.05200000000002</v>
      </c>
      <c r="US9">
        <v>215.63399999999999</v>
      </c>
      <c r="UT9">
        <v>48.864229999999999</v>
      </c>
      <c r="UU9">
        <v>102.1709</v>
      </c>
      <c r="UV9">
        <v>82.432540000000003</v>
      </c>
      <c r="UW9">
        <v>25.273569999999999</v>
      </c>
      <c r="UX9">
        <v>29.69932</v>
      </c>
      <c r="UY9">
        <v>161.99250000000001</v>
      </c>
      <c r="UZ9">
        <v>42.047989999999999</v>
      </c>
      <c r="VA9">
        <v>25.39301</v>
      </c>
      <c r="VB9">
        <v>1960.7159999999999</v>
      </c>
      <c r="VC9">
        <v>1955.846</v>
      </c>
      <c r="VD9">
        <v>98.382679999999993</v>
      </c>
      <c r="VE9">
        <v>182.3032</v>
      </c>
      <c r="VF9">
        <v>408.02019999999999</v>
      </c>
      <c r="VG9">
        <v>41.750799999999998</v>
      </c>
      <c r="VH9">
        <v>72.658439999999999</v>
      </c>
      <c r="VI9">
        <v>11653.81</v>
      </c>
      <c r="VJ9">
        <v>6083.15</v>
      </c>
      <c r="VK9">
        <v>0.54647199999999996</v>
      </c>
      <c r="VL9">
        <v>12.17755</v>
      </c>
      <c r="VM9">
        <v>5.074897</v>
      </c>
      <c r="VN9">
        <v>66.187650000000005</v>
      </c>
      <c r="VO9">
        <v>0.84864399999999995</v>
      </c>
      <c r="VP9">
        <v>2.5681850000000002</v>
      </c>
      <c r="VQ9">
        <v>4.899705</v>
      </c>
      <c r="VR9">
        <v>1.486748</v>
      </c>
      <c r="VS9">
        <v>0.88644800000000001</v>
      </c>
      <c r="VT9">
        <v>11.30749</v>
      </c>
      <c r="VU9">
        <v>4.5704560000000001</v>
      </c>
      <c r="VV9">
        <v>17.77169</v>
      </c>
      <c r="VW9">
        <v>6.7221250000000001</v>
      </c>
      <c r="VX9">
        <v>0.40101500000000001</v>
      </c>
      <c r="VY9">
        <v>0.51321600000000001</v>
      </c>
      <c r="VZ9">
        <v>1.5506450000000001</v>
      </c>
      <c r="WA9">
        <v>0.40418599999999999</v>
      </c>
      <c r="WB9">
        <v>0.109212</v>
      </c>
      <c r="WC9">
        <v>0.10913399999999999</v>
      </c>
      <c r="WD9">
        <v>-3.1940999999999997E-2</v>
      </c>
      <c r="WE9">
        <v>-3.1956999999999999E-2</v>
      </c>
      <c r="WF9">
        <v>0.63685099999999994</v>
      </c>
      <c r="WG9">
        <v>0.63672399999999996</v>
      </c>
      <c r="WH9">
        <v>-2.0577999999999999E-2</v>
      </c>
      <c r="WI9">
        <v>-2.0566999999999998E-2</v>
      </c>
      <c r="WJ9">
        <v>1866657</v>
      </c>
      <c r="WK9">
        <v>1866877</v>
      </c>
    </row>
    <row r="10" spans="1:609" ht="14.45" x14ac:dyDescent="0.35">
      <c r="A10">
        <v>2011</v>
      </c>
      <c r="B10">
        <v>3.7956999999999998E-2</v>
      </c>
      <c r="C10">
        <v>104.773</v>
      </c>
      <c r="D10">
        <v>3.1565999999999997E-2</v>
      </c>
      <c r="E10">
        <v>8.9860999999999996E-2</v>
      </c>
      <c r="F10">
        <v>-2.833E-3</v>
      </c>
      <c r="G10">
        <v>-2.1496999999999999E-2</v>
      </c>
      <c r="H10">
        <v>-1.6954E-2</v>
      </c>
      <c r="I10">
        <v>1.7051E-2</v>
      </c>
      <c r="J10">
        <v>2.0596E-2</v>
      </c>
      <c r="K10">
        <v>7.6189999999999999E-3</v>
      </c>
      <c r="L10">
        <v>1.2976E-2</v>
      </c>
      <c r="M10">
        <v>8.1580000000000003E-3</v>
      </c>
      <c r="N10">
        <v>0</v>
      </c>
      <c r="O10">
        <v>-3.7218000000000001E-2</v>
      </c>
      <c r="P10">
        <v>-2.0960000000000002E-3</v>
      </c>
      <c r="Q10">
        <v>-1.4499519999999999</v>
      </c>
      <c r="R10">
        <v>90.827169999999995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0.127</v>
      </c>
      <c r="Z10">
        <v>0.562446</v>
      </c>
      <c r="AA10">
        <v>3.21E-4</v>
      </c>
      <c r="AB10">
        <v>-3.0539999999999999E-3</v>
      </c>
      <c r="AC10">
        <v>4.3327999999999998E-2</v>
      </c>
      <c r="AD10">
        <v>0</v>
      </c>
      <c r="AE10">
        <v>250.048</v>
      </c>
      <c r="AF10">
        <v>264.685</v>
      </c>
      <c r="AG10">
        <v>43.3874</v>
      </c>
      <c r="AH10">
        <v>18.33079</v>
      </c>
      <c r="AI10">
        <v>-2.1599999999999999E-4</v>
      </c>
      <c r="AJ10">
        <v>0.11203399999999999</v>
      </c>
      <c r="AK10">
        <v>108.3259</v>
      </c>
      <c r="AL10">
        <v>2.2455310000000002</v>
      </c>
      <c r="AM10">
        <v>0.103161</v>
      </c>
      <c r="AN10">
        <v>99.746520000000004</v>
      </c>
      <c r="AO10">
        <v>2.067685</v>
      </c>
      <c r="AP10">
        <v>71.712810000000005</v>
      </c>
      <c r="AQ10">
        <v>66.033150000000006</v>
      </c>
      <c r="AR10">
        <v>163.53550000000001</v>
      </c>
      <c r="AS10">
        <v>1.161619</v>
      </c>
      <c r="AT10">
        <v>360.00240000000002</v>
      </c>
      <c r="AU10">
        <v>48.157699999999998</v>
      </c>
      <c r="AV10">
        <v>4.3494869999999999</v>
      </c>
      <c r="AW10">
        <v>4.3333000000000003E-2</v>
      </c>
      <c r="AX10">
        <v>1.6945000000000002E-2</v>
      </c>
      <c r="AY10">
        <v>5.1145999999999997E-2</v>
      </c>
      <c r="AZ10">
        <v>8.3660000000000002E-3</v>
      </c>
      <c r="BA10">
        <v>1.8551000000000002E-2</v>
      </c>
      <c r="BB10">
        <v>2.3354E-2</v>
      </c>
      <c r="BC10">
        <v>2.1229999999999999E-2</v>
      </c>
      <c r="BD10">
        <v>2.2197999999999999E-2</v>
      </c>
      <c r="BE10">
        <v>4.3111999999999998E-2</v>
      </c>
      <c r="BF10">
        <v>4.5892000000000002E-2</v>
      </c>
      <c r="BG10">
        <v>1.6788999999999998E-2</v>
      </c>
      <c r="BH10">
        <v>1.17E-2</v>
      </c>
      <c r="BI10">
        <v>2.9527000000000001E-2</v>
      </c>
      <c r="BJ10">
        <v>2.4684000000000001E-2</v>
      </c>
      <c r="BK10">
        <v>-1.227E-3</v>
      </c>
      <c r="BL10">
        <v>6.2049999999999996E-3</v>
      </c>
      <c r="BM10">
        <v>6.875E-3</v>
      </c>
      <c r="BN10">
        <v>-9.5430000000000001E-2</v>
      </c>
      <c r="BO10">
        <v>1.1362000000000001E-2</v>
      </c>
      <c r="BP10">
        <v>2.8844999999999999E-2</v>
      </c>
      <c r="BQ10">
        <v>4.0559999999999997E-3</v>
      </c>
      <c r="BR10">
        <v>-2.8704239999999999</v>
      </c>
      <c r="BS10">
        <v>-1.7032890000000001</v>
      </c>
      <c r="BT10">
        <v>-87.709519999999998</v>
      </c>
      <c r="BU10">
        <v>-1.7987629999999999</v>
      </c>
      <c r="BV10">
        <v>6.2639690000000003</v>
      </c>
      <c r="BW10">
        <v>2.8314189999999999</v>
      </c>
      <c r="BX10">
        <v>-5.9186040000000002</v>
      </c>
      <c r="BY10">
        <v>33.010219999999997</v>
      </c>
      <c r="BZ10">
        <v>-16.4816</v>
      </c>
      <c r="CA10">
        <v>3.9201999999999999</v>
      </c>
      <c r="CB10">
        <v>13.112349999999999</v>
      </c>
      <c r="CC10">
        <v>-9.2194450000000003</v>
      </c>
      <c r="CD10">
        <v>3.4672000000000001E-2</v>
      </c>
      <c r="CE10">
        <v>13.14134</v>
      </c>
      <c r="CF10">
        <v>7.7266440000000003</v>
      </c>
      <c r="CG10">
        <v>18.881799999999998</v>
      </c>
      <c r="CH10">
        <v>-1.1192800000000001</v>
      </c>
      <c r="CI10">
        <v>1.5734999999999999E-2</v>
      </c>
      <c r="CJ10">
        <v>4.0528000000000002E-2</v>
      </c>
      <c r="CK10">
        <v>5.1570000000000001E-3</v>
      </c>
      <c r="CL10">
        <v>1.6863E-2</v>
      </c>
      <c r="CM10">
        <v>1.7967E-2</v>
      </c>
      <c r="CN10">
        <v>1.7101999999999999E-2</v>
      </c>
      <c r="CO10">
        <v>1.5986E-2</v>
      </c>
      <c r="CP10">
        <v>2.1392999999999999E-2</v>
      </c>
      <c r="CQ10">
        <v>3.0689000000000001E-2</v>
      </c>
      <c r="CR10">
        <v>1.1637E-2</v>
      </c>
      <c r="CS10">
        <v>9.6410000000000003E-3</v>
      </c>
      <c r="CT10">
        <v>2.1859E-2</v>
      </c>
      <c r="CU10">
        <v>1.8641000000000001E-2</v>
      </c>
      <c r="CV10">
        <v>1.1280000000000001E-3</v>
      </c>
      <c r="CW10">
        <v>5.7359999999999998E-3</v>
      </c>
      <c r="CX10">
        <v>8.4749999999999999E-3</v>
      </c>
      <c r="CY10">
        <v>-5.3524000000000002E-2</v>
      </c>
      <c r="CZ10">
        <v>8.8979999999999997E-3</v>
      </c>
      <c r="DA10">
        <v>2.5838E-2</v>
      </c>
      <c r="DB10">
        <v>4.496E-3</v>
      </c>
      <c r="DC10">
        <v>-1.190939</v>
      </c>
      <c r="DD10">
        <v>-0.45658199999999999</v>
      </c>
      <c r="DE10">
        <v>13.076700000000001</v>
      </c>
      <c r="DF10">
        <v>-1.073285</v>
      </c>
      <c r="DG10">
        <v>-7.5051269999999999</v>
      </c>
      <c r="DH10">
        <v>1.634352</v>
      </c>
      <c r="DI10">
        <v>-3.7392799999999999</v>
      </c>
      <c r="DJ10">
        <v>21.23696</v>
      </c>
      <c r="DK10">
        <v>-11.250719999999999</v>
      </c>
      <c r="DL10">
        <v>2.6408640000000001</v>
      </c>
      <c r="DM10">
        <v>8.6365549999999995</v>
      </c>
      <c r="DN10">
        <v>-0.94007099999999999</v>
      </c>
      <c r="DO10">
        <v>2.6363000000000001E-2</v>
      </c>
      <c r="DP10">
        <v>8.8728239999999996</v>
      </c>
      <c r="DQ10">
        <v>5.3337000000000003</v>
      </c>
      <c r="DR10">
        <v>12.790229999999999</v>
      </c>
      <c r="DS10">
        <v>-0.77732900000000005</v>
      </c>
      <c r="DT10">
        <v>4.8500000000000003E-4</v>
      </c>
      <c r="DU10">
        <v>4.6738000000000002E-2</v>
      </c>
      <c r="DV10">
        <v>8.3100000000000003E-4</v>
      </c>
      <c r="DW10">
        <v>4.7268999999999999E-2</v>
      </c>
      <c r="DX10">
        <v>4.7518999999999999E-2</v>
      </c>
      <c r="DY10">
        <v>4.7604E-2</v>
      </c>
      <c r="DZ10">
        <v>4.7820000000000001E-2</v>
      </c>
      <c r="EA10">
        <v>4.9034000000000001E-2</v>
      </c>
      <c r="EB10">
        <v>4.8280000000000003E-2</v>
      </c>
      <c r="EC10">
        <v>0</v>
      </c>
      <c r="ED10">
        <v>4.9081E-2</v>
      </c>
      <c r="EE10">
        <v>4.7980000000000002E-2</v>
      </c>
      <c r="EF10">
        <v>5.4850000000000003E-3</v>
      </c>
      <c r="EG10">
        <v>0</v>
      </c>
      <c r="EH10">
        <v>0</v>
      </c>
      <c r="EI10">
        <v>4.7946000000000003E-2</v>
      </c>
      <c r="EJ10">
        <v>5.1193000000000002E-2</v>
      </c>
      <c r="EK10">
        <v>1.0679999999999999E-3</v>
      </c>
      <c r="EL10">
        <v>4.6371000000000002E-2</v>
      </c>
      <c r="EM10">
        <v>4.6753000000000003E-2</v>
      </c>
      <c r="EN10">
        <v>2.0960000000000002E-3</v>
      </c>
      <c r="EO10">
        <v>-0.152064</v>
      </c>
      <c r="EP10">
        <v>9.1863E-2</v>
      </c>
      <c r="EQ10">
        <v>1.755E-3</v>
      </c>
      <c r="ER10">
        <v>6.203195</v>
      </c>
      <c r="ES10">
        <v>72.072379999999995</v>
      </c>
      <c r="ET10">
        <v>2.1551179999999999</v>
      </c>
      <c r="EU10">
        <v>30.958459999999999</v>
      </c>
      <c r="EV10">
        <v>0.49537399999999998</v>
      </c>
      <c r="EW10">
        <v>1.809833</v>
      </c>
      <c r="EX10">
        <v>2.2855880000000002</v>
      </c>
      <c r="EY10">
        <v>0.72165900000000005</v>
      </c>
      <c r="EZ10">
        <v>9.5642000000000005E-2</v>
      </c>
      <c r="FA10">
        <v>4.8777200000000001</v>
      </c>
      <c r="FB10">
        <v>1.5650440000000001</v>
      </c>
      <c r="FC10">
        <v>32.841299999999997</v>
      </c>
      <c r="FD10">
        <v>9.0290359999999996</v>
      </c>
      <c r="FE10">
        <v>0.54531799999999997</v>
      </c>
      <c r="FF10">
        <v>0.84032600000000002</v>
      </c>
      <c r="FG10">
        <v>1.510799</v>
      </c>
      <c r="FH10">
        <v>0.33970600000000001</v>
      </c>
      <c r="FI10">
        <v>6.2043179999999998</v>
      </c>
      <c r="FJ10">
        <v>71.623000000000005</v>
      </c>
      <c r="FK10">
        <v>2.5697719999999999</v>
      </c>
      <c r="FL10">
        <v>30.500229999999998</v>
      </c>
      <c r="FM10">
        <v>0.44335200000000002</v>
      </c>
      <c r="FN10">
        <v>1.8531679999999999</v>
      </c>
      <c r="FO10">
        <v>2.1655679999999999</v>
      </c>
      <c r="FP10">
        <v>0.95066899999999999</v>
      </c>
      <c r="FQ10">
        <v>8.0688999999999997E-2</v>
      </c>
      <c r="FR10">
        <v>5.0653110000000003</v>
      </c>
      <c r="FS10">
        <v>1.7625440000000001</v>
      </c>
      <c r="FT10">
        <v>32.412210000000002</v>
      </c>
      <c r="FU10">
        <v>9.040718</v>
      </c>
      <c r="FV10">
        <v>0.61700299999999997</v>
      </c>
      <c r="FW10">
        <v>0.90759599999999996</v>
      </c>
      <c r="FX10">
        <v>1.7986260000000001</v>
      </c>
      <c r="FY10">
        <v>0.33612199999999998</v>
      </c>
      <c r="FZ10">
        <v>4.5236130000000001</v>
      </c>
      <c r="GA10">
        <v>58.852690000000003</v>
      </c>
      <c r="GB10">
        <v>2.1551179999999999</v>
      </c>
      <c r="GC10">
        <v>27.01718</v>
      </c>
      <c r="GD10">
        <v>0.432309</v>
      </c>
      <c r="GE10">
        <v>1.5794250000000001</v>
      </c>
      <c r="GF10">
        <v>1.994613</v>
      </c>
      <c r="GG10">
        <v>0.62978599999999996</v>
      </c>
      <c r="GH10">
        <v>8.3465999999999999E-2</v>
      </c>
      <c r="GI10">
        <v>4.2567430000000002</v>
      </c>
      <c r="GJ10">
        <v>1.3657999999999999</v>
      </c>
      <c r="GK10">
        <v>31.27581</v>
      </c>
      <c r="GL10">
        <v>9.0290359999999996</v>
      </c>
      <c r="GM10">
        <v>0.54531799999999997</v>
      </c>
      <c r="GN10">
        <v>0.84032600000000002</v>
      </c>
      <c r="GO10">
        <v>1.510799</v>
      </c>
      <c r="GP10">
        <v>0.33970600000000001</v>
      </c>
      <c r="GQ10">
        <v>4.524546</v>
      </c>
      <c r="GR10">
        <v>58.399679999999996</v>
      </c>
      <c r="GS10">
        <v>2.5697719999999999</v>
      </c>
      <c r="GT10">
        <v>26.618390000000002</v>
      </c>
      <c r="GU10">
        <v>0.38692599999999999</v>
      </c>
      <c r="GV10">
        <v>1.6173109999999999</v>
      </c>
      <c r="GW10">
        <v>1.8899509999999999</v>
      </c>
      <c r="GX10">
        <v>0.82967500000000005</v>
      </c>
      <c r="GY10">
        <v>7.0418999999999995E-2</v>
      </c>
      <c r="GZ10">
        <v>4.420636</v>
      </c>
      <c r="HA10">
        <v>1.5382210000000001</v>
      </c>
      <c r="HB10">
        <v>30.84629</v>
      </c>
      <c r="HC10">
        <v>9.040718</v>
      </c>
      <c r="HD10">
        <v>0.61700299999999997</v>
      </c>
      <c r="HE10">
        <v>0.90759599999999996</v>
      </c>
      <c r="HF10">
        <v>1.7986260000000001</v>
      </c>
      <c r="HG10">
        <v>0.33612199999999998</v>
      </c>
      <c r="HH10">
        <v>4.6052010000000001</v>
      </c>
      <c r="HI10">
        <v>63.257449999999999</v>
      </c>
      <c r="HJ10">
        <v>2.1551179999999999</v>
      </c>
      <c r="HK10">
        <v>111.7619</v>
      </c>
      <c r="HL10">
        <v>1.0700160000000001</v>
      </c>
      <c r="HM10">
        <v>3.909268</v>
      </c>
      <c r="HN10">
        <v>4.9369069999999997</v>
      </c>
      <c r="HO10">
        <v>0.78016700000000005</v>
      </c>
      <c r="HP10">
        <v>0.103396</v>
      </c>
      <c r="HQ10">
        <v>5.2731769999999996</v>
      </c>
      <c r="HR10">
        <v>4.5744730000000002</v>
      </c>
      <c r="HS10">
        <v>31.4907</v>
      </c>
      <c r="HT10">
        <v>9.1640750000000004</v>
      </c>
      <c r="HU10">
        <v>0.55347400000000002</v>
      </c>
      <c r="HV10">
        <v>0.85289400000000004</v>
      </c>
      <c r="HW10">
        <v>1.5333950000000001</v>
      </c>
      <c r="HX10">
        <v>0.34478700000000001</v>
      </c>
      <c r="HY10">
        <v>4.582802</v>
      </c>
      <c r="HZ10">
        <v>62.285420000000002</v>
      </c>
      <c r="IA10">
        <v>2.5697719999999999</v>
      </c>
      <c r="IB10">
        <v>110.10760000000001</v>
      </c>
      <c r="IC10">
        <v>0.95764800000000005</v>
      </c>
      <c r="ID10">
        <v>4.0028730000000001</v>
      </c>
      <c r="IE10">
        <v>4.6776609999999996</v>
      </c>
      <c r="IF10">
        <v>1.027744</v>
      </c>
      <c r="IG10">
        <v>8.7231000000000003E-2</v>
      </c>
      <c r="IH10">
        <v>5.4759770000000003</v>
      </c>
      <c r="II10">
        <v>5.1517470000000003</v>
      </c>
      <c r="IJ10">
        <v>31.058229999999998</v>
      </c>
      <c r="IK10">
        <v>9.1759330000000006</v>
      </c>
      <c r="IL10">
        <v>0.62623099999999998</v>
      </c>
      <c r="IM10">
        <v>0.92117000000000004</v>
      </c>
      <c r="IN10">
        <v>1.8255269999999999</v>
      </c>
      <c r="IO10">
        <v>0.34115000000000001</v>
      </c>
      <c r="IP10">
        <v>3.9047860000000001</v>
      </c>
      <c r="IQ10">
        <v>4.2833709999999998</v>
      </c>
      <c r="IR10">
        <v>0.84504100000000004</v>
      </c>
      <c r="IS10">
        <v>1.5120070000000001</v>
      </c>
      <c r="IT10">
        <v>3.2552680000000001</v>
      </c>
      <c r="IU10">
        <v>3.389885</v>
      </c>
      <c r="IV10">
        <v>4.2376740000000002</v>
      </c>
      <c r="IW10">
        <v>4.794746</v>
      </c>
      <c r="IX10">
        <v>0.62544599999999995</v>
      </c>
      <c r="IY10">
        <v>4.773269</v>
      </c>
      <c r="IZ10">
        <v>1.454933</v>
      </c>
      <c r="JA10">
        <v>6.5889499999999996</v>
      </c>
      <c r="JB10">
        <v>0.33223399999999997</v>
      </c>
      <c r="JC10">
        <v>1.0339020000000001</v>
      </c>
      <c r="JD10">
        <v>0.85031000000000001</v>
      </c>
      <c r="JE10">
        <v>16.0398</v>
      </c>
      <c r="JF10">
        <v>0.32042999999999999</v>
      </c>
      <c r="JG10">
        <v>1.7044140000000001</v>
      </c>
      <c r="JH10">
        <v>17.094200000000001</v>
      </c>
      <c r="JI10">
        <v>5.7587089999999996</v>
      </c>
      <c r="JJ10">
        <v>21.935030000000001</v>
      </c>
      <c r="JK10">
        <v>41.697339999999997</v>
      </c>
      <c r="JL10">
        <v>3.905246</v>
      </c>
      <c r="JM10">
        <v>4.2849339999999998</v>
      </c>
      <c r="JN10">
        <v>0.84502100000000002</v>
      </c>
      <c r="JO10">
        <v>1.512243</v>
      </c>
      <c r="JP10">
        <v>3.2558720000000001</v>
      </c>
      <c r="JQ10">
        <v>3.3904380000000001</v>
      </c>
      <c r="JR10">
        <v>4.238092</v>
      </c>
      <c r="JS10">
        <v>4.7959040000000002</v>
      </c>
      <c r="JT10">
        <v>0.62565000000000004</v>
      </c>
      <c r="JU10">
        <v>4.7737170000000004</v>
      </c>
      <c r="JV10">
        <v>1.4547829999999999</v>
      </c>
      <c r="JW10">
        <v>6.5903210000000003</v>
      </c>
      <c r="JX10">
        <v>0.33230199999999999</v>
      </c>
      <c r="JY10">
        <v>1.033792</v>
      </c>
      <c r="JZ10">
        <v>0.850379</v>
      </c>
      <c r="KA10">
        <v>16.041229999999999</v>
      </c>
      <c r="KB10">
        <v>0.32021300000000003</v>
      </c>
      <c r="KC10">
        <v>1.7046049999999999</v>
      </c>
      <c r="KD10">
        <v>17.097349999999999</v>
      </c>
      <c r="KE10">
        <v>5.7583640000000003</v>
      </c>
      <c r="KF10">
        <v>21.9068</v>
      </c>
      <c r="KG10">
        <v>41.69462</v>
      </c>
      <c r="KH10">
        <v>1206.4069999999999</v>
      </c>
      <c r="KI10">
        <v>3757.424</v>
      </c>
      <c r="KJ10">
        <v>5286.5190000000002</v>
      </c>
      <c r="KK10">
        <v>5681.4049999999997</v>
      </c>
      <c r="KL10">
        <v>10243.65</v>
      </c>
      <c r="KM10">
        <v>3416.41</v>
      </c>
      <c r="KN10">
        <v>1469.463</v>
      </c>
      <c r="KO10">
        <v>0</v>
      </c>
      <c r="KP10">
        <v>30896.47</v>
      </c>
      <c r="KQ10">
        <v>164.81030000000001</v>
      </c>
      <c r="KR10">
        <v>0</v>
      </c>
      <c r="KS10">
        <v>1277.6559999999999</v>
      </c>
      <c r="KT10">
        <v>3740.48</v>
      </c>
      <c r="KU10">
        <v>5270.1379999999999</v>
      </c>
      <c r="KV10">
        <v>5666.2830000000004</v>
      </c>
      <c r="KW10">
        <v>10229.81</v>
      </c>
      <c r="KX10">
        <v>3407.4459999999999</v>
      </c>
      <c r="KY10">
        <v>1469.463</v>
      </c>
      <c r="KZ10">
        <v>0</v>
      </c>
      <c r="LA10">
        <v>30825.94</v>
      </c>
      <c r="LB10">
        <v>235.3365</v>
      </c>
      <c r="LC10">
        <v>0</v>
      </c>
      <c r="LD10">
        <v>16207418</v>
      </c>
      <c r="LE10" s="21">
        <v>102000000</v>
      </c>
      <c r="LF10" s="21">
        <v>427000000</v>
      </c>
      <c r="LG10" s="21">
        <v>651000000</v>
      </c>
      <c r="LH10" s="21">
        <v>736000000</v>
      </c>
      <c r="LI10" s="21">
        <v>388000000</v>
      </c>
      <c r="LJ10" s="21">
        <v>158000000</v>
      </c>
      <c r="LK10" s="21">
        <v>1.7099999999999999E-6</v>
      </c>
      <c r="LL10" s="21">
        <v>3.27E-6</v>
      </c>
      <c r="LM10" s="21">
        <v>6.0299999999999999E-6</v>
      </c>
      <c r="LN10" s="21">
        <v>1.2500000000000001E-5</v>
      </c>
      <c r="LO10" s="21">
        <v>1.8600000000000001E-5</v>
      </c>
      <c r="LP10" s="21">
        <v>2.6400000000000001E-5</v>
      </c>
      <c r="LQ10" s="21">
        <v>3.8800000000000001E-5</v>
      </c>
      <c r="LR10">
        <v>16210117</v>
      </c>
      <c r="LS10" s="21">
        <v>102000000</v>
      </c>
      <c r="LT10" s="21">
        <v>427000000</v>
      </c>
      <c r="LU10" s="21">
        <v>651000000</v>
      </c>
      <c r="LV10" s="21">
        <v>736000000</v>
      </c>
      <c r="LW10" s="21">
        <v>388000000</v>
      </c>
      <c r="LX10" s="21">
        <v>158000000</v>
      </c>
      <c r="LY10" s="21">
        <v>1.7099999999999999E-6</v>
      </c>
      <c r="LZ10" s="21">
        <v>3.27E-6</v>
      </c>
      <c r="MA10" s="21">
        <v>6.0299999999999999E-6</v>
      </c>
      <c r="MB10" s="21">
        <v>1.2500000000000001E-5</v>
      </c>
      <c r="MC10" s="21">
        <v>1.8600000000000001E-5</v>
      </c>
      <c r="MD10" s="21">
        <v>2.6400000000000001E-5</v>
      </c>
      <c r="ME10" s="21">
        <v>3.8800000000000001E-5</v>
      </c>
      <c r="MF10">
        <v>0.17988799999999999</v>
      </c>
      <c r="MG10">
        <v>0.30515199999999998</v>
      </c>
      <c r="MH10">
        <v>0.25357800000000003</v>
      </c>
      <c r="MI10">
        <v>0.16408200000000001</v>
      </c>
      <c r="MJ10">
        <v>8.9198E-2</v>
      </c>
      <c r="MK10">
        <v>7.633E-3</v>
      </c>
      <c r="ML10">
        <v>4.6900000000000002E-4</v>
      </c>
      <c r="MM10">
        <v>0.228633</v>
      </c>
      <c r="MN10">
        <v>0.36578300000000002</v>
      </c>
      <c r="MO10">
        <v>0.27193899999999999</v>
      </c>
      <c r="MP10">
        <v>0.152139</v>
      </c>
      <c r="MQ10">
        <v>7.9751000000000002E-2</v>
      </c>
      <c r="MR10">
        <v>3.0019999999999999E-3</v>
      </c>
      <c r="MS10">
        <v>-0.101248</v>
      </c>
      <c r="MT10">
        <v>0.190772</v>
      </c>
      <c r="MU10">
        <v>0.30251</v>
      </c>
      <c r="MV10">
        <v>0.25108799999999998</v>
      </c>
      <c r="MW10">
        <v>0.16181699999999999</v>
      </c>
      <c r="MX10">
        <v>8.7112999999999996E-2</v>
      </c>
      <c r="MY10">
        <v>6.2310000000000004E-3</v>
      </c>
      <c r="MZ10">
        <v>4.6900000000000002E-4</v>
      </c>
      <c r="NA10">
        <v>0.24354999999999999</v>
      </c>
      <c r="NB10">
        <v>0.36325299999999999</v>
      </c>
      <c r="NC10">
        <v>0.26941999999999999</v>
      </c>
      <c r="ND10">
        <v>0.14962900000000001</v>
      </c>
      <c r="NE10">
        <v>7.7257000000000006E-2</v>
      </c>
      <c r="NF10">
        <v>5.2700000000000002E-4</v>
      </c>
      <c r="NG10">
        <v>-0.10363600000000001</v>
      </c>
      <c r="NH10">
        <v>3.3790000000000001E-3</v>
      </c>
      <c r="NI10">
        <v>3.441E-3</v>
      </c>
      <c r="NJ10">
        <v>1.2383E-2</v>
      </c>
      <c r="NK10">
        <v>1.789E-2</v>
      </c>
      <c r="NL10">
        <v>1.9518000000000001E-2</v>
      </c>
      <c r="NM10">
        <v>5.0259999999999999E-2</v>
      </c>
      <c r="NN10">
        <v>3.3790000000000001E-3</v>
      </c>
      <c r="NO10">
        <v>3.441E-3</v>
      </c>
      <c r="NP10">
        <v>1.2383E-2</v>
      </c>
      <c r="NQ10">
        <v>1.789E-2</v>
      </c>
      <c r="NR10">
        <v>1.9518000000000001E-2</v>
      </c>
      <c r="NS10">
        <v>5.0259999999999999E-2</v>
      </c>
      <c r="NT10">
        <v>3.3860000000000001E-3</v>
      </c>
      <c r="NU10">
        <v>3.4480000000000001E-3</v>
      </c>
      <c r="NV10">
        <v>1.239E-2</v>
      </c>
      <c r="NW10">
        <v>1.7892999999999999E-2</v>
      </c>
      <c r="NX10">
        <v>1.9519000000000002E-2</v>
      </c>
      <c r="NY10">
        <v>5.0261E-2</v>
      </c>
      <c r="NZ10">
        <v>3.3860000000000001E-3</v>
      </c>
      <c r="OA10">
        <v>3.4480000000000001E-3</v>
      </c>
      <c r="OB10">
        <v>1.239E-2</v>
      </c>
      <c r="OC10">
        <v>1.7892999999999999E-2</v>
      </c>
      <c r="OD10">
        <v>1.9519000000000002E-2</v>
      </c>
      <c r="OE10">
        <v>5.0261E-2</v>
      </c>
      <c r="OF10">
        <v>57.929279999999999</v>
      </c>
      <c r="OG10">
        <v>39691.49</v>
      </c>
      <c r="OH10">
        <v>17774.2</v>
      </c>
      <c r="OI10">
        <v>9596.902</v>
      </c>
      <c r="OJ10">
        <v>57.930489999999999</v>
      </c>
      <c r="OK10">
        <v>39631.129999999997</v>
      </c>
      <c r="OL10">
        <v>17790.53</v>
      </c>
      <c r="OM10">
        <v>9597.07</v>
      </c>
      <c r="ON10">
        <v>1196097</v>
      </c>
      <c r="OO10">
        <v>1196211</v>
      </c>
      <c r="OP10">
        <v>9163.5849999999991</v>
      </c>
      <c r="OQ10">
        <v>4697.9719999999998</v>
      </c>
      <c r="OR10">
        <v>4294.607</v>
      </c>
      <c r="OS10">
        <v>388.98700000000002</v>
      </c>
      <c r="OT10">
        <v>1246.703</v>
      </c>
      <c r="OU10">
        <v>971.93669999999997</v>
      </c>
      <c r="OV10">
        <v>243.31319999999999</v>
      </c>
      <c r="OW10">
        <v>955.28229999999996</v>
      </c>
      <c r="OX10">
        <v>1047.5899999999999</v>
      </c>
      <c r="OY10">
        <v>856.2491</v>
      </c>
      <c r="OZ10">
        <v>463.70670000000001</v>
      </c>
      <c r="PA10">
        <v>15626.7</v>
      </c>
      <c r="PB10">
        <v>5712.5810000000001</v>
      </c>
      <c r="PC10">
        <v>1064.0250000000001</v>
      </c>
      <c r="PD10">
        <v>1779.3789999999999</v>
      </c>
      <c r="PE10">
        <v>4921.4840000000004</v>
      </c>
      <c r="PF10">
        <v>1085.9100000000001</v>
      </c>
      <c r="PG10">
        <v>2006.0740000000001</v>
      </c>
      <c r="PH10">
        <v>151409.9</v>
      </c>
      <c r="PI10">
        <v>65076.36</v>
      </c>
      <c r="PJ10">
        <v>1.687138</v>
      </c>
      <c r="PK10">
        <v>614.48329999999999</v>
      </c>
      <c r="PL10">
        <v>89.163870000000003</v>
      </c>
      <c r="PM10">
        <v>1332.67</v>
      </c>
      <c r="PN10">
        <v>492.49720000000002</v>
      </c>
      <c r="PO10">
        <v>151.65260000000001</v>
      </c>
      <c r="PP10">
        <v>256.03879999999998</v>
      </c>
      <c r="PQ10">
        <v>430.56599999999997</v>
      </c>
      <c r="PR10">
        <v>94.928089999999997</v>
      </c>
      <c r="PS10">
        <v>564.64279999999997</v>
      </c>
      <c r="PT10">
        <v>902.86469999999997</v>
      </c>
      <c r="PU10">
        <v>500.7373</v>
      </c>
      <c r="PV10">
        <v>895.38620000000003</v>
      </c>
      <c r="PW10">
        <v>48.779350000000001</v>
      </c>
      <c r="PX10">
        <v>127.7324</v>
      </c>
      <c r="PY10">
        <v>552.82129999999995</v>
      </c>
      <c r="PZ10">
        <v>139.78450000000001</v>
      </c>
      <c r="QA10">
        <v>280208.8</v>
      </c>
      <c r="QB10">
        <v>6464.4120000000003</v>
      </c>
      <c r="QC10">
        <v>69910.429999999993</v>
      </c>
      <c r="QD10">
        <v>6121.0680000000002</v>
      </c>
      <c r="QE10">
        <v>11800.25</v>
      </c>
      <c r="QF10">
        <v>11627.83</v>
      </c>
      <c r="QG10">
        <v>8621.2049999999999</v>
      </c>
      <c r="QH10">
        <v>6529.951</v>
      </c>
      <c r="QI10">
        <v>793.62919999999997</v>
      </c>
      <c r="QJ10">
        <v>64.391360000000006</v>
      </c>
      <c r="QK10">
        <v>9165.027</v>
      </c>
      <c r="QL10">
        <v>4699.8760000000002</v>
      </c>
      <c r="QM10">
        <v>4294.8289999999997</v>
      </c>
      <c r="QN10">
        <v>389.05259999999998</v>
      </c>
      <c r="QO10">
        <v>1246.9269999999999</v>
      </c>
      <c r="QP10">
        <v>972.10289999999998</v>
      </c>
      <c r="QQ10">
        <v>243.35210000000001</v>
      </c>
      <c r="QR10">
        <v>955.48670000000004</v>
      </c>
      <c r="QS10">
        <v>1047.9110000000001</v>
      </c>
      <c r="QT10">
        <v>856.34870000000001</v>
      </c>
      <c r="QU10">
        <v>463.75139999999999</v>
      </c>
      <c r="QV10">
        <v>15630.12</v>
      </c>
      <c r="QW10">
        <v>5713.6459999999997</v>
      </c>
      <c r="QX10">
        <v>1064.037</v>
      </c>
      <c r="QY10">
        <v>1779.481</v>
      </c>
      <c r="QZ10">
        <v>4921.9009999999998</v>
      </c>
      <c r="RA10">
        <v>1085.328</v>
      </c>
      <c r="RB10">
        <v>2006.2529999999999</v>
      </c>
      <c r="RC10">
        <v>151449.1</v>
      </c>
      <c r="RD10">
        <v>65079.28</v>
      </c>
      <c r="RE10">
        <v>1.667046</v>
      </c>
      <c r="RF10">
        <v>611.67759999999998</v>
      </c>
      <c r="RG10">
        <v>100.8236</v>
      </c>
      <c r="RH10">
        <v>1318.366</v>
      </c>
      <c r="RI10">
        <v>455.53469999999999</v>
      </c>
      <c r="RJ10">
        <v>154.1311</v>
      </c>
      <c r="RK10">
        <v>246.4648</v>
      </c>
      <c r="RL10">
        <v>522.00509999999997</v>
      </c>
      <c r="RM10">
        <v>84.248000000000005</v>
      </c>
      <c r="RN10">
        <v>579.55430000000001</v>
      </c>
      <c r="RO10">
        <v>980.84109999999998</v>
      </c>
      <c r="RP10">
        <v>496.03</v>
      </c>
      <c r="RQ10">
        <v>895.62220000000002</v>
      </c>
      <c r="RR10">
        <v>53.10745</v>
      </c>
      <c r="RS10">
        <v>134.5453</v>
      </c>
      <c r="RT10">
        <v>623.52840000000003</v>
      </c>
      <c r="RU10">
        <v>138.6979</v>
      </c>
      <c r="RV10">
        <v>280460.59999999998</v>
      </c>
      <c r="RW10">
        <v>6465.893</v>
      </c>
      <c r="RX10">
        <v>69909.87</v>
      </c>
      <c r="RY10">
        <v>6491.0339999999997</v>
      </c>
      <c r="RZ10">
        <v>11697.43</v>
      </c>
      <c r="SA10">
        <v>11512.95</v>
      </c>
      <c r="SB10">
        <v>8501.6839999999993</v>
      </c>
      <c r="SC10">
        <v>6376.9560000000001</v>
      </c>
      <c r="SD10">
        <v>647.79300000000001</v>
      </c>
      <c r="SE10">
        <v>64.387550000000005</v>
      </c>
      <c r="SF10">
        <v>36645.040000000001</v>
      </c>
      <c r="SG10">
        <v>57.929279999999999</v>
      </c>
      <c r="SH10">
        <v>9265.73</v>
      </c>
      <c r="SI10">
        <v>17724.48</v>
      </c>
      <c r="SJ10">
        <v>9596.902</v>
      </c>
      <c r="SK10">
        <v>36640.85</v>
      </c>
      <c r="SL10">
        <v>57.930489999999999</v>
      </c>
      <c r="SM10">
        <v>9266.2919999999995</v>
      </c>
      <c r="SN10">
        <v>17719.560000000001</v>
      </c>
      <c r="SO10">
        <v>9597.0709999999999</v>
      </c>
      <c r="SP10">
        <v>97817.61</v>
      </c>
      <c r="SQ10">
        <v>80065.19</v>
      </c>
      <c r="SR10">
        <v>97828.57</v>
      </c>
      <c r="SS10">
        <v>79691.509999999995</v>
      </c>
      <c r="ST10">
        <v>41.697339999999997</v>
      </c>
      <c r="SU10">
        <v>0.34890900000000002</v>
      </c>
      <c r="SV10">
        <v>6.6688789999999996</v>
      </c>
      <c r="SW10">
        <v>12.654870000000001</v>
      </c>
      <c r="SX10">
        <v>22.02468</v>
      </c>
      <c r="SY10">
        <v>41.69462</v>
      </c>
      <c r="SZ10">
        <v>0.348916</v>
      </c>
      <c r="TA10">
        <v>6.6692830000000001</v>
      </c>
      <c r="TB10">
        <v>12.65136</v>
      </c>
      <c r="TC10">
        <v>22.025069999999999</v>
      </c>
      <c r="TD10">
        <v>24602.32</v>
      </c>
      <c r="TE10">
        <v>814.91769999999997</v>
      </c>
      <c r="TF10">
        <v>469.81580000000002</v>
      </c>
      <c r="TG10">
        <v>215.1969</v>
      </c>
      <c r="TH10">
        <v>48.819499999999998</v>
      </c>
      <c r="TI10">
        <v>102.3092</v>
      </c>
      <c r="TJ10">
        <v>82.3459</v>
      </c>
      <c r="TK10">
        <v>25.23507</v>
      </c>
      <c r="TL10">
        <v>29.671489999999999</v>
      </c>
      <c r="TM10">
        <v>161.80350000000001</v>
      </c>
      <c r="TN10">
        <v>40.864510000000003</v>
      </c>
      <c r="TO10">
        <v>25.387889999999999</v>
      </c>
      <c r="TP10">
        <v>1958.568</v>
      </c>
      <c r="TQ10">
        <v>1961.0329999999999</v>
      </c>
      <c r="TR10">
        <v>98.392650000000003</v>
      </c>
      <c r="TS10">
        <v>181.4734</v>
      </c>
      <c r="TT10">
        <v>406.84129999999999</v>
      </c>
      <c r="TU10">
        <v>41.58229</v>
      </c>
      <c r="TV10">
        <v>72.497339999999994</v>
      </c>
      <c r="TW10">
        <v>11626.22</v>
      </c>
      <c r="TX10">
        <v>6101.7250000000004</v>
      </c>
      <c r="TY10">
        <v>0.541709</v>
      </c>
      <c r="TZ10">
        <v>11.91719</v>
      </c>
      <c r="UA10">
        <v>5.8642960000000004</v>
      </c>
      <c r="UB10">
        <v>64.983999999999995</v>
      </c>
      <c r="UC10">
        <v>0.80637199999999998</v>
      </c>
      <c r="UD10">
        <v>2.5792890000000002</v>
      </c>
      <c r="UE10">
        <v>4.7934450000000002</v>
      </c>
      <c r="UF10">
        <v>1.652728</v>
      </c>
      <c r="UG10">
        <v>0.87007699999999999</v>
      </c>
      <c r="UH10">
        <v>11.306430000000001</v>
      </c>
      <c r="UI10">
        <v>5.2051160000000003</v>
      </c>
      <c r="UJ10">
        <v>17.294640000000001</v>
      </c>
      <c r="UK10">
        <v>6.6070070000000003</v>
      </c>
      <c r="UL10">
        <v>0.46018900000000001</v>
      </c>
      <c r="UM10">
        <v>0.53241300000000003</v>
      </c>
      <c r="UN10">
        <v>1.7988569999999999</v>
      </c>
      <c r="UO10">
        <v>0.40561999999999998</v>
      </c>
      <c r="UP10">
        <v>24606.51</v>
      </c>
      <c r="UQ10">
        <v>815.01679999999999</v>
      </c>
      <c r="UR10">
        <v>469.96280000000002</v>
      </c>
      <c r="US10">
        <v>215.20429999999999</v>
      </c>
      <c r="UT10">
        <v>48.825510000000001</v>
      </c>
      <c r="UU10">
        <v>102.3228</v>
      </c>
      <c r="UV10">
        <v>82.356560000000002</v>
      </c>
      <c r="UW10">
        <v>25.237290000000002</v>
      </c>
      <c r="UX10">
        <v>29.67614</v>
      </c>
      <c r="UY10">
        <v>161.8408</v>
      </c>
      <c r="UZ10">
        <v>40.86739</v>
      </c>
      <c r="VA10">
        <v>25.38888</v>
      </c>
      <c r="VB10">
        <v>1958.8879999999999</v>
      </c>
      <c r="VC10">
        <v>1961.308</v>
      </c>
      <c r="VD10">
        <v>98.392470000000003</v>
      </c>
      <c r="VE10">
        <v>181.4802</v>
      </c>
      <c r="VF10">
        <v>406.86919999999998</v>
      </c>
      <c r="VG10">
        <v>41.565269999999998</v>
      </c>
      <c r="VH10">
        <v>72.502009999999999</v>
      </c>
      <c r="VI10">
        <v>11628.62</v>
      </c>
      <c r="VJ10">
        <v>6101.8869999999997</v>
      </c>
      <c r="VK10">
        <v>0.53247599999999995</v>
      </c>
      <c r="VL10">
        <v>11.876060000000001</v>
      </c>
      <c r="VM10">
        <v>6.4302679999999999</v>
      </c>
      <c r="VN10">
        <v>64.462299999999999</v>
      </c>
      <c r="VO10">
        <v>0.76056299999999999</v>
      </c>
      <c r="VP10">
        <v>2.6109239999999998</v>
      </c>
      <c r="VQ10">
        <v>4.6585179999999999</v>
      </c>
      <c r="VR10">
        <v>1.9095880000000001</v>
      </c>
      <c r="VS10">
        <v>0.79559599999999997</v>
      </c>
      <c r="VT10">
        <v>11.52997</v>
      </c>
      <c r="VU10">
        <v>5.5389210000000002</v>
      </c>
      <c r="VV10">
        <v>17.17267</v>
      </c>
      <c r="VW10">
        <v>6.6083150000000002</v>
      </c>
      <c r="VX10">
        <v>0.49048599999999998</v>
      </c>
      <c r="VY10">
        <v>0.55357100000000004</v>
      </c>
      <c r="VZ10">
        <v>1.968793</v>
      </c>
      <c r="WA10">
        <v>0.40325299999999997</v>
      </c>
      <c r="WB10">
        <v>0.110429</v>
      </c>
      <c r="WC10">
        <v>0.11026</v>
      </c>
      <c r="WD10">
        <v>-2.7869999999999999E-2</v>
      </c>
      <c r="WE10">
        <v>-2.7765000000000001E-2</v>
      </c>
      <c r="WF10">
        <v>0.64226000000000005</v>
      </c>
      <c r="WG10">
        <v>0.64188800000000001</v>
      </c>
      <c r="WH10">
        <v>-2.5191999999999999E-2</v>
      </c>
      <c r="WI10">
        <v>-2.5170999999999999E-2</v>
      </c>
      <c r="WJ10">
        <v>1893007</v>
      </c>
      <c r="WK10">
        <v>1893725</v>
      </c>
    </row>
    <row r="11" spans="1:609" ht="14.45" x14ac:dyDescent="0.35">
      <c r="A11">
        <v>2012</v>
      </c>
      <c r="B11">
        <v>6.6675999999999999E-2</v>
      </c>
      <c r="C11">
        <v>106.25839999999999</v>
      </c>
      <c r="D11">
        <v>4.7107999999999997E-2</v>
      </c>
      <c r="E11">
        <v>0.194935</v>
      </c>
      <c r="F11">
        <v>-5.8259999999999996E-3</v>
      </c>
      <c r="G11">
        <v>-3.8072000000000002E-2</v>
      </c>
      <c r="H11">
        <v>-3.1571000000000002E-2</v>
      </c>
      <c r="I11">
        <v>3.1507E-2</v>
      </c>
      <c r="J11">
        <v>4.1112000000000003E-2</v>
      </c>
      <c r="K11">
        <v>1.6043000000000002E-2</v>
      </c>
      <c r="L11">
        <v>2.5063999999999999E-2</v>
      </c>
      <c r="M11">
        <v>1.2285000000000001E-2</v>
      </c>
      <c r="N11">
        <v>0</v>
      </c>
      <c r="O11">
        <v>-8.4913000000000002E-2</v>
      </c>
      <c r="P11">
        <v>-2.1942E-2</v>
      </c>
      <c r="Q11">
        <v>-2.3257289999999999</v>
      </c>
      <c r="R11">
        <v>90.010750000000002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0.13100000000000001</v>
      </c>
      <c r="Z11">
        <v>0.562446</v>
      </c>
      <c r="AA11">
        <v>1.874E-3</v>
      </c>
      <c r="AB11">
        <v>-5.1840000000000002E-3</v>
      </c>
      <c r="AC11">
        <v>4.3327999999999998E-2</v>
      </c>
      <c r="AD11">
        <v>0</v>
      </c>
      <c r="AE11">
        <v>420.52600000000001</v>
      </c>
      <c r="AF11">
        <v>836.74400000000003</v>
      </c>
      <c r="AG11">
        <v>91.849400000000003</v>
      </c>
      <c r="AH11">
        <v>28.21968</v>
      </c>
      <c r="AI11">
        <v>-2.6899999999999998E-4</v>
      </c>
      <c r="AJ11">
        <v>0.111998</v>
      </c>
      <c r="AK11">
        <v>109.3931</v>
      </c>
      <c r="AL11">
        <v>2.247465</v>
      </c>
      <c r="AM11">
        <v>0.101289</v>
      </c>
      <c r="AN11">
        <v>98.933689999999999</v>
      </c>
      <c r="AO11">
        <v>2.032578</v>
      </c>
      <c r="AP11">
        <v>72.322119999999998</v>
      </c>
      <c r="AQ11">
        <v>65.407200000000003</v>
      </c>
      <c r="AR11">
        <v>160.32599999999999</v>
      </c>
      <c r="AS11">
        <v>1.107048</v>
      </c>
      <c r="AT11">
        <v>353.99279999999999</v>
      </c>
      <c r="AU11">
        <v>47.34169</v>
      </c>
      <c r="AV11">
        <v>4.2808909999999996</v>
      </c>
      <c r="AW11">
        <v>7.6668E-2</v>
      </c>
      <c r="AX11">
        <v>2.5572999999999999E-2</v>
      </c>
      <c r="AY11">
        <v>7.7473E-2</v>
      </c>
      <c r="AZ11">
        <v>1.4344000000000001E-2</v>
      </c>
      <c r="BA11">
        <v>2.9975999999999999E-2</v>
      </c>
      <c r="BB11">
        <v>4.5876E-2</v>
      </c>
      <c r="BC11">
        <v>3.4486000000000003E-2</v>
      </c>
      <c r="BD11">
        <v>3.5687999999999998E-2</v>
      </c>
      <c r="BE11">
        <v>6.4340999999999995E-2</v>
      </c>
      <c r="BF11">
        <v>7.5421000000000002E-2</v>
      </c>
      <c r="BG11">
        <v>2.9831E-2</v>
      </c>
      <c r="BH11">
        <v>2.0138E-2</v>
      </c>
      <c r="BI11">
        <v>5.4773000000000002E-2</v>
      </c>
      <c r="BJ11">
        <v>5.1955000000000001E-2</v>
      </c>
      <c r="BK11">
        <v>-4.3899999999999998E-3</v>
      </c>
      <c r="BL11">
        <v>1.0414E-2</v>
      </c>
      <c r="BM11">
        <v>1.0671E-2</v>
      </c>
      <c r="BN11">
        <v>-0.15614900000000001</v>
      </c>
      <c r="BO11">
        <v>1.8744E-2</v>
      </c>
      <c r="BP11">
        <v>4.5803999999999997E-2</v>
      </c>
      <c r="BQ11">
        <v>6.398E-3</v>
      </c>
      <c r="BR11">
        <v>-5.56799</v>
      </c>
      <c r="BS11">
        <v>-1.9118850000000001</v>
      </c>
      <c r="BT11">
        <v>-37.597029999999997</v>
      </c>
      <c r="BU11">
        <v>-3.0589689999999998</v>
      </c>
      <c r="BV11">
        <v>-4.0484660000000003</v>
      </c>
      <c r="BW11">
        <v>4.38957</v>
      </c>
      <c r="BX11">
        <v>-13.150080000000001</v>
      </c>
      <c r="BY11">
        <v>73.036569999999998</v>
      </c>
      <c r="BZ11">
        <v>-37.319499999999998</v>
      </c>
      <c r="CA11">
        <v>8.7027280000000005</v>
      </c>
      <c r="CB11">
        <v>17.894659999999998</v>
      </c>
      <c r="CC11">
        <v>-6.9540790000000001</v>
      </c>
      <c r="CD11">
        <v>-8.1467999999999999E-2</v>
      </c>
      <c r="CE11">
        <v>18.144359999999999</v>
      </c>
      <c r="CF11">
        <v>12.92765</v>
      </c>
      <c r="CG11">
        <v>32.127139999999997</v>
      </c>
      <c r="CH11">
        <v>-5.4327800000000002</v>
      </c>
      <c r="CI11">
        <v>2.4612999999999999E-2</v>
      </c>
      <c r="CJ11">
        <v>6.8096000000000004E-2</v>
      </c>
      <c r="CK11">
        <v>1.0763E-2</v>
      </c>
      <c r="CL11">
        <v>2.9031000000000001E-2</v>
      </c>
      <c r="CM11">
        <v>3.7870000000000001E-2</v>
      </c>
      <c r="CN11">
        <v>2.9894E-2</v>
      </c>
      <c r="CO11">
        <v>3.1663999999999998E-2</v>
      </c>
      <c r="CP11">
        <v>4.5662000000000001E-2</v>
      </c>
      <c r="CQ11">
        <v>6.1212999999999997E-2</v>
      </c>
      <c r="CR11">
        <v>2.4945999999999999E-2</v>
      </c>
      <c r="CS11">
        <v>2.1134E-2</v>
      </c>
      <c r="CT11">
        <v>4.4951999999999999E-2</v>
      </c>
      <c r="CU11">
        <v>4.2439999999999999E-2</v>
      </c>
      <c r="CV11">
        <v>-8.4000000000000003E-4</v>
      </c>
      <c r="CW11">
        <v>1.0652999999999999E-2</v>
      </c>
      <c r="CX11">
        <v>1.1454000000000001E-2</v>
      </c>
      <c r="CY11">
        <v>-0.117073</v>
      </c>
      <c r="CZ11">
        <v>1.6608999999999999E-2</v>
      </c>
      <c r="DA11">
        <v>4.2487999999999998E-2</v>
      </c>
      <c r="DB11">
        <v>7.6689999999999996E-3</v>
      </c>
      <c r="DC11">
        <v>-3.3281900000000002</v>
      </c>
      <c r="DD11">
        <v>-0.94762500000000005</v>
      </c>
      <c r="DE11">
        <v>27.85436</v>
      </c>
      <c r="DF11">
        <v>-2.3901270000000001</v>
      </c>
      <c r="DG11">
        <v>-17.76211</v>
      </c>
      <c r="DH11">
        <v>3.4137010000000001</v>
      </c>
      <c r="DI11">
        <v>-10.09291</v>
      </c>
      <c r="DJ11">
        <v>56.427059999999997</v>
      </c>
      <c r="DK11">
        <v>-30.23413</v>
      </c>
      <c r="DL11">
        <v>6.9185920000000003</v>
      </c>
      <c r="DM11">
        <v>15.489459999999999</v>
      </c>
      <c r="DN11">
        <v>-1.8742799999999999</v>
      </c>
      <c r="DO11">
        <v>-4.5938E-2</v>
      </c>
      <c r="DP11">
        <v>15.847759999999999</v>
      </c>
      <c r="DQ11">
        <v>10.97354</v>
      </c>
      <c r="DR11">
        <v>26.90953</v>
      </c>
      <c r="DS11">
        <v>-4.0902510000000003</v>
      </c>
      <c r="DT11">
        <v>7.2099999999999996E-4</v>
      </c>
      <c r="DU11">
        <v>6.8767999999999996E-2</v>
      </c>
      <c r="DV11">
        <v>1.655E-3</v>
      </c>
      <c r="DW11">
        <v>6.9366999999999998E-2</v>
      </c>
      <c r="DX11">
        <v>6.9805000000000006E-2</v>
      </c>
      <c r="DY11">
        <v>6.9986000000000007E-2</v>
      </c>
      <c r="DZ11">
        <v>7.0318000000000006E-2</v>
      </c>
      <c r="EA11">
        <v>7.2812000000000002E-2</v>
      </c>
      <c r="EB11">
        <v>7.1251999999999996E-2</v>
      </c>
      <c r="EC11">
        <v>0</v>
      </c>
      <c r="ED11">
        <v>7.2862999999999997E-2</v>
      </c>
      <c r="EE11">
        <v>7.0767999999999998E-2</v>
      </c>
      <c r="EF11">
        <v>1.3971000000000001E-2</v>
      </c>
      <c r="EG11">
        <v>0</v>
      </c>
      <c r="EH11">
        <v>0</v>
      </c>
      <c r="EI11">
        <v>7.1013000000000007E-2</v>
      </c>
      <c r="EJ11">
        <v>7.7793000000000001E-2</v>
      </c>
      <c r="EK11">
        <v>2.3579999999999999E-3</v>
      </c>
      <c r="EL11">
        <v>6.7928000000000002E-2</v>
      </c>
      <c r="EM11">
        <v>6.8181000000000005E-2</v>
      </c>
      <c r="EN11">
        <v>3.5980000000000001E-3</v>
      </c>
      <c r="EO11">
        <v>-0.23436199999999999</v>
      </c>
      <c r="EP11">
        <v>0.14280200000000001</v>
      </c>
      <c r="EQ11">
        <v>5.4000000000000003E-3</v>
      </c>
      <c r="ER11">
        <v>6.2888650000000004</v>
      </c>
      <c r="ES11">
        <v>72.084190000000007</v>
      </c>
      <c r="ET11">
        <v>2.1482540000000001</v>
      </c>
      <c r="EU11">
        <v>31.164760000000001</v>
      </c>
      <c r="EV11">
        <v>0.49867499999999998</v>
      </c>
      <c r="EW11">
        <v>1.8218920000000001</v>
      </c>
      <c r="EX11">
        <v>2.300818</v>
      </c>
      <c r="EY11">
        <v>0.726468</v>
      </c>
      <c r="EZ11">
        <v>9.6279000000000003E-2</v>
      </c>
      <c r="FA11">
        <v>4.9102220000000001</v>
      </c>
      <c r="FB11">
        <v>1.575472</v>
      </c>
      <c r="FC11">
        <v>32.800530000000002</v>
      </c>
      <c r="FD11">
        <v>9.0104539999999993</v>
      </c>
      <c r="FE11">
        <v>0.54419600000000001</v>
      </c>
      <c r="FF11">
        <v>0.83859700000000004</v>
      </c>
      <c r="FG11">
        <v>1.50769</v>
      </c>
      <c r="FH11">
        <v>0.339007</v>
      </c>
      <c r="FI11">
        <v>6.2911390000000003</v>
      </c>
      <c r="FJ11">
        <v>71.317840000000004</v>
      </c>
      <c r="FK11">
        <v>2.8647230000000001</v>
      </c>
      <c r="FL11">
        <v>30.305420000000002</v>
      </c>
      <c r="FM11">
        <v>0.39333600000000002</v>
      </c>
      <c r="FN11">
        <v>1.896838</v>
      </c>
      <c r="FO11">
        <v>2.0183629999999999</v>
      </c>
      <c r="FP11">
        <v>1.245744</v>
      </c>
      <c r="FQ11">
        <v>6.1358000000000003E-2</v>
      </c>
      <c r="FR11">
        <v>5.3335800000000004</v>
      </c>
      <c r="FS11">
        <v>1.85551</v>
      </c>
      <c r="FT11">
        <v>32.115810000000003</v>
      </c>
      <c r="FU11">
        <v>9.0199929999999995</v>
      </c>
      <c r="FV11">
        <v>0.644679</v>
      </c>
      <c r="FW11">
        <v>0.95155999999999996</v>
      </c>
      <c r="FX11">
        <v>1.999344</v>
      </c>
      <c r="FY11">
        <v>0.32068999999999998</v>
      </c>
      <c r="FZ11">
        <v>4.5796539999999997</v>
      </c>
      <c r="GA11">
        <v>58.665219999999998</v>
      </c>
      <c r="GB11">
        <v>2.1482540000000001</v>
      </c>
      <c r="GC11">
        <v>27.223469999999999</v>
      </c>
      <c r="GD11">
        <v>0.43561</v>
      </c>
      <c r="GE11">
        <v>1.591485</v>
      </c>
      <c r="GF11">
        <v>2.009843</v>
      </c>
      <c r="GG11">
        <v>0.63459399999999999</v>
      </c>
      <c r="GH11">
        <v>8.4102999999999997E-2</v>
      </c>
      <c r="GI11">
        <v>4.2892460000000003</v>
      </c>
      <c r="GJ11">
        <v>1.3762289999999999</v>
      </c>
      <c r="GK11">
        <v>31.211449999999999</v>
      </c>
      <c r="GL11">
        <v>9.0104539999999993</v>
      </c>
      <c r="GM11">
        <v>0.54419600000000001</v>
      </c>
      <c r="GN11">
        <v>0.83859700000000004</v>
      </c>
      <c r="GO11">
        <v>1.50769</v>
      </c>
      <c r="GP11">
        <v>0.339007</v>
      </c>
      <c r="GQ11">
        <v>4.5815460000000003</v>
      </c>
      <c r="GR11">
        <v>57.891869999999997</v>
      </c>
      <c r="GS11">
        <v>2.8647230000000001</v>
      </c>
      <c r="GT11">
        <v>26.4742</v>
      </c>
      <c r="GU11">
        <v>0.34361000000000003</v>
      </c>
      <c r="GV11">
        <v>1.6570389999999999</v>
      </c>
      <c r="GW11">
        <v>1.7632000000000001</v>
      </c>
      <c r="GX11">
        <v>1.088257</v>
      </c>
      <c r="GY11">
        <v>5.3601000000000003E-2</v>
      </c>
      <c r="GZ11">
        <v>4.6593070000000001</v>
      </c>
      <c r="HA11">
        <v>1.620935</v>
      </c>
      <c r="HB11">
        <v>30.52589</v>
      </c>
      <c r="HC11">
        <v>9.0199929999999995</v>
      </c>
      <c r="HD11">
        <v>0.644679</v>
      </c>
      <c r="HE11">
        <v>0.95155999999999996</v>
      </c>
      <c r="HF11">
        <v>1.999344</v>
      </c>
      <c r="HG11">
        <v>0.32068999999999998</v>
      </c>
      <c r="HH11">
        <v>4.6622529999999998</v>
      </c>
      <c r="HI11">
        <v>63.055950000000003</v>
      </c>
      <c r="HJ11">
        <v>2.1482540000000001</v>
      </c>
      <c r="HK11">
        <v>112.50660000000001</v>
      </c>
      <c r="HL11">
        <v>1.0771459999999999</v>
      </c>
      <c r="HM11">
        <v>3.935317</v>
      </c>
      <c r="HN11">
        <v>4.9698039999999999</v>
      </c>
      <c r="HO11">
        <v>0.78536600000000001</v>
      </c>
      <c r="HP11">
        <v>0.104085</v>
      </c>
      <c r="HQ11">
        <v>5.3083150000000003</v>
      </c>
      <c r="HR11">
        <v>4.6049550000000004</v>
      </c>
      <c r="HS11">
        <v>31.425899999999999</v>
      </c>
      <c r="HT11">
        <v>9.1452159999999996</v>
      </c>
      <c r="HU11">
        <v>0.55233500000000002</v>
      </c>
      <c r="HV11">
        <v>0.85113899999999998</v>
      </c>
      <c r="HW11">
        <v>1.5302389999999999</v>
      </c>
      <c r="HX11">
        <v>0.34407700000000002</v>
      </c>
      <c r="HY11">
        <v>4.640536</v>
      </c>
      <c r="HZ11">
        <v>61.743819999999999</v>
      </c>
      <c r="IA11">
        <v>2.8647230000000001</v>
      </c>
      <c r="IB11">
        <v>109.4044</v>
      </c>
      <c r="IC11">
        <v>0.84961200000000003</v>
      </c>
      <c r="ID11">
        <v>4.0972020000000002</v>
      </c>
      <c r="IE11">
        <v>4.3596959999999996</v>
      </c>
      <c r="IF11">
        <v>1.3467420000000001</v>
      </c>
      <c r="IG11">
        <v>6.6333000000000003E-2</v>
      </c>
      <c r="IH11">
        <v>5.7659960000000003</v>
      </c>
      <c r="II11">
        <v>5.4234770000000001</v>
      </c>
      <c r="IJ11">
        <v>30.73563</v>
      </c>
      <c r="IK11">
        <v>9.1548979999999993</v>
      </c>
      <c r="IL11">
        <v>0.65432100000000004</v>
      </c>
      <c r="IM11">
        <v>0.96579199999999998</v>
      </c>
      <c r="IN11">
        <v>2.0292460000000001</v>
      </c>
      <c r="IO11">
        <v>0.325486</v>
      </c>
      <c r="IP11">
        <v>3.9522140000000001</v>
      </c>
      <c r="IQ11">
        <v>4.3339379999999998</v>
      </c>
      <c r="IR11">
        <v>0.83496499999999996</v>
      </c>
      <c r="IS11">
        <v>1.5293749999999999</v>
      </c>
      <c r="IT11">
        <v>3.295817</v>
      </c>
      <c r="IU11">
        <v>3.4367399999999999</v>
      </c>
      <c r="IV11">
        <v>4.2916169999999996</v>
      </c>
      <c r="IW11">
        <v>4.8893880000000003</v>
      </c>
      <c r="IX11">
        <v>0.63551100000000005</v>
      </c>
      <c r="IY11">
        <v>4.8791880000000001</v>
      </c>
      <c r="IZ11">
        <v>1.480958</v>
      </c>
      <c r="JA11">
        <v>6.6805110000000001</v>
      </c>
      <c r="JB11">
        <v>0.33455400000000002</v>
      </c>
      <c r="JC11">
        <v>1.0577259999999999</v>
      </c>
      <c r="JD11">
        <v>0.84903099999999998</v>
      </c>
      <c r="JE11">
        <v>16.19791</v>
      </c>
      <c r="JF11">
        <v>0.32333000000000001</v>
      </c>
      <c r="JG11">
        <v>1.7177640000000001</v>
      </c>
      <c r="JH11">
        <v>17.227260000000001</v>
      </c>
      <c r="JI11">
        <v>5.8088170000000003</v>
      </c>
      <c r="JJ11">
        <v>21.476870000000002</v>
      </c>
      <c r="JK11">
        <v>41.25562</v>
      </c>
      <c r="JL11">
        <v>3.952766</v>
      </c>
      <c r="JM11">
        <v>4.3363230000000001</v>
      </c>
      <c r="JN11">
        <v>0.83490600000000004</v>
      </c>
      <c r="JO11">
        <v>1.5297620000000001</v>
      </c>
      <c r="JP11">
        <v>3.2970640000000002</v>
      </c>
      <c r="JQ11">
        <v>3.4376470000000001</v>
      </c>
      <c r="JR11">
        <v>4.2923119999999999</v>
      </c>
      <c r="JS11">
        <v>4.8915550000000003</v>
      </c>
      <c r="JT11">
        <v>0.63587499999999997</v>
      </c>
      <c r="JU11">
        <v>4.8800210000000002</v>
      </c>
      <c r="JV11">
        <v>1.4805360000000001</v>
      </c>
      <c r="JW11">
        <v>6.6832250000000002</v>
      </c>
      <c r="JX11">
        <v>0.33471800000000002</v>
      </c>
      <c r="JY11">
        <v>1.0574209999999999</v>
      </c>
      <c r="JZ11">
        <v>0.84916199999999997</v>
      </c>
      <c r="KA11">
        <v>16.200130000000001</v>
      </c>
      <c r="KB11">
        <v>0.32290799999999997</v>
      </c>
      <c r="KC11">
        <v>1.7181139999999999</v>
      </c>
      <c r="KD11">
        <v>17.231290000000001</v>
      </c>
      <c r="KE11">
        <v>5.8078459999999996</v>
      </c>
      <c r="KF11">
        <v>21.43563</v>
      </c>
      <c r="KG11">
        <v>41.25123</v>
      </c>
      <c r="KH11">
        <v>1616.076</v>
      </c>
      <c r="KI11">
        <v>4305.2860000000001</v>
      </c>
      <c r="KJ11">
        <v>5497.3149999999996</v>
      </c>
      <c r="KK11">
        <v>5584.2389999999996</v>
      </c>
      <c r="KL11">
        <v>9639.7890000000007</v>
      </c>
      <c r="KM11">
        <v>3176.4859999999999</v>
      </c>
      <c r="KN11">
        <v>1357.0139999999999</v>
      </c>
      <c r="KO11">
        <v>0</v>
      </c>
      <c r="KP11">
        <v>30932.3</v>
      </c>
      <c r="KQ11">
        <v>243.90199999999999</v>
      </c>
      <c r="KR11">
        <v>0</v>
      </c>
      <c r="KS11">
        <v>1713.403</v>
      </c>
      <c r="KT11">
        <v>4282.0990000000002</v>
      </c>
      <c r="KU11">
        <v>5475.2150000000001</v>
      </c>
      <c r="KV11">
        <v>5563.9780000000001</v>
      </c>
      <c r="KW11">
        <v>9621.1280000000006</v>
      </c>
      <c r="KX11">
        <v>3163.3679999999999</v>
      </c>
      <c r="KY11">
        <v>1357.0139999999999</v>
      </c>
      <c r="KZ11">
        <v>0</v>
      </c>
      <c r="LA11">
        <v>30819.5</v>
      </c>
      <c r="LB11">
        <v>356.70620000000002</v>
      </c>
      <c r="LC11">
        <v>0</v>
      </c>
      <c r="LD11">
        <v>19702771</v>
      </c>
      <c r="LE11" s="21">
        <v>114000000</v>
      </c>
      <c r="LF11" s="21">
        <v>451000000</v>
      </c>
      <c r="LG11" s="21">
        <v>650000000</v>
      </c>
      <c r="LH11" s="21">
        <v>725000000</v>
      </c>
      <c r="LI11" s="21">
        <v>382000000</v>
      </c>
      <c r="LJ11" s="21">
        <v>154000000</v>
      </c>
      <c r="LK11" s="21">
        <v>1.7400000000000001E-6</v>
      </c>
      <c r="LL11" s="21">
        <v>3.32E-6</v>
      </c>
      <c r="LM11" s="21">
        <v>6.1099999999999999E-6</v>
      </c>
      <c r="LN11" s="21">
        <v>1.27E-5</v>
      </c>
      <c r="LO11" s="21">
        <v>1.8700000000000001E-5</v>
      </c>
      <c r="LP11" s="21">
        <v>2.65E-5</v>
      </c>
      <c r="LQ11" s="21">
        <v>3.8999999999999999E-5</v>
      </c>
      <c r="LR11">
        <v>19715490</v>
      </c>
      <c r="LS11" s="21">
        <v>114000000</v>
      </c>
      <c r="LT11" s="21">
        <v>451000000</v>
      </c>
      <c r="LU11" s="21">
        <v>650000000</v>
      </c>
      <c r="LV11" s="21">
        <v>725000000</v>
      </c>
      <c r="LW11" s="21">
        <v>382000000</v>
      </c>
      <c r="LX11" s="21">
        <v>154000000</v>
      </c>
      <c r="LY11" s="21">
        <v>1.7400000000000001E-6</v>
      </c>
      <c r="LZ11" s="21">
        <v>3.3299999999999999E-6</v>
      </c>
      <c r="MA11" s="21">
        <v>6.1199999999999999E-6</v>
      </c>
      <c r="MB11" s="21">
        <v>1.27E-5</v>
      </c>
      <c r="MC11" s="21">
        <v>1.8700000000000001E-5</v>
      </c>
      <c r="MD11" s="21">
        <v>2.65E-5</v>
      </c>
      <c r="ME11" s="21">
        <v>3.8999999999999999E-5</v>
      </c>
      <c r="MF11">
        <v>0.20064599999999999</v>
      </c>
      <c r="MG11">
        <v>0.33418900000000001</v>
      </c>
      <c r="MH11">
        <v>0.246561</v>
      </c>
      <c r="MI11">
        <v>0.135715</v>
      </c>
      <c r="MJ11">
        <v>7.3520000000000002E-2</v>
      </c>
      <c r="MK11">
        <v>9.1350000000000008E-3</v>
      </c>
      <c r="ML11">
        <v>2.34E-4</v>
      </c>
      <c r="MM11">
        <v>0.22369</v>
      </c>
      <c r="MN11">
        <v>0.36697600000000002</v>
      </c>
      <c r="MO11">
        <v>0.24201600000000001</v>
      </c>
      <c r="MP11">
        <v>0.108456</v>
      </c>
      <c r="MQ11">
        <v>5.8438999999999998E-2</v>
      </c>
      <c r="MR11">
        <v>1.0747E-2</v>
      </c>
      <c r="MS11">
        <v>-1.0323000000000001E-2</v>
      </c>
      <c r="MT11">
        <v>0.21324799999999999</v>
      </c>
      <c r="MU11">
        <v>0.33117600000000003</v>
      </c>
      <c r="MV11">
        <v>0.24377399999999999</v>
      </c>
      <c r="MW11">
        <v>0.13319800000000001</v>
      </c>
      <c r="MX11">
        <v>7.1167999999999995E-2</v>
      </c>
      <c r="MY11">
        <v>7.2009999999999999E-3</v>
      </c>
      <c r="MZ11">
        <v>2.34E-4</v>
      </c>
      <c r="NA11">
        <v>0.23868700000000001</v>
      </c>
      <c r="NB11">
        <v>0.36436299999999999</v>
      </c>
      <c r="NC11">
        <v>0.239431</v>
      </c>
      <c r="ND11">
        <v>0.105894</v>
      </c>
      <c r="NE11">
        <v>5.5918000000000002E-2</v>
      </c>
      <c r="NF11">
        <v>8.2740000000000001E-3</v>
      </c>
      <c r="NG11">
        <v>-1.2567E-2</v>
      </c>
      <c r="NH11">
        <v>3.274E-3</v>
      </c>
      <c r="NI11">
        <v>3.3319999999999999E-3</v>
      </c>
      <c r="NJ11">
        <v>1.1788E-2</v>
      </c>
      <c r="NK11">
        <v>1.8044000000000001E-2</v>
      </c>
      <c r="NL11">
        <v>1.9776999999999999E-2</v>
      </c>
      <c r="NM11">
        <v>5.1833999999999998E-2</v>
      </c>
      <c r="NN11">
        <v>3.274E-3</v>
      </c>
      <c r="NO11">
        <v>3.3319999999999999E-3</v>
      </c>
      <c r="NP11">
        <v>1.1788E-2</v>
      </c>
      <c r="NQ11">
        <v>1.8044000000000001E-2</v>
      </c>
      <c r="NR11">
        <v>1.9776999999999999E-2</v>
      </c>
      <c r="NS11">
        <v>5.1833999999999998E-2</v>
      </c>
      <c r="NT11">
        <v>3.3040000000000001E-3</v>
      </c>
      <c r="NU11">
        <v>3.362E-3</v>
      </c>
      <c r="NV11">
        <v>1.1815000000000001E-2</v>
      </c>
      <c r="NW11">
        <v>1.8055999999999999E-2</v>
      </c>
      <c r="NX11">
        <v>1.9779999999999999E-2</v>
      </c>
      <c r="NY11">
        <v>5.1837000000000001E-2</v>
      </c>
      <c r="NZ11">
        <v>3.3040000000000001E-3</v>
      </c>
      <c r="OA11">
        <v>3.362E-3</v>
      </c>
      <c r="OB11">
        <v>1.1815000000000001E-2</v>
      </c>
      <c r="OC11">
        <v>1.8055999999999999E-2</v>
      </c>
      <c r="OD11">
        <v>1.9779999999999999E-2</v>
      </c>
      <c r="OE11">
        <v>5.1837000000000001E-2</v>
      </c>
      <c r="OF11">
        <v>56.75273</v>
      </c>
      <c r="OG11">
        <v>38911.06</v>
      </c>
      <c r="OH11">
        <v>17759.099999999999</v>
      </c>
      <c r="OI11">
        <v>9457.1139999999996</v>
      </c>
      <c r="OJ11">
        <v>56.754770000000001</v>
      </c>
      <c r="OK11">
        <v>38819.870000000003</v>
      </c>
      <c r="OL11">
        <v>17784.46</v>
      </c>
      <c r="OM11">
        <v>9457.625</v>
      </c>
      <c r="ON11">
        <v>1207836</v>
      </c>
      <c r="OO11">
        <v>1208073</v>
      </c>
      <c r="OP11">
        <v>9239.982</v>
      </c>
      <c r="OQ11">
        <v>4752.759</v>
      </c>
      <c r="OR11">
        <v>4346.8370000000004</v>
      </c>
      <c r="OS11">
        <v>394.42809999999997</v>
      </c>
      <c r="OT11">
        <v>1263.6120000000001</v>
      </c>
      <c r="OU11">
        <v>985.45370000000003</v>
      </c>
      <c r="OV11">
        <v>246.91970000000001</v>
      </c>
      <c r="OW11">
        <v>969.49590000000001</v>
      </c>
      <c r="OX11">
        <v>1061.4110000000001</v>
      </c>
      <c r="OY11">
        <v>859.16089999999997</v>
      </c>
      <c r="OZ11">
        <v>471.0847</v>
      </c>
      <c r="PA11">
        <v>15840.83</v>
      </c>
      <c r="PB11">
        <v>5790.3429999999998</v>
      </c>
      <c r="PC11">
        <v>1058.681</v>
      </c>
      <c r="PD11">
        <v>1790.3879999999999</v>
      </c>
      <c r="PE11">
        <v>4978.335</v>
      </c>
      <c r="PF11">
        <v>1098.2629999999999</v>
      </c>
      <c r="PG11">
        <v>2030.807</v>
      </c>
      <c r="PH11">
        <v>153154.79999999999</v>
      </c>
      <c r="PI11">
        <v>66067.55</v>
      </c>
      <c r="PJ11">
        <v>1.685379</v>
      </c>
      <c r="PK11">
        <v>609.90129999999999</v>
      </c>
      <c r="PL11">
        <v>95.208150000000003</v>
      </c>
      <c r="PM11">
        <v>1330.809</v>
      </c>
      <c r="PN11">
        <v>484.23489999999998</v>
      </c>
      <c r="PO11">
        <v>152.8922</v>
      </c>
      <c r="PP11">
        <v>255.10290000000001</v>
      </c>
      <c r="PQ11">
        <v>453.40559999999999</v>
      </c>
      <c r="PR11">
        <v>94.78546</v>
      </c>
      <c r="PS11">
        <v>568.3152</v>
      </c>
      <c r="PT11">
        <v>966.08330000000001</v>
      </c>
      <c r="PU11">
        <v>495.40870000000001</v>
      </c>
      <c r="PV11">
        <v>889.01729999999998</v>
      </c>
      <c r="PW11">
        <v>52.09995</v>
      </c>
      <c r="PX11">
        <v>130.11070000000001</v>
      </c>
      <c r="PY11">
        <v>593.08140000000003</v>
      </c>
      <c r="PZ11">
        <v>140.2226</v>
      </c>
      <c r="QA11">
        <v>283713.5</v>
      </c>
      <c r="QB11">
        <v>6402.9210000000003</v>
      </c>
      <c r="QC11">
        <v>70483.3</v>
      </c>
      <c r="QD11">
        <v>6870.0479999999998</v>
      </c>
      <c r="QE11">
        <v>13003.83</v>
      </c>
      <c r="QF11">
        <v>11376.63</v>
      </c>
      <c r="QG11">
        <v>7175.2489999999998</v>
      </c>
      <c r="QH11">
        <v>5415.8190000000004</v>
      </c>
      <c r="QI11">
        <v>955.71990000000005</v>
      </c>
      <c r="QJ11">
        <v>32.396729999999998</v>
      </c>
      <c r="QK11">
        <v>9242.2569999999996</v>
      </c>
      <c r="QL11">
        <v>4755.9960000000001</v>
      </c>
      <c r="QM11">
        <v>4347.3050000000003</v>
      </c>
      <c r="QN11">
        <v>394.54259999999999</v>
      </c>
      <c r="QO11">
        <v>1264.0899999999999</v>
      </c>
      <c r="QP11">
        <v>985.74829999999997</v>
      </c>
      <c r="QQ11">
        <v>246.99789999999999</v>
      </c>
      <c r="QR11">
        <v>969.93849999999998</v>
      </c>
      <c r="QS11">
        <v>1062.0609999999999</v>
      </c>
      <c r="QT11">
        <v>859.37519999999995</v>
      </c>
      <c r="QU11">
        <v>471.18419999999998</v>
      </c>
      <c r="QV11">
        <v>15847.95</v>
      </c>
      <c r="QW11">
        <v>5792.8</v>
      </c>
      <c r="QX11">
        <v>1058.672</v>
      </c>
      <c r="QY11">
        <v>1790.579</v>
      </c>
      <c r="QZ11">
        <v>4978.9049999999997</v>
      </c>
      <c r="RA11">
        <v>1096.9780000000001</v>
      </c>
      <c r="RB11">
        <v>2031.144</v>
      </c>
      <c r="RC11">
        <v>153219.9</v>
      </c>
      <c r="RD11">
        <v>66072.62</v>
      </c>
      <c r="RE11">
        <v>1.6292869999999999</v>
      </c>
      <c r="RF11">
        <v>604.12170000000003</v>
      </c>
      <c r="RG11">
        <v>121.7278</v>
      </c>
      <c r="RH11">
        <v>1299.001</v>
      </c>
      <c r="RI11">
        <v>398.22460000000001</v>
      </c>
      <c r="RJ11">
        <v>158.11150000000001</v>
      </c>
      <c r="RK11">
        <v>229.35560000000001</v>
      </c>
      <c r="RL11">
        <v>709.24900000000002</v>
      </c>
      <c r="RM11">
        <v>66.12791</v>
      </c>
      <c r="RN11">
        <v>607.63459999999998</v>
      </c>
      <c r="RO11">
        <v>1115.7239999999999</v>
      </c>
      <c r="RP11">
        <v>486.1234</v>
      </c>
      <c r="RQ11">
        <v>888.60889999999995</v>
      </c>
      <c r="RR11">
        <v>60.356630000000003</v>
      </c>
      <c r="RS11">
        <v>144.38839999999999</v>
      </c>
      <c r="RT11">
        <v>752.67679999999996</v>
      </c>
      <c r="RU11">
        <v>134.4871</v>
      </c>
      <c r="RV11">
        <v>284266.59999999998</v>
      </c>
      <c r="RW11">
        <v>6409.366</v>
      </c>
      <c r="RX11">
        <v>70483.320000000007</v>
      </c>
      <c r="RY11">
        <v>7300.741</v>
      </c>
      <c r="RZ11">
        <v>12885.18</v>
      </c>
      <c r="SA11">
        <v>11246.81</v>
      </c>
      <c r="SB11">
        <v>7041.4279999999999</v>
      </c>
      <c r="SC11">
        <v>5242.0230000000001</v>
      </c>
      <c r="SD11">
        <v>753.32309999999995</v>
      </c>
      <c r="SE11">
        <v>32.3932</v>
      </c>
      <c r="SF11">
        <v>36345.629999999997</v>
      </c>
      <c r="SG11">
        <v>56.75273</v>
      </c>
      <c r="SH11">
        <v>9146.24</v>
      </c>
      <c r="SI11">
        <v>17685.52</v>
      </c>
      <c r="SJ11">
        <v>9457.1139999999996</v>
      </c>
      <c r="SK11">
        <v>36338.32</v>
      </c>
      <c r="SL11">
        <v>56.754770000000001</v>
      </c>
      <c r="SM11">
        <v>9147.0390000000007</v>
      </c>
      <c r="SN11">
        <v>17676.900000000001</v>
      </c>
      <c r="SO11">
        <v>9457.625</v>
      </c>
      <c r="SP11">
        <v>99320.77</v>
      </c>
      <c r="SQ11">
        <v>77556.66</v>
      </c>
      <c r="SR11">
        <v>99336.86</v>
      </c>
      <c r="SS11">
        <v>77072.23</v>
      </c>
      <c r="ST11">
        <v>41.25562</v>
      </c>
      <c r="SU11">
        <v>0.34182299999999999</v>
      </c>
      <c r="SV11">
        <v>6.5828769999999999</v>
      </c>
      <c r="SW11">
        <v>12.627050000000001</v>
      </c>
      <c r="SX11">
        <v>21.703869999999998</v>
      </c>
      <c r="SY11">
        <v>41.25123</v>
      </c>
      <c r="SZ11">
        <v>0.341835</v>
      </c>
      <c r="TA11">
        <v>6.5834520000000003</v>
      </c>
      <c r="TB11">
        <v>12.620900000000001</v>
      </c>
      <c r="TC11">
        <v>21.70504</v>
      </c>
      <c r="TD11">
        <v>24623.58</v>
      </c>
      <c r="TE11">
        <v>813.21609999999998</v>
      </c>
      <c r="TF11">
        <v>469.77679999999998</v>
      </c>
      <c r="TG11">
        <v>215.4075</v>
      </c>
      <c r="TH11">
        <v>48.928460000000001</v>
      </c>
      <c r="TI11">
        <v>102.4293</v>
      </c>
      <c r="TJ11">
        <v>82.53586</v>
      </c>
      <c r="TK11">
        <v>25.299099999999999</v>
      </c>
      <c r="TL11">
        <v>29.781389999999998</v>
      </c>
      <c r="TM11">
        <v>162.0692</v>
      </c>
      <c r="TN11">
        <v>40.428229999999999</v>
      </c>
      <c r="TO11">
        <v>25.499829999999999</v>
      </c>
      <c r="TP11">
        <v>1962.6020000000001</v>
      </c>
      <c r="TQ11">
        <v>1962.184</v>
      </c>
      <c r="TR11">
        <v>98.542169999999999</v>
      </c>
      <c r="TS11">
        <v>180.67850000000001</v>
      </c>
      <c r="TT11">
        <v>406.9144</v>
      </c>
      <c r="TU11">
        <v>41.587400000000002</v>
      </c>
      <c r="TV11">
        <v>72.577399999999997</v>
      </c>
      <c r="TW11">
        <v>11624.64</v>
      </c>
      <c r="TX11">
        <v>6121.54</v>
      </c>
      <c r="TY11">
        <v>0.538609</v>
      </c>
      <c r="TZ11">
        <v>11.71439</v>
      </c>
      <c r="UA11">
        <v>6.2474360000000004</v>
      </c>
      <c r="UB11">
        <v>64.160120000000006</v>
      </c>
      <c r="UC11">
        <v>0.78317199999999998</v>
      </c>
      <c r="UD11">
        <v>2.5756839999999999</v>
      </c>
      <c r="UE11">
        <v>4.7239599999999999</v>
      </c>
      <c r="UF11">
        <v>1.7369669999999999</v>
      </c>
      <c r="UG11">
        <v>0.85867800000000005</v>
      </c>
      <c r="UH11">
        <v>11.266540000000001</v>
      </c>
      <c r="UI11">
        <v>5.5308029999999997</v>
      </c>
      <c r="UJ11">
        <v>16.950510000000001</v>
      </c>
      <c r="UK11">
        <v>6.5052199999999996</v>
      </c>
      <c r="UL11">
        <v>0.48892400000000003</v>
      </c>
      <c r="UM11">
        <v>0.53847</v>
      </c>
      <c r="UN11">
        <v>1.9218759999999999</v>
      </c>
      <c r="UO11">
        <v>0.40348800000000001</v>
      </c>
      <c r="UP11">
        <v>24631.34</v>
      </c>
      <c r="UQ11">
        <v>813.36599999999999</v>
      </c>
      <c r="UR11">
        <v>470.02140000000003</v>
      </c>
      <c r="US11">
        <v>215.42349999999999</v>
      </c>
      <c r="UT11">
        <v>48.938560000000003</v>
      </c>
      <c r="UU11">
        <v>102.45829999999999</v>
      </c>
      <c r="UV11">
        <v>82.554349999999999</v>
      </c>
      <c r="UW11">
        <v>25.30349</v>
      </c>
      <c r="UX11">
        <v>29.792059999999999</v>
      </c>
      <c r="UY11">
        <v>162.14660000000001</v>
      </c>
      <c r="UZ11">
        <v>40.434449999999998</v>
      </c>
      <c r="VA11">
        <v>25.502009999999999</v>
      </c>
      <c r="VB11">
        <v>1963.271</v>
      </c>
      <c r="VC11">
        <v>1962.8240000000001</v>
      </c>
      <c r="VD11">
        <v>98.538790000000006</v>
      </c>
      <c r="VE11">
        <v>180.6909</v>
      </c>
      <c r="VF11">
        <v>406.94909999999999</v>
      </c>
      <c r="VG11">
        <v>41.547699999999999</v>
      </c>
      <c r="VH11">
        <v>72.586250000000007</v>
      </c>
      <c r="VI11">
        <v>11628.56</v>
      </c>
      <c r="VJ11">
        <v>6121.7960000000003</v>
      </c>
      <c r="VK11">
        <v>0.516405</v>
      </c>
      <c r="VL11">
        <v>11.6249</v>
      </c>
      <c r="VM11">
        <v>7.6206110000000002</v>
      </c>
      <c r="VN11">
        <v>62.930419999999998</v>
      </c>
      <c r="VO11">
        <v>0.67039099999999996</v>
      </c>
      <c r="VP11">
        <v>2.646242</v>
      </c>
      <c r="VQ11">
        <v>4.3429250000000001</v>
      </c>
      <c r="VR11">
        <v>2.4841690000000001</v>
      </c>
      <c r="VS11">
        <v>0.64666299999999999</v>
      </c>
      <c r="VT11">
        <v>11.881220000000001</v>
      </c>
      <c r="VU11">
        <v>6.2219139999999999</v>
      </c>
      <c r="VV11">
        <v>16.693840000000002</v>
      </c>
      <c r="VW11">
        <v>6.5030869999999998</v>
      </c>
      <c r="VX11">
        <v>0.55142400000000003</v>
      </c>
      <c r="VY11">
        <v>0.58566499999999999</v>
      </c>
      <c r="VZ11">
        <v>2.3307069999999999</v>
      </c>
      <c r="WA11">
        <v>0.39069199999999998</v>
      </c>
      <c r="WB11">
        <v>0.109485</v>
      </c>
      <c r="WC11">
        <v>0.109169</v>
      </c>
      <c r="WD11">
        <v>-2.4055E-2</v>
      </c>
      <c r="WE11">
        <v>-2.3883000000000001E-2</v>
      </c>
      <c r="WF11">
        <v>0.64612000000000003</v>
      </c>
      <c r="WG11">
        <v>0.64527100000000004</v>
      </c>
      <c r="WH11">
        <v>-2.3857E-2</v>
      </c>
      <c r="WI11">
        <v>-2.3637999999999999E-2</v>
      </c>
      <c r="WJ11">
        <v>1919293</v>
      </c>
      <c r="WK11">
        <v>1920573</v>
      </c>
    </row>
    <row r="12" spans="1:609" ht="14.45" x14ac:dyDescent="0.35">
      <c r="A12">
        <v>2013</v>
      </c>
      <c r="B12">
        <v>9.6416000000000002E-2</v>
      </c>
      <c r="C12">
        <v>107.6955</v>
      </c>
      <c r="D12">
        <v>7.0591000000000001E-2</v>
      </c>
      <c r="E12">
        <v>0.30351299999999998</v>
      </c>
      <c r="F12">
        <v>-1.061E-2</v>
      </c>
      <c r="G12">
        <v>-4.0714E-2</v>
      </c>
      <c r="H12">
        <v>-4.9827000000000003E-2</v>
      </c>
      <c r="I12">
        <v>4.8932000000000003E-2</v>
      </c>
      <c r="J12">
        <v>7.2452000000000003E-2</v>
      </c>
      <c r="K12">
        <v>3.2439000000000003E-2</v>
      </c>
      <c r="L12">
        <v>3.9999E-2</v>
      </c>
      <c r="M12">
        <v>1.5198E-2</v>
      </c>
      <c r="N12">
        <v>0</v>
      </c>
      <c r="O12">
        <v>-0.13846</v>
      </c>
      <c r="P12">
        <v>-2.6453999999999998E-2</v>
      </c>
      <c r="Q12">
        <v>-3.0992479999999998</v>
      </c>
      <c r="R12">
        <v>89.527529999999999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0.13500000000000001</v>
      </c>
      <c r="Z12">
        <v>0.562446</v>
      </c>
      <c r="AA12">
        <v>5.496E-3</v>
      </c>
      <c r="AB12">
        <v>-6.3670000000000003E-3</v>
      </c>
      <c r="AC12">
        <v>4.3327999999999998E-2</v>
      </c>
      <c r="AD12">
        <v>0</v>
      </c>
      <c r="AE12">
        <v>531.46100000000001</v>
      </c>
      <c r="AF12">
        <v>1042.0409999999999</v>
      </c>
      <c r="AG12">
        <v>179.7329</v>
      </c>
      <c r="AH12">
        <v>70.282529999999994</v>
      </c>
      <c r="AI12">
        <v>-2.7700000000000001E-4</v>
      </c>
      <c r="AJ12">
        <v>0.111903</v>
      </c>
      <c r="AK12">
        <v>110.2637</v>
      </c>
      <c r="AL12">
        <v>2.2477</v>
      </c>
      <c r="AM12">
        <v>9.9263000000000004E-2</v>
      </c>
      <c r="AN12">
        <v>97.807980000000001</v>
      </c>
      <c r="AO12">
        <v>1.9937940000000001</v>
      </c>
      <c r="AP12">
        <v>73.148799999999994</v>
      </c>
      <c r="AQ12">
        <v>64.8857</v>
      </c>
      <c r="AR12">
        <v>157.84950000000001</v>
      </c>
      <c r="AS12">
        <v>1.0446660000000001</v>
      </c>
      <c r="AT12">
        <v>347.5521</v>
      </c>
      <c r="AU12">
        <v>48.538110000000003</v>
      </c>
      <c r="AV12">
        <v>4.2084510000000002</v>
      </c>
      <c r="AW12">
        <v>0.10967499999999999</v>
      </c>
      <c r="AX12">
        <v>3.5353000000000002E-2</v>
      </c>
      <c r="AY12">
        <v>0.10570400000000001</v>
      </c>
      <c r="AZ12">
        <v>1.8387000000000001E-2</v>
      </c>
      <c r="BA12">
        <v>4.199E-2</v>
      </c>
      <c r="BB12">
        <v>6.9735000000000005E-2</v>
      </c>
      <c r="BC12">
        <v>4.7597E-2</v>
      </c>
      <c r="BD12">
        <v>4.0207E-2</v>
      </c>
      <c r="BE12">
        <v>7.2997999999999993E-2</v>
      </c>
      <c r="BF12">
        <v>9.6907999999999994E-2</v>
      </c>
      <c r="BG12">
        <v>3.8164999999999998E-2</v>
      </c>
      <c r="BH12">
        <v>2.2483E-2</v>
      </c>
      <c r="BI12">
        <v>7.9705999999999999E-2</v>
      </c>
      <c r="BJ12">
        <v>8.1566E-2</v>
      </c>
      <c r="BK12">
        <v>-4.1939999999999998E-3</v>
      </c>
      <c r="BL12">
        <v>1.4314E-2</v>
      </c>
      <c r="BM12">
        <v>1.6820000000000002E-2</v>
      </c>
      <c r="BN12">
        <v>-0.20152400000000001</v>
      </c>
      <c r="BO12">
        <v>2.3876000000000001E-2</v>
      </c>
      <c r="BP12">
        <v>6.6558999999999993E-2</v>
      </c>
      <c r="BQ12">
        <v>8.9759999999999996E-3</v>
      </c>
      <c r="BR12">
        <v>-8.442793</v>
      </c>
      <c r="BS12">
        <v>-1.9143840000000001</v>
      </c>
      <c r="BT12">
        <v>4.8147149999999996</v>
      </c>
      <c r="BU12">
        <v>-4.0580860000000003</v>
      </c>
      <c r="BV12">
        <v>-16.25029</v>
      </c>
      <c r="BW12">
        <v>5.4401989999999998</v>
      </c>
      <c r="BX12">
        <v>-21.583410000000001</v>
      </c>
      <c r="BY12">
        <v>120.32210000000001</v>
      </c>
      <c r="BZ12">
        <v>-55.649529999999999</v>
      </c>
      <c r="CA12">
        <v>14.17361</v>
      </c>
      <c r="CB12">
        <v>16.68995</v>
      </c>
      <c r="CC12">
        <v>-4.56365</v>
      </c>
      <c r="CD12">
        <v>-0.25611800000000001</v>
      </c>
      <c r="CE12">
        <v>17.604949999999999</v>
      </c>
      <c r="CF12">
        <v>16.055389999999999</v>
      </c>
      <c r="CG12">
        <v>40.569090000000003</v>
      </c>
      <c r="CH12">
        <v>-11.056699999999999</v>
      </c>
      <c r="CI12">
        <v>3.5189999999999999E-2</v>
      </c>
      <c r="CJ12">
        <v>9.8007999999999998E-2</v>
      </c>
      <c r="CK12">
        <v>1.6854000000000001E-2</v>
      </c>
      <c r="CL12">
        <v>4.2574000000000001E-2</v>
      </c>
      <c r="CM12">
        <v>6.2267999999999997E-2</v>
      </c>
      <c r="CN12">
        <v>4.4490000000000002E-2</v>
      </c>
      <c r="CO12">
        <v>4.1506000000000001E-2</v>
      </c>
      <c r="CP12">
        <v>6.4688999999999997E-2</v>
      </c>
      <c r="CQ12">
        <v>9.0203000000000005E-2</v>
      </c>
      <c r="CR12">
        <v>3.6133999999999999E-2</v>
      </c>
      <c r="CS12">
        <v>2.7446000000000002E-2</v>
      </c>
      <c r="CT12">
        <v>7.1696999999999997E-2</v>
      </c>
      <c r="CU12">
        <v>7.2578000000000004E-2</v>
      </c>
      <c r="CV12">
        <v>-8.8400000000000002E-4</v>
      </c>
      <c r="CW12">
        <v>1.6206999999999999E-2</v>
      </c>
      <c r="CX12">
        <v>1.7495E-2</v>
      </c>
      <c r="CY12">
        <v>-0.17593200000000001</v>
      </c>
      <c r="CZ12">
        <v>2.4242E-2</v>
      </c>
      <c r="DA12">
        <v>6.4047000000000007E-2</v>
      </c>
      <c r="DB12">
        <v>1.1585E-2</v>
      </c>
      <c r="DC12">
        <v>-6.1279339999999998</v>
      </c>
      <c r="DD12">
        <v>-1.370492</v>
      </c>
      <c r="DE12">
        <v>40.394370000000002</v>
      </c>
      <c r="DF12">
        <v>-3.6378539999999999</v>
      </c>
      <c r="DG12">
        <v>-28.87078</v>
      </c>
      <c r="DH12">
        <v>4.9518690000000003</v>
      </c>
      <c r="DI12">
        <v>-18.324909999999999</v>
      </c>
      <c r="DJ12">
        <v>104.1777</v>
      </c>
      <c r="DK12">
        <v>-49.917090000000002</v>
      </c>
      <c r="DL12">
        <v>12.39587</v>
      </c>
      <c r="DM12">
        <v>17.580410000000001</v>
      </c>
      <c r="DN12">
        <v>-2.5582630000000002</v>
      </c>
      <c r="DO12">
        <v>-0.19364600000000001</v>
      </c>
      <c r="DP12">
        <v>18.324940000000002</v>
      </c>
      <c r="DQ12">
        <v>15.42126</v>
      </c>
      <c r="DR12">
        <v>38.569220000000001</v>
      </c>
      <c r="DS12">
        <v>-9.2688590000000008</v>
      </c>
      <c r="DT12">
        <v>1.067E-3</v>
      </c>
      <c r="DU12">
        <v>0.101397</v>
      </c>
      <c r="DV12">
        <v>3.1310000000000001E-3</v>
      </c>
      <c r="DW12">
        <v>0.102353</v>
      </c>
      <c r="DX12">
        <v>0.10276200000000001</v>
      </c>
      <c r="DY12">
        <v>0.103671</v>
      </c>
      <c r="DZ12">
        <v>0.104563</v>
      </c>
      <c r="EA12">
        <v>0.108753</v>
      </c>
      <c r="EB12">
        <v>0.105834</v>
      </c>
      <c r="EC12">
        <v>0</v>
      </c>
      <c r="ED12">
        <v>0.10835599999999999</v>
      </c>
      <c r="EE12">
        <v>0.104368</v>
      </c>
      <c r="EF12">
        <v>2.4656000000000001E-2</v>
      </c>
      <c r="EG12">
        <v>0</v>
      </c>
      <c r="EH12">
        <v>0</v>
      </c>
      <c r="EI12">
        <v>0.10433199999999999</v>
      </c>
      <c r="EJ12">
        <v>0.115034</v>
      </c>
      <c r="EK12">
        <v>3.5899999999999999E-3</v>
      </c>
      <c r="EL12">
        <v>9.9317000000000003E-2</v>
      </c>
      <c r="EM12">
        <v>9.9185999999999996E-2</v>
      </c>
      <c r="EN12">
        <v>5.3759999999999997E-3</v>
      </c>
      <c r="EO12">
        <v>-0.34339999999999998</v>
      </c>
      <c r="EP12">
        <v>0.254581</v>
      </c>
      <c r="EQ12">
        <v>2.0400000000000001E-3</v>
      </c>
      <c r="ER12">
        <v>6.3851610000000001</v>
      </c>
      <c r="ES12">
        <v>72.379859999999994</v>
      </c>
      <c r="ET12">
        <v>2.1507070000000001</v>
      </c>
      <c r="EU12">
        <v>31.18731</v>
      </c>
      <c r="EV12">
        <v>0.49903599999999998</v>
      </c>
      <c r="EW12">
        <v>1.8232109999999999</v>
      </c>
      <c r="EX12">
        <v>2.3024830000000001</v>
      </c>
      <c r="EY12">
        <v>0.72699400000000003</v>
      </c>
      <c r="EZ12">
        <v>9.6349000000000004E-2</v>
      </c>
      <c r="FA12">
        <v>4.9137760000000004</v>
      </c>
      <c r="FB12">
        <v>1.576613</v>
      </c>
      <c r="FC12">
        <v>32.852290000000004</v>
      </c>
      <c r="FD12">
        <v>9.0175789999999996</v>
      </c>
      <c r="FE12">
        <v>0.54462600000000005</v>
      </c>
      <c r="FF12">
        <v>0.83926000000000001</v>
      </c>
      <c r="FG12">
        <v>1.5088820000000001</v>
      </c>
      <c r="FH12">
        <v>0.33927499999999999</v>
      </c>
      <c r="FI12">
        <v>6.3884270000000001</v>
      </c>
      <c r="FJ12">
        <v>71.388649999999998</v>
      </c>
      <c r="FK12">
        <v>3.069817</v>
      </c>
      <c r="FL12">
        <v>29.990159999999999</v>
      </c>
      <c r="FM12">
        <v>0.341111</v>
      </c>
      <c r="FN12">
        <v>1.9197930000000001</v>
      </c>
      <c r="FO12">
        <v>1.8272139999999999</v>
      </c>
      <c r="FP12">
        <v>1.5896300000000001</v>
      </c>
      <c r="FQ12">
        <v>4.3555999999999997E-2</v>
      </c>
      <c r="FR12">
        <v>5.6046940000000003</v>
      </c>
      <c r="FS12">
        <v>1.842473</v>
      </c>
      <c r="FT12">
        <v>32.040219999999998</v>
      </c>
      <c r="FU12">
        <v>9.0198289999999997</v>
      </c>
      <c r="FV12">
        <v>0.64354199999999995</v>
      </c>
      <c r="FW12">
        <v>0.98043599999999997</v>
      </c>
      <c r="FX12">
        <v>2.1327630000000002</v>
      </c>
      <c r="FY12">
        <v>0.301508</v>
      </c>
      <c r="FZ12">
        <v>4.6442930000000002</v>
      </c>
      <c r="GA12">
        <v>58.732219999999998</v>
      </c>
      <c r="GB12">
        <v>2.1507070000000001</v>
      </c>
      <c r="GC12">
        <v>27.246030000000001</v>
      </c>
      <c r="GD12">
        <v>0.435971</v>
      </c>
      <c r="GE12">
        <v>1.592803</v>
      </c>
      <c r="GF12">
        <v>2.0115080000000001</v>
      </c>
      <c r="GG12">
        <v>0.63512000000000002</v>
      </c>
      <c r="GH12">
        <v>8.4172999999999998E-2</v>
      </c>
      <c r="GI12">
        <v>4.2927999999999997</v>
      </c>
      <c r="GJ12">
        <v>1.3773690000000001</v>
      </c>
      <c r="GK12">
        <v>31.236129999999999</v>
      </c>
      <c r="GL12">
        <v>9.0175789999999996</v>
      </c>
      <c r="GM12">
        <v>0.54462600000000005</v>
      </c>
      <c r="GN12">
        <v>0.83926000000000001</v>
      </c>
      <c r="GO12">
        <v>1.5088820000000001</v>
      </c>
      <c r="GP12">
        <v>0.33927499999999999</v>
      </c>
      <c r="GQ12">
        <v>4.6469940000000003</v>
      </c>
      <c r="GR12">
        <v>57.731639999999999</v>
      </c>
      <c r="GS12">
        <v>3.069817</v>
      </c>
      <c r="GT12">
        <v>26.203060000000001</v>
      </c>
      <c r="GU12">
        <v>0.29803600000000002</v>
      </c>
      <c r="GV12">
        <v>1.677365</v>
      </c>
      <c r="GW12">
        <v>1.5964769999999999</v>
      </c>
      <c r="GX12">
        <v>1.388895</v>
      </c>
      <c r="GY12">
        <v>3.8056E-2</v>
      </c>
      <c r="GZ12">
        <v>4.8969430000000003</v>
      </c>
      <c r="HA12">
        <v>1.6098079999999999</v>
      </c>
      <c r="HB12">
        <v>30.422940000000001</v>
      </c>
      <c r="HC12">
        <v>9.0198289999999997</v>
      </c>
      <c r="HD12">
        <v>0.64354199999999995</v>
      </c>
      <c r="HE12">
        <v>0.98043599999999997</v>
      </c>
      <c r="HF12">
        <v>2.1327630000000002</v>
      </c>
      <c r="HG12">
        <v>0.301508</v>
      </c>
      <c r="HH12">
        <v>4.7280569999999997</v>
      </c>
      <c r="HI12">
        <v>63.127960000000002</v>
      </c>
      <c r="HJ12">
        <v>2.1507070000000001</v>
      </c>
      <c r="HK12">
        <v>112.58799999999999</v>
      </c>
      <c r="HL12">
        <v>1.0779259999999999</v>
      </c>
      <c r="HM12">
        <v>3.9381650000000001</v>
      </c>
      <c r="HN12">
        <v>4.973401</v>
      </c>
      <c r="HO12">
        <v>0.78593400000000002</v>
      </c>
      <c r="HP12">
        <v>0.10416</v>
      </c>
      <c r="HQ12">
        <v>5.3121559999999999</v>
      </c>
      <c r="HR12">
        <v>4.6082879999999999</v>
      </c>
      <c r="HS12">
        <v>31.450749999999999</v>
      </c>
      <c r="HT12">
        <v>9.1524479999999997</v>
      </c>
      <c r="HU12">
        <v>0.55277200000000004</v>
      </c>
      <c r="HV12">
        <v>0.85181200000000001</v>
      </c>
      <c r="HW12">
        <v>1.5314490000000001</v>
      </c>
      <c r="HX12">
        <v>0.34434999999999999</v>
      </c>
      <c r="HY12">
        <v>4.7068260000000004</v>
      </c>
      <c r="HZ12">
        <v>61.572929999999999</v>
      </c>
      <c r="IA12">
        <v>3.069817</v>
      </c>
      <c r="IB12">
        <v>108.2663</v>
      </c>
      <c r="IC12">
        <v>0.73680500000000004</v>
      </c>
      <c r="ID12">
        <v>4.1467840000000002</v>
      </c>
      <c r="IE12">
        <v>3.946812</v>
      </c>
      <c r="IF12">
        <v>1.7185079999999999</v>
      </c>
      <c r="IG12">
        <v>4.7086999999999997E-2</v>
      </c>
      <c r="IH12">
        <v>6.0590909999999996</v>
      </c>
      <c r="II12">
        <v>5.3853720000000003</v>
      </c>
      <c r="IJ12">
        <v>30.631979999999999</v>
      </c>
      <c r="IK12">
        <v>9.154731</v>
      </c>
      <c r="IL12">
        <v>0.65316700000000005</v>
      </c>
      <c r="IM12">
        <v>0.99509999999999998</v>
      </c>
      <c r="IN12">
        <v>2.1646610000000002</v>
      </c>
      <c r="IO12">
        <v>0.30601699999999998</v>
      </c>
      <c r="IP12">
        <v>4.0065679999999997</v>
      </c>
      <c r="IQ12">
        <v>4.383489</v>
      </c>
      <c r="IR12">
        <v>0.82331900000000002</v>
      </c>
      <c r="IS12">
        <v>1.5487880000000001</v>
      </c>
      <c r="IT12">
        <v>3.339912</v>
      </c>
      <c r="IU12">
        <v>3.486507</v>
      </c>
      <c r="IV12">
        <v>4.3479279999999996</v>
      </c>
      <c r="IW12">
        <v>4.9951780000000001</v>
      </c>
      <c r="IX12">
        <v>0.64551400000000003</v>
      </c>
      <c r="IY12">
        <v>4.9882559999999998</v>
      </c>
      <c r="IZ12">
        <v>1.5014510000000001</v>
      </c>
      <c r="JA12">
        <v>6.7732330000000003</v>
      </c>
      <c r="JB12">
        <v>0.337086</v>
      </c>
      <c r="JC12">
        <v>1.0783100000000001</v>
      </c>
      <c r="JD12">
        <v>0.84991300000000003</v>
      </c>
      <c r="JE12">
        <v>16.399290000000001</v>
      </c>
      <c r="JF12">
        <v>0.32750499999999999</v>
      </c>
      <c r="JG12">
        <v>1.736332</v>
      </c>
      <c r="JH12">
        <v>17.332380000000001</v>
      </c>
      <c r="JI12">
        <v>5.8466120000000004</v>
      </c>
      <c r="JJ12">
        <v>21.149270000000001</v>
      </c>
      <c r="JK12">
        <v>40.791910000000001</v>
      </c>
      <c r="JL12">
        <v>4.0076619999999998</v>
      </c>
      <c r="JM12">
        <v>4.387289</v>
      </c>
      <c r="JN12">
        <v>0.82330899999999996</v>
      </c>
      <c r="JO12">
        <v>1.549412</v>
      </c>
      <c r="JP12">
        <v>3.3420610000000002</v>
      </c>
      <c r="JQ12">
        <v>3.4879600000000002</v>
      </c>
      <c r="JR12">
        <v>4.3491059999999999</v>
      </c>
      <c r="JS12">
        <v>4.998259</v>
      </c>
      <c r="JT12">
        <v>0.64604899999999998</v>
      </c>
      <c r="JU12">
        <v>4.9897270000000002</v>
      </c>
      <c r="JV12">
        <v>1.5010540000000001</v>
      </c>
      <c r="JW12">
        <v>6.7779199999999999</v>
      </c>
      <c r="JX12">
        <v>0.33736899999999997</v>
      </c>
      <c r="JY12">
        <v>1.077985</v>
      </c>
      <c r="JZ12">
        <v>0.85010399999999997</v>
      </c>
      <c r="KA12">
        <v>16.402930000000001</v>
      </c>
      <c r="KB12">
        <v>0.32691599999999998</v>
      </c>
      <c r="KC12">
        <v>1.736837</v>
      </c>
      <c r="KD12">
        <v>17.34037</v>
      </c>
      <c r="KE12">
        <v>5.8458949999999996</v>
      </c>
      <c r="KF12">
        <v>21.09055</v>
      </c>
      <c r="KG12">
        <v>40.789349999999999</v>
      </c>
      <c r="KH12">
        <v>2020.9179999999999</v>
      </c>
      <c r="KI12">
        <v>4861.54</v>
      </c>
      <c r="KJ12">
        <v>5654.9539999999997</v>
      </c>
      <c r="KK12">
        <v>5409.5950000000003</v>
      </c>
      <c r="KL12">
        <v>9038.2189999999991</v>
      </c>
      <c r="KM12">
        <v>2965.2719999999999</v>
      </c>
      <c r="KN12">
        <v>1341.058</v>
      </c>
      <c r="KO12">
        <v>0</v>
      </c>
      <c r="KP12">
        <v>30956.51</v>
      </c>
      <c r="KQ12">
        <v>335.04160000000002</v>
      </c>
      <c r="KR12">
        <v>0</v>
      </c>
      <c r="KS12">
        <v>2144.009</v>
      </c>
      <c r="KT12">
        <v>4833.2659999999996</v>
      </c>
      <c r="KU12">
        <v>5628.0069999999996</v>
      </c>
      <c r="KV12">
        <v>5384.7219999999998</v>
      </c>
      <c r="KW12">
        <v>9015.098</v>
      </c>
      <c r="KX12">
        <v>2947.875</v>
      </c>
      <c r="KY12">
        <v>1338.58</v>
      </c>
      <c r="KZ12">
        <v>0</v>
      </c>
      <c r="LA12">
        <v>30792.62</v>
      </c>
      <c r="LB12">
        <v>498.93860000000001</v>
      </c>
      <c r="LC12">
        <v>0</v>
      </c>
      <c r="LD12">
        <v>23176325</v>
      </c>
      <c r="LE12" s="21">
        <v>126000000</v>
      </c>
      <c r="LF12" s="21">
        <v>474000000</v>
      </c>
      <c r="LG12" s="21">
        <v>649000000</v>
      </c>
      <c r="LH12" s="21">
        <v>714000000</v>
      </c>
      <c r="LI12" s="21">
        <v>377000000</v>
      </c>
      <c r="LJ12" s="21">
        <v>151000000</v>
      </c>
      <c r="LK12" s="21">
        <v>1.8199999999999999E-6</v>
      </c>
      <c r="LL12" s="21">
        <v>3.4599999999999999E-6</v>
      </c>
      <c r="LM12" s="21">
        <v>6.3600000000000001E-6</v>
      </c>
      <c r="LN12" s="21">
        <v>1.31E-5</v>
      </c>
      <c r="LO12" s="21">
        <v>1.91E-5</v>
      </c>
      <c r="LP12" s="21">
        <v>2.69E-5</v>
      </c>
      <c r="LQ12" s="21">
        <v>3.9400000000000002E-5</v>
      </c>
      <c r="LR12">
        <v>23205953</v>
      </c>
      <c r="LS12" s="21">
        <v>126000000</v>
      </c>
      <c r="LT12" s="21">
        <v>474000000</v>
      </c>
      <c r="LU12" s="21">
        <v>648000000</v>
      </c>
      <c r="LV12" s="21">
        <v>714000000</v>
      </c>
      <c r="LW12" s="21">
        <v>377000000</v>
      </c>
      <c r="LX12" s="21">
        <v>151000000</v>
      </c>
      <c r="LY12" s="21">
        <v>1.8199999999999999E-6</v>
      </c>
      <c r="LZ12" s="21">
        <v>3.4699999999999998E-6</v>
      </c>
      <c r="MA12" s="21">
        <v>6.37E-6</v>
      </c>
      <c r="MB12" s="21">
        <v>1.31E-5</v>
      </c>
      <c r="MC12" s="21">
        <v>1.91E-5</v>
      </c>
      <c r="MD12" s="21">
        <v>2.69E-5</v>
      </c>
      <c r="ME12" s="21">
        <v>3.9400000000000002E-5</v>
      </c>
      <c r="MF12">
        <v>0.21052399999999999</v>
      </c>
      <c r="MG12">
        <v>0.35306300000000002</v>
      </c>
      <c r="MH12">
        <v>0.23095499999999999</v>
      </c>
      <c r="MI12">
        <v>0.10141699999999999</v>
      </c>
      <c r="MJ12">
        <v>5.568E-2</v>
      </c>
      <c r="MK12">
        <v>1.3181E-2</v>
      </c>
      <c r="ML12">
        <v>3.5181999999999998E-2</v>
      </c>
      <c r="MM12">
        <v>0.22040100000000001</v>
      </c>
      <c r="MN12">
        <v>0.37193599999999999</v>
      </c>
      <c r="MO12">
        <v>0.21534900000000001</v>
      </c>
      <c r="MP12">
        <v>6.7117999999999997E-2</v>
      </c>
      <c r="MQ12">
        <v>3.7839999999999999E-2</v>
      </c>
      <c r="MR12">
        <v>1.7226999999999999E-2</v>
      </c>
      <c r="MS12">
        <v>7.0128999999999997E-2</v>
      </c>
      <c r="MT12">
        <v>0.22375200000000001</v>
      </c>
      <c r="MU12">
        <v>0.350329</v>
      </c>
      <c r="MV12">
        <v>0.22835</v>
      </c>
      <c r="MW12">
        <v>9.8961999999999994E-2</v>
      </c>
      <c r="MX12">
        <v>5.3333999999999999E-2</v>
      </c>
      <c r="MY12">
        <v>1.1077E-2</v>
      </c>
      <c r="MZ12">
        <v>3.4195999999999997E-2</v>
      </c>
      <c r="NA12">
        <v>0.23425699999999999</v>
      </c>
      <c r="NB12">
        <v>0.36948199999999998</v>
      </c>
      <c r="NC12">
        <v>0.212926</v>
      </c>
      <c r="ND12">
        <v>6.4725000000000005E-2</v>
      </c>
      <c r="NE12">
        <v>3.5499999999999997E-2</v>
      </c>
      <c r="NF12">
        <v>1.4952999999999999E-2</v>
      </c>
      <c r="NG12">
        <v>6.8156999999999995E-2</v>
      </c>
      <c r="NH12">
        <v>3.2599999999999999E-3</v>
      </c>
      <c r="NI12">
        <v>3.2980000000000002E-3</v>
      </c>
      <c r="NJ12">
        <v>1.1155999999999999E-2</v>
      </c>
      <c r="NK12">
        <v>1.7895000000000001E-2</v>
      </c>
      <c r="NL12">
        <v>1.9532000000000001E-2</v>
      </c>
      <c r="NM12">
        <v>5.3002000000000001E-2</v>
      </c>
      <c r="NN12">
        <v>3.2599999999999999E-3</v>
      </c>
      <c r="NO12">
        <v>3.2980000000000002E-3</v>
      </c>
      <c r="NP12">
        <v>1.1155999999999999E-2</v>
      </c>
      <c r="NQ12">
        <v>1.7895000000000001E-2</v>
      </c>
      <c r="NR12">
        <v>1.9532000000000001E-2</v>
      </c>
      <c r="NS12">
        <v>5.3002000000000001E-2</v>
      </c>
      <c r="NT12">
        <v>3.3089999999999999E-3</v>
      </c>
      <c r="NU12">
        <v>3.346E-3</v>
      </c>
      <c r="NV12">
        <v>1.1199000000000001E-2</v>
      </c>
      <c r="NW12">
        <v>1.7912999999999998E-2</v>
      </c>
      <c r="NX12">
        <v>1.9532999999999998E-2</v>
      </c>
      <c r="NY12">
        <v>5.3003000000000002E-2</v>
      </c>
      <c r="NZ12">
        <v>3.3089999999999999E-3</v>
      </c>
      <c r="OA12">
        <v>3.346E-3</v>
      </c>
      <c r="OB12">
        <v>1.1199000000000001E-2</v>
      </c>
      <c r="OC12">
        <v>1.7912999999999998E-2</v>
      </c>
      <c r="OD12">
        <v>1.9532999999999998E-2</v>
      </c>
      <c r="OE12">
        <v>5.3003000000000002E-2</v>
      </c>
      <c r="OF12">
        <v>55.71396</v>
      </c>
      <c r="OG12">
        <v>38332.97</v>
      </c>
      <c r="OH12">
        <v>17598.439999999999</v>
      </c>
      <c r="OI12">
        <v>9346.0650000000005</v>
      </c>
      <c r="OJ12">
        <v>55.71696</v>
      </c>
      <c r="OK12">
        <v>38201.339999999997</v>
      </c>
      <c r="OL12">
        <v>17643.240000000002</v>
      </c>
      <c r="OM12">
        <v>9346.2549999999992</v>
      </c>
      <c r="ON12">
        <v>1220217</v>
      </c>
      <c r="OO12">
        <v>1220731</v>
      </c>
      <c r="OP12">
        <v>9314.19</v>
      </c>
      <c r="OQ12">
        <v>4809.3389999999999</v>
      </c>
      <c r="OR12">
        <v>4405.4759999999997</v>
      </c>
      <c r="OS12">
        <v>400.40879999999999</v>
      </c>
      <c r="OT12">
        <v>1280.3869999999999</v>
      </c>
      <c r="OU12">
        <v>1000.431</v>
      </c>
      <c r="OV12">
        <v>251.06739999999999</v>
      </c>
      <c r="OW12">
        <v>985.49620000000004</v>
      </c>
      <c r="OX12">
        <v>1076.665</v>
      </c>
      <c r="OY12">
        <v>867.38099999999997</v>
      </c>
      <c r="OZ12">
        <v>479.90300000000002</v>
      </c>
      <c r="PA12">
        <v>16074.52</v>
      </c>
      <c r="PB12">
        <v>5862.1850000000004</v>
      </c>
      <c r="PC12">
        <v>1052.4849999999999</v>
      </c>
      <c r="PD12">
        <v>1800.934</v>
      </c>
      <c r="PE12">
        <v>5039.924</v>
      </c>
      <c r="PF12">
        <v>1113.126</v>
      </c>
      <c r="PG12">
        <v>2058.4540000000002</v>
      </c>
      <c r="PH12">
        <v>154957.6</v>
      </c>
      <c r="PI12">
        <v>67088.570000000007</v>
      </c>
      <c r="PJ12">
        <v>1.686318</v>
      </c>
      <c r="PK12">
        <v>607.46209999999996</v>
      </c>
      <c r="PL12">
        <v>99.542299999999997</v>
      </c>
      <c r="PM12">
        <v>1324.873</v>
      </c>
      <c r="PN12">
        <v>476.91809999999998</v>
      </c>
      <c r="PO12">
        <v>153.1576</v>
      </c>
      <c r="PP12">
        <v>253.5231</v>
      </c>
      <c r="PQ12">
        <v>467.11169999999998</v>
      </c>
      <c r="PR12">
        <v>94.416870000000003</v>
      </c>
      <c r="PS12">
        <v>568.66579999999999</v>
      </c>
      <c r="PT12">
        <v>1008.162</v>
      </c>
      <c r="PU12">
        <v>491.7088</v>
      </c>
      <c r="PV12">
        <v>884.17949999999996</v>
      </c>
      <c r="PW12">
        <v>54.503799999999998</v>
      </c>
      <c r="PX12">
        <v>131.75059999999999</v>
      </c>
      <c r="PY12">
        <v>622.1146</v>
      </c>
      <c r="PZ12">
        <v>140.50919999999999</v>
      </c>
      <c r="QA12">
        <v>287298.90000000002</v>
      </c>
      <c r="QB12">
        <v>6261.4430000000002</v>
      </c>
      <c r="QC12">
        <v>71062.570000000007</v>
      </c>
      <c r="QD12">
        <v>7246.0290000000005</v>
      </c>
      <c r="QE12">
        <v>13810.25</v>
      </c>
      <c r="QF12">
        <v>10712.42</v>
      </c>
      <c r="QG12">
        <v>5389.9960000000001</v>
      </c>
      <c r="QH12">
        <v>4123.143</v>
      </c>
      <c r="QI12">
        <v>1386.242</v>
      </c>
      <c r="QJ12">
        <v>4888.5</v>
      </c>
      <c r="QK12">
        <v>9317.4680000000008</v>
      </c>
      <c r="QL12">
        <v>4814.0529999999999</v>
      </c>
      <c r="QM12">
        <v>4406.2190000000001</v>
      </c>
      <c r="QN12">
        <v>400.57929999999999</v>
      </c>
      <c r="QO12">
        <v>1281.184</v>
      </c>
      <c r="QP12">
        <v>1000.876</v>
      </c>
      <c r="QQ12">
        <v>251.17160000000001</v>
      </c>
      <c r="QR12">
        <v>986.13369999999998</v>
      </c>
      <c r="QS12">
        <v>1077.636</v>
      </c>
      <c r="QT12">
        <v>867.69439999999997</v>
      </c>
      <c r="QU12">
        <v>480.03469999999999</v>
      </c>
      <c r="QV12">
        <v>16086.05</v>
      </c>
      <c r="QW12">
        <v>5866.44</v>
      </c>
      <c r="QX12">
        <v>1052.4749999999999</v>
      </c>
      <c r="QY12">
        <v>1801.2260000000001</v>
      </c>
      <c r="QZ12">
        <v>5040.8059999999996</v>
      </c>
      <c r="RA12">
        <v>1111.1679999999999</v>
      </c>
      <c r="RB12">
        <v>2058.953</v>
      </c>
      <c r="RC12">
        <v>155056.9</v>
      </c>
      <c r="RD12">
        <v>67096.34</v>
      </c>
      <c r="RE12">
        <v>1.582981</v>
      </c>
      <c r="RF12">
        <v>599.13689999999997</v>
      </c>
      <c r="RG12">
        <v>139.7518</v>
      </c>
      <c r="RH12">
        <v>1276.6759999999999</v>
      </c>
      <c r="RI12">
        <v>339.22809999999998</v>
      </c>
      <c r="RJ12">
        <v>160.74180000000001</v>
      </c>
      <c r="RK12">
        <v>207.0652</v>
      </c>
      <c r="RL12">
        <v>953.73770000000002</v>
      </c>
      <c r="RM12">
        <v>47.286720000000003</v>
      </c>
      <c r="RN12">
        <v>639.15689999999995</v>
      </c>
      <c r="RO12">
        <v>1185.4010000000001</v>
      </c>
      <c r="RP12">
        <v>479.12959999999998</v>
      </c>
      <c r="RQ12">
        <v>882.46730000000002</v>
      </c>
      <c r="RR12">
        <v>64.491590000000002</v>
      </c>
      <c r="RS12">
        <v>152.06819999999999</v>
      </c>
      <c r="RT12">
        <v>862.05930000000001</v>
      </c>
      <c r="RU12">
        <v>127.48560000000001</v>
      </c>
      <c r="RV12">
        <v>288170.90000000002</v>
      </c>
      <c r="RW12">
        <v>6271.5649999999996</v>
      </c>
      <c r="RX12">
        <v>71065.210000000006</v>
      </c>
      <c r="RY12">
        <v>7700.1750000000002</v>
      </c>
      <c r="RZ12">
        <v>13701.22</v>
      </c>
      <c r="SA12">
        <v>10589.97</v>
      </c>
      <c r="SB12">
        <v>5258.7209999999995</v>
      </c>
      <c r="SC12">
        <v>3948.8519999999999</v>
      </c>
      <c r="SD12">
        <v>1164.7750000000001</v>
      </c>
      <c r="SE12">
        <v>4750.777</v>
      </c>
      <c r="SF12">
        <v>35950.53</v>
      </c>
      <c r="SG12">
        <v>55.71396</v>
      </c>
      <c r="SH12">
        <v>9051.3809999999994</v>
      </c>
      <c r="SI12">
        <v>17497.38</v>
      </c>
      <c r="SJ12">
        <v>9346.0650000000005</v>
      </c>
      <c r="SK12">
        <v>35946.51</v>
      </c>
      <c r="SL12">
        <v>55.71696</v>
      </c>
      <c r="SM12">
        <v>9051.7360000000008</v>
      </c>
      <c r="SN12">
        <v>17492.8</v>
      </c>
      <c r="SO12">
        <v>9346.2549999999992</v>
      </c>
      <c r="SP12">
        <v>101132.5</v>
      </c>
      <c r="SQ12">
        <v>78148.45</v>
      </c>
      <c r="SR12">
        <v>101126.8</v>
      </c>
      <c r="SS12">
        <v>77585.09</v>
      </c>
      <c r="ST12">
        <v>40.791910000000001</v>
      </c>
      <c r="SU12">
        <v>0.33556599999999998</v>
      </c>
      <c r="SV12">
        <v>6.5146030000000001</v>
      </c>
      <c r="SW12">
        <v>12.49272</v>
      </c>
      <c r="SX12">
        <v>21.449010000000001</v>
      </c>
      <c r="SY12">
        <v>40.789349999999999</v>
      </c>
      <c r="SZ12">
        <v>0.33558399999999999</v>
      </c>
      <c r="TA12">
        <v>6.5148590000000004</v>
      </c>
      <c r="TB12">
        <v>12.489459999999999</v>
      </c>
      <c r="TC12">
        <v>21.449449999999999</v>
      </c>
      <c r="TD12">
        <v>24656.3</v>
      </c>
      <c r="TE12">
        <v>812.12289999999996</v>
      </c>
      <c r="TF12">
        <v>470.0616</v>
      </c>
      <c r="TG12">
        <v>215.99539999999999</v>
      </c>
      <c r="TH12">
        <v>49.112119999999997</v>
      </c>
      <c r="TI12">
        <v>102.51739999999999</v>
      </c>
      <c r="TJ12">
        <v>82.863939999999999</v>
      </c>
      <c r="TK12">
        <v>25.420970000000001</v>
      </c>
      <c r="TL12">
        <v>29.9847</v>
      </c>
      <c r="TM12">
        <v>162.5685</v>
      </c>
      <c r="TN12">
        <v>40.372970000000002</v>
      </c>
      <c r="TO12">
        <v>25.67718</v>
      </c>
      <c r="TP12">
        <v>1969.627</v>
      </c>
      <c r="TQ12">
        <v>1960.8610000000001</v>
      </c>
      <c r="TR12">
        <v>98.690910000000002</v>
      </c>
      <c r="TS12">
        <v>179.88560000000001</v>
      </c>
      <c r="TT12">
        <v>407.62279999999998</v>
      </c>
      <c r="TU12">
        <v>41.706499999999998</v>
      </c>
      <c r="TV12">
        <v>72.799000000000007</v>
      </c>
      <c r="TW12">
        <v>11631.41</v>
      </c>
      <c r="TX12">
        <v>6141.27</v>
      </c>
      <c r="TY12">
        <v>0.53508800000000001</v>
      </c>
      <c r="TZ12">
        <v>11.564310000000001</v>
      </c>
      <c r="UA12">
        <v>6.391705</v>
      </c>
      <c r="UB12">
        <v>63.317369999999997</v>
      </c>
      <c r="UC12">
        <v>0.76676500000000003</v>
      </c>
      <c r="UD12">
        <v>2.5556269999999999</v>
      </c>
      <c r="UE12">
        <v>4.6574590000000002</v>
      </c>
      <c r="UF12">
        <v>1.7662789999999999</v>
      </c>
      <c r="UG12">
        <v>0.84692699999999999</v>
      </c>
      <c r="UH12">
        <v>11.167920000000001</v>
      </c>
      <c r="UI12">
        <v>5.6476379999999997</v>
      </c>
      <c r="UJ12">
        <v>16.695519999999998</v>
      </c>
      <c r="UK12">
        <v>6.4181699999999999</v>
      </c>
      <c r="UL12">
        <v>0.49950899999999998</v>
      </c>
      <c r="UM12">
        <v>0.537995</v>
      </c>
      <c r="UN12">
        <v>1.9689380000000001</v>
      </c>
      <c r="UO12">
        <v>0.39996500000000001</v>
      </c>
      <c r="UP12">
        <v>24668.37</v>
      </c>
      <c r="UQ12">
        <v>812.33669999999995</v>
      </c>
      <c r="UR12">
        <v>470.4237</v>
      </c>
      <c r="US12">
        <v>216.02029999999999</v>
      </c>
      <c r="UT12">
        <v>49.127330000000001</v>
      </c>
      <c r="UU12">
        <v>102.5667</v>
      </c>
      <c r="UV12">
        <v>82.891930000000002</v>
      </c>
      <c r="UW12">
        <v>25.427520000000001</v>
      </c>
      <c r="UX12">
        <v>30.000720000000001</v>
      </c>
      <c r="UY12">
        <v>162.6865</v>
      </c>
      <c r="UZ12">
        <v>40.3827</v>
      </c>
      <c r="VA12">
        <v>25.680340000000001</v>
      </c>
      <c r="VB12">
        <v>1970.731</v>
      </c>
      <c r="VC12">
        <v>1961.9870000000001</v>
      </c>
      <c r="VD12">
        <v>98.685220000000001</v>
      </c>
      <c r="VE12">
        <v>179.90389999999999</v>
      </c>
      <c r="VF12">
        <v>407.67189999999999</v>
      </c>
      <c r="VG12">
        <v>41.643680000000003</v>
      </c>
      <c r="VH12">
        <v>72.811880000000002</v>
      </c>
      <c r="VI12">
        <v>11637.32</v>
      </c>
      <c r="VJ12">
        <v>6141.64</v>
      </c>
      <c r="VK12">
        <v>0.497751</v>
      </c>
      <c r="VL12">
        <v>11.430730000000001</v>
      </c>
      <c r="VM12">
        <v>8.5356009999999998</v>
      </c>
      <c r="VN12">
        <v>61.387430000000002</v>
      </c>
      <c r="VO12">
        <v>0.57905399999999996</v>
      </c>
      <c r="VP12">
        <v>2.6618719999999998</v>
      </c>
      <c r="VQ12">
        <v>3.9475060000000002</v>
      </c>
      <c r="VR12">
        <v>3.2051210000000001</v>
      </c>
      <c r="VS12">
        <v>0.48167300000000002</v>
      </c>
      <c r="VT12">
        <v>12.29618</v>
      </c>
      <c r="VU12">
        <v>6.5120659999999999</v>
      </c>
      <c r="VV12">
        <v>16.332879999999999</v>
      </c>
      <c r="VW12">
        <v>6.4083870000000003</v>
      </c>
      <c r="VX12">
        <v>0.57893300000000003</v>
      </c>
      <c r="VY12">
        <v>0.607595</v>
      </c>
      <c r="VZ12">
        <v>2.6014179999999998</v>
      </c>
      <c r="WA12">
        <v>0.36993100000000001</v>
      </c>
      <c r="WB12">
        <v>0.10749</v>
      </c>
      <c r="WC12">
        <v>0.106991</v>
      </c>
      <c r="WD12">
        <v>-2.0140999999999999E-2</v>
      </c>
      <c r="WE12">
        <v>-1.9954E-2</v>
      </c>
      <c r="WF12">
        <v>0.64741599999999999</v>
      </c>
      <c r="WG12">
        <v>0.64603100000000002</v>
      </c>
      <c r="WH12">
        <v>-2.1849E-2</v>
      </c>
      <c r="WI12">
        <v>-2.1583999999999999E-2</v>
      </c>
      <c r="WJ12">
        <v>1944672</v>
      </c>
      <c r="WK12">
        <v>1946547</v>
      </c>
    </row>
    <row r="13" spans="1:609" ht="14.45" x14ac:dyDescent="0.35">
      <c r="A13">
        <v>2014</v>
      </c>
      <c r="B13">
        <v>0.11941300000000001</v>
      </c>
      <c r="C13">
        <v>109.2139</v>
      </c>
      <c r="D13">
        <v>8.7193999999999994E-2</v>
      </c>
      <c r="E13">
        <v>0.40853099999999998</v>
      </c>
      <c r="F13">
        <v>-1.7381000000000001E-2</v>
      </c>
      <c r="G13">
        <v>-3.8387999999999999E-2</v>
      </c>
      <c r="H13">
        <v>-6.7146999999999998E-2</v>
      </c>
      <c r="I13">
        <v>6.4697000000000005E-2</v>
      </c>
      <c r="J13">
        <v>0.111667</v>
      </c>
      <c r="K13">
        <v>5.1617999999999997E-2</v>
      </c>
      <c r="L13">
        <v>6.0018000000000002E-2</v>
      </c>
      <c r="M13">
        <v>2.0417000000000001E-2</v>
      </c>
      <c r="N13">
        <v>0</v>
      </c>
      <c r="O13">
        <v>-0.21346599999999999</v>
      </c>
      <c r="P13">
        <v>-5.0982E-2</v>
      </c>
      <c r="Q13">
        <v>-3.7831890000000001</v>
      </c>
      <c r="R13">
        <v>89.390309999999999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0.13500000000000001</v>
      </c>
      <c r="Z13">
        <v>0.562446</v>
      </c>
      <c r="AA13">
        <v>1.1214999999999999E-2</v>
      </c>
      <c r="AB13">
        <v>-6.6049999999999998E-3</v>
      </c>
      <c r="AC13">
        <v>4.3327999999999998E-2</v>
      </c>
      <c r="AD13">
        <v>0</v>
      </c>
      <c r="AE13">
        <v>515.56799999999998</v>
      </c>
      <c r="AF13">
        <v>1578.874</v>
      </c>
      <c r="AG13">
        <v>284.62889999999999</v>
      </c>
      <c r="AH13">
        <v>130.16409999999999</v>
      </c>
      <c r="AI13">
        <v>-2.0799999999999999E-4</v>
      </c>
      <c r="AJ13">
        <v>0.111958</v>
      </c>
      <c r="AK13">
        <v>110.8991</v>
      </c>
      <c r="AL13">
        <v>2.243026</v>
      </c>
      <c r="AM13">
        <v>9.7234000000000001E-2</v>
      </c>
      <c r="AN13">
        <v>96.313980000000001</v>
      </c>
      <c r="AO13">
        <v>1.948029</v>
      </c>
      <c r="AP13">
        <v>73.888930000000002</v>
      </c>
      <c r="AQ13">
        <v>64.171260000000004</v>
      </c>
      <c r="AR13">
        <v>155.17349999999999</v>
      </c>
      <c r="AS13">
        <v>0.98121800000000003</v>
      </c>
      <c r="AT13">
        <v>340.48129999999998</v>
      </c>
      <c r="AU13">
        <v>48.938740000000003</v>
      </c>
      <c r="AV13">
        <v>4.1273600000000004</v>
      </c>
      <c r="AW13">
        <v>0.135131</v>
      </c>
      <c r="AX13">
        <v>3.9406999999999998E-2</v>
      </c>
      <c r="AY13">
        <v>0.119841</v>
      </c>
      <c r="AZ13">
        <v>1.9109999999999999E-2</v>
      </c>
      <c r="BA13">
        <v>4.7848000000000002E-2</v>
      </c>
      <c r="BB13">
        <v>8.8312000000000002E-2</v>
      </c>
      <c r="BC13">
        <v>5.3490999999999997E-2</v>
      </c>
      <c r="BD13">
        <v>3.4236999999999997E-2</v>
      </c>
      <c r="BE13">
        <v>7.1799000000000002E-2</v>
      </c>
      <c r="BF13">
        <v>0.10613</v>
      </c>
      <c r="BG13">
        <v>3.9692999999999999E-2</v>
      </c>
      <c r="BH13">
        <v>1.822E-2</v>
      </c>
      <c r="BI13">
        <v>9.8247000000000001E-2</v>
      </c>
      <c r="BJ13">
        <v>0.10693</v>
      </c>
      <c r="BK13">
        <v>-4.4539999999999996E-3</v>
      </c>
      <c r="BL13">
        <v>1.6666E-2</v>
      </c>
      <c r="BM13">
        <v>1.7624000000000001E-2</v>
      </c>
      <c r="BN13">
        <v>-0.24068800000000001</v>
      </c>
      <c r="BO13">
        <v>2.4146000000000001E-2</v>
      </c>
      <c r="BP13">
        <v>8.0647999999999997E-2</v>
      </c>
      <c r="BQ13">
        <v>1.0435E-2</v>
      </c>
      <c r="BR13">
        <v>-11.504300000000001</v>
      </c>
      <c r="BS13">
        <v>-1.842589</v>
      </c>
      <c r="BT13">
        <v>40.235430000000001</v>
      </c>
      <c r="BU13">
        <v>-4.9239040000000003</v>
      </c>
      <c r="BV13">
        <v>-28.04325</v>
      </c>
      <c r="BW13">
        <v>6.0827229999999997</v>
      </c>
      <c r="BX13">
        <v>-30.920649999999998</v>
      </c>
      <c r="BY13">
        <v>174.35159999999999</v>
      </c>
      <c r="BZ13">
        <v>-64.520030000000006</v>
      </c>
      <c r="CA13">
        <v>19.990790000000001</v>
      </c>
      <c r="CB13">
        <v>10.87269</v>
      </c>
      <c r="CC13">
        <v>-2.9723459999999999</v>
      </c>
      <c r="CD13">
        <v>-0.40362199999999998</v>
      </c>
      <c r="CE13">
        <v>13.74362</v>
      </c>
      <c r="CF13">
        <v>17.526669999999999</v>
      </c>
      <c r="CG13">
        <v>44.893990000000002</v>
      </c>
      <c r="CH13">
        <v>-16.145340000000001</v>
      </c>
      <c r="CI13">
        <v>4.3484000000000002E-2</v>
      </c>
      <c r="CJ13">
        <v>0.12192600000000001</v>
      </c>
      <c r="CK13">
        <v>2.1911E-2</v>
      </c>
      <c r="CL13">
        <v>5.3524000000000002E-2</v>
      </c>
      <c r="CM13">
        <v>8.6205000000000004E-2</v>
      </c>
      <c r="CN13">
        <v>5.6728000000000001E-2</v>
      </c>
      <c r="CO13">
        <v>4.4422000000000003E-2</v>
      </c>
      <c r="CP13">
        <v>7.5755000000000003E-2</v>
      </c>
      <c r="CQ13">
        <v>0.111791</v>
      </c>
      <c r="CR13">
        <v>4.2959999999999998E-2</v>
      </c>
      <c r="CS13">
        <v>2.7791E-2</v>
      </c>
      <c r="CT13">
        <v>9.6879000000000007E-2</v>
      </c>
      <c r="CU13">
        <v>0.10341500000000001</v>
      </c>
      <c r="CV13" s="21">
        <v>7.8999999999999996E-5</v>
      </c>
      <c r="CW13">
        <v>2.1493999999999999E-2</v>
      </c>
      <c r="CX13">
        <v>2.1999999999999999E-2</v>
      </c>
      <c r="CY13">
        <v>-0.228496</v>
      </c>
      <c r="CZ13">
        <v>2.9307E-2</v>
      </c>
      <c r="DA13">
        <v>8.3783999999999997E-2</v>
      </c>
      <c r="DB13">
        <v>1.5442000000000001E-2</v>
      </c>
      <c r="DC13">
        <v>-9.4172799999999999</v>
      </c>
      <c r="DD13">
        <v>-1.6934800000000001</v>
      </c>
      <c r="DE13">
        <v>49.365850000000002</v>
      </c>
      <c r="DF13">
        <v>-4.7850970000000004</v>
      </c>
      <c r="DG13">
        <v>-40.088389999999997</v>
      </c>
      <c r="DH13">
        <v>6.142379</v>
      </c>
      <c r="DI13">
        <v>-27.93411</v>
      </c>
      <c r="DJ13">
        <v>164.61940000000001</v>
      </c>
      <c r="DK13">
        <v>-62.601289999999999</v>
      </c>
      <c r="DL13">
        <v>18.729299999999999</v>
      </c>
      <c r="DM13">
        <v>14.58353</v>
      </c>
      <c r="DN13">
        <v>-3.001341</v>
      </c>
      <c r="DO13">
        <v>-0.352078</v>
      </c>
      <c r="DP13">
        <v>16.78546</v>
      </c>
      <c r="DQ13">
        <v>18.391649999999998</v>
      </c>
      <c r="DR13">
        <v>46.64096</v>
      </c>
      <c r="DS13">
        <v>-14.7721</v>
      </c>
      <c r="DT13">
        <v>1.335E-3</v>
      </c>
      <c r="DU13">
        <v>0.12612699999999999</v>
      </c>
      <c r="DV13">
        <v>4.7889999999999999E-3</v>
      </c>
      <c r="DW13">
        <v>0.127528</v>
      </c>
      <c r="DX13">
        <v>0.127779</v>
      </c>
      <c r="DY13">
        <v>0.13005900000000001</v>
      </c>
      <c r="DZ13">
        <v>0.13178799999999999</v>
      </c>
      <c r="EA13">
        <v>0.13799500000000001</v>
      </c>
      <c r="EB13">
        <v>0.133523</v>
      </c>
      <c r="EC13">
        <v>0</v>
      </c>
      <c r="ED13">
        <v>0.13691200000000001</v>
      </c>
      <c r="EE13">
        <v>0.130215</v>
      </c>
      <c r="EF13">
        <v>3.0058999999999999E-2</v>
      </c>
      <c r="EG13">
        <v>0</v>
      </c>
      <c r="EH13">
        <v>0</v>
      </c>
      <c r="EI13">
        <v>0.12900400000000001</v>
      </c>
      <c r="EJ13">
        <v>0.143678</v>
      </c>
      <c r="EK13">
        <v>4.5659999999999997E-3</v>
      </c>
      <c r="EL13">
        <v>0.12193</v>
      </c>
      <c r="EM13">
        <v>0.120851</v>
      </c>
      <c r="EN13">
        <v>8.5089999999999992E-3</v>
      </c>
      <c r="EO13">
        <v>-0.46519899999999997</v>
      </c>
      <c r="EP13">
        <v>0.38088899999999998</v>
      </c>
      <c r="EQ13">
        <v>-1.887E-3</v>
      </c>
      <c r="ER13">
        <v>6.4764049999999997</v>
      </c>
      <c r="ES13">
        <v>72.970380000000006</v>
      </c>
      <c r="ET13">
        <v>2.1630250000000002</v>
      </c>
      <c r="EU13">
        <v>31.213200000000001</v>
      </c>
      <c r="EV13">
        <v>0.49945000000000001</v>
      </c>
      <c r="EW13">
        <v>1.8247249999999999</v>
      </c>
      <c r="EX13">
        <v>2.304395</v>
      </c>
      <c r="EY13">
        <v>0.72759700000000005</v>
      </c>
      <c r="EZ13">
        <v>9.6429000000000001E-2</v>
      </c>
      <c r="FA13">
        <v>4.9178550000000003</v>
      </c>
      <c r="FB13">
        <v>1.5779209999999999</v>
      </c>
      <c r="FC13">
        <v>32.964089999999999</v>
      </c>
      <c r="FD13">
        <v>9.0411649999999995</v>
      </c>
      <c r="FE13">
        <v>0.54605099999999995</v>
      </c>
      <c r="FF13">
        <v>0.84145499999999995</v>
      </c>
      <c r="FG13">
        <v>1.512829</v>
      </c>
      <c r="FH13">
        <v>0.34016299999999999</v>
      </c>
      <c r="FI13">
        <v>6.4804060000000003</v>
      </c>
      <c r="FJ13">
        <v>71.835459999999998</v>
      </c>
      <c r="FK13">
        <v>3.1978949999999999</v>
      </c>
      <c r="FL13">
        <v>29.714169999999999</v>
      </c>
      <c r="FM13">
        <v>0.29011799999999999</v>
      </c>
      <c r="FN13">
        <v>1.9343889999999999</v>
      </c>
      <c r="FO13">
        <v>1.6134710000000001</v>
      </c>
      <c r="FP13">
        <v>1.983401</v>
      </c>
      <c r="FQ13">
        <v>3.4583000000000003E-2</v>
      </c>
      <c r="FR13">
        <v>5.8925109999999998</v>
      </c>
      <c r="FS13">
        <v>1.754551</v>
      </c>
      <c r="FT13">
        <v>32.111649999999997</v>
      </c>
      <c r="FU13">
        <v>9.0397339999999993</v>
      </c>
      <c r="FV13">
        <v>0.62494099999999997</v>
      </c>
      <c r="FW13">
        <v>0.99700699999999998</v>
      </c>
      <c r="FX13">
        <v>2.2077960000000001</v>
      </c>
      <c r="FY13">
        <v>0.284632</v>
      </c>
      <c r="FZ13">
        <v>4.7028439999999998</v>
      </c>
      <c r="GA13">
        <v>59.068620000000003</v>
      </c>
      <c r="GB13">
        <v>2.1630250000000002</v>
      </c>
      <c r="GC13">
        <v>27.271920000000001</v>
      </c>
      <c r="GD13">
        <v>0.43638500000000002</v>
      </c>
      <c r="GE13">
        <v>1.594317</v>
      </c>
      <c r="GF13">
        <v>2.0134189999999998</v>
      </c>
      <c r="GG13">
        <v>0.63572399999999996</v>
      </c>
      <c r="GH13">
        <v>8.4252999999999995E-2</v>
      </c>
      <c r="GI13">
        <v>4.2968789999999997</v>
      </c>
      <c r="GJ13">
        <v>1.3786780000000001</v>
      </c>
      <c r="GK13">
        <v>31.317820000000001</v>
      </c>
      <c r="GL13">
        <v>9.0411649999999995</v>
      </c>
      <c r="GM13">
        <v>0.54605099999999995</v>
      </c>
      <c r="GN13">
        <v>0.84145499999999995</v>
      </c>
      <c r="GO13">
        <v>1.512829</v>
      </c>
      <c r="GP13">
        <v>0.34016299999999999</v>
      </c>
      <c r="GQ13">
        <v>4.7061500000000001</v>
      </c>
      <c r="GR13">
        <v>57.923160000000003</v>
      </c>
      <c r="GS13">
        <v>3.1978949999999999</v>
      </c>
      <c r="GT13">
        <v>25.966989999999999</v>
      </c>
      <c r="GU13">
        <v>0.25353199999999998</v>
      </c>
      <c r="GV13">
        <v>1.6904490000000001</v>
      </c>
      <c r="GW13">
        <v>1.4100010000000001</v>
      </c>
      <c r="GX13">
        <v>1.7332799999999999</v>
      </c>
      <c r="GY13">
        <v>3.0221000000000001E-2</v>
      </c>
      <c r="GZ13">
        <v>5.1494229999999996</v>
      </c>
      <c r="HA13">
        <v>1.5332889999999999</v>
      </c>
      <c r="HB13">
        <v>30.46414</v>
      </c>
      <c r="HC13">
        <v>9.0397339999999993</v>
      </c>
      <c r="HD13">
        <v>0.62494099999999997</v>
      </c>
      <c r="HE13">
        <v>0.99700699999999998</v>
      </c>
      <c r="HF13">
        <v>2.2077960000000001</v>
      </c>
      <c r="HG13">
        <v>0.284632</v>
      </c>
      <c r="HH13">
        <v>4.7876640000000004</v>
      </c>
      <c r="HI13">
        <v>63.489530000000002</v>
      </c>
      <c r="HJ13">
        <v>2.1630250000000002</v>
      </c>
      <c r="HK13">
        <v>112.6815</v>
      </c>
      <c r="HL13">
        <v>1.078821</v>
      </c>
      <c r="HM13">
        <v>3.9414349999999998</v>
      </c>
      <c r="HN13">
        <v>4.9775299999999998</v>
      </c>
      <c r="HO13">
        <v>0.78658600000000001</v>
      </c>
      <c r="HP13">
        <v>0.10424600000000001</v>
      </c>
      <c r="HQ13">
        <v>5.3165659999999999</v>
      </c>
      <c r="HR13">
        <v>4.612114</v>
      </c>
      <c r="HS13">
        <v>31.533010000000001</v>
      </c>
      <c r="HT13">
        <v>9.1763860000000008</v>
      </c>
      <c r="HU13">
        <v>0.55421699999999996</v>
      </c>
      <c r="HV13">
        <v>0.85404000000000002</v>
      </c>
      <c r="HW13">
        <v>1.535455</v>
      </c>
      <c r="HX13">
        <v>0.34525</v>
      </c>
      <c r="HY13">
        <v>4.7667440000000001</v>
      </c>
      <c r="HZ13">
        <v>61.777200000000001</v>
      </c>
      <c r="IA13">
        <v>3.1978949999999999</v>
      </c>
      <c r="IB13">
        <v>107.26990000000001</v>
      </c>
      <c r="IC13">
        <v>0.62665999999999999</v>
      </c>
      <c r="ID13">
        <v>4.1783130000000002</v>
      </c>
      <c r="IE13">
        <v>3.4851239999999999</v>
      </c>
      <c r="IF13">
        <v>2.1442040000000002</v>
      </c>
      <c r="IG13">
        <v>3.7386000000000003E-2</v>
      </c>
      <c r="IH13">
        <v>6.3702420000000002</v>
      </c>
      <c r="II13">
        <v>5.1283839999999996</v>
      </c>
      <c r="IJ13">
        <v>30.673459999999999</v>
      </c>
      <c r="IK13">
        <v>9.1749329999999993</v>
      </c>
      <c r="IL13">
        <v>0.63428799999999996</v>
      </c>
      <c r="IM13">
        <v>1.011919</v>
      </c>
      <c r="IN13">
        <v>2.2408169999999998</v>
      </c>
      <c r="IO13">
        <v>0.28888900000000001</v>
      </c>
      <c r="IP13">
        <v>4.0718759999999996</v>
      </c>
      <c r="IQ13">
        <v>4.4415979999999999</v>
      </c>
      <c r="IR13">
        <v>0.81140900000000005</v>
      </c>
      <c r="IS13">
        <v>1.5707390000000001</v>
      </c>
      <c r="IT13">
        <v>3.3894350000000002</v>
      </c>
      <c r="IU13">
        <v>3.540448</v>
      </c>
      <c r="IV13">
        <v>4.4083209999999999</v>
      </c>
      <c r="IW13">
        <v>5.1138240000000001</v>
      </c>
      <c r="IX13">
        <v>0.65599700000000005</v>
      </c>
      <c r="IY13">
        <v>5.094957</v>
      </c>
      <c r="IZ13">
        <v>1.5203279999999999</v>
      </c>
      <c r="JA13">
        <v>6.8710069999999996</v>
      </c>
      <c r="JB13">
        <v>0.34011200000000003</v>
      </c>
      <c r="JC13">
        <v>1.0979950000000001</v>
      </c>
      <c r="JD13">
        <v>0.85242200000000001</v>
      </c>
      <c r="JE13">
        <v>16.642679999999999</v>
      </c>
      <c r="JF13">
        <v>0.33274599999999999</v>
      </c>
      <c r="JG13">
        <v>1.759131</v>
      </c>
      <c r="JH13">
        <v>17.45458</v>
      </c>
      <c r="JI13">
        <v>5.8841999999999999</v>
      </c>
      <c r="JJ13">
        <v>20.99194</v>
      </c>
      <c r="JK13">
        <v>40.399799999999999</v>
      </c>
      <c r="JL13">
        <v>4.0736350000000003</v>
      </c>
      <c r="JM13">
        <v>4.4468079999999999</v>
      </c>
      <c r="JN13">
        <v>0.81149300000000002</v>
      </c>
      <c r="JO13">
        <v>1.5715840000000001</v>
      </c>
      <c r="JP13">
        <v>3.392506</v>
      </c>
      <c r="JQ13">
        <v>3.5424190000000002</v>
      </c>
      <c r="JR13">
        <v>4.4099940000000002</v>
      </c>
      <c r="JS13">
        <v>5.117572</v>
      </c>
      <c r="JT13">
        <v>0.65667299999999995</v>
      </c>
      <c r="JU13">
        <v>5.0971599999999997</v>
      </c>
      <c r="JV13">
        <v>1.5201769999999999</v>
      </c>
      <c r="JW13">
        <v>6.8777809999999997</v>
      </c>
      <c r="JX13">
        <v>0.34050999999999998</v>
      </c>
      <c r="JY13">
        <v>1.0977779999999999</v>
      </c>
      <c r="JZ13">
        <v>0.852661</v>
      </c>
      <c r="KA13">
        <v>16.64724</v>
      </c>
      <c r="KB13">
        <v>0.33201599999999998</v>
      </c>
      <c r="KC13">
        <v>1.7597339999999999</v>
      </c>
      <c r="KD13">
        <v>17.467420000000001</v>
      </c>
      <c r="KE13">
        <v>5.8843459999999999</v>
      </c>
      <c r="KF13">
        <v>20.91405</v>
      </c>
      <c r="KG13">
        <v>40.399099999999997</v>
      </c>
      <c r="KH13">
        <v>2413.8069999999998</v>
      </c>
      <c r="KI13">
        <v>5414.6940000000004</v>
      </c>
      <c r="KJ13">
        <v>5754.2150000000001</v>
      </c>
      <c r="KK13">
        <v>5157.1679999999997</v>
      </c>
      <c r="KL13">
        <v>8435.2039999999997</v>
      </c>
      <c r="KM13">
        <v>2780.3229999999999</v>
      </c>
      <c r="KN13">
        <v>1451.925</v>
      </c>
      <c r="KO13">
        <v>0</v>
      </c>
      <c r="KP13">
        <v>30970.52</v>
      </c>
      <c r="KQ13">
        <v>436.81630000000001</v>
      </c>
      <c r="KR13">
        <v>0</v>
      </c>
      <c r="KS13">
        <v>2560.3580000000002</v>
      </c>
      <c r="KT13">
        <v>5382.2809999999999</v>
      </c>
      <c r="KU13">
        <v>5723.2179999999998</v>
      </c>
      <c r="KV13">
        <v>5128.3100000000004</v>
      </c>
      <c r="KW13">
        <v>8408.1610000000001</v>
      </c>
      <c r="KX13">
        <v>2758.9409999999998</v>
      </c>
      <c r="KY13">
        <v>1446.066</v>
      </c>
      <c r="KZ13">
        <v>0</v>
      </c>
      <c r="LA13">
        <v>30747.9</v>
      </c>
      <c r="LB13">
        <v>659.43320000000006</v>
      </c>
      <c r="LC13">
        <v>0</v>
      </c>
      <c r="LD13">
        <v>26771134</v>
      </c>
      <c r="LE13" s="21">
        <v>137000000</v>
      </c>
      <c r="LF13" s="21">
        <v>496000000</v>
      </c>
      <c r="LG13" s="21">
        <v>647000000</v>
      </c>
      <c r="LH13" s="21">
        <v>704000000</v>
      </c>
      <c r="LI13" s="21">
        <v>371000000</v>
      </c>
      <c r="LJ13" s="21">
        <v>148000000</v>
      </c>
      <c r="LK13" s="21">
        <v>1.8899999999999999E-6</v>
      </c>
      <c r="LL13" s="21">
        <v>3.5899999999999999E-6</v>
      </c>
      <c r="LM13" s="21">
        <v>6.5799999999999997E-6</v>
      </c>
      <c r="LN13" s="21">
        <v>1.3499999999999999E-5</v>
      </c>
      <c r="LO13" s="21">
        <v>1.95E-5</v>
      </c>
      <c r="LP13" s="21">
        <v>2.72E-5</v>
      </c>
      <c r="LQ13" s="21">
        <v>3.9799999999999998E-5</v>
      </c>
      <c r="LR13">
        <v>26815300</v>
      </c>
      <c r="LS13" s="21">
        <v>137000000</v>
      </c>
      <c r="LT13" s="21">
        <v>496000000</v>
      </c>
      <c r="LU13" s="21">
        <v>647000000</v>
      </c>
      <c r="LV13" s="21">
        <v>704000000</v>
      </c>
      <c r="LW13" s="21">
        <v>371000000</v>
      </c>
      <c r="LX13" s="21">
        <v>148000000</v>
      </c>
      <c r="LY13" s="21">
        <v>1.8899999999999999E-6</v>
      </c>
      <c r="LZ13" s="21">
        <v>3.5899999999999999E-6</v>
      </c>
      <c r="MA13" s="21">
        <v>6.5799999999999997E-6</v>
      </c>
      <c r="MB13" s="21">
        <v>1.3499999999999999E-5</v>
      </c>
      <c r="MC13" s="21">
        <v>1.95E-5</v>
      </c>
      <c r="MD13" s="21">
        <v>2.72E-5</v>
      </c>
      <c r="ME13" s="21">
        <v>3.9799999999999998E-5</v>
      </c>
      <c r="MF13">
        <v>0.21735399999999999</v>
      </c>
      <c r="MG13">
        <v>0.36749300000000001</v>
      </c>
      <c r="MH13">
        <v>0.21177000000000001</v>
      </c>
      <c r="MI13">
        <v>6.4885999999999999E-2</v>
      </c>
      <c r="MJ13">
        <v>3.6559000000000001E-2</v>
      </c>
      <c r="MK13">
        <v>1.7103E-2</v>
      </c>
      <c r="ML13">
        <v>8.4834999999999994E-2</v>
      </c>
      <c r="MM13">
        <v>0.22418399999999999</v>
      </c>
      <c r="MN13">
        <v>0.38192300000000001</v>
      </c>
      <c r="MO13">
        <v>0.19258400000000001</v>
      </c>
      <c r="MP13">
        <v>2.8355999999999999E-2</v>
      </c>
      <c r="MQ13">
        <v>1.7439E-2</v>
      </c>
      <c r="MR13">
        <v>2.1026E-2</v>
      </c>
      <c r="MS13">
        <v>0.134489</v>
      </c>
      <c r="MT13">
        <v>0.230406</v>
      </c>
      <c r="MU13">
        <v>0.36498999999999998</v>
      </c>
      <c r="MV13">
        <v>0.209343</v>
      </c>
      <c r="MW13">
        <v>6.2548000000000006E-2</v>
      </c>
      <c r="MX13">
        <v>3.4299999999999997E-2</v>
      </c>
      <c r="MY13">
        <v>1.4994E-2</v>
      </c>
      <c r="MZ13">
        <v>8.3419999999999994E-2</v>
      </c>
      <c r="NA13">
        <v>0.23705899999999999</v>
      </c>
      <c r="NB13">
        <v>0.37965100000000002</v>
      </c>
      <c r="NC13">
        <v>0.19033600000000001</v>
      </c>
      <c r="ND13">
        <v>2.6134000000000001E-2</v>
      </c>
      <c r="NE13">
        <v>1.5265000000000001E-2</v>
      </c>
      <c r="NF13">
        <v>1.891E-2</v>
      </c>
      <c r="NG13">
        <v>0.13264400000000001</v>
      </c>
      <c r="NH13">
        <v>3.7160000000000001E-3</v>
      </c>
      <c r="NI13">
        <v>3.7209999999999999E-3</v>
      </c>
      <c r="NJ13">
        <v>1.0872E-2</v>
      </c>
      <c r="NK13">
        <v>1.7704000000000001E-2</v>
      </c>
      <c r="NL13">
        <v>1.8973E-2</v>
      </c>
      <c r="NM13">
        <v>5.3917E-2</v>
      </c>
      <c r="NN13">
        <v>3.7160000000000001E-3</v>
      </c>
      <c r="NO13">
        <v>3.7209999999999999E-3</v>
      </c>
      <c r="NP13">
        <v>1.0872E-2</v>
      </c>
      <c r="NQ13">
        <v>1.7704000000000001E-2</v>
      </c>
      <c r="NR13">
        <v>1.8973E-2</v>
      </c>
      <c r="NS13">
        <v>5.3917E-2</v>
      </c>
      <c r="NT13">
        <v>3.7569999999999999E-3</v>
      </c>
      <c r="NU13">
        <v>3.761E-3</v>
      </c>
      <c r="NV13">
        <v>1.0907999999999999E-2</v>
      </c>
      <c r="NW13">
        <v>1.7715000000000002E-2</v>
      </c>
      <c r="NX13">
        <v>1.8970000000000001E-2</v>
      </c>
      <c r="NY13">
        <v>5.3912000000000002E-2</v>
      </c>
      <c r="NZ13">
        <v>3.7569999999999999E-3</v>
      </c>
      <c r="OA13">
        <v>3.761E-3</v>
      </c>
      <c r="OB13">
        <v>1.0907999999999999E-2</v>
      </c>
      <c r="OC13">
        <v>1.7715000000000002E-2</v>
      </c>
      <c r="OD13">
        <v>1.8970000000000001E-2</v>
      </c>
      <c r="OE13">
        <v>5.3912000000000002E-2</v>
      </c>
      <c r="OF13">
        <v>54.675310000000003</v>
      </c>
      <c r="OG13">
        <v>37994.79</v>
      </c>
      <c r="OH13">
        <v>17502.37</v>
      </c>
      <c r="OI13">
        <v>9245.0509999999995</v>
      </c>
      <c r="OJ13">
        <v>54.679960000000001</v>
      </c>
      <c r="OK13">
        <v>37818.04</v>
      </c>
      <c r="OL13">
        <v>17569.03</v>
      </c>
      <c r="OM13">
        <v>9244.8770000000004</v>
      </c>
      <c r="ON13">
        <v>1236842</v>
      </c>
      <c r="OO13">
        <v>1237656</v>
      </c>
      <c r="OP13">
        <v>9386.6569999999992</v>
      </c>
      <c r="OQ13">
        <v>4869.2039999999997</v>
      </c>
      <c r="OR13">
        <v>4468.6809999999996</v>
      </c>
      <c r="OS13">
        <v>406.77890000000002</v>
      </c>
      <c r="OT13">
        <v>1297.271</v>
      </c>
      <c r="OU13">
        <v>1016.501</v>
      </c>
      <c r="OV13">
        <v>255.458</v>
      </c>
      <c r="OW13">
        <v>1002.893</v>
      </c>
      <c r="OX13">
        <v>1093.134</v>
      </c>
      <c r="OY13">
        <v>878.17970000000003</v>
      </c>
      <c r="OZ13">
        <v>489.56439999999998</v>
      </c>
      <c r="PA13">
        <v>16322.89</v>
      </c>
      <c r="PB13">
        <v>5931.9269999999997</v>
      </c>
      <c r="PC13">
        <v>1045.7380000000001</v>
      </c>
      <c r="PD13">
        <v>1810.9690000000001</v>
      </c>
      <c r="PE13">
        <v>5105.9139999999998</v>
      </c>
      <c r="PF13">
        <v>1130.0550000000001</v>
      </c>
      <c r="PG13">
        <v>2088.2460000000001</v>
      </c>
      <c r="PH13">
        <v>156856.29999999999</v>
      </c>
      <c r="PI13">
        <v>68131.16</v>
      </c>
      <c r="PJ13">
        <v>1.687268</v>
      </c>
      <c r="PK13">
        <v>607.11329999999998</v>
      </c>
      <c r="PL13">
        <v>103.3685</v>
      </c>
      <c r="PM13">
        <v>1321.9939999999999</v>
      </c>
      <c r="PN13">
        <v>470.0068</v>
      </c>
      <c r="PO13">
        <v>153.0633</v>
      </c>
      <c r="PP13">
        <v>251.70689999999999</v>
      </c>
      <c r="PQ13">
        <v>477.23239999999998</v>
      </c>
      <c r="PR13">
        <v>93.953980000000001</v>
      </c>
      <c r="PS13">
        <v>567.80020000000002</v>
      </c>
      <c r="PT13">
        <v>1040.8720000000001</v>
      </c>
      <c r="PU13">
        <v>489.01729999999998</v>
      </c>
      <c r="PV13">
        <v>880.5924</v>
      </c>
      <c r="PW13">
        <v>56.536969999999997</v>
      </c>
      <c r="PX13">
        <v>133.2081</v>
      </c>
      <c r="PY13">
        <v>646.68280000000004</v>
      </c>
      <c r="PZ13">
        <v>140.8338</v>
      </c>
      <c r="QA13">
        <v>291023.2</v>
      </c>
      <c r="QB13">
        <v>6174.17</v>
      </c>
      <c r="QC13">
        <v>71783.13</v>
      </c>
      <c r="QD13">
        <v>7528.6909999999998</v>
      </c>
      <c r="QE13">
        <v>14466.09</v>
      </c>
      <c r="QF13">
        <v>9885.0040000000008</v>
      </c>
      <c r="QG13">
        <v>3470.4389999999999</v>
      </c>
      <c r="QH13">
        <v>2724.4560000000001</v>
      </c>
      <c r="QI13">
        <v>1810.1780000000001</v>
      </c>
      <c r="QJ13">
        <v>11862.9</v>
      </c>
      <c r="QK13">
        <v>9390.7389999999996</v>
      </c>
      <c r="QL13">
        <v>4875.1409999999996</v>
      </c>
      <c r="QM13">
        <v>4469.66</v>
      </c>
      <c r="QN13">
        <v>406.9966</v>
      </c>
      <c r="QO13">
        <v>1298.3900000000001</v>
      </c>
      <c r="QP13">
        <v>1017.078</v>
      </c>
      <c r="QQ13">
        <v>255.57149999999999</v>
      </c>
      <c r="QR13">
        <v>1003.653</v>
      </c>
      <c r="QS13">
        <v>1094.356</v>
      </c>
      <c r="QT13">
        <v>878.55700000000002</v>
      </c>
      <c r="QU13">
        <v>489.7004</v>
      </c>
      <c r="QV13">
        <v>16338.71</v>
      </c>
      <c r="QW13">
        <v>5938.0619999999999</v>
      </c>
      <c r="QX13">
        <v>1045.7380000000001</v>
      </c>
      <c r="QY13">
        <v>1811.3579999999999</v>
      </c>
      <c r="QZ13">
        <v>5107.0370000000003</v>
      </c>
      <c r="RA13">
        <v>1127.473</v>
      </c>
      <c r="RB13">
        <v>2088.8580000000002</v>
      </c>
      <c r="RC13">
        <v>156987.70000000001</v>
      </c>
      <c r="RD13">
        <v>68141.679999999993</v>
      </c>
      <c r="RE13">
        <v>1.528373</v>
      </c>
      <c r="RF13">
        <v>596.83199999999999</v>
      </c>
      <c r="RG13">
        <v>154.3973</v>
      </c>
      <c r="RH13">
        <v>1258.7349999999999</v>
      </c>
      <c r="RI13">
        <v>281.58870000000002</v>
      </c>
      <c r="RJ13">
        <v>162.465</v>
      </c>
      <c r="RK13">
        <v>181.39490000000001</v>
      </c>
      <c r="RL13">
        <v>1262.8489999999999</v>
      </c>
      <c r="RM13">
        <v>35.13758</v>
      </c>
      <c r="RN13">
        <v>674.14520000000005</v>
      </c>
      <c r="RO13">
        <v>1192.6679999999999</v>
      </c>
      <c r="RP13">
        <v>474.34019999999998</v>
      </c>
      <c r="RQ13">
        <v>877.49199999999996</v>
      </c>
      <c r="RR13">
        <v>66.026960000000003</v>
      </c>
      <c r="RS13">
        <v>157.7073</v>
      </c>
      <c r="RT13">
        <v>948.30190000000005</v>
      </c>
      <c r="RU13">
        <v>120.02970000000001</v>
      </c>
      <c r="RV13">
        <v>292212.09999999998</v>
      </c>
      <c r="RW13">
        <v>6182.1620000000003</v>
      </c>
      <c r="RX13">
        <v>71788.33</v>
      </c>
      <c r="RY13">
        <v>7979.07</v>
      </c>
      <c r="RZ13">
        <v>14364.48</v>
      </c>
      <c r="SA13">
        <v>9769.6290000000008</v>
      </c>
      <c r="SB13">
        <v>3344.6610000000001</v>
      </c>
      <c r="SC13">
        <v>2555.5230000000001</v>
      </c>
      <c r="SD13">
        <v>1586.5409999999999</v>
      </c>
      <c r="SE13">
        <v>11662.45</v>
      </c>
      <c r="SF13">
        <v>35633.46</v>
      </c>
      <c r="SG13">
        <v>54.675310000000003</v>
      </c>
      <c r="SH13">
        <v>8963.1239999999998</v>
      </c>
      <c r="SI13">
        <v>17370.61</v>
      </c>
      <c r="SJ13">
        <v>9245.0509999999995</v>
      </c>
      <c r="SK13">
        <v>35632.839999999997</v>
      </c>
      <c r="SL13">
        <v>54.679960000000001</v>
      </c>
      <c r="SM13">
        <v>8963.0679999999993</v>
      </c>
      <c r="SN13">
        <v>17370.21</v>
      </c>
      <c r="SO13">
        <v>9244.8770000000004</v>
      </c>
      <c r="SP13">
        <v>102659.9</v>
      </c>
      <c r="SQ13">
        <v>80405.460000000006</v>
      </c>
      <c r="SR13">
        <v>102627.6</v>
      </c>
      <c r="SS13">
        <v>79962.55</v>
      </c>
      <c r="ST13">
        <v>40.399799999999999</v>
      </c>
      <c r="SU13">
        <v>0.32930999999999999</v>
      </c>
      <c r="SV13">
        <v>6.4510820000000004</v>
      </c>
      <c r="SW13">
        <v>12.40221</v>
      </c>
      <c r="SX13">
        <v>21.217189999999999</v>
      </c>
      <c r="SY13">
        <v>40.399099999999997</v>
      </c>
      <c r="SZ13">
        <v>0.32933800000000002</v>
      </c>
      <c r="TA13">
        <v>6.4510420000000002</v>
      </c>
      <c r="TB13">
        <v>12.40193</v>
      </c>
      <c r="TC13">
        <v>21.21679</v>
      </c>
      <c r="TD13">
        <v>24700.84</v>
      </c>
      <c r="TE13">
        <v>811.3963</v>
      </c>
      <c r="TF13">
        <v>470.72649999999999</v>
      </c>
      <c r="TG13">
        <v>216.81549999999999</v>
      </c>
      <c r="TH13">
        <v>49.345689999999998</v>
      </c>
      <c r="TI13">
        <v>102.61060000000001</v>
      </c>
      <c r="TJ13">
        <v>83.281409999999994</v>
      </c>
      <c r="TK13">
        <v>25.57856</v>
      </c>
      <c r="TL13">
        <v>30.256769999999999</v>
      </c>
      <c r="TM13">
        <v>163.23310000000001</v>
      </c>
      <c r="TN13">
        <v>40.518560000000001</v>
      </c>
      <c r="TO13">
        <v>25.891929999999999</v>
      </c>
      <c r="TP13">
        <v>1978.57</v>
      </c>
      <c r="TQ13">
        <v>1958.922</v>
      </c>
      <c r="TR13">
        <v>98.814809999999994</v>
      </c>
      <c r="TS13">
        <v>179.1018</v>
      </c>
      <c r="TT13">
        <v>408.81209999999999</v>
      </c>
      <c r="TU13">
        <v>41.909579999999998</v>
      </c>
      <c r="TV13">
        <v>73.115070000000003</v>
      </c>
      <c r="TW13">
        <v>11646.34</v>
      </c>
      <c r="TX13">
        <v>6161.277</v>
      </c>
      <c r="TY13">
        <v>0.53115500000000004</v>
      </c>
      <c r="TZ13">
        <v>11.46317</v>
      </c>
      <c r="UA13">
        <v>6.4175360000000001</v>
      </c>
      <c r="UB13">
        <v>62.483730000000001</v>
      </c>
      <c r="UC13">
        <v>0.753992</v>
      </c>
      <c r="UD13">
        <v>2.5277910000000001</v>
      </c>
      <c r="UE13">
        <v>4.593877</v>
      </c>
      <c r="UF13">
        <v>1.7658229999999999</v>
      </c>
      <c r="UG13">
        <v>0.83526599999999995</v>
      </c>
      <c r="UH13">
        <v>11.042070000000001</v>
      </c>
      <c r="UI13">
        <v>5.650309</v>
      </c>
      <c r="UJ13">
        <v>16.502079999999999</v>
      </c>
      <c r="UK13">
        <v>6.3448919999999998</v>
      </c>
      <c r="UL13">
        <v>0.50055499999999997</v>
      </c>
      <c r="UM13">
        <v>0.53461800000000004</v>
      </c>
      <c r="UN13">
        <v>1.975619</v>
      </c>
      <c r="UO13">
        <v>0.396121</v>
      </c>
      <c r="UP13">
        <v>24716.82</v>
      </c>
      <c r="UQ13">
        <v>811.65970000000004</v>
      </c>
      <c r="UR13">
        <v>471.19200000000001</v>
      </c>
      <c r="US13">
        <v>216.8466</v>
      </c>
      <c r="UT13">
        <v>49.365299999999998</v>
      </c>
      <c r="UU13">
        <v>102.6807</v>
      </c>
      <c r="UV13">
        <v>83.317509999999999</v>
      </c>
      <c r="UW13">
        <v>25.586539999999999</v>
      </c>
      <c r="UX13">
        <v>30.276230000000002</v>
      </c>
      <c r="UY13">
        <v>163.38239999999999</v>
      </c>
      <c r="UZ13">
        <v>40.530880000000003</v>
      </c>
      <c r="VA13">
        <v>25.89536</v>
      </c>
      <c r="VB13">
        <v>1980.105</v>
      </c>
      <c r="VC13">
        <v>1960.559</v>
      </c>
      <c r="VD13">
        <v>98.807149999999993</v>
      </c>
      <c r="VE13">
        <v>179.12440000000001</v>
      </c>
      <c r="VF13">
        <v>408.86970000000002</v>
      </c>
      <c r="VG13">
        <v>41.82497</v>
      </c>
      <c r="VH13">
        <v>73.130089999999996</v>
      </c>
      <c r="VI13">
        <v>11654.12</v>
      </c>
      <c r="VJ13">
        <v>6161.73</v>
      </c>
      <c r="VK13">
        <v>0.47726499999999999</v>
      </c>
      <c r="VL13">
        <v>11.295199999999999</v>
      </c>
      <c r="VM13">
        <v>9.1419929999999994</v>
      </c>
      <c r="VN13">
        <v>59.919640000000001</v>
      </c>
      <c r="VO13">
        <v>0.49024099999999998</v>
      </c>
      <c r="VP13">
        <v>2.6616200000000001</v>
      </c>
      <c r="VQ13">
        <v>3.4971359999999998</v>
      </c>
      <c r="VR13">
        <v>4.0670739999999999</v>
      </c>
      <c r="VS13">
        <v>0.36403099999999999</v>
      </c>
      <c r="VT13">
        <v>12.760059999999999</v>
      </c>
      <c r="VU13">
        <v>6.4280619999999997</v>
      </c>
      <c r="VV13">
        <v>16.069929999999999</v>
      </c>
      <c r="VW13">
        <v>6.3262799999999997</v>
      </c>
      <c r="VX13">
        <v>0.57809600000000005</v>
      </c>
      <c r="VY13">
        <v>0.61960599999999999</v>
      </c>
      <c r="VZ13">
        <v>2.7711649999999999</v>
      </c>
      <c r="WA13">
        <v>0.34688000000000002</v>
      </c>
      <c r="WB13">
        <v>0.107101</v>
      </c>
      <c r="WC13">
        <v>0.10643</v>
      </c>
      <c r="WD13">
        <v>-1.6323000000000001E-2</v>
      </c>
      <c r="WE13">
        <v>-1.6143999999999999E-2</v>
      </c>
      <c r="WF13">
        <v>0.64724199999999998</v>
      </c>
      <c r="WG13">
        <v>0.64510699999999999</v>
      </c>
      <c r="WH13">
        <v>-2.1892999999999999E-2</v>
      </c>
      <c r="WI13">
        <v>-2.1382999999999999E-2</v>
      </c>
      <c r="WJ13">
        <v>1971638</v>
      </c>
      <c r="WK13">
        <v>1973992</v>
      </c>
    </row>
    <row r="14" spans="1:609" ht="14.45" x14ac:dyDescent="0.35">
      <c r="A14">
        <v>2015</v>
      </c>
      <c r="B14">
        <v>0.45549699999999999</v>
      </c>
      <c r="C14">
        <v>111.1549</v>
      </c>
      <c r="D14">
        <v>0.590584</v>
      </c>
      <c r="E14">
        <v>0.70430700000000002</v>
      </c>
      <c r="F14">
        <v>-3.7777999999999999E-2</v>
      </c>
      <c r="G14">
        <v>-9.4249999999999994E-3</v>
      </c>
      <c r="H14">
        <v>-0.211063</v>
      </c>
      <c r="I14">
        <v>0.21266499999999999</v>
      </c>
      <c r="J14">
        <v>0.137211</v>
      </c>
      <c r="K14">
        <v>-0.27700599999999997</v>
      </c>
      <c r="L14">
        <v>0.41536800000000001</v>
      </c>
      <c r="M14">
        <v>0.36153400000000002</v>
      </c>
      <c r="N14">
        <v>0</v>
      </c>
      <c r="O14">
        <v>-0.67762800000000001</v>
      </c>
      <c r="P14">
        <v>-0.122684</v>
      </c>
      <c r="Q14">
        <v>-6.9845550000000003</v>
      </c>
      <c r="R14">
        <v>87.188810000000004</v>
      </c>
      <c r="S14">
        <v>30</v>
      </c>
      <c r="T14">
        <v>30</v>
      </c>
      <c r="U14">
        <v>30</v>
      </c>
      <c r="V14">
        <v>30</v>
      </c>
      <c r="W14">
        <v>0.51876199999999995</v>
      </c>
      <c r="X14">
        <v>10422.299999999999</v>
      </c>
      <c r="Y14">
        <v>0.13255400000000001</v>
      </c>
      <c r="Z14">
        <v>0.41926799999999997</v>
      </c>
      <c r="AA14">
        <v>-0.41297099999999998</v>
      </c>
      <c r="AB14">
        <v>-0.22555700000000001</v>
      </c>
      <c r="AC14">
        <v>4.3327999999999998E-2</v>
      </c>
      <c r="AD14">
        <v>8013.5039999999999</v>
      </c>
      <c r="AE14">
        <v>2760.8679999999999</v>
      </c>
      <c r="AF14">
        <v>5261.049</v>
      </c>
      <c r="AG14">
        <v>-3565.5819999999999</v>
      </c>
      <c r="AH14">
        <v>13892.21</v>
      </c>
      <c r="AI14">
        <v>-4.1149999999999997E-3</v>
      </c>
      <c r="AJ14">
        <v>35.499960000000002</v>
      </c>
      <c r="AK14">
        <v>146.8775</v>
      </c>
      <c r="AL14">
        <v>37.607280000000003</v>
      </c>
      <c r="AM14">
        <v>30.171099999999999</v>
      </c>
      <c r="AN14">
        <v>124.82980000000001</v>
      </c>
      <c r="AO14">
        <v>31.96209</v>
      </c>
      <c r="AP14">
        <v>111.21420000000001</v>
      </c>
      <c r="AQ14">
        <v>94.519959999999998</v>
      </c>
      <c r="AR14">
        <v>224.1103</v>
      </c>
      <c r="AS14">
        <v>297.97789999999998</v>
      </c>
      <c r="AT14">
        <v>439.012</v>
      </c>
      <c r="AU14">
        <v>49.034939999999999</v>
      </c>
      <c r="AV14">
        <v>68.214550000000003</v>
      </c>
      <c r="AW14">
        <v>0.450878</v>
      </c>
      <c r="AX14">
        <v>0.40388800000000002</v>
      </c>
      <c r="AY14">
        <v>0.88600599999999996</v>
      </c>
      <c r="AZ14">
        <v>-0.37118000000000001</v>
      </c>
      <c r="BA14">
        <v>0.78271100000000005</v>
      </c>
      <c r="BB14">
        <v>0.75942699999999996</v>
      </c>
      <c r="BC14">
        <v>0.78413699999999997</v>
      </c>
      <c r="BD14">
        <v>1.876074</v>
      </c>
      <c r="BE14">
        <v>0.310587</v>
      </c>
      <c r="BF14">
        <v>0.62200100000000003</v>
      </c>
      <c r="BG14">
        <v>1.3705339999999999</v>
      </c>
      <c r="BH14">
        <v>0.16903899999999999</v>
      </c>
      <c r="BI14">
        <v>0.35899799999999998</v>
      </c>
      <c r="BJ14">
        <v>0.36381999999999998</v>
      </c>
      <c r="BK14">
        <v>0.66728799999999999</v>
      </c>
      <c r="BL14">
        <v>0.29927700000000002</v>
      </c>
      <c r="BM14">
        <v>0.34174300000000002</v>
      </c>
      <c r="BN14">
        <v>-1.0856680000000001</v>
      </c>
      <c r="BO14">
        <v>0.45561600000000002</v>
      </c>
      <c r="BP14">
        <v>0.47648699999999999</v>
      </c>
      <c r="BQ14">
        <v>7.9370999999999997E-2</v>
      </c>
      <c r="BR14">
        <v>-20.379560000000001</v>
      </c>
      <c r="BS14">
        <v>-4.8161589999999999</v>
      </c>
      <c r="BT14">
        <v>72.486630000000005</v>
      </c>
      <c r="BU14">
        <v>-5.3798550000000001</v>
      </c>
      <c r="BV14">
        <v>-39.394869999999997</v>
      </c>
      <c r="BW14">
        <v>6.8084239999999996</v>
      </c>
      <c r="BX14">
        <v>-40.597059999999999</v>
      </c>
      <c r="BY14">
        <v>235.66990000000001</v>
      </c>
      <c r="BZ14">
        <v>-56.445360000000001</v>
      </c>
      <c r="CA14">
        <v>26.248650000000001</v>
      </c>
      <c r="CB14">
        <v>2.0885829999999999</v>
      </c>
      <c r="CC14">
        <v>-12.76375</v>
      </c>
      <c r="CD14">
        <v>-2.2190029999999998</v>
      </c>
      <c r="CE14">
        <v>6.7281519999999997</v>
      </c>
      <c r="CF14">
        <v>15.615679999999999</v>
      </c>
      <c r="CG14">
        <v>43.074669999999998</v>
      </c>
      <c r="CH14">
        <v>-20.31204</v>
      </c>
      <c r="CI14">
        <v>0.38286900000000001</v>
      </c>
      <c r="CJ14">
        <v>0.74181900000000001</v>
      </c>
      <c r="CK14">
        <v>-0.15911800000000001</v>
      </c>
      <c r="CL14">
        <v>0.52510800000000002</v>
      </c>
      <c r="CM14">
        <v>0.55317000000000005</v>
      </c>
      <c r="CN14">
        <v>0.31351800000000002</v>
      </c>
      <c r="CO14">
        <v>1.9203170000000001</v>
      </c>
      <c r="CP14">
        <v>0.19836599999999999</v>
      </c>
      <c r="CQ14">
        <v>0.10298499999999999</v>
      </c>
      <c r="CR14">
        <v>2.1747269999999999</v>
      </c>
      <c r="CS14">
        <v>0.26843099999999998</v>
      </c>
      <c r="CT14">
        <v>0.320133</v>
      </c>
      <c r="CU14">
        <v>0.28059800000000001</v>
      </c>
      <c r="CV14">
        <v>0.44313399999999997</v>
      </c>
      <c r="CW14">
        <v>0.254805</v>
      </c>
      <c r="CX14">
        <v>0.39519900000000002</v>
      </c>
      <c r="CY14">
        <v>-0.51274600000000004</v>
      </c>
      <c r="CZ14">
        <v>0.19675400000000001</v>
      </c>
      <c r="DA14">
        <v>0.35693900000000001</v>
      </c>
      <c r="DB14">
        <v>6.2566999999999998E-2</v>
      </c>
      <c r="DC14">
        <v>-16.911639999999998</v>
      </c>
      <c r="DD14">
        <v>-2.738499</v>
      </c>
      <c r="DE14">
        <v>52.684950000000001</v>
      </c>
      <c r="DF14">
        <v>-5.6587079999999998</v>
      </c>
      <c r="DG14">
        <v>-50.883099999999999</v>
      </c>
      <c r="DH14">
        <v>7.1694849999999999</v>
      </c>
      <c r="DI14">
        <v>-38.346159999999998</v>
      </c>
      <c r="DJ14">
        <v>238.68979999999999</v>
      </c>
      <c r="DK14">
        <v>-62.525700000000001</v>
      </c>
      <c r="DL14">
        <v>25.726179999999999</v>
      </c>
      <c r="DM14">
        <v>7.3280089999999998</v>
      </c>
      <c r="DN14">
        <v>-4.4735930000000002</v>
      </c>
      <c r="DO14">
        <v>-1.783201</v>
      </c>
      <c r="DP14">
        <v>11.265840000000001</v>
      </c>
      <c r="DQ14">
        <v>18.357060000000001</v>
      </c>
      <c r="DR14">
        <v>48.828440000000001</v>
      </c>
      <c r="DS14">
        <v>-19.855789999999999</v>
      </c>
      <c r="DT14">
        <v>9.3699999999999999E-3</v>
      </c>
      <c r="DU14">
        <v>0.89781299999999997</v>
      </c>
      <c r="DV14">
        <v>-1.2297769999999999</v>
      </c>
      <c r="DW14">
        <v>1.1014729999999999</v>
      </c>
      <c r="DX14">
        <v>1.014081</v>
      </c>
      <c r="DY14">
        <v>1.0259180000000001</v>
      </c>
      <c r="DZ14">
        <v>0.77049999999999996</v>
      </c>
      <c r="EA14">
        <v>0.89500599999999997</v>
      </c>
      <c r="EB14">
        <v>1.1573880000000001</v>
      </c>
      <c r="EC14">
        <v>0</v>
      </c>
      <c r="ED14">
        <v>0.93172999999999995</v>
      </c>
      <c r="EE14">
        <v>0.92741799999999996</v>
      </c>
      <c r="EF14">
        <v>0.30388599999999999</v>
      </c>
      <c r="EG14">
        <v>0.17579500000000001</v>
      </c>
      <c r="EH14">
        <v>0.31843100000000002</v>
      </c>
      <c r="EI14">
        <v>0.66888599999999998</v>
      </c>
      <c r="EJ14">
        <v>0.74673500000000004</v>
      </c>
      <c r="EK14">
        <v>-0.79935299999999998</v>
      </c>
      <c r="EL14">
        <v>0.92853200000000002</v>
      </c>
      <c r="EM14">
        <v>0.95019699999999996</v>
      </c>
      <c r="EN14">
        <v>-9.6218070000000004</v>
      </c>
      <c r="EO14">
        <v>-2.330416</v>
      </c>
      <c r="EP14">
        <v>0.810145</v>
      </c>
      <c r="EQ14">
        <v>-1.020751</v>
      </c>
      <c r="ER14">
        <v>6.5645379999999998</v>
      </c>
      <c r="ES14">
        <v>73.875889999999998</v>
      </c>
      <c r="ET14">
        <v>2.1861009999999998</v>
      </c>
      <c r="EU14">
        <v>31.269939999999998</v>
      </c>
      <c r="EV14">
        <v>0.50035799999999997</v>
      </c>
      <c r="EW14">
        <v>1.828041</v>
      </c>
      <c r="EX14">
        <v>2.3085830000000001</v>
      </c>
      <c r="EY14">
        <v>0.72892000000000001</v>
      </c>
      <c r="EZ14">
        <v>9.6603999999999995E-2</v>
      </c>
      <c r="FA14">
        <v>4.9267940000000001</v>
      </c>
      <c r="FB14">
        <v>1.5807899999999999</v>
      </c>
      <c r="FC14">
        <v>33.130679999999998</v>
      </c>
      <c r="FD14">
        <v>9.0798469999999991</v>
      </c>
      <c r="FE14">
        <v>0.54838699999999996</v>
      </c>
      <c r="FF14">
        <v>0.845055</v>
      </c>
      <c r="FG14">
        <v>1.519301</v>
      </c>
      <c r="FH14">
        <v>0.34161799999999998</v>
      </c>
      <c r="FI14">
        <v>5.8877689999999996</v>
      </c>
      <c r="FJ14">
        <v>71.867429999999999</v>
      </c>
      <c r="FK14">
        <v>3.2156180000000001</v>
      </c>
      <c r="FL14">
        <v>29.59534</v>
      </c>
      <c r="FM14">
        <v>0.24233299999999999</v>
      </c>
      <c r="FN14">
        <v>1.951149</v>
      </c>
      <c r="FO14">
        <v>1.392263</v>
      </c>
      <c r="FP14">
        <v>2.433843</v>
      </c>
      <c r="FQ14">
        <v>4.1505E-2</v>
      </c>
      <c r="FR14">
        <v>6.2098690000000003</v>
      </c>
      <c r="FS14">
        <v>1.6200330000000001</v>
      </c>
      <c r="FT14">
        <v>31.836290000000002</v>
      </c>
      <c r="FU14">
        <v>8.9544219999999992</v>
      </c>
      <c r="FV14">
        <v>0.59187800000000002</v>
      </c>
      <c r="FW14">
        <v>0.99002699999999999</v>
      </c>
      <c r="FX14">
        <v>2.201613</v>
      </c>
      <c r="FY14">
        <v>0.27244699999999999</v>
      </c>
      <c r="FZ14">
        <v>4.7571279999999998</v>
      </c>
      <c r="GA14">
        <v>59.698790000000002</v>
      </c>
      <c r="GB14">
        <v>2.1861009999999998</v>
      </c>
      <c r="GC14">
        <v>27.32865</v>
      </c>
      <c r="GD14">
        <v>0.43729299999999999</v>
      </c>
      <c r="GE14">
        <v>1.597634</v>
      </c>
      <c r="GF14">
        <v>2.0176080000000001</v>
      </c>
      <c r="GG14">
        <v>0.637046</v>
      </c>
      <c r="GH14">
        <v>8.4428000000000003E-2</v>
      </c>
      <c r="GI14">
        <v>4.3058180000000004</v>
      </c>
      <c r="GJ14">
        <v>1.3815459999999999</v>
      </c>
      <c r="GK14">
        <v>31.451820000000001</v>
      </c>
      <c r="GL14">
        <v>9.0798469999999991</v>
      </c>
      <c r="GM14">
        <v>0.54838699999999996</v>
      </c>
      <c r="GN14">
        <v>0.845055</v>
      </c>
      <c r="GO14">
        <v>1.519301</v>
      </c>
      <c r="GP14">
        <v>0.34161799999999998</v>
      </c>
      <c r="GQ14">
        <v>4.0806750000000003</v>
      </c>
      <c r="GR14">
        <v>57.683599999999998</v>
      </c>
      <c r="GS14">
        <v>3.2156180000000001</v>
      </c>
      <c r="GT14">
        <v>25.88625</v>
      </c>
      <c r="GU14">
        <v>0.21196200000000001</v>
      </c>
      <c r="GV14">
        <v>1.706618</v>
      </c>
      <c r="GW14">
        <v>1.2177750000000001</v>
      </c>
      <c r="GX14">
        <v>2.1288170000000002</v>
      </c>
      <c r="GY14">
        <v>3.6303000000000002E-2</v>
      </c>
      <c r="GZ14">
        <v>5.4316069999999996</v>
      </c>
      <c r="HA14">
        <v>1.4169989999999999</v>
      </c>
      <c r="HB14">
        <v>30.15663</v>
      </c>
      <c r="HC14">
        <v>8.9544219999999992</v>
      </c>
      <c r="HD14">
        <v>0.59187800000000002</v>
      </c>
      <c r="HE14">
        <v>0.99002699999999999</v>
      </c>
      <c r="HF14">
        <v>2.201613</v>
      </c>
      <c r="HG14">
        <v>0.27244699999999999</v>
      </c>
      <c r="HH14">
        <v>4.8429279999999997</v>
      </c>
      <c r="HI14">
        <v>64.166870000000003</v>
      </c>
      <c r="HJ14">
        <v>2.1861009999999998</v>
      </c>
      <c r="HK14">
        <v>112.88630000000001</v>
      </c>
      <c r="HL14">
        <v>1.0807819999999999</v>
      </c>
      <c r="HM14">
        <v>3.9485990000000002</v>
      </c>
      <c r="HN14">
        <v>4.9865769999999996</v>
      </c>
      <c r="HO14">
        <v>0.78801600000000005</v>
      </c>
      <c r="HP14">
        <v>0.104436</v>
      </c>
      <c r="HQ14">
        <v>5.3262299999999998</v>
      </c>
      <c r="HR14">
        <v>4.6204970000000003</v>
      </c>
      <c r="HS14">
        <v>31.667919999999999</v>
      </c>
      <c r="HT14">
        <v>9.2156459999999996</v>
      </c>
      <c r="HU14">
        <v>0.556589</v>
      </c>
      <c r="HV14">
        <v>0.85769399999999996</v>
      </c>
      <c r="HW14">
        <v>1.5420240000000001</v>
      </c>
      <c r="HX14">
        <v>0.34672700000000001</v>
      </c>
      <c r="HY14">
        <v>4.133216</v>
      </c>
      <c r="HZ14">
        <v>61.551380000000002</v>
      </c>
      <c r="IA14">
        <v>3.2156180000000001</v>
      </c>
      <c r="IB14">
        <v>106.1438</v>
      </c>
      <c r="IC14">
        <v>0.24233299999999999</v>
      </c>
      <c r="ID14">
        <v>4.2000929999999999</v>
      </c>
      <c r="IE14">
        <v>1.392263</v>
      </c>
      <c r="IF14">
        <v>2.615783</v>
      </c>
      <c r="IG14">
        <v>4.4608000000000002E-2</v>
      </c>
      <c r="IH14">
        <v>6.6740839999999997</v>
      </c>
      <c r="II14">
        <v>4.7574569999999996</v>
      </c>
      <c r="IJ14">
        <v>30.376370000000001</v>
      </c>
      <c r="IK14">
        <v>9.0985759999999996</v>
      </c>
      <c r="IL14">
        <v>0.60079000000000005</v>
      </c>
      <c r="IM14">
        <v>1.006542</v>
      </c>
      <c r="IN14">
        <v>2.2382580000000001</v>
      </c>
      <c r="IO14">
        <v>0.27660699999999999</v>
      </c>
      <c r="IP14">
        <v>4.1483999999999996</v>
      </c>
      <c r="IQ14">
        <v>4.508972</v>
      </c>
      <c r="IR14">
        <v>0.80078899999999997</v>
      </c>
      <c r="IS14">
        <v>1.595288</v>
      </c>
      <c r="IT14">
        <v>3.444985</v>
      </c>
      <c r="IU14">
        <v>3.5989230000000001</v>
      </c>
      <c r="IV14">
        <v>4.4738329999999999</v>
      </c>
      <c r="IW14">
        <v>5.24512</v>
      </c>
      <c r="IX14">
        <v>0.66727400000000003</v>
      </c>
      <c r="IY14">
        <v>5.2025649999999999</v>
      </c>
      <c r="IZ14">
        <v>1.540184</v>
      </c>
      <c r="JA14">
        <v>6.9767210000000004</v>
      </c>
      <c r="JB14">
        <v>0.34364800000000001</v>
      </c>
      <c r="JC14">
        <v>1.11802</v>
      </c>
      <c r="JD14">
        <v>0.85552499999999998</v>
      </c>
      <c r="JE14">
        <v>16.922350000000002</v>
      </c>
      <c r="JF14">
        <v>0.33887699999999998</v>
      </c>
      <c r="JG14">
        <v>1.7853110000000001</v>
      </c>
      <c r="JH14">
        <v>17.605730000000001</v>
      </c>
      <c r="JI14">
        <v>5.9270810000000003</v>
      </c>
      <c r="JJ14">
        <v>21.045719999999999</v>
      </c>
      <c r="JK14">
        <v>40.072749999999999</v>
      </c>
      <c r="JL14">
        <v>4.1170710000000001</v>
      </c>
      <c r="JM14">
        <v>4.4680350000000004</v>
      </c>
      <c r="JN14">
        <v>0.79536899999999999</v>
      </c>
      <c r="JO14">
        <v>1.562074</v>
      </c>
      <c r="JP14">
        <v>3.3418269999999999</v>
      </c>
      <c r="JQ14">
        <v>3.535933</v>
      </c>
      <c r="JR14">
        <v>4.3564369999999997</v>
      </c>
      <c r="JS14">
        <v>5.2281839999999997</v>
      </c>
      <c r="JT14">
        <v>0.66643600000000003</v>
      </c>
      <c r="JU14">
        <v>4.7035749999999998</v>
      </c>
      <c r="JV14">
        <v>1.530805</v>
      </c>
      <c r="JW14">
        <v>6.8710180000000003</v>
      </c>
      <c r="JX14">
        <v>0.32586799999999999</v>
      </c>
      <c r="JY14">
        <v>1.122214</v>
      </c>
      <c r="JZ14">
        <v>0.85331299999999999</v>
      </c>
      <c r="KA14">
        <v>16.78304</v>
      </c>
      <c r="KB14">
        <v>0.32747799999999999</v>
      </c>
      <c r="KC14">
        <v>1.7489870000000001</v>
      </c>
      <c r="KD14">
        <v>17.60144</v>
      </c>
      <c r="KE14">
        <v>5.9050349999999998</v>
      </c>
      <c r="KF14">
        <v>20.567399999999999</v>
      </c>
      <c r="KG14">
        <v>39.771700000000003</v>
      </c>
      <c r="KH14">
        <v>2754.9290000000001</v>
      </c>
      <c r="KI14">
        <v>5927.59</v>
      </c>
      <c r="KJ14">
        <v>5807.3329999999996</v>
      </c>
      <c r="KK14">
        <v>4866.6450000000004</v>
      </c>
      <c r="KL14">
        <v>7854.2370000000001</v>
      </c>
      <c r="KM14">
        <v>2628.2849999999999</v>
      </c>
      <c r="KN14">
        <v>1698.606</v>
      </c>
      <c r="KO14">
        <v>0</v>
      </c>
      <c r="KP14">
        <v>30996.18</v>
      </c>
      <c r="KQ14">
        <v>541.44029999999998</v>
      </c>
      <c r="KR14">
        <v>0</v>
      </c>
      <c r="KS14">
        <v>3032.105</v>
      </c>
      <c r="KT14">
        <v>5949.3980000000001</v>
      </c>
      <c r="KU14">
        <v>5821.8419999999996</v>
      </c>
      <c r="KV14">
        <v>4871.4359999999997</v>
      </c>
      <c r="KW14">
        <v>7823.7539999999999</v>
      </c>
      <c r="KX14">
        <v>2565.549</v>
      </c>
      <c r="KY14">
        <v>1439.6189999999999</v>
      </c>
      <c r="KZ14">
        <v>0</v>
      </c>
      <c r="LA14">
        <v>30648.18</v>
      </c>
      <c r="LB14">
        <v>855.5181</v>
      </c>
      <c r="LC14">
        <v>0</v>
      </c>
      <c r="LD14">
        <v>30521828</v>
      </c>
      <c r="LE14" s="21">
        <v>148000000</v>
      </c>
      <c r="LF14" s="21">
        <v>517000000</v>
      </c>
      <c r="LG14" s="21">
        <v>646000000</v>
      </c>
      <c r="LH14" s="21">
        <v>694000000</v>
      </c>
      <c r="LI14" s="21">
        <v>366000000</v>
      </c>
      <c r="LJ14" s="21">
        <v>146000000</v>
      </c>
      <c r="LK14" s="21">
        <v>1.95E-6</v>
      </c>
      <c r="LL14" s="21">
        <v>3.6799999999999999E-6</v>
      </c>
      <c r="LM14" s="21">
        <v>6.7399999999999998E-6</v>
      </c>
      <c r="LN14" s="21">
        <v>1.38E-5</v>
      </c>
      <c r="LO14" s="21">
        <v>1.9700000000000001E-5</v>
      </c>
      <c r="LP14" s="21">
        <v>2.73E-5</v>
      </c>
      <c r="LQ14" s="21">
        <v>4.0000000000000003E-5</v>
      </c>
      <c r="LR14">
        <v>30644669</v>
      </c>
      <c r="LS14" s="21">
        <v>148000000</v>
      </c>
      <c r="LT14" s="21">
        <v>517000000</v>
      </c>
      <c r="LU14" s="21">
        <v>646000000</v>
      </c>
      <c r="LV14" s="21">
        <v>694000000</v>
      </c>
      <c r="LW14" s="21">
        <v>366000000</v>
      </c>
      <c r="LX14" s="21">
        <v>146000000</v>
      </c>
      <c r="LY14" s="21">
        <v>1.9599999999999999E-6</v>
      </c>
      <c r="LZ14" s="21">
        <v>3.7100000000000001E-6</v>
      </c>
      <c r="MA14" s="21">
        <v>6.8199999999999999E-6</v>
      </c>
      <c r="MB14" s="21">
        <v>1.4E-5</v>
      </c>
      <c r="MC14" s="21">
        <v>2.0400000000000001E-5</v>
      </c>
      <c r="MD14" s="21">
        <v>2.8600000000000001E-5</v>
      </c>
      <c r="ME14" s="21">
        <v>4.1900000000000002E-5</v>
      </c>
      <c r="MF14">
        <v>0.20689299999999999</v>
      </c>
      <c r="MG14">
        <v>0.36501299999999998</v>
      </c>
      <c r="MH14">
        <v>0.19469900000000001</v>
      </c>
      <c r="MI14">
        <v>4.1701000000000002E-2</v>
      </c>
      <c r="MJ14">
        <v>2.6665000000000001E-2</v>
      </c>
      <c r="MK14">
        <v>2.4284E-2</v>
      </c>
      <c r="ML14">
        <v>0.14074400000000001</v>
      </c>
      <c r="MM14">
        <v>0.196432</v>
      </c>
      <c r="MN14">
        <v>0.36253400000000002</v>
      </c>
      <c r="MO14">
        <v>0.17762900000000001</v>
      </c>
      <c r="MP14">
        <v>1.8516999999999999E-2</v>
      </c>
      <c r="MQ14">
        <v>1.677E-2</v>
      </c>
      <c r="MR14">
        <v>3.1465E-2</v>
      </c>
      <c r="MS14">
        <v>0.19665299999999999</v>
      </c>
      <c r="MT14">
        <v>0.26616800000000002</v>
      </c>
      <c r="MU14">
        <v>0.39053199999999999</v>
      </c>
      <c r="MV14">
        <v>0.21449199999999999</v>
      </c>
      <c r="MW14">
        <v>5.4774999999999997E-2</v>
      </c>
      <c r="MX14">
        <v>2.4826999999999998E-2</v>
      </c>
      <c r="MY14">
        <v>7.4970000000000002E-3</v>
      </c>
      <c r="MZ14">
        <v>4.1709999999999997E-2</v>
      </c>
      <c r="NA14">
        <v>0.30807299999999999</v>
      </c>
      <c r="NB14">
        <v>0.424539</v>
      </c>
      <c r="NC14">
        <v>0.22411</v>
      </c>
      <c r="ND14">
        <v>4.7958000000000001E-2</v>
      </c>
      <c r="NE14">
        <v>1.5668000000000001E-2</v>
      </c>
      <c r="NF14">
        <v>-6.6309999999999997E-3</v>
      </c>
      <c r="NG14">
        <v>-1.3715E-2</v>
      </c>
      <c r="NH14">
        <v>4.2659999999999998E-3</v>
      </c>
      <c r="NI14">
        <v>4.2339999999999999E-3</v>
      </c>
      <c r="NJ14">
        <v>1.0647E-2</v>
      </c>
      <c r="NK14">
        <v>1.7461000000000001E-2</v>
      </c>
      <c r="NL14">
        <v>1.8277999999999999E-2</v>
      </c>
      <c r="NM14">
        <v>5.4732999999999997E-2</v>
      </c>
      <c r="NN14">
        <v>4.2659999999999998E-3</v>
      </c>
      <c r="NO14">
        <v>4.2339999999999999E-3</v>
      </c>
      <c r="NP14">
        <v>1.0647E-2</v>
      </c>
      <c r="NQ14">
        <v>1.7461000000000001E-2</v>
      </c>
      <c r="NR14">
        <v>1.8277999999999999E-2</v>
      </c>
      <c r="NS14">
        <v>5.4732999999999997E-2</v>
      </c>
      <c r="NT14">
        <v>4.3940000000000003E-3</v>
      </c>
      <c r="NU14">
        <v>4.3709999999999999E-3</v>
      </c>
      <c r="NV14">
        <v>1.0843999999999999E-2</v>
      </c>
      <c r="NW14">
        <v>1.7831E-2</v>
      </c>
      <c r="NX14">
        <v>1.8778E-2</v>
      </c>
      <c r="NY14">
        <v>5.5229E-2</v>
      </c>
      <c r="NZ14">
        <v>4.3940000000000003E-3</v>
      </c>
      <c r="OA14">
        <v>4.3709999999999999E-3</v>
      </c>
      <c r="OB14">
        <v>1.0843999999999999E-2</v>
      </c>
      <c r="OC14">
        <v>1.7831E-2</v>
      </c>
      <c r="OD14">
        <v>1.8778E-2</v>
      </c>
      <c r="OE14">
        <v>5.5229E-2</v>
      </c>
      <c r="OF14">
        <v>53.77176</v>
      </c>
      <c r="OG14">
        <v>37957.339999999997</v>
      </c>
      <c r="OH14">
        <v>17452.650000000001</v>
      </c>
      <c r="OI14">
        <v>9155.2749999999996</v>
      </c>
      <c r="OJ14">
        <v>48.597949999999997</v>
      </c>
      <c r="OK14">
        <v>37072.78</v>
      </c>
      <c r="OL14">
        <v>17594.04</v>
      </c>
      <c r="OM14">
        <v>9061.8230000000003</v>
      </c>
      <c r="ON14">
        <v>1256387</v>
      </c>
      <c r="OO14">
        <v>1258452</v>
      </c>
      <c r="OP14">
        <v>9457.8829999999998</v>
      </c>
      <c r="OQ14">
        <v>4931.4650000000001</v>
      </c>
      <c r="OR14">
        <v>4539.6090000000004</v>
      </c>
      <c r="OS14">
        <v>413.49919999999997</v>
      </c>
      <c r="OT14">
        <v>1314.4960000000001</v>
      </c>
      <c r="OU14">
        <v>1033.5219999999999</v>
      </c>
      <c r="OV14">
        <v>259.97460000000001</v>
      </c>
      <c r="OW14">
        <v>1021.4930000000001</v>
      </c>
      <c r="OX14">
        <v>1110.8140000000001</v>
      </c>
      <c r="OY14">
        <v>890.69939999999997</v>
      </c>
      <c r="OZ14">
        <v>499.78300000000002</v>
      </c>
      <c r="PA14">
        <v>16584.57</v>
      </c>
      <c r="PB14">
        <v>6001.6629999999996</v>
      </c>
      <c r="PC14">
        <v>1038.8</v>
      </c>
      <c r="PD14">
        <v>1819.5989999999999</v>
      </c>
      <c r="PE14">
        <v>5176.509</v>
      </c>
      <c r="PF14">
        <v>1148.873</v>
      </c>
      <c r="PG14">
        <v>2119.902</v>
      </c>
      <c r="PH14">
        <v>158854.29999999999</v>
      </c>
      <c r="PI14">
        <v>69193.240000000005</v>
      </c>
      <c r="PJ14">
        <v>1.687999</v>
      </c>
      <c r="PK14">
        <v>608.94050000000004</v>
      </c>
      <c r="PL14">
        <v>107.13039999999999</v>
      </c>
      <c r="PM14">
        <v>1323.7629999999999</v>
      </c>
      <c r="PN14">
        <v>463.67840000000001</v>
      </c>
      <c r="PO14">
        <v>152.90989999999999</v>
      </c>
      <c r="PP14">
        <v>249.96170000000001</v>
      </c>
      <c r="PQ14">
        <v>485.89269999999999</v>
      </c>
      <c r="PR14">
        <v>93.50658</v>
      </c>
      <c r="PS14">
        <v>566.77509999999995</v>
      </c>
      <c r="PT14">
        <v>1068.8800000000001</v>
      </c>
      <c r="PU14">
        <v>487.13049999999998</v>
      </c>
      <c r="PV14">
        <v>878.15449999999998</v>
      </c>
      <c r="PW14">
        <v>58.380240000000001</v>
      </c>
      <c r="PX14">
        <v>134.65610000000001</v>
      </c>
      <c r="PY14">
        <v>669.03420000000006</v>
      </c>
      <c r="PZ14">
        <v>141.25319999999999</v>
      </c>
      <c r="QA14">
        <v>294902.40000000002</v>
      </c>
      <c r="QB14">
        <v>6091.23</v>
      </c>
      <c r="QC14">
        <v>72465.289999999994</v>
      </c>
      <c r="QD14">
        <v>7244.0309999999999</v>
      </c>
      <c r="QE14">
        <v>14524.25</v>
      </c>
      <c r="QF14">
        <v>9186.7009999999991</v>
      </c>
      <c r="QG14">
        <v>2254.5770000000002</v>
      </c>
      <c r="QH14">
        <v>2008.6379999999999</v>
      </c>
      <c r="QI14">
        <v>2598.0120000000002</v>
      </c>
      <c r="QJ14">
        <v>19894.189999999999</v>
      </c>
      <c r="QK14">
        <v>9494.0939999999991</v>
      </c>
      <c r="QL14">
        <v>4968.0479999999998</v>
      </c>
      <c r="QM14">
        <v>4532.3850000000002</v>
      </c>
      <c r="QN14">
        <v>415.6705</v>
      </c>
      <c r="QO14">
        <v>1321.7670000000001</v>
      </c>
      <c r="QP14">
        <v>1036.7619999999999</v>
      </c>
      <c r="QQ14">
        <v>264.96699999999998</v>
      </c>
      <c r="QR14">
        <v>1023.519</v>
      </c>
      <c r="QS14">
        <v>1111.9580000000001</v>
      </c>
      <c r="QT14">
        <v>910.06970000000001</v>
      </c>
      <c r="QU14">
        <v>501.12450000000001</v>
      </c>
      <c r="QV14">
        <v>16637.669999999998</v>
      </c>
      <c r="QW14">
        <v>6018.5029999999997</v>
      </c>
      <c r="QX14">
        <v>1043.403</v>
      </c>
      <c r="QY14">
        <v>1824.2360000000001</v>
      </c>
      <c r="QZ14">
        <v>5196.9669999999996</v>
      </c>
      <c r="RA14">
        <v>1142.9829999999999</v>
      </c>
      <c r="RB14">
        <v>2124.0729999999999</v>
      </c>
      <c r="RC14">
        <v>159421.29999999999</v>
      </c>
      <c r="RD14">
        <v>69236.539999999994</v>
      </c>
      <c r="RE14">
        <v>1.402531</v>
      </c>
      <c r="RF14">
        <v>592.26469999999995</v>
      </c>
      <c r="RG14">
        <v>163.572</v>
      </c>
      <c r="RH14">
        <v>1248.855</v>
      </c>
      <c r="RI14">
        <v>227.74449999999999</v>
      </c>
      <c r="RJ14">
        <v>163.87280000000001</v>
      </c>
      <c r="RK14">
        <v>154.11099999999999</v>
      </c>
      <c r="RL14">
        <v>1645.6690000000001</v>
      </c>
      <c r="RM14">
        <v>35.040930000000003</v>
      </c>
      <c r="RN14">
        <v>712.5847</v>
      </c>
      <c r="RO14">
        <v>1147.2080000000001</v>
      </c>
      <c r="RP14">
        <v>465.3383</v>
      </c>
      <c r="RQ14">
        <v>862.49530000000004</v>
      </c>
      <c r="RR14">
        <v>64.957269999999994</v>
      </c>
      <c r="RS14">
        <v>159.375</v>
      </c>
      <c r="RT14">
        <v>995.71310000000005</v>
      </c>
      <c r="RU14">
        <v>113.2062</v>
      </c>
      <c r="RV14">
        <v>296979.40000000002</v>
      </c>
      <c r="RW14">
        <v>6192.893</v>
      </c>
      <c r="RX14">
        <v>72213.75</v>
      </c>
      <c r="RY14">
        <v>9161.9770000000008</v>
      </c>
      <c r="RZ14">
        <v>15277.09</v>
      </c>
      <c r="SA14">
        <v>9949.6110000000008</v>
      </c>
      <c r="SB14">
        <v>2911.346</v>
      </c>
      <c r="SC14">
        <v>1838.6410000000001</v>
      </c>
      <c r="SD14">
        <v>788.49109999999996</v>
      </c>
      <c r="SE14">
        <v>5796.09</v>
      </c>
      <c r="SF14">
        <v>35381.550000000003</v>
      </c>
      <c r="SG14">
        <v>53.77176</v>
      </c>
      <c r="SH14">
        <v>8883.1769999999997</v>
      </c>
      <c r="SI14">
        <v>17289.330000000002</v>
      </c>
      <c r="SJ14">
        <v>9155.2749999999996</v>
      </c>
      <c r="SK14">
        <v>35206.300000000003</v>
      </c>
      <c r="SL14">
        <v>48.597949999999997</v>
      </c>
      <c r="SM14">
        <v>8759.7829999999994</v>
      </c>
      <c r="SN14">
        <v>17336.099999999999</v>
      </c>
      <c r="SO14">
        <v>9061.8230000000003</v>
      </c>
      <c r="SP14">
        <v>104111.6</v>
      </c>
      <c r="SQ14">
        <v>84723.28</v>
      </c>
      <c r="SR14">
        <v>104949.9</v>
      </c>
      <c r="SS14">
        <v>75793.399999999994</v>
      </c>
      <c r="ST14">
        <v>40.072749999999999</v>
      </c>
      <c r="SU14">
        <v>0.32386799999999999</v>
      </c>
      <c r="SV14">
        <v>6.3935409999999999</v>
      </c>
      <c r="SW14">
        <v>12.34418</v>
      </c>
      <c r="SX14">
        <v>21.01116</v>
      </c>
      <c r="SY14">
        <v>39.771700000000003</v>
      </c>
      <c r="SZ14">
        <v>0.29270600000000002</v>
      </c>
      <c r="TA14">
        <v>6.3047300000000002</v>
      </c>
      <c r="TB14">
        <v>12.37758</v>
      </c>
      <c r="TC14">
        <v>20.796690000000002</v>
      </c>
      <c r="TD14">
        <v>24756.38</v>
      </c>
      <c r="TE14">
        <v>810.90769999999998</v>
      </c>
      <c r="TF14">
        <v>471.69240000000002</v>
      </c>
      <c r="TG14">
        <v>217.92439999999999</v>
      </c>
      <c r="TH14">
        <v>49.616439999999997</v>
      </c>
      <c r="TI14">
        <v>102.7351</v>
      </c>
      <c r="TJ14">
        <v>83.759630000000001</v>
      </c>
      <c r="TK14">
        <v>25.759060000000002</v>
      </c>
      <c r="TL14">
        <v>30.580369999999998</v>
      </c>
      <c r="TM14">
        <v>164.0317</v>
      </c>
      <c r="TN14">
        <v>40.774140000000003</v>
      </c>
      <c r="TO14">
        <v>26.12753</v>
      </c>
      <c r="TP14">
        <v>1988.8810000000001</v>
      </c>
      <c r="TQ14">
        <v>1957.44</v>
      </c>
      <c r="TR14">
        <v>98.905680000000004</v>
      </c>
      <c r="TS14">
        <v>178.26009999999999</v>
      </c>
      <c r="TT14">
        <v>410.40030000000002</v>
      </c>
      <c r="TU14">
        <v>42.17821</v>
      </c>
      <c r="TV14">
        <v>73.497669999999999</v>
      </c>
      <c r="TW14">
        <v>11668.38</v>
      </c>
      <c r="TX14">
        <v>6181.6170000000002</v>
      </c>
      <c r="TY14">
        <v>0.52712800000000004</v>
      </c>
      <c r="TZ14">
        <v>11.408759999999999</v>
      </c>
      <c r="UA14">
        <v>6.3969240000000003</v>
      </c>
      <c r="UB14">
        <v>61.700740000000003</v>
      </c>
      <c r="UC14">
        <v>0.74358800000000003</v>
      </c>
      <c r="UD14">
        <v>2.4978889999999998</v>
      </c>
      <c r="UE14">
        <v>4.5351749999999997</v>
      </c>
      <c r="UF14">
        <v>1.7511730000000001</v>
      </c>
      <c r="UG14">
        <v>0.82429200000000002</v>
      </c>
      <c r="UH14">
        <v>10.91056</v>
      </c>
      <c r="UI14">
        <v>5.5981810000000003</v>
      </c>
      <c r="UJ14">
        <v>16.354340000000001</v>
      </c>
      <c r="UK14">
        <v>6.2843349999999996</v>
      </c>
      <c r="UL14">
        <v>0.49715300000000001</v>
      </c>
      <c r="UM14">
        <v>0.53025999999999995</v>
      </c>
      <c r="UN14">
        <v>1.9632179999999999</v>
      </c>
      <c r="UO14">
        <v>0.39248300000000003</v>
      </c>
      <c r="UP14">
        <v>24809.03</v>
      </c>
      <c r="UQ14">
        <v>812.21190000000001</v>
      </c>
      <c r="UR14">
        <v>473.59059999999999</v>
      </c>
      <c r="US14">
        <v>217.67859999999999</v>
      </c>
      <c r="UT14">
        <v>49.811880000000002</v>
      </c>
      <c r="UU14">
        <v>103.2056</v>
      </c>
      <c r="UV14">
        <v>84.130859999999998</v>
      </c>
      <c r="UW14">
        <v>25.831040000000002</v>
      </c>
      <c r="UX14">
        <v>30.66093</v>
      </c>
      <c r="UY14">
        <v>164.72790000000001</v>
      </c>
      <c r="UZ14">
        <v>40.947600000000001</v>
      </c>
      <c r="VA14">
        <v>26.138259999999999</v>
      </c>
      <c r="VB14">
        <v>1992.8779999999999</v>
      </c>
      <c r="VC14">
        <v>1961.752</v>
      </c>
      <c r="VD14">
        <v>99.221879999999999</v>
      </c>
      <c r="VE14">
        <v>178.5325</v>
      </c>
      <c r="VF14">
        <v>410.95229999999998</v>
      </c>
      <c r="VG14">
        <v>41.905709999999999</v>
      </c>
      <c r="VH14">
        <v>73.71902</v>
      </c>
      <c r="VI14">
        <v>11700.03</v>
      </c>
      <c r="VJ14">
        <v>6184.2929999999997</v>
      </c>
      <c r="VK14">
        <v>0.42952499999999999</v>
      </c>
      <c r="VL14">
        <v>11.152200000000001</v>
      </c>
      <c r="VM14">
        <v>9.3998410000000003</v>
      </c>
      <c r="VN14">
        <v>58.667470000000002</v>
      </c>
      <c r="VO14">
        <v>0.40837299999999999</v>
      </c>
      <c r="VP14">
        <v>2.6557590000000002</v>
      </c>
      <c r="VQ14">
        <v>3.0242900000000001</v>
      </c>
      <c r="VR14">
        <v>5.07646</v>
      </c>
      <c r="VS14">
        <v>0.34592699999999998</v>
      </c>
      <c r="VT14">
        <v>13.290179999999999</v>
      </c>
      <c r="VU14">
        <v>6.0682590000000003</v>
      </c>
      <c r="VV14">
        <v>15.744160000000001</v>
      </c>
      <c r="VW14">
        <v>6.2207340000000002</v>
      </c>
      <c r="VX14">
        <v>0.55518299999999998</v>
      </c>
      <c r="VY14">
        <v>0.61934800000000001</v>
      </c>
      <c r="VZ14">
        <v>2.8275049999999999</v>
      </c>
      <c r="WA14">
        <v>0.32659700000000003</v>
      </c>
      <c r="WB14">
        <v>0.10736900000000001</v>
      </c>
      <c r="WC14">
        <v>0.105258</v>
      </c>
      <c r="WD14">
        <v>-1.2936E-2</v>
      </c>
      <c r="WE14">
        <v>-1.2733E-2</v>
      </c>
      <c r="WF14">
        <v>0.64839599999999997</v>
      </c>
      <c r="WG14">
        <v>0.64161999999999997</v>
      </c>
      <c r="WH14">
        <v>-2.2572999999999999E-2</v>
      </c>
      <c r="WI14">
        <v>-2.1346E-2</v>
      </c>
      <c r="WJ14">
        <v>1999964</v>
      </c>
      <c r="WK14">
        <v>2009073</v>
      </c>
    </row>
    <row r="15" spans="1:609" ht="14.45" x14ac:dyDescent="0.35">
      <c r="A15">
        <v>2016</v>
      </c>
      <c r="B15">
        <v>0.75298399999999999</v>
      </c>
      <c r="C15">
        <v>113.1921</v>
      </c>
      <c r="D15">
        <v>1.1088199999999999</v>
      </c>
      <c r="E15">
        <v>1.074451</v>
      </c>
      <c r="F15">
        <v>-8.2171999999999995E-2</v>
      </c>
      <c r="G15">
        <v>0.205595</v>
      </c>
      <c r="H15">
        <v>-0.42441899999999999</v>
      </c>
      <c r="I15">
        <v>0.42441400000000001</v>
      </c>
      <c r="J15">
        <v>0.404198</v>
      </c>
      <c r="K15">
        <v>-0.25296099999999999</v>
      </c>
      <c r="L15">
        <v>0.65882499999999999</v>
      </c>
      <c r="M15">
        <v>0.24724599999999999</v>
      </c>
      <c r="N15">
        <v>0</v>
      </c>
      <c r="O15">
        <v>-1.2963370000000001</v>
      </c>
      <c r="P15">
        <v>-0.31585999999999997</v>
      </c>
      <c r="Q15">
        <v>-9.4287539999999996</v>
      </c>
      <c r="R15">
        <v>85.600539999999995</v>
      </c>
      <c r="S15">
        <v>33.226990000000001</v>
      </c>
      <c r="T15">
        <v>34.460949999999997</v>
      </c>
      <c r="U15">
        <v>33.226990000000001</v>
      </c>
      <c r="V15">
        <v>33.99868</v>
      </c>
      <c r="W15">
        <v>0.56684299999999999</v>
      </c>
      <c r="X15">
        <v>11597.02</v>
      </c>
      <c r="Y15">
        <v>0.132301</v>
      </c>
      <c r="Z15">
        <v>0.41013300000000003</v>
      </c>
      <c r="AA15">
        <v>-0.42654300000000001</v>
      </c>
      <c r="AB15">
        <v>-0.26359399999999999</v>
      </c>
      <c r="AC15">
        <v>4.3327999999999998E-2</v>
      </c>
      <c r="AD15">
        <v>9055.6380000000008</v>
      </c>
      <c r="AE15">
        <v>4056.5619999999999</v>
      </c>
      <c r="AF15">
        <v>11089.2</v>
      </c>
      <c r="AG15">
        <v>-3363.8850000000002</v>
      </c>
      <c r="AH15">
        <v>17448.34</v>
      </c>
      <c r="AI15">
        <v>-7.7219999999999997E-3</v>
      </c>
      <c r="AJ15">
        <v>40.18524</v>
      </c>
      <c r="AK15">
        <v>154.05779999999999</v>
      </c>
      <c r="AL15">
        <v>42.28436</v>
      </c>
      <c r="AM15">
        <v>33.46508</v>
      </c>
      <c r="AN15">
        <v>128.29480000000001</v>
      </c>
      <c r="AO15">
        <v>35.213160000000002</v>
      </c>
      <c r="AP15">
        <v>125.3133</v>
      </c>
      <c r="AQ15">
        <v>104.35720000000001</v>
      </c>
      <c r="AR15">
        <v>243.74</v>
      </c>
      <c r="AS15">
        <v>316.30770000000001</v>
      </c>
      <c r="AT15">
        <v>449.49630000000002</v>
      </c>
      <c r="AU15">
        <v>99.311809999999994</v>
      </c>
      <c r="AV15">
        <v>75.33399</v>
      </c>
      <c r="AW15">
        <v>0.74713300000000005</v>
      </c>
      <c r="AX15">
        <v>0.75040300000000004</v>
      </c>
      <c r="AY15">
        <v>1.391983</v>
      </c>
      <c r="AZ15">
        <v>0.167322</v>
      </c>
      <c r="BA15">
        <v>1.4583269999999999</v>
      </c>
      <c r="BB15">
        <v>1.463605</v>
      </c>
      <c r="BC15">
        <v>1.4025810000000001</v>
      </c>
      <c r="BD15">
        <v>3.480988</v>
      </c>
      <c r="BE15">
        <v>0.50888699999999998</v>
      </c>
      <c r="BF15">
        <v>1.144801</v>
      </c>
      <c r="BG15">
        <v>2.4848479999999999</v>
      </c>
      <c r="BH15">
        <v>0.35176400000000002</v>
      </c>
      <c r="BI15">
        <v>0.58385699999999996</v>
      </c>
      <c r="BJ15">
        <v>0.72727699999999995</v>
      </c>
      <c r="BK15">
        <v>1.099189</v>
      </c>
      <c r="BL15">
        <v>0.428095</v>
      </c>
      <c r="BM15">
        <v>0.70847099999999996</v>
      </c>
      <c r="BN15">
        <v>-1.393875</v>
      </c>
      <c r="BO15">
        <v>1.061833</v>
      </c>
      <c r="BP15">
        <v>0.82863299999999995</v>
      </c>
      <c r="BQ15">
        <v>0.14438000000000001</v>
      </c>
      <c r="BR15">
        <v>-28.450880000000002</v>
      </c>
      <c r="BS15">
        <v>-4.433751</v>
      </c>
      <c r="BT15">
        <v>79.917850000000001</v>
      </c>
      <c r="BU15">
        <v>-6.8898109999999999</v>
      </c>
      <c r="BV15">
        <v>-49.682729999999999</v>
      </c>
      <c r="BW15">
        <v>6.0181240000000003</v>
      </c>
      <c r="BX15">
        <v>-51.053420000000003</v>
      </c>
      <c r="BY15">
        <v>299.14049999999997</v>
      </c>
      <c r="BZ15">
        <v>-24.49558</v>
      </c>
      <c r="CA15">
        <v>30.96659</v>
      </c>
      <c r="CB15">
        <v>-9.6752970000000005</v>
      </c>
      <c r="CC15">
        <v>-8.2956629999999993</v>
      </c>
      <c r="CD15">
        <v>-2.7805780000000002</v>
      </c>
      <c r="CE15">
        <v>2.0450819999999998</v>
      </c>
      <c r="CF15">
        <v>14.13899</v>
      </c>
      <c r="CG15">
        <v>40.108429999999998</v>
      </c>
      <c r="CH15">
        <v>-19.469760000000001</v>
      </c>
      <c r="CI15">
        <v>0.78913599999999995</v>
      </c>
      <c r="CJ15">
        <v>1.479314</v>
      </c>
      <c r="CK15">
        <v>-4.2311000000000001E-2</v>
      </c>
      <c r="CL15">
        <v>1.1370180000000001</v>
      </c>
      <c r="CM15">
        <v>1.164247</v>
      </c>
      <c r="CN15">
        <v>0.67525100000000005</v>
      </c>
      <c r="CO15">
        <v>3.7709609999999998</v>
      </c>
      <c r="CP15">
        <v>0.30487799999999998</v>
      </c>
      <c r="CQ15">
        <v>0.23624899999999999</v>
      </c>
      <c r="CR15">
        <v>4.1194559999999996</v>
      </c>
      <c r="CS15">
        <v>0.63616799999999996</v>
      </c>
      <c r="CT15">
        <v>0.61077800000000004</v>
      </c>
      <c r="CU15">
        <v>0.60797400000000001</v>
      </c>
      <c r="CV15">
        <v>0.92027499999999995</v>
      </c>
      <c r="CW15">
        <v>0.46078999999999998</v>
      </c>
      <c r="CX15">
        <v>0.83400399999999997</v>
      </c>
      <c r="CY15">
        <v>-0.87639500000000004</v>
      </c>
      <c r="CZ15">
        <v>0.47970600000000002</v>
      </c>
      <c r="DA15">
        <v>0.71822299999999994</v>
      </c>
      <c r="DB15">
        <v>0.13632</v>
      </c>
      <c r="DC15">
        <v>-24.01765</v>
      </c>
      <c r="DD15">
        <v>-3.6165630000000002</v>
      </c>
      <c r="DE15">
        <v>52.109380000000002</v>
      </c>
      <c r="DF15">
        <v>-7.0473400000000002</v>
      </c>
      <c r="DG15">
        <v>-61.274279999999997</v>
      </c>
      <c r="DH15">
        <v>7.2972489999999999</v>
      </c>
      <c r="DI15">
        <v>-49.454239999999999</v>
      </c>
      <c r="DJ15">
        <v>324.41500000000002</v>
      </c>
      <c r="DK15">
        <v>-46.86224</v>
      </c>
      <c r="DL15">
        <v>32.23556</v>
      </c>
      <c r="DM15">
        <v>-3.6320049999999999</v>
      </c>
      <c r="DN15">
        <v>-5.6394140000000004</v>
      </c>
      <c r="DO15">
        <v>-2.7688290000000002</v>
      </c>
      <c r="DP15">
        <v>6.0048810000000001</v>
      </c>
      <c r="DQ15">
        <v>17.597549999999998</v>
      </c>
      <c r="DR15">
        <v>48.04439</v>
      </c>
      <c r="DS15">
        <v>-21.394929999999999</v>
      </c>
      <c r="DT15">
        <v>1.5855999999999999E-2</v>
      </c>
      <c r="DU15">
        <v>1.5152380000000001</v>
      </c>
      <c r="DV15">
        <v>-0.36680800000000002</v>
      </c>
      <c r="DW15">
        <v>1.9153770000000001</v>
      </c>
      <c r="DX15">
        <v>1.748569</v>
      </c>
      <c r="DY15">
        <v>1.766381</v>
      </c>
      <c r="DZ15">
        <v>1.237779</v>
      </c>
      <c r="EA15">
        <v>1.5073000000000001</v>
      </c>
      <c r="EB15">
        <v>2.040451</v>
      </c>
      <c r="EC15">
        <v>0</v>
      </c>
      <c r="ED15">
        <v>1.5839319999999999</v>
      </c>
      <c r="EE15">
        <v>1.581623</v>
      </c>
      <c r="EF15">
        <v>0.79084500000000002</v>
      </c>
      <c r="EG15">
        <v>0.21878400000000001</v>
      </c>
      <c r="EH15">
        <v>0.39616299999999999</v>
      </c>
      <c r="EI15">
        <v>1.0330649999999999</v>
      </c>
      <c r="EJ15">
        <v>1.1965619999999999</v>
      </c>
      <c r="EK15">
        <v>-0.89751599999999998</v>
      </c>
      <c r="EL15">
        <v>1.5842050000000001</v>
      </c>
      <c r="EM15">
        <v>1.6282799999999999</v>
      </c>
      <c r="EN15">
        <v>-10.37269</v>
      </c>
      <c r="EO15">
        <v>-4.1396050000000004</v>
      </c>
      <c r="EP15">
        <v>-4.4873000000000003E-2</v>
      </c>
      <c r="EQ15">
        <v>-0.96779999999999999</v>
      </c>
      <c r="ER15">
        <v>6.6516539999999997</v>
      </c>
      <c r="ES15">
        <v>74.681309999999996</v>
      </c>
      <c r="ET15">
        <v>2.2054130000000001</v>
      </c>
      <c r="EU15">
        <v>31.39845</v>
      </c>
      <c r="EV15">
        <v>0.50241499999999994</v>
      </c>
      <c r="EW15">
        <v>1.8355539999999999</v>
      </c>
      <c r="EX15">
        <v>2.3180719999999999</v>
      </c>
      <c r="EY15">
        <v>0.73191499999999998</v>
      </c>
      <c r="EZ15">
        <v>9.7001000000000004E-2</v>
      </c>
      <c r="FA15">
        <v>4.9470429999999999</v>
      </c>
      <c r="FB15">
        <v>1.5872869999999999</v>
      </c>
      <c r="FC15">
        <v>33.332790000000003</v>
      </c>
      <c r="FD15">
        <v>9.1286869999999993</v>
      </c>
      <c r="FE15">
        <v>0.55133699999999997</v>
      </c>
      <c r="FF15">
        <v>0.84960100000000005</v>
      </c>
      <c r="FG15">
        <v>1.5274730000000001</v>
      </c>
      <c r="FH15">
        <v>0.34345599999999998</v>
      </c>
      <c r="FI15">
        <v>5.554125</v>
      </c>
      <c r="FJ15">
        <v>71.93853</v>
      </c>
      <c r="FK15">
        <v>3.158954</v>
      </c>
      <c r="FL15">
        <v>29.277159999999999</v>
      </c>
      <c r="FM15">
        <v>0.195747</v>
      </c>
      <c r="FN15">
        <v>1.9493659999999999</v>
      </c>
      <c r="FO15">
        <v>1.155896</v>
      </c>
      <c r="FP15">
        <v>2.9099910000000002</v>
      </c>
      <c r="FQ15">
        <v>7.0859000000000005E-2</v>
      </c>
      <c r="FR15">
        <v>6.4707809999999997</v>
      </c>
      <c r="FS15">
        <v>1.440896</v>
      </c>
      <c r="FT15">
        <v>31.826370000000001</v>
      </c>
      <c r="FU15">
        <v>8.9670450000000006</v>
      </c>
      <c r="FV15">
        <v>0.56968099999999999</v>
      </c>
      <c r="FW15">
        <v>0.984626</v>
      </c>
      <c r="FX15">
        <v>2.172399</v>
      </c>
      <c r="FY15">
        <v>0.27739999999999998</v>
      </c>
      <c r="FZ15">
        <v>4.8099999999999996</v>
      </c>
      <c r="GA15">
        <v>60.226149999999997</v>
      </c>
      <c r="GB15">
        <v>2.2054130000000001</v>
      </c>
      <c r="GC15">
        <v>27.457170000000001</v>
      </c>
      <c r="GD15">
        <v>0.43934899999999999</v>
      </c>
      <c r="GE15">
        <v>1.6051470000000001</v>
      </c>
      <c r="GF15">
        <v>2.0270959999999998</v>
      </c>
      <c r="GG15">
        <v>0.640042</v>
      </c>
      <c r="GH15">
        <v>8.4824999999999998E-2</v>
      </c>
      <c r="GI15">
        <v>4.3260670000000001</v>
      </c>
      <c r="GJ15">
        <v>1.3880429999999999</v>
      </c>
      <c r="GK15">
        <v>31.620989999999999</v>
      </c>
      <c r="GL15">
        <v>9.1286869999999993</v>
      </c>
      <c r="GM15">
        <v>0.55133699999999997</v>
      </c>
      <c r="GN15">
        <v>0.84960100000000005</v>
      </c>
      <c r="GO15">
        <v>1.5274730000000001</v>
      </c>
      <c r="GP15">
        <v>0.34345599999999998</v>
      </c>
      <c r="GQ15">
        <v>3.7137950000000002</v>
      </c>
      <c r="GR15">
        <v>57.483989999999999</v>
      </c>
      <c r="GS15">
        <v>3.158954</v>
      </c>
      <c r="GT15">
        <v>25.606629999999999</v>
      </c>
      <c r="GU15">
        <v>0.171206</v>
      </c>
      <c r="GV15">
        <v>1.7049700000000001</v>
      </c>
      <c r="GW15">
        <v>1.0109790000000001</v>
      </c>
      <c r="GX15">
        <v>2.5451600000000001</v>
      </c>
      <c r="GY15">
        <v>6.1975000000000002E-2</v>
      </c>
      <c r="GZ15">
        <v>5.6595279999999999</v>
      </c>
      <c r="HA15">
        <v>1.260249</v>
      </c>
      <c r="HB15">
        <v>30.114650000000001</v>
      </c>
      <c r="HC15">
        <v>8.9670450000000006</v>
      </c>
      <c r="HD15">
        <v>0.56968099999999999</v>
      </c>
      <c r="HE15">
        <v>0.984626</v>
      </c>
      <c r="HF15">
        <v>2.172399</v>
      </c>
      <c r="HG15">
        <v>0.27739999999999998</v>
      </c>
      <c r="HH15">
        <v>4.8967530000000004</v>
      </c>
      <c r="HI15">
        <v>64.733699999999999</v>
      </c>
      <c r="HJ15">
        <v>2.2054130000000001</v>
      </c>
      <c r="HK15">
        <v>113.3503</v>
      </c>
      <c r="HL15">
        <v>1.085224</v>
      </c>
      <c r="HM15">
        <v>3.9648270000000001</v>
      </c>
      <c r="HN15">
        <v>5.007072</v>
      </c>
      <c r="HO15">
        <v>0.79125500000000004</v>
      </c>
      <c r="HP15">
        <v>0.104865</v>
      </c>
      <c r="HQ15">
        <v>5.3481209999999999</v>
      </c>
      <c r="HR15">
        <v>4.6394869999999999</v>
      </c>
      <c r="HS15">
        <v>31.838259999999998</v>
      </c>
      <c r="HT15">
        <v>9.2652169999999998</v>
      </c>
      <c r="HU15">
        <v>0.55958200000000002</v>
      </c>
      <c r="HV15">
        <v>0.86230700000000005</v>
      </c>
      <c r="HW15">
        <v>1.550319</v>
      </c>
      <c r="HX15">
        <v>0.34859200000000001</v>
      </c>
      <c r="HY15">
        <v>3.761612</v>
      </c>
      <c r="HZ15">
        <v>61.368209999999998</v>
      </c>
      <c r="IA15">
        <v>3.158954</v>
      </c>
      <c r="IB15">
        <v>104.3194</v>
      </c>
      <c r="IC15">
        <v>0.195747</v>
      </c>
      <c r="ID15">
        <v>4.1819470000000001</v>
      </c>
      <c r="IE15">
        <v>1.155896</v>
      </c>
      <c r="IF15">
        <v>3.1276250000000001</v>
      </c>
      <c r="IG15">
        <v>7.6158000000000003E-2</v>
      </c>
      <c r="IH15">
        <v>6.9547239999999997</v>
      </c>
      <c r="II15">
        <v>4.2513579999999997</v>
      </c>
      <c r="IJ15">
        <v>30.347370000000002</v>
      </c>
      <c r="IK15">
        <v>9.1224310000000006</v>
      </c>
      <c r="IL15">
        <v>0.57831699999999997</v>
      </c>
      <c r="IM15">
        <v>1.002947</v>
      </c>
      <c r="IN15">
        <v>2.2126410000000001</v>
      </c>
      <c r="IO15">
        <v>0.281725</v>
      </c>
      <c r="IP15">
        <v>4.2168609999999997</v>
      </c>
      <c r="IQ15">
        <v>4.5824290000000003</v>
      </c>
      <c r="IR15">
        <v>0.78939400000000004</v>
      </c>
      <c r="IS15">
        <v>1.6195569999999999</v>
      </c>
      <c r="IT15">
        <v>3.4993729999999998</v>
      </c>
      <c r="IU15">
        <v>3.6581990000000002</v>
      </c>
      <c r="IV15">
        <v>4.5402870000000002</v>
      </c>
      <c r="IW15">
        <v>5.3751600000000002</v>
      </c>
      <c r="IX15">
        <v>0.67887399999999998</v>
      </c>
      <c r="IY15">
        <v>5.3097029999999998</v>
      </c>
      <c r="IZ15">
        <v>1.56132</v>
      </c>
      <c r="JA15">
        <v>7.0890040000000001</v>
      </c>
      <c r="JB15">
        <v>0.347914</v>
      </c>
      <c r="JC15">
        <v>1.139778</v>
      </c>
      <c r="JD15">
        <v>0.85792400000000002</v>
      </c>
      <c r="JE15">
        <v>17.177959999999999</v>
      </c>
      <c r="JF15">
        <v>0.34430100000000002</v>
      </c>
      <c r="JG15">
        <v>1.8070040000000001</v>
      </c>
      <c r="JH15">
        <v>17.77571</v>
      </c>
      <c r="JI15">
        <v>5.9737470000000004</v>
      </c>
      <c r="JJ15">
        <v>21.093229999999998</v>
      </c>
      <c r="JK15">
        <v>39.793109999999999</v>
      </c>
      <c r="JL15">
        <v>4.1456270000000002</v>
      </c>
      <c r="JM15">
        <v>4.4933059999999996</v>
      </c>
      <c r="JN15">
        <v>0.78072799999999998</v>
      </c>
      <c r="JO15">
        <v>1.556972</v>
      </c>
      <c r="JP15">
        <v>3.3157459999999999</v>
      </c>
      <c r="JQ15">
        <v>3.540753</v>
      </c>
      <c r="JR15">
        <v>4.3226880000000003</v>
      </c>
      <c r="JS15">
        <v>5.3313839999999999</v>
      </c>
      <c r="JT15">
        <v>0.67632999999999999</v>
      </c>
      <c r="JU15">
        <v>4.456277</v>
      </c>
      <c r="JV15">
        <v>1.533569</v>
      </c>
      <c r="JW15">
        <v>6.8853580000000001</v>
      </c>
      <c r="JX15">
        <v>0.316832</v>
      </c>
      <c r="JY15">
        <v>1.142109</v>
      </c>
      <c r="JZ15">
        <v>0.85317200000000004</v>
      </c>
      <c r="KA15">
        <v>16.91132</v>
      </c>
      <c r="KB15">
        <v>0.32305899999999999</v>
      </c>
      <c r="KC15">
        <v>1.7380640000000001</v>
      </c>
      <c r="KD15">
        <v>17.70994</v>
      </c>
      <c r="KE15">
        <v>5.9098389999999998</v>
      </c>
      <c r="KF15">
        <v>20.161639999999998</v>
      </c>
      <c r="KG15">
        <v>39.358530000000002</v>
      </c>
      <c r="KH15">
        <v>3081.9430000000002</v>
      </c>
      <c r="KI15">
        <v>6411.5810000000001</v>
      </c>
      <c r="KJ15">
        <v>5845.8530000000001</v>
      </c>
      <c r="KK15">
        <v>4577.2830000000004</v>
      </c>
      <c r="KL15">
        <v>7305.29</v>
      </c>
      <c r="KM15">
        <v>2486.64</v>
      </c>
      <c r="KN15">
        <v>1937.42</v>
      </c>
      <c r="KO15">
        <v>0</v>
      </c>
      <c r="KP15">
        <v>30992.240000000002</v>
      </c>
      <c r="KQ15">
        <v>653.77179999999998</v>
      </c>
      <c r="KR15">
        <v>0</v>
      </c>
      <c r="KS15">
        <v>3521.0909999999999</v>
      </c>
      <c r="KT15">
        <v>6497.6570000000002</v>
      </c>
      <c r="KU15">
        <v>5920.8370000000004</v>
      </c>
      <c r="KV15">
        <v>4632.6019999999999</v>
      </c>
      <c r="KW15">
        <v>7272.2830000000004</v>
      </c>
      <c r="KX15">
        <v>2377.6579999999999</v>
      </c>
      <c r="KY15">
        <v>1381.502</v>
      </c>
      <c r="KZ15">
        <v>0</v>
      </c>
      <c r="LA15">
        <v>30523.74</v>
      </c>
      <c r="LB15">
        <v>1079.8900000000001</v>
      </c>
      <c r="LC15">
        <v>0</v>
      </c>
      <c r="LD15">
        <v>34386091</v>
      </c>
      <c r="LE15" s="21">
        <v>159000000</v>
      </c>
      <c r="LF15" s="21">
        <v>537000000</v>
      </c>
      <c r="LG15" s="21">
        <v>645000000</v>
      </c>
      <c r="LH15" s="21">
        <v>684000000</v>
      </c>
      <c r="LI15" s="21">
        <v>362000000</v>
      </c>
      <c r="LJ15" s="21">
        <v>145000000</v>
      </c>
      <c r="LK15" s="21">
        <v>1.9999999999999999E-6</v>
      </c>
      <c r="LL15" s="21">
        <v>3.7799999999999998E-6</v>
      </c>
      <c r="LM15" s="21">
        <v>6.9E-6</v>
      </c>
      <c r="LN15" s="21">
        <v>1.4100000000000001E-5</v>
      </c>
      <c r="LO15" s="21">
        <v>2.02E-5</v>
      </c>
      <c r="LP15" s="21">
        <v>2.8E-5</v>
      </c>
      <c r="LQ15" s="21">
        <v>4.0899999999999998E-5</v>
      </c>
      <c r="LR15">
        <v>34918461</v>
      </c>
      <c r="LS15" s="21">
        <v>160000000</v>
      </c>
      <c r="LT15" s="21">
        <v>538000000</v>
      </c>
      <c r="LU15" s="21">
        <v>645000000</v>
      </c>
      <c r="LV15" s="21">
        <v>683000000</v>
      </c>
      <c r="LW15" s="21">
        <v>361000000</v>
      </c>
      <c r="LX15" s="21">
        <v>145000000</v>
      </c>
      <c r="LY15" s="21">
        <v>2.08E-6</v>
      </c>
      <c r="LZ15" s="21">
        <v>3.9400000000000004E-6</v>
      </c>
      <c r="MA15" s="21">
        <v>7.2099999999999996E-6</v>
      </c>
      <c r="MB15" s="21">
        <v>1.4800000000000001E-5</v>
      </c>
      <c r="MC15" s="21">
        <v>2.1299999999999999E-5</v>
      </c>
      <c r="MD15" s="21">
        <v>2.97E-5</v>
      </c>
      <c r="ME15" s="21">
        <v>4.35E-5</v>
      </c>
      <c r="MF15">
        <v>0.21265000000000001</v>
      </c>
      <c r="MG15">
        <v>0.37088700000000002</v>
      </c>
      <c r="MH15">
        <v>0.191464</v>
      </c>
      <c r="MI15">
        <v>3.3536999999999997E-2</v>
      </c>
      <c r="MJ15">
        <v>2.1791000000000001E-2</v>
      </c>
      <c r="MK15">
        <v>2.3883999999999999E-2</v>
      </c>
      <c r="ML15">
        <v>0.145787</v>
      </c>
      <c r="MM15">
        <v>0.21840799999999999</v>
      </c>
      <c r="MN15">
        <v>0.37675999999999998</v>
      </c>
      <c r="MO15">
        <v>0.18822900000000001</v>
      </c>
      <c r="MP15">
        <v>2.5373E-2</v>
      </c>
      <c r="MQ15">
        <v>1.6917000000000001E-2</v>
      </c>
      <c r="MR15">
        <v>2.3484999999999999E-2</v>
      </c>
      <c r="MS15">
        <v>0.15082899999999999</v>
      </c>
      <c r="MT15">
        <v>0.28622399999999998</v>
      </c>
      <c r="MU15">
        <v>0.398648</v>
      </c>
      <c r="MV15">
        <v>0.21671299999999999</v>
      </c>
      <c r="MW15">
        <v>5.3855E-2</v>
      </c>
      <c r="MX15">
        <v>1.9956999999999999E-2</v>
      </c>
      <c r="MY15">
        <v>3.748E-3</v>
      </c>
      <c r="MZ15">
        <v>2.0854999999999999E-2</v>
      </c>
      <c r="NA15">
        <v>0.33430199999999999</v>
      </c>
      <c r="NB15">
        <v>0.44398100000000001</v>
      </c>
      <c r="NC15">
        <v>0.23896500000000001</v>
      </c>
      <c r="ND15">
        <v>5.7778999999999997E-2</v>
      </c>
      <c r="NE15">
        <v>1.6466000000000001E-2</v>
      </c>
      <c r="NF15">
        <v>-1.6760000000000001E-2</v>
      </c>
      <c r="NG15">
        <v>-7.4732999999999994E-2</v>
      </c>
      <c r="NH15">
        <v>4.6740000000000002E-3</v>
      </c>
      <c r="NI15">
        <v>4.6090000000000002E-3</v>
      </c>
      <c r="NJ15">
        <v>1.0315E-2</v>
      </c>
      <c r="NK15">
        <v>1.7239000000000001E-2</v>
      </c>
      <c r="NL15">
        <v>1.7684999999999999E-2</v>
      </c>
      <c r="NM15">
        <v>5.5620999999999997E-2</v>
      </c>
      <c r="NN15">
        <v>4.6740000000000002E-3</v>
      </c>
      <c r="NO15">
        <v>4.6090000000000002E-3</v>
      </c>
      <c r="NP15">
        <v>1.0315E-2</v>
      </c>
      <c r="NQ15">
        <v>1.7239000000000001E-2</v>
      </c>
      <c r="NR15">
        <v>1.7684999999999999E-2</v>
      </c>
      <c r="NS15">
        <v>5.5620999999999997E-2</v>
      </c>
      <c r="NT15">
        <v>5.365E-3</v>
      </c>
      <c r="NU15">
        <v>5.3420000000000004E-3</v>
      </c>
      <c r="NV15">
        <v>1.1308E-2</v>
      </c>
      <c r="NW15">
        <v>1.8936000000000001E-2</v>
      </c>
      <c r="NX15">
        <v>1.9911000000000002E-2</v>
      </c>
      <c r="NY15">
        <v>5.7844E-2</v>
      </c>
      <c r="NZ15">
        <v>5.365E-3</v>
      </c>
      <c r="OA15">
        <v>5.3420000000000004E-3</v>
      </c>
      <c r="OB15">
        <v>1.1308E-2</v>
      </c>
      <c r="OC15">
        <v>1.8936000000000001E-2</v>
      </c>
      <c r="OD15">
        <v>1.9911000000000002E-2</v>
      </c>
      <c r="OE15">
        <v>5.7844E-2</v>
      </c>
      <c r="OF15">
        <v>52.99785</v>
      </c>
      <c r="OG15">
        <v>37875.019999999997</v>
      </c>
      <c r="OH15">
        <v>17455.990000000002</v>
      </c>
      <c r="OI15">
        <v>9080.634</v>
      </c>
      <c r="OJ15">
        <v>47.500549999999997</v>
      </c>
      <c r="OK15">
        <v>36307.14</v>
      </c>
      <c r="OL15">
        <v>17448.16</v>
      </c>
      <c r="OM15">
        <v>8992.7520000000004</v>
      </c>
      <c r="ON15">
        <v>1274997</v>
      </c>
      <c r="OO15">
        <v>1278895</v>
      </c>
      <c r="OP15">
        <v>9542.7170000000006</v>
      </c>
      <c r="OQ15">
        <v>5003.6400000000003</v>
      </c>
      <c r="OR15">
        <v>4604.9040000000005</v>
      </c>
      <c r="OS15">
        <v>420.7056</v>
      </c>
      <c r="OT15">
        <v>1332.7570000000001</v>
      </c>
      <c r="OU15">
        <v>1051.8050000000001</v>
      </c>
      <c r="OV15">
        <v>264.86590000000001</v>
      </c>
      <c r="OW15">
        <v>1042.472</v>
      </c>
      <c r="OX15">
        <v>1129.55</v>
      </c>
      <c r="OY15">
        <v>904.46939999999995</v>
      </c>
      <c r="OZ15">
        <v>510.4443</v>
      </c>
      <c r="PA15">
        <v>16865.45</v>
      </c>
      <c r="PB15">
        <v>6075.4859999999999</v>
      </c>
      <c r="PC15">
        <v>1033.2819999999999</v>
      </c>
      <c r="PD15">
        <v>1830.145</v>
      </c>
      <c r="PE15">
        <v>5253.9179999999997</v>
      </c>
      <c r="PF15">
        <v>1168.9559999999999</v>
      </c>
      <c r="PG15">
        <v>2152.6570000000002</v>
      </c>
      <c r="PH15">
        <v>161080.6</v>
      </c>
      <c r="PI15">
        <v>70282.16</v>
      </c>
      <c r="PJ15">
        <v>1.6898230000000001</v>
      </c>
      <c r="PK15">
        <v>610.8261</v>
      </c>
      <c r="PL15">
        <v>110.5211</v>
      </c>
      <c r="PM15">
        <v>1331.8610000000001</v>
      </c>
      <c r="PN15">
        <v>458.41649999999998</v>
      </c>
      <c r="PO15">
        <v>152.9385</v>
      </c>
      <c r="PP15">
        <v>248.61850000000001</v>
      </c>
      <c r="PQ15">
        <v>494.25259999999997</v>
      </c>
      <c r="PR15">
        <v>93.197940000000003</v>
      </c>
      <c r="PS15">
        <v>566.45680000000004</v>
      </c>
      <c r="PT15">
        <v>1094.8330000000001</v>
      </c>
      <c r="PU15">
        <v>485.85989999999998</v>
      </c>
      <c r="PV15">
        <v>876.63059999999996</v>
      </c>
      <c r="PW15">
        <v>60.080860000000001</v>
      </c>
      <c r="PX15">
        <v>136.11969999999999</v>
      </c>
      <c r="PY15">
        <v>689.77210000000002</v>
      </c>
      <c r="PZ15">
        <v>141.7542</v>
      </c>
      <c r="QA15">
        <v>299104.8</v>
      </c>
      <c r="QB15">
        <v>6006.0140000000001</v>
      </c>
      <c r="QC15">
        <v>73077.36</v>
      </c>
      <c r="QD15">
        <v>7408.4989999999998</v>
      </c>
      <c r="QE15">
        <v>14684.38</v>
      </c>
      <c r="QF15">
        <v>8989.0079999999998</v>
      </c>
      <c r="QG15">
        <v>1804.144</v>
      </c>
      <c r="QH15">
        <v>1633.306</v>
      </c>
      <c r="QI15">
        <v>2542.5160000000001</v>
      </c>
      <c r="QJ15">
        <v>20504.189999999999</v>
      </c>
      <c r="QK15">
        <v>9618.0220000000008</v>
      </c>
      <c r="QL15">
        <v>5077.6589999999997</v>
      </c>
      <c r="QM15">
        <v>4602.9560000000001</v>
      </c>
      <c r="QN15">
        <v>425.48910000000001</v>
      </c>
      <c r="QO15">
        <v>1348.2739999999999</v>
      </c>
      <c r="QP15">
        <v>1058.9069999999999</v>
      </c>
      <c r="QQ15">
        <v>274.85390000000001</v>
      </c>
      <c r="QR15">
        <v>1045.6500000000001</v>
      </c>
      <c r="QS15">
        <v>1132.2180000000001</v>
      </c>
      <c r="QT15">
        <v>941.72860000000003</v>
      </c>
      <c r="QU15">
        <v>513.69159999999999</v>
      </c>
      <c r="QV15">
        <v>16968.46</v>
      </c>
      <c r="QW15">
        <v>6112.424</v>
      </c>
      <c r="QX15">
        <v>1042.7909999999999</v>
      </c>
      <c r="QY15">
        <v>1838.578</v>
      </c>
      <c r="QZ15">
        <v>5297.7359999999999</v>
      </c>
      <c r="RA15">
        <v>1158.712</v>
      </c>
      <c r="RB15">
        <v>2162.9839999999999</v>
      </c>
      <c r="RC15">
        <v>162237.6</v>
      </c>
      <c r="RD15">
        <v>70377.97</v>
      </c>
      <c r="RE15">
        <v>1.2839670000000001</v>
      </c>
      <c r="RF15">
        <v>588.73519999999996</v>
      </c>
      <c r="RG15">
        <v>168.113</v>
      </c>
      <c r="RH15">
        <v>1238</v>
      </c>
      <c r="RI15">
        <v>177.52510000000001</v>
      </c>
      <c r="RJ15">
        <v>164.09880000000001</v>
      </c>
      <c r="RK15">
        <v>125.6661</v>
      </c>
      <c r="RL15">
        <v>2097.6819999999998</v>
      </c>
      <c r="RM15">
        <v>49.523299999999999</v>
      </c>
      <c r="RN15">
        <v>749.05730000000005</v>
      </c>
      <c r="RO15">
        <v>1055.069</v>
      </c>
      <c r="RP15">
        <v>458.46030000000002</v>
      </c>
      <c r="RQ15">
        <v>852.35820000000001</v>
      </c>
      <c r="RR15">
        <v>63.688650000000003</v>
      </c>
      <c r="RS15">
        <v>160.0735</v>
      </c>
      <c r="RT15">
        <v>1021.169</v>
      </c>
      <c r="RU15">
        <v>111.426</v>
      </c>
      <c r="RV15">
        <v>302318.59999999998</v>
      </c>
      <c r="RW15">
        <v>6545.9949999999999</v>
      </c>
      <c r="RX15">
        <v>72721.89</v>
      </c>
      <c r="RY15">
        <v>9878.3639999999996</v>
      </c>
      <c r="RZ15">
        <v>15635.78</v>
      </c>
      <c r="SA15">
        <v>10079.18</v>
      </c>
      <c r="SB15">
        <v>2870.03</v>
      </c>
      <c r="SC15">
        <v>1481.835</v>
      </c>
      <c r="SD15">
        <v>395.2867</v>
      </c>
      <c r="SE15">
        <v>2905.6979999999999</v>
      </c>
      <c r="SF15">
        <v>35161.85</v>
      </c>
      <c r="SG15">
        <v>52.99785</v>
      </c>
      <c r="SH15">
        <v>8769.4240000000009</v>
      </c>
      <c r="SI15">
        <v>17258.79</v>
      </c>
      <c r="SJ15">
        <v>9080.634</v>
      </c>
      <c r="SK15">
        <v>34789.800000000003</v>
      </c>
      <c r="SL15">
        <v>47.500549999999997</v>
      </c>
      <c r="SM15">
        <v>8626.9660000000003</v>
      </c>
      <c r="SN15">
        <v>17122.580000000002</v>
      </c>
      <c r="SO15">
        <v>8992.7520000000004</v>
      </c>
      <c r="SP15">
        <v>105764.7</v>
      </c>
      <c r="SQ15">
        <v>85280.35</v>
      </c>
      <c r="SR15">
        <v>107373.2</v>
      </c>
      <c r="SS15">
        <v>73274.67</v>
      </c>
      <c r="ST15">
        <v>39.793109999999999</v>
      </c>
      <c r="SU15">
        <v>0.31920700000000002</v>
      </c>
      <c r="SV15">
        <v>6.3116690000000002</v>
      </c>
      <c r="SW15">
        <v>12.322380000000001</v>
      </c>
      <c r="SX15">
        <v>20.839860000000002</v>
      </c>
      <c r="SY15">
        <v>39.358530000000002</v>
      </c>
      <c r="SZ15">
        <v>0.28609699999999999</v>
      </c>
      <c r="TA15">
        <v>6.2091370000000001</v>
      </c>
      <c r="TB15">
        <v>12.22513</v>
      </c>
      <c r="TC15">
        <v>20.638169999999999</v>
      </c>
      <c r="TD15">
        <v>24828.87</v>
      </c>
      <c r="TE15">
        <v>810.96280000000002</v>
      </c>
      <c r="TF15">
        <v>473.2894</v>
      </c>
      <c r="TG15">
        <v>218.83199999999999</v>
      </c>
      <c r="TH15">
        <v>49.922350000000002</v>
      </c>
      <c r="TI15">
        <v>102.9104</v>
      </c>
      <c r="TJ15">
        <v>84.301689999999994</v>
      </c>
      <c r="TK15">
        <v>25.955449999999999</v>
      </c>
      <c r="TL15">
        <v>30.931889999999999</v>
      </c>
      <c r="TM15">
        <v>164.9325</v>
      </c>
      <c r="TN15">
        <v>41.08314</v>
      </c>
      <c r="TO15">
        <v>26.37322</v>
      </c>
      <c r="TP15">
        <v>2000.5160000000001</v>
      </c>
      <c r="TQ15">
        <v>1956.8230000000001</v>
      </c>
      <c r="TR15">
        <v>99.055120000000002</v>
      </c>
      <c r="TS15">
        <v>177.54089999999999</v>
      </c>
      <c r="TT15">
        <v>412.2944</v>
      </c>
      <c r="TU15">
        <v>42.477089999999997</v>
      </c>
      <c r="TV15">
        <v>73.888469999999998</v>
      </c>
      <c r="TW15">
        <v>11702.21</v>
      </c>
      <c r="TX15">
        <v>6202.9189999999999</v>
      </c>
      <c r="TY15">
        <v>0.52363999999999999</v>
      </c>
      <c r="TZ15">
        <v>11.36848</v>
      </c>
      <c r="UA15">
        <v>6.3478849999999998</v>
      </c>
      <c r="UB15">
        <v>61.029530000000001</v>
      </c>
      <c r="UC15">
        <v>0.735406</v>
      </c>
      <c r="UD15">
        <v>2.470526</v>
      </c>
      <c r="UE15">
        <v>4.4853129999999997</v>
      </c>
      <c r="UF15">
        <v>1.732021</v>
      </c>
      <c r="UG15">
        <v>0.814863</v>
      </c>
      <c r="UH15">
        <v>10.791790000000001</v>
      </c>
      <c r="UI15">
        <v>5.527628</v>
      </c>
      <c r="UJ15">
        <v>16.239940000000001</v>
      </c>
      <c r="UK15">
        <v>6.2346139999999997</v>
      </c>
      <c r="UL15">
        <v>0.49197800000000003</v>
      </c>
      <c r="UM15">
        <v>0.52582099999999998</v>
      </c>
      <c r="UN15">
        <v>1.943049</v>
      </c>
      <c r="UO15">
        <v>0.38924199999999998</v>
      </c>
      <c r="UP15">
        <v>24934.25</v>
      </c>
      <c r="UQ15">
        <v>813.77760000000001</v>
      </c>
      <c r="UR15">
        <v>477.0752</v>
      </c>
      <c r="US15">
        <v>218.74690000000001</v>
      </c>
      <c r="UT15">
        <v>50.369759999999999</v>
      </c>
      <c r="UU15">
        <v>103.9717</v>
      </c>
      <c r="UV15">
        <v>85.137069999999994</v>
      </c>
      <c r="UW15">
        <v>26.108640000000001</v>
      </c>
      <c r="UX15">
        <v>31.086690000000001</v>
      </c>
      <c r="UY15">
        <v>166.43170000000001</v>
      </c>
      <c r="UZ15">
        <v>41.467779999999998</v>
      </c>
      <c r="VA15">
        <v>26.393979999999999</v>
      </c>
      <c r="VB15">
        <v>2007.99</v>
      </c>
      <c r="VC15">
        <v>1966.0840000000001</v>
      </c>
      <c r="VD15">
        <v>99.751180000000005</v>
      </c>
      <c r="VE15">
        <v>178.05260000000001</v>
      </c>
      <c r="VF15">
        <v>413.67630000000003</v>
      </c>
      <c r="VG15">
        <v>41.977029999999999</v>
      </c>
      <c r="VH15">
        <v>74.438950000000006</v>
      </c>
      <c r="VI15">
        <v>11767.71</v>
      </c>
      <c r="VJ15">
        <v>6208.576</v>
      </c>
      <c r="VK15">
        <v>0.395152</v>
      </c>
      <c r="VL15">
        <v>11.031879999999999</v>
      </c>
      <c r="VM15">
        <v>9.3643680000000007</v>
      </c>
      <c r="VN15">
        <v>57.337789999999998</v>
      </c>
      <c r="VO15">
        <v>0.33138400000000001</v>
      </c>
      <c r="VP15">
        <v>2.6337820000000001</v>
      </c>
      <c r="VQ15">
        <v>2.5316260000000002</v>
      </c>
      <c r="VR15">
        <v>6.1915100000000001</v>
      </c>
      <c r="VS15">
        <v>0.44569700000000001</v>
      </c>
      <c r="VT15">
        <v>13.782550000000001</v>
      </c>
      <c r="VU15">
        <v>5.4887730000000001</v>
      </c>
      <c r="VV15">
        <v>15.47894</v>
      </c>
      <c r="VW15">
        <v>6.1435560000000002</v>
      </c>
      <c r="VX15">
        <v>0.52771100000000004</v>
      </c>
      <c r="VY15">
        <v>0.61371299999999995</v>
      </c>
      <c r="VZ15">
        <v>2.8088380000000002</v>
      </c>
      <c r="WA15">
        <v>0.318189</v>
      </c>
      <c r="WB15">
        <v>0.10757700000000001</v>
      </c>
      <c r="WC15">
        <v>0.10333299999999999</v>
      </c>
      <c r="WD15">
        <v>-1.2148000000000001E-2</v>
      </c>
      <c r="WE15">
        <v>-1.2239999999999999E-2</v>
      </c>
      <c r="WF15">
        <v>0.65050399999999997</v>
      </c>
      <c r="WG15">
        <v>0.63754100000000002</v>
      </c>
      <c r="WH15">
        <v>-2.3318999999999999E-2</v>
      </c>
      <c r="WI15">
        <v>-2.0160999999999998E-2</v>
      </c>
      <c r="WJ15">
        <v>2030605</v>
      </c>
      <c r="WK15">
        <v>2045895</v>
      </c>
    </row>
    <row r="16" spans="1:609" ht="14.45" x14ac:dyDescent="0.35">
      <c r="A16">
        <v>2017</v>
      </c>
      <c r="B16">
        <v>0.93302600000000002</v>
      </c>
      <c r="C16">
        <v>115.28100000000001</v>
      </c>
      <c r="D16">
        <v>1.4033659999999999</v>
      </c>
      <c r="E16">
        <v>1.427581</v>
      </c>
      <c r="F16">
        <v>-0.15287400000000001</v>
      </c>
      <c r="G16">
        <v>0.316689</v>
      </c>
      <c r="H16">
        <v>-0.63142600000000004</v>
      </c>
      <c r="I16">
        <v>0.61779700000000004</v>
      </c>
      <c r="J16">
        <v>0.82782</v>
      </c>
      <c r="K16">
        <v>-9.0958999999999998E-2</v>
      </c>
      <c r="L16">
        <v>0.91961499999999996</v>
      </c>
      <c r="M16">
        <v>0.26439600000000002</v>
      </c>
      <c r="N16">
        <v>0</v>
      </c>
      <c r="O16">
        <v>-1.968175</v>
      </c>
      <c r="P16">
        <v>-0.43343500000000001</v>
      </c>
      <c r="Q16">
        <v>-11.423170000000001</v>
      </c>
      <c r="R16">
        <v>84.257530000000003</v>
      </c>
      <c r="S16">
        <v>36.801099999999998</v>
      </c>
      <c r="T16">
        <v>39.585239999999999</v>
      </c>
      <c r="U16">
        <v>36.801099999999998</v>
      </c>
      <c r="V16">
        <v>38.557600000000001</v>
      </c>
      <c r="W16">
        <v>0.62115900000000002</v>
      </c>
      <c r="X16">
        <v>12942.79</v>
      </c>
      <c r="Y16">
        <v>0.13202700000000001</v>
      </c>
      <c r="Z16">
        <v>0.399283</v>
      </c>
      <c r="AA16">
        <v>-0.404358</v>
      </c>
      <c r="AB16">
        <v>-0.28812199999999999</v>
      </c>
      <c r="AC16">
        <v>4.3327999999999998E-2</v>
      </c>
      <c r="AD16">
        <v>10302.89</v>
      </c>
      <c r="AE16">
        <v>7644.1469999999999</v>
      </c>
      <c r="AF16">
        <v>17670.91</v>
      </c>
      <c r="AG16">
        <v>-2968.9090000000001</v>
      </c>
      <c r="AH16">
        <v>21116.7</v>
      </c>
      <c r="AI16">
        <v>-8.4259999999999995E-3</v>
      </c>
      <c r="AJ16">
        <v>45.52807</v>
      </c>
      <c r="AK16">
        <v>162.2336</v>
      </c>
      <c r="AL16">
        <v>47.62191</v>
      </c>
      <c r="AM16">
        <v>37.105440000000002</v>
      </c>
      <c r="AN16">
        <v>132.22059999999999</v>
      </c>
      <c r="AO16">
        <v>38.811920000000001</v>
      </c>
      <c r="AP16">
        <v>135.1131</v>
      </c>
      <c r="AQ16">
        <v>110.1173</v>
      </c>
      <c r="AR16">
        <v>253.79750000000001</v>
      </c>
      <c r="AS16">
        <v>331.55759999999998</v>
      </c>
      <c r="AT16">
        <v>462.12990000000002</v>
      </c>
      <c r="AU16">
        <v>109.7122</v>
      </c>
      <c r="AV16">
        <v>83.226619999999997</v>
      </c>
      <c r="AW16">
        <v>0.93022300000000002</v>
      </c>
      <c r="AX16">
        <v>0.97651399999999999</v>
      </c>
      <c r="AY16">
        <v>1.660704</v>
      </c>
      <c r="AZ16">
        <v>1.0033E-2</v>
      </c>
      <c r="BA16">
        <v>1.933012</v>
      </c>
      <c r="BB16">
        <v>2.0402339999999999</v>
      </c>
      <c r="BC16">
        <v>1.8273159999999999</v>
      </c>
      <c r="BD16">
        <v>4.6514980000000001</v>
      </c>
      <c r="BE16">
        <v>0.60730099999999998</v>
      </c>
      <c r="BF16">
        <v>1.4938009999999999</v>
      </c>
      <c r="BG16">
        <v>3.2313200000000002</v>
      </c>
      <c r="BH16">
        <v>0.45852599999999999</v>
      </c>
      <c r="BI16">
        <v>0.70328500000000005</v>
      </c>
      <c r="BJ16">
        <v>1.0525</v>
      </c>
      <c r="BK16">
        <v>1.44472</v>
      </c>
      <c r="BL16">
        <v>0.56615300000000002</v>
      </c>
      <c r="BM16">
        <v>0.92016200000000004</v>
      </c>
      <c r="BN16">
        <v>-1.7413320000000001</v>
      </c>
      <c r="BO16">
        <v>1.4834130000000001</v>
      </c>
      <c r="BP16">
        <v>1.034</v>
      </c>
      <c r="BQ16">
        <v>0.186807</v>
      </c>
      <c r="BR16">
        <v>-33.905790000000003</v>
      </c>
      <c r="BS16">
        <v>-4.5248059999999999</v>
      </c>
      <c r="BT16">
        <v>83.105180000000004</v>
      </c>
      <c r="BU16">
        <v>-8.1364710000000002</v>
      </c>
      <c r="BV16">
        <v>-59.826560000000001</v>
      </c>
      <c r="BW16">
        <v>5.4707410000000003</v>
      </c>
      <c r="BX16">
        <v>-61.065170000000002</v>
      </c>
      <c r="BY16">
        <v>367.68970000000002</v>
      </c>
      <c r="BZ16">
        <v>38.301380000000002</v>
      </c>
      <c r="CA16">
        <v>35.261800000000001</v>
      </c>
      <c r="CB16">
        <v>-21.838650000000001</v>
      </c>
      <c r="CC16">
        <v>-9.100403</v>
      </c>
      <c r="CD16">
        <v>-3.0836139999999999</v>
      </c>
      <c r="CE16">
        <v>0.46747300000000003</v>
      </c>
      <c r="CF16">
        <v>12.25947</v>
      </c>
      <c r="CG16">
        <v>35.120840000000001</v>
      </c>
      <c r="CH16">
        <v>-12.86576</v>
      </c>
      <c r="CI16">
        <v>1.1589419999999999</v>
      </c>
      <c r="CJ16">
        <v>2.1188150000000001</v>
      </c>
      <c r="CK16">
        <v>-1.5306999999999999E-2</v>
      </c>
      <c r="CL16">
        <v>1.7315590000000001</v>
      </c>
      <c r="CM16">
        <v>1.8189109999999999</v>
      </c>
      <c r="CN16">
        <v>1.0168349999999999</v>
      </c>
      <c r="CO16">
        <v>5.5171349999999997</v>
      </c>
      <c r="CP16">
        <v>0.37498300000000001</v>
      </c>
      <c r="CQ16">
        <v>0.36612099999999997</v>
      </c>
      <c r="CR16">
        <v>5.8925080000000003</v>
      </c>
      <c r="CS16">
        <v>0.97823499999999997</v>
      </c>
      <c r="CT16">
        <v>0.86839200000000005</v>
      </c>
      <c r="CU16">
        <v>0.98205799999999999</v>
      </c>
      <c r="CV16">
        <v>1.357378</v>
      </c>
      <c r="CW16">
        <v>0.67388099999999995</v>
      </c>
      <c r="CX16">
        <v>1.247004</v>
      </c>
      <c r="CY16">
        <v>-1.209414</v>
      </c>
      <c r="CZ16">
        <v>0.81681199999999998</v>
      </c>
      <c r="DA16">
        <v>1.0242100000000001</v>
      </c>
      <c r="DB16">
        <v>0.21006</v>
      </c>
      <c r="DC16">
        <v>-30.39546</v>
      </c>
      <c r="DD16">
        <v>-4.3507300000000004</v>
      </c>
      <c r="DE16">
        <v>48.018189999999997</v>
      </c>
      <c r="DF16">
        <v>-8.3079520000000002</v>
      </c>
      <c r="DG16">
        <v>-70.662649999999999</v>
      </c>
      <c r="DH16">
        <v>7.0882160000000001</v>
      </c>
      <c r="DI16">
        <v>-60.365099999999998</v>
      </c>
      <c r="DJ16">
        <v>423.05630000000002</v>
      </c>
      <c r="DK16">
        <v>-9.899699</v>
      </c>
      <c r="DL16">
        <v>38.445459999999997</v>
      </c>
      <c r="DM16">
        <v>-16.28004</v>
      </c>
      <c r="DN16">
        <v>-6.8053600000000003</v>
      </c>
      <c r="DO16">
        <v>-3.4252090000000002</v>
      </c>
      <c r="DP16">
        <v>2.9584609999999998</v>
      </c>
      <c r="DQ16">
        <v>16.25225</v>
      </c>
      <c r="DR16">
        <v>44.58567</v>
      </c>
      <c r="DS16">
        <v>-17.965209999999999</v>
      </c>
      <c r="DT16">
        <v>1.9802E-2</v>
      </c>
      <c r="DU16">
        <v>1.8843700000000001</v>
      </c>
      <c r="DV16">
        <v>-0.56243900000000002</v>
      </c>
      <c r="DW16">
        <v>2.4322460000000001</v>
      </c>
      <c r="DX16">
        <v>2.2072989999999999</v>
      </c>
      <c r="DY16">
        <v>2.2336719999999999</v>
      </c>
      <c r="DZ16">
        <v>1.478019</v>
      </c>
      <c r="EA16">
        <v>1.885529</v>
      </c>
      <c r="EB16">
        <v>2.6331639999999998</v>
      </c>
      <c r="EC16">
        <v>0</v>
      </c>
      <c r="ED16">
        <v>1.996057</v>
      </c>
      <c r="EE16">
        <v>1.9887790000000001</v>
      </c>
      <c r="EF16">
        <v>1.2717050000000001</v>
      </c>
      <c r="EG16">
        <v>0.28773900000000002</v>
      </c>
      <c r="EH16">
        <v>0.52058000000000004</v>
      </c>
      <c r="EI16">
        <v>1.173367</v>
      </c>
      <c r="EJ16">
        <v>1.4255599999999999</v>
      </c>
      <c r="EK16">
        <v>-1.0027569999999999</v>
      </c>
      <c r="EL16">
        <v>1.979503</v>
      </c>
      <c r="EM16">
        <v>2.0322870000000002</v>
      </c>
      <c r="EN16">
        <v>-11.23973</v>
      </c>
      <c r="EO16">
        <v>-5.7131059999999998</v>
      </c>
      <c r="EP16">
        <v>-0.18188399999999999</v>
      </c>
      <c r="EQ16">
        <v>-1.2025410000000001</v>
      </c>
      <c r="ER16">
        <v>6.739293</v>
      </c>
      <c r="ES16">
        <v>75.284909999999996</v>
      </c>
      <c r="ET16">
        <v>2.2176879999999999</v>
      </c>
      <c r="EU16">
        <v>31.585809999999999</v>
      </c>
      <c r="EV16">
        <v>0.505413</v>
      </c>
      <c r="EW16">
        <v>1.846508</v>
      </c>
      <c r="EX16">
        <v>2.3319040000000002</v>
      </c>
      <c r="EY16">
        <v>0.73628300000000002</v>
      </c>
      <c r="EZ16">
        <v>9.758E-2</v>
      </c>
      <c r="FA16">
        <v>4.9765629999999996</v>
      </c>
      <c r="FB16">
        <v>1.5967579999999999</v>
      </c>
      <c r="FC16">
        <v>33.528289999999998</v>
      </c>
      <c r="FD16">
        <v>9.1759509999999995</v>
      </c>
      <c r="FE16">
        <v>0.55419099999999999</v>
      </c>
      <c r="FF16">
        <v>0.85399899999999995</v>
      </c>
      <c r="FG16">
        <v>1.535382</v>
      </c>
      <c r="FH16">
        <v>0.34523399999999999</v>
      </c>
      <c r="FI16">
        <v>5.3514710000000001</v>
      </c>
      <c r="FJ16">
        <v>71.946650000000005</v>
      </c>
      <c r="FK16">
        <v>3.0343119999999999</v>
      </c>
      <c r="FL16">
        <v>29.028839999999999</v>
      </c>
      <c r="FM16">
        <v>0.15364700000000001</v>
      </c>
      <c r="FN16">
        <v>1.949525</v>
      </c>
      <c r="FO16">
        <v>0.926929</v>
      </c>
      <c r="FP16">
        <v>3.4308100000000001</v>
      </c>
      <c r="FQ16">
        <v>0.130133</v>
      </c>
      <c r="FR16">
        <v>6.7192600000000002</v>
      </c>
      <c r="FS16">
        <v>1.253981</v>
      </c>
      <c r="FT16">
        <v>31.76371</v>
      </c>
      <c r="FU16">
        <v>9.0043530000000001</v>
      </c>
      <c r="FV16">
        <v>0.56459800000000004</v>
      </c>
      <c r="FW16">
        <v>0.97538800000000003</v>
      </c>
      <c r="FX16">
        <v>2.1105520000000002</v>
      </c>
      <c r="FY16">
        <v>0.30324699999999999</v>
      </c>
      <c r="FZ16">
        <v>4.8627760000000002</v>
      </c>
      <c r="GA16">
        <v>60.561369999999997</v>
      </c>
      <c r="GB16">
        <v>2.2176879999999999</v>
      </c>
      <c r="GC16">
        <v>27.64453</v>
      </c>
      <c r="GD16">
        <v>0.44234699999999999</v>
      </c>
      <c r="GE16">
        <v>1.6161000000000001</v>
      </c>
      <c r="GF16">
        <v>2.0409290000000002</v>
      </c>
      <c r="GG16">
        <v>0.64440900000000001</v>
      </c>
      <c r="GH16">
        <v>8.5403999999999994E-2</v>
      </c>
      <c r="GI16">
        <v>4.3555869999999999</v>
      </c>
      <c r="GJ16">
        <v>1.3975139999999999</v>
      </c>
      <c r="GK16">
        <v>31.78471</v>
      </c>
      <c r="GL16">
        <v>9.1759509999999995</v>
      </c>
      <c r="GM16">
        <v>0.55419099999999999</v>
      </c>
      <c r="GN16">
        <v>0.85399899999999995</v>
      </c>
      <c r="GO16">
        <v>1.535382</v>
      </c>
      <c r="GP16">
        <v>0.34523399999999999</v>
      </c>
      <c r="GQ16">
        <v>3.4781960000000001</v>
      </c>
      <c r="GR16">
        <v>57.237310000000001</v>
      </c>
      <c r="GS16">
        <v>3.0343119999999999</v>
      </c>
      <c r="GT16">
        <v>25.399660000000001</v>
      </c>
      <c r="GU16">
        <v>0.134438</v>
      </c>
      <c r="GV16">
        <v>1.7057960000000001</v>
      </c>
      <c r="GW16">
        <v>0.81104500000000002</v>
      </c>
      <c r="GX16">
        <v>3.0018910000000001</v>
      </c>
      <c r="GY16">
        <v>0.11386300000000001</v>
      </c>
      <c r="GZ16">
        <v>5.8792200000000001</v>
      </c>
      <c r="HA16">
        <v>1.0972090000000001</v>
      </c>
      <c r="HB16">
        <v>30.021809999999999</v>
      </c>
      <c r="HC16">
        <v>9.0043530000000001</v>
      </c>
      <c r="HD16">
        <v>0.56459800000000004</v>
      </c>
      <c r="HE16">
        <v>0.97538800000000003</v>
      </c>
      <c r="HF16">
        <v>2.1105520000000002</v>
      </c>
      <c r="HG16">
        <v>0.30324699999999999</v>
      </c>
      <c r="HH16">
        <v>4.9504809999999999</v>
      </c>
      <c r="HI16">
        <v>65.094009999999997</v>
      </c>
      <c r="HJ16">
        <v>2.2176879999999999</v>
      </c>
      <c r="HK16">
        <v>114.02670000000001</v>
      </c>
      <c r="HL16">
        <v>1.091699</v>
      </c>
      <c r="HM16">
        <v>3.988486</v>
      </c>
      <c r="HN16">
        <v>5.03695</v>
      </c>
      <c r="HO16">
        <v>0.79597600000000002</v>
      </c>
      <c r="HP16">
        <v>0.105491</v>
      </c>
      <c r="HQ16">
        <v>5.3800340000000002</v>
      </c>
      <c r="HR16">
        <v>4.6671709999999997</v>
      </c>
      <c r="HS16">
        <v>32.003100000000003</v>
      </c>
      <c r="HT16">
        <v>9.3131880000000002</v>
      </c>
      <c r="HU16">
        <v>0.56247999999999998</v>
      </c>
      <c r="HV16">
        <v>0.86677199999999999</v>
      </c>
      <c r="HW16">
        <v>1.5583450000000001</v>
      </c>
      <c r="HX16">
        <v>0.35039700000000001</v>
      </c>
      <c r="HY16">
        <v>3.52298</v>
      </c>
      <c r="HZ16">
        <v>61.134779999999999</v>
      </c>
      <c r="IA16">
        <v>3.0343119999999999</v>
      </c>
      <c r="IB16">
        <v>102.76349999999999</v>
      </c>
      <c r="IC16">
        <v>0.15364700000000001</v>
      </c>
      <c r="ID16">
        <v>4.1680799999999998</v>
      </c>
      <c r="IE16">
        <v>0.926929</v>
      </c>
      <c r="IF16">
        <v>3.6875140000000002</v>
      </c>
      <c r="IG16">
        <v>0.13986999999999999</v>
      </c>
      <c r="IH16">
        <v>7.2220170000000001</v>
      </c>
      <c r="II16">
        <v>3.7173829999999999</v>
      </c>
      <c r="IJ16">
        <v>30.267859999999999</v>
      </c>
      <c r="IK16">
        <v>9.1723049999999997</v>
      </c>
      <c r="IL16">
        <v>0.57321500000000003</v>
      </c>
      <c r="IM16">
        <v>0.99563100000000004</v>
      </c>
      <c r="IN16">
        <v>2.1540629999999998</v>
      </c>
      <c r="IO16">
        <v>0.30807299999999999</v>
      </c>
      <c r="IP16">
        <v>4.2753690000000004</v>
      </c>
      <c r="IQ16">
        <v>4.6603260000000004</v>
      </c>
      <c r="IR16">
        <v>0.77937199999999995</v>
      </c>
      <c r="IS16">
        <v>1.643305</v>
      </c>
      <c r="IT16">
        <v>3.5526</v>
      </c>
      <c r="IU16">
        <v>3.7178529999999999</v>
      </c>
      <c r="IV16">
        <v>4.6059130000000001</v>
      </c>
      <c r="IW16">
        <v>5.4977450000000001</v>
      </c>
      <c r="IX16">
        <v>0.69091400000000003</v>
      </c>
      <c r="IY16">
        <v>5.417465</v>
      </c>
      <c r="IZ16">
        <v>1.583593</v>
      </c>
      <c r="JA16">
        <v>7.204923</v>
      </c>
      <c r="JB16">
        <v>0.35263800000000001</v>
      </c>
      <c r="JC16">
        <v>1.159451</v>
      </c>
      <c r="JD16">
        <v>0.85913200000000001</v>
      </c>
      <c r="JE16">
        <v>17.408010000000001</v>
      </c>
      <c r="JF16">
        <v>0.34875299999999998</v>
      </c>
      <c r="JG16">
        <v>1.824532</v>
      </c>
      <c r="JH16">
        <v>17.960709999999999</v>
      </c>
      <c r="JI16">
        <v>6.0221600000000004</v>
      </c>
      <c r="JJ16">
        <v>21.02976</v>
      </c>
      <c r="JK16">
        <v>39.523600000000002</v>
      </c>
      <c r="JL16">
        <v>4.1647360000000004</v>
      </c>
      <c r="JM16">
        <v>4.5233990000000004</v>
      </c>
      <c r="JN16">
        <v>0.76645099999999999</v>
      </c>
      <c r="JO16">
        <v>1.555032</v>
      </c>
      <c r="JP16">
        <v>3.3060260000000001</v>
      </c>
      <c r="JQ16">
        <v>3.5540419999999999</v>
      </c>
      <c r="JR16">
        <v>4.3063060000000002</v>
      </c>
      <c r="JS16">
        <v>5.4274620000000002</v>
      </c>
      <c r="JT16">
        <v>0.686496</v>
      </c>
      <c r="JU16">
        <v>4.3110900000000001</v>
      </c>
      <c r="JV16">
        <v>1.537479</v>
      </c>
      <c r="JW16">
        <v>6.914695</v>
      </c>
      <c r="JX16">
        <v>0.31093399999999999</v>
      </c>
      <c r="JY16">
        <v>1.1586419999999999</v>
      </c>
      <c r="JZ16">
        <v>0.852298</v>
      </c>
      <c r="KA16">
        <v>17.010649999999998</v>
      </c>
      <c r="KB16">
        <v>0.31857600000000003</v>
      </c>
      <c r="KC16">
        <v>1.725406</v>
      </c>
      <c r="KD16">
        <v>17.822209999999998</v>
      </c>
      <c r="KE16">
        <v>5.9180270000000004</v>
      </c>
      <c r="KF16">
        <v>19.733720000000002</v>
      </c>
      <c r="KG16">
        <v>38.969209999999997</v>
      </c>
      <c r="KH16">
        <v>3424.6170000000002</v>
      </c>
      <c r="KI16">
        <v>6887.1549999999997</v>
      </c>
      <c r="KJ16">
        <v>5893.5460000000003</v>
      </c>
      <c r="KK16">
        <v>4310.6890000000003</v>
      </c>
      <c r="KL16">
        <v>6792.6509999999998</v>
      </c>
      <c r="KM16">
        <v>2342.75</v>
      </c>
      <c r="KN16">
        <v>2091.221</v>
      </c>
      <c r="KO16">
        <v>0</v>
      </c>
      <c r="KP16">
        <v>30963.279999999999</v>
      </c>
      <c r="KQ16">
        <v>779.35080000000005</v>
      </c>
      <c r="KR16">
        <v>0</v>
      </c>
      <c r="KS16">
        <v>4007.5630000000001</v>
      </c>
      <c r="KT16">
        <v>6995.2129999999997</v>
      </c>
      <c r="KU16">
        <v>6010.2120000000004</v>
      </c>
      <c r="KV16">
        <v>4417.4809999999998</v>
      </c>
      <c r="KW16">
        <v>6755.2569999999996</v>
      </c>
      <c r="KX16">
        <v>2199.473</v>
      </c>
      <c r="KY16">
        <v>1301.4480000000001</v>
      </c>
      <c r="KZ16">
        <v>0</v>
      </c>
      <c r="LA16">
        <v>30359.46</v>
      </c>
      <c r="LB16">
        <v>1327.19</v>
      </c>
      <c r="LC16">
        <v>0</v>
      </c>
      <c r="LD16">
        <v>38376868</v>
      </c>
      <c r="LE16" s="21">
        <v>170000000</v>
      </c>
      <c r="LF16" s="21">
        <v>556000000</v>
      </c>
      <c r="LG16" s="21">
        <v>644000000</v>
      </c>
      <c r="LH16" s="21">
        <v>675000000</v>
      </c>
      <c r="LI16" s="21">
        <v>357000000</v>
      </c>
      <c r="LJ16" s="21">
        <v>144000000</v>
      </c>
      <c r="LK16" s="21">
        <v>2.0499999999999999E-6</v>
      </c>
      <c r="LL16" s="21">
        <v>3.8700000000000002E-6</v>
      </c>
      <c r="LM16" s="21">
        <v>7.0700000000000001E-6</v>
      </c>
      <c r="LN16" s="21">
        <v>1.45E-5</v>
      </c>
      <c r="LO16" s="21">
        <v>2.0699999999999998E-5</v>
      </c>
      <c r="LP16" s="21">
        <v>2.87E-5</v>
      </c>
      <c r="LQ16" s="21">
        <v>4.1999999999999998E-5</v>
      </c>
      <c r="LR16">
        <v>39831873</v>
      </c>
      <c r="LS16" s="21">
        <v>172000000</v>
      </c>
      <c r="LT16" s="21">
        <v>558000000</v>
      </c>
      <c r="LU16" s="21">
        <v>643000000</v>
      </c>
      <c r="LV16" s="21">
        <v>673000000</v>
      </c>
      <c r="LW16" s="21">
        <v>355000000</v>
      </c>
      <c r="LX16" s="21">
        <v>143000000</v>
      </c>
      <c r="LY16" s="21">
        <v>2.1600000000000001E-6</v>
      </c>
      <c r="LZ16" s="21">
        <v>4.0799999999999999E-6</v>
      </c>
      <c r="MA16" s="21">
        <v>7.4699999999999996E-6</v>
      </c>
      <c r="MB16" s="21">
        <v>1.5299999999999999E-5</v>
      </c>
      <c r="MC16" s="21">
        <v>2.2099999999999998E-5</v>
      </c>
      <c r="MD16" s="21">
        <v>3.0800000000000003E-5</v>
      </c>
      <c r="ME16" s="21">
        <v>4.5000000000000003E-5</v>
      </c>
      <c r="MF16">
        <v>0.22906499999999999</v>
      </c>
      <c r="MG16">
        <v>0.382774</v>
      </c>
      <c r="MH16">
        <v>0.196519</v>
      </c>
      <c r="MI16">
        <v>3.3784000000000002E-2</v>
      </c>
      <c r="MJ16">
        <v>1.9481999999999999E-2</v>
      </c>
      <c r="MK16">
        <v>1.8724000000000001E-2</v>
      </c>
      <c r="ML16">
        <v>0.119653</v>
      </c>
      <c r="MM16">
        <v>0.245479</v>
      </c>
      <c r="MN16">
        <v>0.39466000000000001</v>
      </c>
      <c r="MO16">
        <v>0.201573</v>
      </c>
      <c r="MP16">
        <v>3.4030999999999999E-2</v>
      </c>
      <c r="MQ16">
        <v>1.7173000000000001E-2</v>
      </c>
      <c r="MR16">
        <v>1.3564E-2</v>
      </c>
      <c r="MS16">
        <v>9.3520000000000006E-2</v>
      </c>
      <c r="MT16">
        <v>0.30123499999999998</v>
      </c>
      <c r="MU16">
        <v>0.39671800000000002</v>
      </c>
      <c r="MV16">
        <v>0.21671000000000001</v>
      </c>
      <c r="MW16">
        <v>5.6176999999999998E-2</v>
      </c>
      <c r="MX16">
        <v>1.6857E-2</v>
      </c>
      <c r="MY16">
        <v>1.874E-3</v>
      </c>
      <c r="MZ16">
        <v>1.0427000000000001E-2</v>
      </c>
      <c r="NA16">
        <v>0.37531999999999999</v>
      </c>
      <c r="NB16">
        <v>0.468532</v>
      </c>
      <c r="NC16">
        <v>0.25718800000000003</v>
      </c>
      <c r="ND16">
        <v>6.9426000000000002E-2</v>
      </c>
      <c r="NE16">
        <v>1.6327999999999999E-2</v>
      </c>
      <c r="NF16">
        <v>-3.1172999999999999E-2</v>
      </c>
      <c r="NG16">
        <v>-0.15562000000000001</v>
      </c>
      <c r="NH16">
        <v>5.0000000000000001E-3</v>
      </c>
      <c r="NI16">
        <v>4.921E-3</v>
      </c>
      <c r="NJ16">
        <v>1.0047E-2</v>
      </c>
      <c r="NK16">
        <v>1.7472999999999999E-2</v>
      </c>
      <c r="NL16">
        <v>1.7833000000000002E-2</v>
      </c>
      <c r="NM16">
        <v>5.7123E-2</v>
      </c>
      <c r="NN16">
        <v>5.0000000000000001E-3</v>
      </c>
      <c r="NO16">
        <v>4.921E-3</v>
      </c>
      <c r="NP16">
        <v>1.0047E-2</v>
      </c>
      <c r="NQ16">
        <v>1.7472999999999999E-2</v>
      </c>
      <c r="NR16">
        <v>1.7833000000000002E-2</v>
      </c>
      <c r="NS16">
        <v>5.7123E-2</v>
      </c>
      <c r="NT16">
        <v>6.7260000000000002E-3</v>
      </c>
      <c r="NU16">
        <v>6.705E-3</v>
      </c>
      <c r="NV16">
        <v>1.2178E-2</v>
      </c>
      <c r="NW16">
        <v>2.0306000000000001E-2</v>
      </c>
      <c r="NX16">
        <v>2.1232999999999998E-2</v>
      </c>
      <c r="NY16">
        <v>6.0512000000000003E-2</v>
      </c>
      <c r="NZ16">
        <v>6.7260000000000002E-3</v>
      </c>
      <c r="OA16">
        <v>6.705E-3</v>
      </c>
      <c r="OB16">
        <v>1.2178E-2</v>
      </c>
      <c r="OC16">
        <v>2.0306000000000001E-2</v>
      </c>
      <c r="OD16">
        <v>2.1232999999999998E-2</v>
      </c>
      <c r="OE16">
        <v>6.0512000000000003E-2</v>
      </c>
      <c r="OF16">
        <v>52.3095</v>
      </c>
      <c r="OG16">
        <v>37627.519999999997</v>
      </c>
      <c r="OH16">
        <v>17485.400000000001</v>
      </c>
      <c r="OI16">
        <v>9005.4740000000002</v>
      </c>
      <c r="OJ16">
        <v>46.430050000000001</v>
      </c>
      <c r="OK16">
        <v>35477.82</v>
      </c>
      <c r="OL16">
        <v>17453.59</v>
      </c>
      <c r="OM16">
        <v>8897.18</v>
      </c>
      <c r="ON16">
        <v>1294014</v>
      </c>
      <c r="OO16">
        <v>1300805</v>
      </c>
      <c r="OP16">
        <v>9644.7839999999997</v>
      </c>
      <c r="OQ16">
        <v>5088.8249999999998</v>
      </c>
      <c r="OR16">
        <v>4671.8950000000004</v>
      </c>
      <c r="OS16">
        <v>428.50170000000003</v>
      </c>
      <c r="OT16">
        <v>1352.578</v>
      </c>
      <c r="OU16">
        <v>1071.498</v>
      </c>
      <c r="OV16">
        <v>270.15170000000001</v>
      </c>
      <c r="OW16">
        <v>1065.0219999999999</v>
      </c>
      <c r="OX16">
        <v>1149.5219999999999</v>
      </c>
      <c r="OY16">
        <v>919.44740000000002</v>
      </c>
      <c r="OZ16">
        <v>521.46789999999999</v>
      </c>
      <c r="PA16">
        <v>17168.45</v>
      </c>
      <c r="PB16">
        <v>6156.3379999999997</v>
      </c>
      <c r="PC16">
        <v>1032.1179999999999</v>
      </c>
      <c r="PD16">
        <v>1842.91</v>
      </c>
      <c r="PE16">
        <v>5338.817</v>
      </c>
      <c r="PF16">
        <v>1189.664</v>
      </c>
      <c r="PG16">
        <v>2186.8240000000001</v>
      </c>
      <c r="PH16">
        <v>163614.5</v>
      </c>
      <c r="PI16">
        <v>71403.16</v>
      </c>
      <c r="PJ16">
        <v>1.693149</v>
      </c>
      <c r="PK16">
        <v>611.67240000000004</v>
      </c>
      <c r="PL16">
        <v>113.33280000000001</v>
      </c>
      <c r="PM16">
        <v>1346.453</v>
      </c>
      <c r="PN16">
        <v>454.22840000000002</v>
      </c>
      <c r="PO16">
        <v>153.18709999999999</v>
      </c>
      <c r="PP16">
        <v>247.71289999999999</v>
      </c>
      <c r="PQ16">
        <v>502.59300000000002</v>
      </c>
      <c r="PR16">
        <v>93.042829999999995</v>
      </c>
      <c r="PS16">
        <v>566.97349999999994</v>
      </c>
      <c r="PT16">
        <v>1119.4690000000001</v>
      </c>
      <c r="PU16">
        <v>484.7885</v>
      </c>
      <c r="PV16">
        <v>875.29430000000002</v>
      </c>
      <c r="PW16">
        <v>61.610030000000002</v>
      </c>
      <c r="PX16">
        <v>137.50579999999999</v>
      </c>
      <c r="PY16">
        <v>708.58460000000002</v>
      </c>
      <c r="PZ16">
        <v>142.2276</v>
      </c>
      <c r="QA16">
        <v>303736.90000000002</v>
      </c>
      <c r="QB16">
        <v>6053.8370000000004</v>
      </c>
      <c r="QC16">
        <v>73697.72</v>
      </c>
      <c r="QD16">
        <v>7963.0950000000003</v>
      </c>
      <c r="QE16">
        <v>15122.24</v>
      </c>
      <c r="QF16">
        <v>9206.3780000000006</v>
      </c>
      <c r="QG16">
        <v>1813.4860000000001</v>
      </c>
      <c r="QH16">
        <v>1457.0709999999999</v>
      </c>
      <c r="QI16">
        <v>1988.912</v>
      </c>
      <c r="QJ16">
        <v>16792.28</v>
      </c>
      <c r="QK16">
        <v>9756.5619999999999</v>
      </c>
      <c r="QL16">
        <v>5196.6480000000001</v>
      </c>
      <c r="QM16">
        <v>4671.18</v>
      </c>
      <c r="QN16">
        <v>435.92140000000001</v>
      </c>
      <c r="QO16">
        <v>1377.181</v>
      </c>
      <c r="QP16">
        <v>1082.393</v>
      </c>
      <c r="QQ16">
        <v>285.05630000000002</v>
      </c>
      <c r="QR16">
        <v>1069.0160000000001</v>
      </c>
      <c r="QS16">
        <v>1153.731</v>
      </c>
      <c r="QT16">
        <v>973.6259</v>
      </c>
      <c r="QU16">
        <v>526.56910000000005</v>
      </c>
      <c r="QV16">
        <v>17317.54</v>
      </c>
      <c r="QW16">
        <v>6216.7969999999996</v>
      </c>
      <c r="QX16">
        <v>1046.1279999999999</v>
      </c>
      <c r="QY16">
        <v>1855.329</v>
      </c>
      <c r="QZ16">
        <v>5405.3919999999998</v>
      </c>
      <c r="RA16">
        <v>1175.2760000000001</v>
      </c>
      <c r="RB16">
        <v>2204.6869999999999</v>
      </c>
      <c r="RC16">
        <v>165290.29999999999</v>
      </c>
      <c r="RD16">
        <v>71553.149999999994</v>
      </c>
      <c r="RE16">
        <v>1.1785079999999999</v>
      </c>
      <c r="RF16">
        <v>585.06020000000001</v>
      </c>
      <c r="RG16">
        <v>167.75309999999999</v>
      </c>
      <c r="RH16">
        <v>1234.5899999999999</v>
      </c>
      <c r="RI16">
        <v>133.2586</v>
      </c>
      <c r="RJ16">
        <v>164.0453</v>
      </c>
      <c r="RK16">
        <v>98.180779999999999</v>
      </c>
      <c r="RL16">
        <v>2628.8440000000001</v>
      </c>
      <c r="RM16">
        <v>83.831869999999995</v>
      </c>
      <c r="RN16">
        <v>784.94899999999996</v>
      </c>
      <c r="RO16">
        <v>937.21870000000001</v>
      </c>
      <c r="RP16">
        <v>451.79689999999999</v>
      </c>
      <c r="RQ16">
        <v>845.31359999999995</v>
      </c>
      <c r="RR16">
        <v>63.432740000000003</v>
      </c>
      <c r="RS16">
        <v>159.8535</v>
      </c>
      <c r="RT16">
        <v>1024.5119999999999</v>
      </c>
      <c r="RU16">
        <v>116.67619999999999</v>
      </c>
      <c r="RV16">
        <v>308073</v>
      </c>
      <c r="RW16">
        <v>7026.049</v>
      </c>
      <c r="RX16">
        <v>73278.22</v>
      </c>
      <c r="RY16">
        <v>10337.64</v>
      </c>
      <c r="RZ16">
        <v>15472.04</v>
      </c>
      <c r="SA16">
        <v>10022.040000000001</v>
      </c>
      <c r="SB16">
        <v>2976.837</v>
      </c>
      <c r="SC16">
        <v>1244.626</v>
      </c>
      <c r="SD16">
        <v>196.52510000000001</v>
      </c>
      <c r="SE16">
        <v>1444.6289999999999</v>
      </c>
      <c r="SF16">
        <v>34956.879999999997</v>
      </c>
      <c r="SG16">
        <v>52.3095</v>
      </c>
      <c r="SH16">
        <v>8648.7790000000005</v>
      </c>
      <c r="SI16">
        <v>17250.32</v>
      </c>
      <c r="SJ16">
        <v>9005.4740000000002</v>
      </c>
      <c r="SK16">
        <v>34465.379999999997</v>
      </c>
      <c r="SL16">
        <v>46.430050000000001</v>
      </c>
      <c r="SM16">
        <v>8468.3019999999997</v>
      </c>
      <c r="SN16">
        <v>17053.47</v>
      </c>
      <c r="SO16">
        <v>8897.18</v>
      </c>
      <c r="SP16">
        <v>107446.3</v>
      </c>
      <c r="SQ16">
        <v>83131.990000000005</v>
      </c>
      <c r="SR16">
        <v>109368.4</v>
      </c>
      <c r="SS16">
        <v>71678.600000000006</v>
      </c>
      <c r="ST16">
        <v>39.523600000000002</v>
      </c>
      <c r="SU16">
        <v>0.31506099999999998</v>
      </c>
      <c r="SV16">
        <v>6.224837</v>
      </c>
      <c r="SW16">
        <v>12.316330000000001</v>
      </c>
      <c r="SX16">
        <v>20.667369999999998</v>
      </c>
      <c r="SY16">
        <v>38.969209999999997</v>
      </c>
      <c r="SZ16">
        <v>0.27964899999999998</v>
      </c>
      <c r="TA16">
        <v>6.0949410000000004</v>
      </c>
      <c r="TB16">
        <v>12.17578</v>
      </c>
      <c r="TC16">
        <v>20.41883</v>
      </c>
      <c r="TD16">
        <v>24924.58</v>
      </c>
      <c r="TE16">
        <v>811.79150000000004</v>
      </c>
      <c r="TF16">
        <v>475.73540000000003</v>
      </c>
      <c r="TG16">
        <v>219.72200000000001</v>
      </c>
      <c r="TH16">
        <v>50.267420000000001</v>
      </c>
      <c r="TI16">
        <v>103.16800000000001</v>
      </c>
      <c r="TJ16">
        <v>84.91046</v>
      </c>
      <c r="TK16">
        <v>26.162330000000001</v>
      </c>
      <c r="TL16">
        <v>31.28612</v>
      </c>
      <c r="TM16">
        <v>165.9451</v>
      </c>
      <c r="TN16">
        <v>41.419499999999999</v>
      </c>
      <c r="TO16">
        <v>26.621590000000001</v>
      </c>
      <c r="TP16">
        <v>2013.575</v>
      </c>
      <c r="TQ16">
        <v>1957.8579999999999</v>
      </c>
      <c r="TR16">
        <v>99.227440000000001</v>
      </c>
      <c r="TS16">
        <v>176.98660000000001</v>
      </c>
      <c r="TT16">
        <v>414.50369999999998</v>
      </c>
      <c r="TU16">
        <v>42.781140000000001</v>
      </c>
      <c r="TV16">
        <v>74.284139999999994</v>
      </c>
      <c r="TW16">
        <v>11752.17</v>
      </c>
      <c r="TX16">
        <v>6225.6329999999998</v>
      </c>
      <c r="TY16">
        <v>0.52063800000000005</v>
      </c>
      <c r="TZ16">
        <v>11.320220000000001</v>
      </c>
      <c r="UA16">
        <v>6.2767730000000004</v>
      </c>
      <c r="UB16">
        <v>60.482489999999999</v>
      </c>
      <c r="UC16">
        <v>0.72913799999999995</v>
      </c>
      <c r="UD16">
        <v>2.4472930000000002</v>
      </c>
      <c r="UE16">
        <v>4.4449149999999999</v>
      </c>
      <c r="UF16">
        <v>1.7128909999999999</v>
      </c>
      <c r="UG16">
        <v>0.80715400000000004</v>
      </c>
      <c r="UH16">
        <v>10.69183</v>
      </c>
      <c r="UI16">
        <v>5.4558749999999998</v>
      </c>
      <c r="UJ16">
        <v>16.142710000000001</v>
      </c>
      <c r="UK16">
        <v>6.1908789999999998</v>
      </c>
      <c r="UL16">
        <v>0.48611900000000002</v>
      </c>
      <c r="UM16">
        <v>0.52143399999999995</v>
      </c>
      <c r="UN16">
        <v>1.91981</v>
      </c>
      <c r="UO16">
        <v>0.38625199999999998</v>
      </c>
      <c r="UP16">
        <v>25078.57</v>
      </c>
      <c r="UQ16">
        <v>815.92899999999997</v>
      </c>
      <c r="UR16">
        <v>481.1782</v>
      </c>
      <c r="US16">
        <v>219.69200000000001</v>
      </c>
      <c r="UT16">
        <v>50.964579999999998</v>
      </c>
      <c r="UU16">
        <v>104.8622</v>
      </c>
      <c r="UV16">
        <v>86.206029999999998</v>
      </c>
      <c r="UW16">
        <v>26.387060000000002</v>
      </c>
      <c r="UX16">
        <v>31.504809999999999</v>
      </c>
      <c r="UY16">
        <v>168.25200000000001</v>
      </c>
      <c r="UZ16">
        <v>42.003639999999997</v>
      </c>
      <c r="VA16">
        <v>26.646249999999998</v>
      </c>
      <c r="VB16">
        <v>2024.16</v>
      </c>
      <c r="VC16">
        <v>1973.019</v>
      </c>
      <c r="VD16">
        <v>100.2801</v>
      </c>
      <c r="VE16">
        <v>177.73089999999999</v>
      </c>
      <c r="VF16">
        <v>416.61799999999999</v>
      </c>
      <c r="VG16">
        <v>42.03678</v>
      </c>
      <c r="VH16">
        <v>75.168679999999995</v>
      </c>
      <c r="VI16">
        <v>11848.15</v>
      </c>
      <c r="VJ16">
        <v>6233.8019999999997</v>
      </c>
      <c r="VK16">
        <v>0.36593599999999998</v>
      </c>
      <c r="VL16">
        <v>10.91667</v>
      </c>
      <c r="VM16">
        <v>9.0683880000000006</v>
      </c>
      <c r="VN16">
        <v>56.076700000000002</v>
      </c>
      <c r="VO16">
        <v>0.26141199999999998</v>
      </c>
      <c r="VP16">
        <v>2.6059199999999998</v>
      </c>
      <c r="VQ16">
        <v>2.0474570000000001</v>
      </c>
      <c r="VR16">
        <v>7.4036569999999999</v>
      </c>
      <c r="VS16">
        <v>0.69885200000000003</v>
      </c>
      <c r="VT16">
        <v>14.23584</v>
      </c>
      <c r="VU16">
        <v>4.8034739999999996</v>
      </c>
      <c r="VV16">
        <v>15.234</v>
      </c>
      <c r="VW16">
        <v>6.0871040000000001</v>
      </c>
      <c r="VX16">
        <v>0.50671500000000003</v>
      </c>
      <c r="VY16">
        <v>0.60394899999999996</v>
      </c>
      <c r="VZ16">
        <v>2.7295349999999998</v>
      </c>
      <c r="WA16">
        <v>0.32694299999999998</v>
      </c>
      <c r="WB16">
        <v>0.107207</v>
      </c>
      <c r="WC16">
        <v>0.100893</v>
      </c>
      <c r="WD16">
        <v>-1.1705E-2</v>
      </c>
      <c r="WE16">
        <v>-1.1842E-2</v>
      </c>
      <c r="WF16">
        <v>0.65190700000000001</v>
      </c>
      <c r="WG16">
        <v>0.63222500000000004</v>
      </c>
      <c r="WH16">
        <v>-2.3928000000000001E-2</v>
      </c>
      <c r="WI16">
        <v>-1.9594E-2</v>
      </c>
      <c r="WJ16">
        <v>2064390</v>
      </c>
      <c r="WK16">
        <v>2083651</v>
      </c>
    </row>
    <row r="17" spans="1:609" ht="14.45" x14ac:dyDescent="0.35">
      <c r="A17">
        <v>2018</v>
      </c>
      <c r="B17">
        <v>0.98848199999999997</v>
      </c>
      <c r="C17">
        <v>117.3939</v>
      </c>
      <c r="D17">
        <v>1.4795720000000001</v>
      </c>
      <c r="E17">
        <v>1.7270639999999999</v>
      </c>
      <c r="F17">
        <v>-0.249942</v>
      </c>
      <c r="G17">
        <v>0.347499</v>
      </c>
      <c r="H17">
        <v>-0.77908299999999997</v>
      </c>
      <c r="I17">
        <v>0.74064300000000005</v>
      </c>
      <c r="J17">
        <v>1.3163229999999999</v>
      </c>
      <c r="K17">
        <v>8.5054000000000005E-2</v>
      </c>
      <c r="L17">
        <v>1.2302230000000001</v>
      </c>
      <c r="M17">
        <v>0.31435299999999999</v>
      </c>
      <c r="N17">
        <v>0</v>
      </c>
      <c r="O17">
        <v>-2.6702680000000001</v>
      </c>
      <c r="P17">
        <v>-0.52856099999999995</v>
      </c>
      <c r="Q17">
        <v>-13.084720000000001</v>
      </c>
      <c r="R17">
        <v>83.016289999999998</v>
      </c>
      <c r="S17">
        <v>40.759659999999997</v>
      </c>
      <c r="T17">
        <v>45.471499999999999</v>
      </c>
      <c r="U17">
        <v>40.759659999999997</v>
      </c>
      <c r="V17">
        <v>43.754170000000002</v>
      </c>
      <c r="W17">
        <v>0.68168600000000001</v>
      </c>
      <c r="X17">
        <v>14464.29</v>
      </c>
      <c r="Y17">
        <v>0.13172900000000001</v>
      </c>
      <c r="Z17">
        <v>0.38693699999999998</v>
      </c>
      <c r="AA17">
        <v>-0.36734800000000001</v>
      </c>
      <c r="AB17">
        <v>-0.30782799999999999</v>
      </c>
      <c r="AC17">
        <v>4.3327999999999998E-2</v>
      </c>
      <c r="AD17">
        <v>11769.48</v>
      </c>
      <c r="AE17">
        <v>12036.01</v>
      </c>
      <c r="AF17">
        <v>24767.22</v>
      </c>
      <c r="AG17">
        <v>-2569.9789999999998</v>
      </c>
      <c r="AH17">
        <v>25068.48</v>
      </c>
      <c r="AI17">
        <v>-7.3379999999999999E-3</v>
      </c>
      <c r="AJ17">
        <v>51.649700000000003</v>
      </c>
      <c r="AK17">
        <v>171.63030000000001</v>
      </c>
      <c r="AL17">
        <v>53.74342</v>
      </c>
      <c r="AM17">
        <v>41.132109999999997</v>
      </c>
      <c r="AN17">
        <v>136.6807</v>
      </c>
      <c r="AO17">
        <v>42.799480000000003</v>
      </c>
      <c r="AP17">
        <v>146.38570000000001</v>
      </c>
      <c r="AQ17">
        <v>116.5767</v>
      </c>
      <c r="AR17">
        <v>265.40449999999998</v>
      </c>
      <c r="AS17">
        <v>344.72379999999998</v>
      </c>
      <c r="AT17">
        <v>477.1336</v>
      </c>
      <c r="AU17">
        <v>122.2313</v>
      </c>
      <c r="AV17">
        <v>91.790210000000002</v>
      </c>
      <c r="AW17">
        <v>0.99033899999999997</v>
      </c>
      <c r="AX17">
        <v>1.0708690000000001</v>
      </c>
      <c r="AY17">
        <v>1.6965030000000001</v>
      </c>
      <c r="AZ17">
        <v>-0.10376199999999999</v>
      </c>
      <c r="BA17">
        <v>2.2291810000000001</v>
      </c>
      <c r="BB17">
        <v>2.4641639999999998</v>
      </c>
      <c r="BC17">
        <v>2.0776490000000001</v>
      </c>
      <c r="BD17">
        <v>5.5004369999999998</v>
      </c>
      <c r="BE17">
        <v>0.62480400000000003</v>
      </c>
      <c r="BF17">
        <v>1.6946619999999999</v>
      </c>
      <c r="BG17">
        <v>3.743039</v>
      </c>
      <c r="BH17">
        <v>0.49637900000000001</v>
      </c>
      <c r="BI17">
        <v>0.72007100000000002</v>
      </c>
      <c r="BJ17">
        <v>1.276416</v>
      </c>
      <c r="BK17">
        <v>1.724874</v>
      </c>
      <c r="BL17">
        <v>0.70841900000000002</v>
      </c>
      <c r="BM17">
        <v>0.99943899999999997</v>
      </c>
      <c r="BN17">
        <v>-2.1214140000000001</v>
      </c>
      <c r="BO17">
        <v>1.77152</v>
      </c>
      <c r="BP17">
        <v>1.0743929999999999</v>
      </c>
      <c r="BQ17">
        <v>0.20394699999999999</v>
      </c>
      <c r="BR17">
        <v>-38.826529999999998</v>
      </c>
      <c r="BS17">
        <v>-4.4657410000000004</v>
      </c>
      <c r="BT17">
        <v>80.483980000000003</v>
      </c>
      <c r="BU17">
        <v>-9.5994139999999994</v>
      </c>
      <c r="BV17">
        <v>-68.904240000000001</v>
      </c>
      <c r="BW17">
        <v>4.7016640000000001</v>
      </c>
      <c r="BX17">
        <v>-70.462789999999998</v>
      </c>
      <c r="BY17">
        <v>439.49059999999997</v>
      </c>
      <c r="BZ17">
        <v>137.88800000000001</v>
      </c>
      <c r="CA17">
        <v>38.432940000000002</v>
      </c>
      <c r="CB17">
        <v>-33.358260000000001</v>
      </c>
      <c r="CC17">
        <v>-11.27524</v>
      </c>
      <c r="CD17">
        <v>-3.042065</v>
      </c>
      <c r="CE17">
        <v>3.9911159999999999</v>
      </c>
      <c r="CF17">
        <v>10.386480000000001</v>
      </c>
      <c r="CG17">
        <v>28.817409999999999</v>
      </c>
      <c r="CH17">
        <v>1.0633999999999999</v>
      </c>
      <c r="CI17">
        <v>1.4511149999999999</v>
      </c>
      <c r="CJ17">
        <v>2.5897139999999998</v>
      </c>
      <c r="CK17">
        <v>-5.1853999999999997E-2</v>
      </c>
      <c r="CL17">
        <v>2.262858</v>
      </c>
      <c r="CM17">
        <v>2.4601799999999998</v>
      </c>
      <c r="CN17">
        <v>1.2918339999999999</v>
      </c>
      <c r="CO17">
        <v>7.217263</v>
      </c>
      <c r="CP17">
        <v>0.40781200000000001</v>
      </c>
      <c r="CQ17">
        <v>0.43000699999999997</v>
      </c>
      <c r="CR17">
        <v>7.5783379999999996</v>
      </c>
      <c r="CS17">
        <v>1.2881279999999999</v>
      </c>
      <c r="CT17">
        <v>1.056894</v>
      </c>
      <c r="CU17">
        <v>1.3203</v>
      </c>
      <c r="CV17">
        <v>1.754521</v>
      </c>
      <c r="CW17">
        <v>0.90854900000000005</v>
      </c>
      <c r="CX17">
        <v>1.607731</v>
      </c>
      <c r="CY17">
        <v>-1.482175</v>
      </c>
      <c r="CZ17">
        <v>1.1928300000000001</v>
      </c>
      <c r="DA17">
        <v>1.2076640000000001</v>
      </c>
      <c r="DB17">
        <v>0.27372400000000002</v>
      </c>
      <c r="DC17">
        <v>-36.110509999999998</v>
      </c>
      <c r="DD17">
        <v>-4.9239329999999999</v>
      </c>
      <c r="DE17">
        <v>40.91413</v>
      </c>
      <c r="DF17">
        <v>-9.7438660000000006</v>
      </c>
      <c r="DG17">
        <v>-78.78689</v>
      </c>
      <c r="DH17">
        <v>6.6010549999999997</v>
      </c>
      <c r="DI17">
        <v>-70.539770000000004</v>
      </c>
      <c r="DJ17">
        <v>534.22979999999995</v>
      </c>
      <c r="DK17">
        <v>58.533580000000001</v>
      </c>
      <c r="DL17">
        <v>43.932679999999998</v>
      </c>
      <c r="DM17">
        <v>-29.058440000000001</v>
      </c>
      <c r="DN17">
        <v>-8.1598629999999996</v>
      </c>
      <c r="DO17">
        <v>-3.7408990000000002</v>
      </c>
      <c r="DP17">
        <v>4.1564810000000003</v>
      </c>
      <c r="DQ17">
        <v>14.635149999999999</v>
      </c>
      <c r="DR17">
        <v>39.020269999999996</v>
      </c>
      <c r="DS17">
        <v>-8.0570210000000007</v>
      </c>
      <c r="DT17">
        <v>2.0688000000000002E-2</v>
      </c>
      <c r="DU17">
        <v>1.9641219999999999</v>
      </c>
      <c r="DV17">
        <v>-0.80711699999999997</v>
      </c>
      <c r="DW17">
        <v>2.6128650000000002</v>
      </c>
      <c r="DX17">
        <v>2.3476699999999999</v>
      </c>
      <c r="DY17">
        <v>2.3858609999999998</v>
      </c>
      <c r="DZ17">
        <v>1.450189</v>
      </c>
      <c r="EA17">
        <v>1.9837670000000001</v>
      </c>
      <c r="EB17">
        <v>2.8938410000000001</v>
      </c>
      <c r="EC17">
        <v>0</v>
      </c>
      <c r="ED17">
        <v>2.1229680000000002</v>
      </c>
      <c r="EE17">
        <v>2.1038950000000001</v>
      </c>
      <c r="EF17">
        <v>1.627275</v>
      </c>
      <c r="EG17">
        <v>0.38685000000000003</v>
      </c>
      <c r="EH17">
        <v>0.698936</v>
      </c>
      <c r="EI17">
        <v>1.0482929999999999</v>
      </c>
      <c r="EJ17">
        <v>1.3850169999999999</v>
      </c>
      <c r="EK17">
        <v>-1.116592</v>
      </c>
      <c r="EL17">
        <v>2.0715680000000001</v>
      </c>
      <c r="EM17">
        <v>2.1160049999999999</v>
      </c>
      <c r="EN17">
        <v>-12.193020000000001</v>
      </c>
      <c r="EO17">
        <v>-6.7464849999999998</v>
      </c>
      <c r="EP17">
        <v>-0.33398600000000001</v>
      </c>
      <c r="EQ17">
        <v>-1.5170250000000001</v>
      </c>
      <c r="ER17">
        <v>6.8272009999999996</v>
      </c>
      <c r="ES17">
        <v>75.632329999999996</v>
      </c>
      <c r="ET17">
        <v>2.2212329999999998</v>
      </c>
      <c r="EU17">
        <v>31.82499</v>
      </c>
      <c r="EV17">
        <v>0.50924000000000003</v>
      </c>
      <c r="EW17">
        <v>1.86049</v>
      </c>
      <c r="EX17">
        <v>2.3495620000000002</v>
      </c>
      <c r="EY17">
        <v>0.74185800000000002</v>
      </c>
      <c r="EZ17">
        <v>9.8319000000000004E-2</v>
      </c>
      <c r="FA17">
        <v>5.0142470000000001</v>
      </c>
      <c r="FB17">
        <v>1.608849</v>
      </c>
      <c r="FC17">
        <v>33.706629999999997</v>
      </c>
      <c r="FD17">
        <v>9.2188680000000005</v>
      </c>
      <c r="FE17">
        <v>0.55678300000000003</v>
      </c>
      <c r="FF17">
        <v>0.85799400000000003</v>
      </c>
      <c r="FG17">
        <v>1.5425629999999999</v>
      </c>
      <c r="FH17">
        <v>0.34684799999999999</v>
      </c>
      <c r="FI17">
        <v>5.2235500000000004</v>
      </c>
      <c r="FJ17">
        <v>71.887180000000001</v>
      </c>
      <c r="FK17">
        <v>2.8536030000000001</v>
      </c>
      <c r="FL17">
        <v>28.763919999999999</v>
      </c>
      <c r="FM17">
        <v>0.1163</v>
      </c>
      <c r="FN17">
        <v>1.9487509999999999</v>
      </c>
      <c r="FO17">
        <v>0.71067100000000005</v>
      </c>
      <c r="FP17">
        <v>3.9875579999999999</v>
      </c>
      <c r="FQ17">
        <v>0.22656399999999999</v>
      </c>
      <c r="FR17">
        <v>6.9254410000000002</v>
      </c>
      <c r="FS17">
        <v>1.0764290000000001</v>
      </c>
      <c r="FT17">
        <v>31.61195</v>
      </c>
      <c r="FU17">
        <v>9.0762280000000004</v>
      </c>
      <c r="FV17">
        <v>0.58846699999999996</v>
      </c>
      <c r="FW17">
        <v>0.96605600000000003</v>
      </c>
      <c r="FX17">
        <v>2.0268009999999999</v>
      </c>
      <c r="FY17">
        <v>0.35624800000000001</v>
      </c>
      <c r="FZ17">
        <v>4.9155680000000004</v>
      </c>
      <c r="GA17">
        <v>60.658169999999998</v>
      </c>
      <c r="GB17">
        <v>2.2212329999999998</v>
      </c>
      <c r="GC17">
        <v>27.883710000000001</v>
      </c>
      <c r="GD17">
        <v>0.44617400000000002</v>
      </c>
      <c r="GE17">
        <v>1.630082</v>
      </c>
      <c r="GF17">
        <v>2.058586</v>
      </c>
      <c r="GG17">
        <v>0.64998500000000003</v>
      </c>
      <c r="GH17">
        <v>8.6142999999999997E-2</v>
      </c>
      <c r="GI17">
        <v>4.3932710000000004</v>
      </c>
      <c r="GJ17">
        <v>1.4096059999999999</v>
      </c>
      <c r="GK17">
        <v>31.93337</v>
      </c>
      <c r="GL17">
        <v>9.2188680000000005</v>
      </c>
      <c r="GM17">
        <v>0.55678300000000003</v>
      </c>
      <c r="GN17">
        <v>0.85799400000000003</v>
      </c>
      <c r="GO17">
        <v>1.5425629999999999</v>
      </c>
      <c r="GP17">
        <v>0.34684799999999999</v>
      </c>
      <c r="GQ17">
        <v>3.3179889999999999</v>
      </c>
      <c r="GR17">
        <v>56.947699999999998</v>
      </c>
      <c r="GS17">
        <v>2.8536030000000001</v>
      </c>
      <c r="GT17">
        <v>25.18122</v>
      </c>
      <c r="GU17">
        <v>0.101814</v>
      </c>
      <c r="GV17">
        <v>1.7060230000000001</v>
      </c>
      <c r="GW17">
        <v>0.62215299999999996</v>
      </c>
      <c r="GX17">
        <v>3.4908860000000002</v>
      </c>
      <c r="GY17">
        <v>0.19834499999999999</v>
      </c>
      <c r="GZ17">
        <v>6.0628399999999996</v>
      </c>
      <c r="HA17">
        <v>0.94235400000000002</v>
      </c>
      <c r="HB17">
        <v>29.8428</v>
      </c>
      <c r="HC17">
        <v>9.0762280000000004</v>
      </c>
      <c r="HD17">
        <v>0.58846699999999996</v>
      </c>
      <c r="HE17">
        <v>0.96605600000000003</v>
      </c>
      <c r="HF17">
        <v>2.0268009999999999</v>
      </c>
      <c r="HG17">
        <v>0.35624800000000001</v>
      </c>
      <c r="HH17">
        <v>5.0042249999999999</v>
      </c>
      <c r="HI17">
        <v>65.198059999999998</v>
      </c>
      <c r="HJ17">
        <v>2.2212329999999998</v>
      </c>
      <c r="HK17">
        <v>114.8901</v>
      </c>
      <c r="HL17">
        <v>1.099966</v>
      </c>
      <c r="HM17">
        <v>4.018688</v>
      </c>
      <c r="HN17">
        <v>5.0750909999999996</v>
      </c>
      <c r="HO17">
        <v>0.80200400000000005</v>
      </c>
      <c r="HP17">
        <v>0.10629</v>
      </c>
      <c r="HQ17">
        <v>5.4207729999999996</v>
      </c>
      <c r="HR17">
        <v>4.7025129999999997</v>
      </c>
      <c r="HS17">
        <v>32.15278</v>
      </c>
      <c r="HT17">
        <v>9.3567470000000004</v>
      </c>
      <c r="HU17">
        <v>0.56511</v>
      </c>
      <c r="HV17">
        <v>0.87082599999999999</v>
      </c>
      <c r="HW17">
        <v>1.565634</v>
      </c>
      <c r="HX17">
        <v>0.35203600000000002</v>
      </c>
      <c r="HY17">
        <v>3.3607100000000001</v>
      </c>
      <c r="HZ17">
        <v>60.855460000000001</v>
      </c>
      <c r="IA17">
        <v>2.8536030000000001</v>
      </c>
      <c r="IB17">
        <v>101.1669</v>
      </c>
      <c r="IC17">
        <v>0.1163</v>
      </c>
      <c r="ID17">
        <v>4.152317</v>
      </c>
      <c r="IE17">
        <v>0.71067100000000005</v>
      </c>
      <c r="IF17">
        <v>4.2860569999999996</v>
      </c>
      <c r="IG17">
        <v>0.24352399999999999</v>
      </c>
      <c r="IH17">
        <v>7.4438639999999996</v>
      </c>
      <c r="II17">
        <v>3.2061989999999998</v>
      </c>
      <c r="IJ17">
        <v>30.102180000000001</v>
      </c>
      <c r="IK17">
        <v>9.2584540000000004</v>
      </c>
      <c r="IL17">
        <v>0.59750899999999996</v>
      </c>
      <c r="IM17">
        <v>0.98841900000000005</v>
      </c>
      <c r="IN17">
        <v>2.0733039999999998</v>
      </c>
      <c r="IO17">
        <v>0.362037</v>
      </c>
      <c r="IP17">
        <v>4.3254010000000003</v>
      </c>
      <c r="IQ17">
        <v>4.7422259999999996</v>
      </c>
      <c r="IR17">
        <v>0.77000100000000005</v>
      </c>
      <c r="IS17">
        <v>1.666315</v>
      </c>
      <c r="IT17">
        <v>3.6050270000000002</v>
      </c>
      <c r="IU17">
        <v>3.7775259999999999</v>
      </c>
      <c r="IV17">
        <v>4.6694199999999997</v>
      </c>
      <c r="IW17">
        <v>5.6100570000000003</v>
      </c>
      <c r="IX17">
        <v>0.70329799999999998</v>
      </c>
      <c r="IY17">
        <v>5.5253490000000003</v>
      </c>
      <c r="IZ17">
        <v>1.6065799999999999</v>
      </c>
      <c r="JA17">
        <v>7.3226659999999999</v>
      </c>
      <c r="JB17">
        <v>0.35766700000000001</v>
      </c>
      <c r="JC17">
        <v>1.177716</v>
      </c>
      <c r="JD17">
        <v>0.85934600000000005</v>
      </c>
      <c r="JE17">
        <v>17.613620000000001</v>
      </c>
      <c r="JF17">
        <v>0.352186</v>
      </c>
      <c r="JG17">
        <v>1.8380460000000001</v>
      </c>
      <c r="JH17">
        <v>18.160160000000001</v>
      </c>
      <c r="JI17">
        <v>6.0716950000000001</v>
      </c>
      <c r="JJ17">
        <v>20.798190000000002</v>
      </c>
      <c r="JK17">
        <v>39.256459999999997</v>
      </c>
      <c r="JL17">
        <v>4.1735249999999997</v>
      </c>
      <c r="JM17">
        <v>4.5540830000000003</v>
      </c>
      <c r="JN17">
        <v>0.75283599999999995</v>
      </c>
      <c r="JO17">
        <v>1.5540590000000001</v>
      </c>
      <c r="JP17">
        <v>3.3037679999999998</v>
      </c>
      <c r="JQ17">
        <v>3.5709949999999999</v>
      </c>
      <c r="JR17">
        <v>4.2986370000000003</v>
      </c>
      <c r="JS17">
        <v>5.512543</v>
      </c>
      <c r="JT17">
        <v>0.69656200000000001</v>
      </c>
      <c r="JU17">
        <v>4.2246870000000003</v>
      </c>
      <c r="JV17">
        <v>1.542389</v>
      </c>
      <c r="JW17">
        <v>6.9510509999999996</v>
      </c>
      <c r="JX17">
        <v>0.30683500000000002</v>
      </c>
      <c r="JY17">
        <v>1.1730640000000001</v>
      </c>
      <c r="JZ17">
        <v>0.85076600000000002</v>
      </c>
      <c r="KA17">
        <v>17.07056</v>
      </c>
      <c r="KB17">
        <v>0.31355499999999997</v>
      </c>
      <c r="KC17">
        <v>1.7090190000000001</v>
      </c>
      <c r="KD17">
        <v>17.929099999999998</v>
      </c>
      <c r="KE17">
        <v>5.9285420000000002</v>
      </c>
      <c r="KF17">
        <v>19.305260000000001</v>
      </c>
      <c r="KG17">
        <v>38.559699999999999</v>
      </c>
      <c r="KH17">
        <v>3798.415</v>
      </c>
      <c r="KI17">
        <v>7363.8580000000002</v>
      </c>
      <c r="KJ17">
        <v>5961.22</v>
      </c>
      <c r="KK17">
        <v>4076.5169999999998</v>
      </c>
      <c r="KL17">
        <v>6316.665</v>
      </c>
      <c r="KM17">
        <v>2189.5749999999998</v>
      </c>
      <c r="KN17">
        <v>2120.7919999999999</v>
      </c>
      <c r="KO17">
        <v>0</v>
      </c>
      <c r="KP17">
        <v>30904.799999999999</v>
      </c>
      <c r="KQ17">
        <v>922.24260000000004</v>
      </c>
      <c r="KR17">
        <v>0</v>
      </c>
      <c r="KS17">
        <v>4484.7929999999997</v>
      </c>
      <c r="KT17">
        <v>7432.5940000000001</v>
      </c>
      <c r="KU17">
        <v>6087.1909999999998</v>
      </c>
      <c r="KV17">
        <v>4227.7</v>
      </c>
      <c r="KW17">
        <v>6272.1360000000004</v>
      </c>
      <c r="KX17">
        <v>2032.627</v>
      </c>
      <c r="KY17">
        <v>1214.383</v>
      </c>
      <c r="KZ17">
        <v>0</v>
      </c>
      <c r="LA17">
        <v>30156.74</v>
      </c>
      <c r="LB17">
        <v>1594.684</v>
      </c>
      <c r="LC17">
        <v>0</v>
      </c>
      <c r="LD17">
        <v>42495665</v>
      </c>
      <c r="LE17" s="21">
        <v>180000000</v>
      </c>
      <c r="LF17" s="21">
        <v>574000000</v>
      </c>
      <c r="LG17" s="21">
        <v>644000000</v>
      </c>
      <c r="LH17" s="21">
        <v>666000000</v>
      </c>
      <c r="LI17" s="21">
        <v>352000000</v>
      </c>
      <c r="LJ17" s="21">
        <v>144000000</v>
      </c>
      <c r="LK17" s="21">
        <v>2.0899999999999999E-6</v>
      </c>
      <c r="LL17" s="21">
        <v>3.9600000000000002E-6</v>
      </c>
      <c r="LM17" s="21">
        <v>7.2400000000000001E-6</v>
      </c>
      <c r="LN17" s="21">
        <v>1.4800000000000001E-5</v>
      </c>
      <c r="LO17" s="21">
        <v>2.1299999999999999E-5</v>
      </c>
      <c r="LP17" s="21">
        <v>2.9600000000000001E-5</v>
      </c>
      <c r="LQ17" s="21">
        <v>4.32E-5</v>
      </c>
      <c r="LR17">
        <v>45314272</v>
      </c>
      <c r="LS17" s="21">
        <v>184000000</v>
      </c>
      <c r="LT17" s="21">
        <v>577000000</v>
      </c>
      <c r="LU17" s="21">
        <v>642000000</v>
      </c>
      <c r="LV17" s="21">
        <v>662000000</v>
      </c>
      <c r="LW17" s="21">
        <v>349000000</v>
      </c>
      <c r="LX17" s="21">
        <v>142000000</v>
      </c>
      <c r="LY17" s="21">
        <v>2.2299999999999998E-6</v>
      </c>
      <c r="LZ17" s="21">
        <v>4.2300000000000002E-6</v>
      </c>
      <c r="MA17" s="21">
        <v>7.7400000000000004E-6</v>
      </c>
      <c r="MB17" s="21">
        <v>1.59E-5</v>
      </c>
      <c r="MC17" s="21">
        <v>2.3E-5</v>
      </c>
      <c r="MD17" s="21">
        <v>3.2100000000000001E-5</v>
      </c>
      <c r="ME17" s="21">
        <v>4.6799999999999999E-5</v>
      </c>
      <c r="MF17">
        <v>0.252253</v>
      </c>
      <c r="MG17">
        <v>0.398426</v>
      </c>
      <c r="MH17">
        <v>0.20625199999999999</v>
      </c>
      <c r="MI17">
        <v>3.8565000000000002E-2</v>
      </c>
      <c r="MJ17">
        <v>1.8416999999999999E-2</v>
      </c>
      <c r="MK17">
        <v>1.0703000000000001E-2</v>
      </c>
      <c r="ML17">
        <v>7.5384999999999994E-2</v>
      </c>
      <c r="MM17">
        <v>0.27544200000000002</v>
      </c>
      <c r="MN17">
        <v>0.414078</v>
      </c>
      <c r="MO17">
        <v>0.21598400000000001</v>
      </c>
      <c r="MP17">
        <v>4.3345000000000002E-2</v>
      </c>
      <c r="MQ17">
        <v>1.7353E-2</v>
      </c>
      <c r="MR17">
        <v>2.6809999999999998E-3</v>
      </c>
      <c r="MS17">
        <v>3.1116999999999999E-2</v>
      </c>
      <c r="MT17">
        <v>0.31392399999999998</v>
      </c>
      <c r="MU17">
        <v>0.389845</v>
      </c>
      <c r="MV17">
        <v>0.21553</v>
      </c>
      <c r="MW17">
        <v>5.9957000000000003E-2</v>
      </c>
      <c r="MX17">
        <v>1.4593E-2</v>
      </c>
      <c r="MY17">
        <v>9.3700000000000001E-4</v>
      </c>
      <c r="MZ17">
        <v>5.2139999999999999E-3</v>
      </c>
      <c r="NA17">
        <v>0.423595</v>
      </c>
      <c r="NB17">
        <v>0.49669000000000002</v>
      </c>
      <c r="NC17">
        <v>0.277999</v>
      </c>
      <c r="ND17">
        <v>8.2663E-2</v>
      </c>
      <c r="NE17">
        <v>1.5987999999999999E-2</v>
      </c>
      <c r="NF17">
        <v>-4.7957E-2</v>
      </c>
      <c r="NG17">
        <v>-0.24897900000000001</v>
      </c>
      <c r="NH17">
        <v>5.254E-3</v>
      </c>
      <c r="NI17">
        <v>5.1749999999999999E-3</v>
      </c>
      <c r="NJ17">
        <v>9.8169999999999993E-3</v>
      </c>
      <c r="NK17">
        <v>1.8067E-2</v>
      </c>
      <c r="NL17">
        <v>1.857E-2</v>
      </c>
      <c r="NM17">
        <v>5.9152000000000003E-2</v>
      </c>
      <c r="NN17">
        <v>5.254E-3</v>
      </c>
      <c r="NO17">
        <v>5.1749999999999999E-3</v>
      </c>
      <c r="NP17">
        <v>9.8169999999999993E-3</v>
      </c>
      <c r="NQ17">
        <v>1.8067E-2</v>
      </c>
      <c r="NR17">
        <v>1.857E-2</v>
      </c>
      <c r="NS17">
        <v>5.9152000000000003E-2</v>
      </c>
      <c r="NT17">
        <v>7.8289999999999992E-3</v>
      </c>
      <c r="NU17">
        <v>7.8180000000000003E-3</v>
      </c>
      <c r="NV17">
        <v>1.2864E-2</v>
      </c>
      <c r="NW17">
        <v>2.1748E-2</v>
      </c>
      <c r="NX17">
        <v>2.2800999999999998E-2</v>
      </c>
      <c r="NY17">
        <v>6.3356999999999997E-2</v>
      </c>
      <c r="NZ17">
        <v>7.8289999999999992E-3</v>
      </c>
      <c r="OA17">
        <v>7.8180000000000003E-3</v>
      </c>
      <c r="OB17">
        <v>1.2864E-2</v>
      </c>
      <c r="OC17">
        <v>2.1748E-2</v>
      </c>
      <c r="OD17">
        <v>2.2800999999999998E-2</v>
      </c>
      <c r="OE17">
        <v>6.3356999999999997E-2</v>
      </c>
      <c r="OF17">
        <v>51.681319999999999</v>
      </c>
      <c r="OG17">
        <v>37138.379999999997</v>
      </c>
      <c r="OH17">
        <v>17534.04</v>
      </c>
      <c r="OI17">
        <v>8927.6970000000001</v>
      </c>
      <c r="OJ17">
        <v>45.379809999999999</v>
      </c>
      <c r="OK17">
        <v>34632.839999999997</v>
      </c>
      <c r="OL17">
        <v>17475.48</v>
      </c>
      <c r="OM17">
        <v>8792.2620000000006</v>
      </c>
      <c r="ON17">
        <v>1314116</v>
      </c>
      <c r="OO17">
        <v>1323500</v>
      </c>
      <c r="OP17">
        <v>9765.5280000000002</v>
      </c>
      <c r="OQ17">
        <v>5188.2629999999999</v>
      </c>
      <c r="OR17">
        <v>4739.8919999999998</v>
      </c>
      <c r="OS17">
        <v>436.88380000000001</v>
      </c>
      <c r="OT17">
        <v>1374.192</v>
      </c>
      <c r="OU17">
        <v>1092.5709999999999</v>
      </c>
      <c r="OV17">
        <v>275.79500000000002</v>
      </c>
      <c r="OW17">
        <v>1088.4390000000001</v>
      </c>
      <c r="OX17">
        <v>1170.6559999999999</v>
      </c>
      <c r="OY17">
        <v>935.47230000000002</v>
      </c>
      <c r="OZ17">
        <v>532.74530000000004</v>
      </c>
      <c r="PA17">
        <v>17493.240000000002</v>
      </c>
      <c r="PB17">
        <v>6245.4740000000002</v>
      </c>
      <c r="PC17">
        <v>1034.9169999999999</v>
      </c>
      <c r="PD17">
        <v>1858.0889999999999</v>
      </c>
      <c r="PE17">
        <v>5430.94</v>
      </c>
      <c r="PF17">
        <v>1210.4839999999999</v>
      </c>
      <c r="PG17">
        <v>2222.2150000000001</v>
      </c>
      <c r="PH17">
        <v>166488</v>
      </c>
      <c r="PI17">
        <v>72560.289999999994</v>
      </c>
      <c r="PJ17">
        <v>1.6979979999999999</v>
      </c>
      <c r="PK17">
        <v>610.94200000000001</v>
      </c>
      <c r="PL17">
        <v>115.44280000000001</v>
      </c>
      <c r="PM17">
        <v>1367.4480000000001</v>
      </c>
      <c r="PN17">
        <v>451.04140000000001</v>
      </c>
      <c r="PO17">
        <v>153.6506</v>
      </c>
      <c r="PP17">
        <v>247.2235</v>
      </c>
      <c r="PQ17">
        <v>510.97449999999998</v>
      </c>
      <c r="PR17">
        <v>93.035060000000001</v>
      </c>
      <c r="PS17">
        <v>568.30150000000003</v>
      </c>
      <c r="PT17">
        <v>1143.0309999999999</v>
      </c>
      <c r="PU17">
        <v>483.6816</v>
      </c>
      <c r="PV17">
        <v>873.74450000000002</v>
      </c>
      <c r="PW17">
        <v>62.946710000000003</v>
      </c>
      <c r="PX17">
        <v>138.75649999999999</v>
      </c>
      <c r="PY17">
        <v>725.23130000000003</v>
      </c>
      <c r="PZ17">
        <v>142.6104</v>
      </c>
      <c r="QA17">
        <v>308833.8</v>
      </c>
      <c r="QB17">
        <v>6201.25</v>
      </c>
      <c r="QC17">
        <v>74324.960000000006</v>
      </c>
      <c r="QD17">
        <v>8741.7540000000008</v>
      </c>
      <c r="QE17">
        <v>15691.31</v>
      </c>
      <c r="QF17">
        <v>9632.0769999999993</v>
      </c>
      <c r="QG17">
        <v>2063.6289999999999</v>
      </c>
      <c r="QH17">
        <v>1373.15</v>
      </c>
      <c r="QI17">
        <v>1133.2940000000001</v>
      </c>
      <c r="QJ17">
        <v>10546.48</v>
      </c>
      <c r="QK17">
        <v>9907.2369999999992</v>
      </c>
      <c r="QL17">
        <v>5322.6239999999998</v>
      </c>
      <c r="QM17">
        <v>4737.4340000000002</v>
      </c>
      <c r="QN17">
        <v>446.76990000000001</v>
      </c>
      <c r="QO17">
        <v>1407.999</v>
      </c>
      <c r="QP17">
        <v>1106.6849999999999</v>
      </c>
      <c r="QQ17">
        <v>295.69979999999998</v>
      </c>
      <c r="QR17">
        <v>1092.8779999999999</v>
      </c>
      <c r="QS17">
        <v>1175.69</v>
      </c>
      <c r="QT17">
        <v>1006.366</v>
      </c>
      <c r="QU17">
        <v>539.6078</v>
      </c>
      <c r="QV17">
        <v>17678.12</v>
      </c>
      <c r="QW17">
        <v>6327.933</v>
      </c>
      <c r="QX17">
        <v>1053.075</v>
      </c>
      <c r="QY17">
        <v>1874.971</v>
      </c>
      <c r="QZ17">
        <v>5518.2550000000001</v>
      </c>
      <c r="RA17">
        <v>1192.5419999999999</v>
      </c>
      <c r="RB17">
        <v>2248.723</v>
      </c>
      <c r="RC17">
        <v>168498.6</v>
      </c>
      <c r="RD17">
        <v>72758.91</v>
      </c>
      <c r="RE17">
        <v>1.0848420000000001</v>
      </c>
      <c r="RF17">
        <v>580.8596</v>
      </c>
      <c r="RG17">
        <v>162.67529999999999</v>
      </c>
      <c r="RH17">
        <v>1234.2049999999999</v>
      </c>
      <c r="RI17">
        <v>95.67989</v>
      </c>
      <c r="RJ17">
        <v>163.79310000000001</v>
      </c>
      <c r="RK17">
        <v>72.832610000000003</v>
      </c>
      <c r="RL17">
        <v>3240.752</v>
      </c>
      <c r="RM17">
        <v>147.49180000000001</v>
      </c>
      <c r="RN17">
        <v>817.97170000000006</v>
      </c>
      <c r="RO17">
        <v>810.88379999999995</v>
      </c>
      <c r="RP17">
        <v>444.21379999999999</v>
      </c>
      <c r="RQ17">
        <v>841.05859999999996</v>
      </c>
      <c r="RR17">
        <v>65.563079999999999</v>
      </c>
      <c r="RS17">
        <v>159.06379999999999</v>
      </c>
      <c r="RT17">
        <v>1008.218</v>
      </c>
      <c r="RU17">
        <v>131.12029999999999</v>
      </c>
      <c r="RV17">
        <v>314167.59999999998</v>
      </c>
      <c r="RW17">
        <v>7498.6409999999996</v>
      </c>
      <c r="RX17">
        <v>73840.7</v>
      </c>
      <c r="RY17">
        <v>10694.63</v>
      </c>
      <c r="RZ17">
        <v>15093.29</v>
      </c>
      <c r="SA17">
        <v>9894.8989999999994</v>
      </c>
      <c r="SB17">
        <v>3154.0149999999999</v>
      </c>
      <c r="SC17">
        <v>1069.5640000000001</v>
      </c>
      <c r="SD17">
        <v>97.547120000000007</v>
      </c>
      <c r="SE17">
        <v>717.05550000000005</v>
      </c>
      <c r="SF17">
        <v>34760.629999999997</v>
      </c>
      <c r="SG17">
        <v>51.681319999999999</v>
      </c>
      <c r="SH17">
        <v>8525.3770000000004</v>
      </c>
      <c r="SI17">
        <v>17255.87</v>
      </c>
      <c r="SJ17">
        <v>8927.6970000000001</v>
      </c>
      <c r="SK17">
        <v>34133.31</v>
      </c>
      <c r="SL17">
        <v>45.379809999999999</v>
      </c>
      <c r="SM17">
        <v>8300.9380000000001</v>
      </c>
      <c r="SN17">
        <v>16994.73</v>
      </c>
      <c r="SO17">
        <v>8792.2620000000006</v>
      </c>
      <c r="SP17">
        <v>109110.6</v>
      </c>
      <c r="SQ17">
        <v>78973.47</v>
      </c>
      <c r="SR17">
        <v>111276.3</v>
      </c>
      <c r="SS17">
        <v>70676.42</v>
      </c>
      <c r="ST17">
        <v>39.256459999999997</v>
      </c>
      <c r="SU17">
        <v>0.31127700000000003</v>
      </c>
      <c r="SV17">
        <v>6.1360200000000003</v>
      </c>
      <c r="SW17">
        <v>12.32029</v>
      </c>
      <c r="SX17">
        <v>20.488869999999999</v>
      </c>
      <c r="SY17">
        <v>38.559699999999999</v>
      </c>
      <c r="SZ17">
        <v>0.27332299999999998</v>
      </c>
      <c r="TA17">
        <v>5.9744830000000002</v>
      </c>
      <c r="TB17">
        <v>12.133839999999999</v>
      </c>
      <c r="TC17">
        <v>20.178049999999999</v>
      </c>
      <c r="TD17">
        <v>25045.360000000001</v>
      </c>
      <c r="TE17">
        <v>813.48699999999997</v>
      </c>
      <c r="TF17">
        <v>479.11279999999999</v>
      </c>
      <c r="TG17">
        <v>220.56899999999999</v>
      </c>
      <c r="TH17">
        <v>50.647620000000003</v>
      </c>
      <c r="TI17">
        <v>103.5206</v>
      </c>
      <c r="TJ17">
        <v>85.578410000000005</v>
      </c>
      <c r="TK17">
        <v>26.372900000000001</v>
      </c>
      <c r="TL17">
        <v>31.62086</v>
      </c>
      <c r="TM17">
        <v>167.05240000000001</v>
      </c>
      <c r="TN17">
        <v>41.763649999999998</v>
      </c>
      <c r="TO17">
        <v>26.865189999999998</v>
      </c>
      <c r="TP17">
        <v>2027.904</v>
      </c>
      <c r="TQ17">
        <v>1960.8820000000001</v>
      </c>
      <c r="TR17">
        <v>99.420169999999999</v>
      </c>
      <c r="TS17">
        <v>176.61349999999999</v>
      </c>
      <c r="TT17">
        <v>416.98079999999999</v>
      </c>
      <c r="TU17">
        <v>43.068739999999998</v>
      </c>
      <c r="TV17">
        <v>74.673370000000006</v>
      </c>
      <c r="TW17">
        <v>11819.79</v>
      </c>
      <c r="TX17">
        <v>6249.884</v>
      </c>
      <c r="TY17">
        <v>0.51802899999999996</v>
      </c>
      <c r="TZ17">
        <v>11.25061</v>
      </c>
      <c r="UA17">
        <v>6.1857879999999996</v>
      </c>
      <c r="UB17">
        <v>60.05509</v>
      </c>
      <c r="UC17">
        <v>0.72448800000000002</v>
      </c>
      <c r="UD17">
        <v>2.42855</v>
      </c>
      <c r="UE17">
        <v>4.4134760000000002</v>
      </c>
      <c r="UF17">
        <v>1.6957420000000001</v>
      </c>
      <c r="UG17">
        <v>0.80109200000000003</v>
      </c>
      <c r="UH17">
        <v>10.611750000000001</v>
      </c>
      <c r="UI17">
        <v>5.3905089999999998</v>
      </c>
      <c r="UJ17">
        <v>16.05153</v>
      </c>
      <c r="UK17">
        <v>6.1494470000000003</v>
      </c>
      <c r="UL17">
        <v>0.48003499999999999</v>
      </c>
      <c r="UM17">
        <v>0.51706200000000002</v>
      </c>
      <c r="UN17">
        <v>1.895519</v>
      </c>
      <c r="UO17">
        <v>0.38335999999999998</v>
      </c>
      <c r="UP17">
        <v>25230.86</v>
      </c>
      <c r="UQ17">
        <v>818.32730000000004</v>
      </c>
      <c r="UR17">
        <v>485.54939999999999</v>
      </c>
      <c r="US17">
        <v>220.47290000000001</v>
      </c>
      <c r="UT17">
        <v>51.55095</v>
      </c>
      <c r="UU17">
        <v>105.79519999999999</v>
      </c>
      <c r="UV17">
        <v>87.259889999999999</v>
      </c>
      <c r="UW17">
        <v>26.648140000000001</v>
      </c>
      <c r="UX17">
        <v>31.88355</v>
      </c>
      <c r="UY17">
        <v>170.03960000000001</v>
      </c>
      <c r="UZ17">
        <v>42.513629999999999</v>
      </c>
      <c r="VA17">
        <v>26.882619999999999</v>
      </c>
      <c r="VB17">
        <v>2040.3579999999999</v>
      </c>
      <c r="VC17">
        <v>1981.4880000000001</v>
      </c>
      <c r="VD17">
        <v>100.7786</v>
      </c>
      <c r="VE17">
        <v>177.5872</v>
      </c>
      <c r="VF17">
        <v>419.49889999999999</v>
      </c>
      <c r="VG17">
        <v>42.071750000000002</v>
      </c>
      <c r="VH17">
        <v>75.844139999999996</v>
      </c>
      <c r="VI17">
        <v>11934.31</v>
      </c>
      <c r="VJ17">
        <v>6259.4049999999997</v>
      </c>
      <c r="VK17">
        <v>0.34049299999999999</v>
      </c>
      <c r="VL17">
        <v>10.79828</v>
      </c>
      <c r="VM17">
        <v>8.5592579999999998</v>
      </c>
      <c r="VN17">
        <v>54.851730000000003</v>
      </c>
      <c r="VO17">
        <v>0.199436</v>
      </c>
      <c r="VP17">
        <v>2.5748180000000001</v>
      </c>
      <c r="VQ17">
        <v>1.5894729999999999</v>
      </c>
      <c r="VR17">
        <v>8.6934649999999998</v>
      </c>
      <c r="VS17">
        <v>1.1780839999999999</v>
      </c>
      <c r="VT17">
        <v>14.614000000000001</v>
      </c>
      <c r="VU17">
        <v>4.105067</v>
      </c>
      <c r="VV17">
        <v>14.97687</v>
      </c>
      <c r="VW17">
        <v>6.0499140000000002</v>
      </c>
      <c r="VX17">
        <v>0.50216799999999995</v>
      </c>
      <c r="VY17">
        <v>0.59192900000000004</v>
      </c>
      <c r="VZ17">
        <v>2.6063999999999998</v>
      </c>
      <c r="WA17">
        <v>0.35802299999999998</v>
      </c>
      <c r="WB17">
        <v>0.106013</v>
      </c>
      <c r="WC17">
        <v>9.8222000000000004E-2</v>
      </c>
      <c r="WD17">
        <v>-1.1615E-2</v>
      </c>
      <c r="WE17">
        <v>-1.1571E-2</v>
      </c>
      <c r="WF17">
        <v>0.65200100000000005</v>
      </c>
      <c r="WG17">
        <v>0.62529800000000002</v>
      </c>
      <c r="WH17">
        <v>-2.3932999999999999E-2</v>
      </c>
      <c r="WI17">
        <v>-1.8647E-2</v>
      </c>
      <c r="WJ17">
        <v>2101072</v>
      </c>
      <c r="WK17">
        <v>2121841</v>
      </c>
    </row>
    <row r="18" spans="1:609" ht="14.45" x14ac:dyDescent="0.35">
      <c r="A18">
        <v>2019</v>
      </c>
      <c r="B18">
        <v>0.97374700000000003</v>
      </c>
      <c r="C18">
        <v>119.5206</v>
      </c>
      <c r="D18">
        <v>1.436323</v>
      </c>
      <c r="E18">
        <v>1.9941329999999999</v>
      </c>
      <c r="F18">
        <v>-0.37203999999999998</v>
      </c>
      <c r="G18">
        <v>0.33133699999999999</v>
      </c>
      <c r="H18">
        <v>-0.85740700000000003</v>
      </c>
      <c r="I18">
        <v>0.78925299999999998</v>
      </c>
      <c r="J18">
        <v>1.810306</v>
      </c>
      <c r="K18">
        <v>0.224135</v>
      </c>
      <c r="L18">
        <v>1.582624</v>
      </c>
      <c r="M18">
        <v>0.35589500000000002</v>
      </c>
      <c r="N18">
        <v>0</v>
      </c>
      <c r="O18">
        <v>-3.371823</v>
      </c>
      <c r="P18">
        <v>-0.57289500000000004</v>
      </c>
      <c r="Q18">
        <v>-14.551539999999999</v>
      </c>
      <c r="R18">
        <v>81.786990000000003</v>
      </c>
      <c r="S18">
        <v>45.144019999999998</v>
      </c>
      <c r="T18">
        <v>52.233029999999999</v>
      </c>
      <c r="U18">
        <v>45.144019999999998</v>
      </c>
      <c r="V18">
        <v>49.680019999999999</v>
      </c>
      <c r="W18">
        <v>0.748448</v>
      </c>
      <c r="X18">
        <v>16168.58</v>
      </c>
      <c r="Y18">
        <v>0.13140199999999999</v>
      </c>
      <c r="Z18">
        <v>0.37320700000000001</v>
      </c>
      <c r="AA18">
        <v>-0.33454200000000001</v>
      </c>
      <c r="AB18">
        <v>-0.33088400000000001</v>
      </c>
      <c r="AC18">
        <v>4.3327999999999998E-2</v>
      </c>
      <c r="AD18">
        <v>13475.98</v>
      </c>
      <c r="AE18">
        <v>17414.38</v>
      </c>
      <c r="AF18">
        <v>31714.53</v>
      </c>
      <c r="AG18">
        <v>-2287.81</v>
      </c>
      <c r="AH18">
        <v>29531.040000000001</v>
      </c>
      <c r="AI18">
        <v>-5.7130000000000002E-3</v>
      </c>
      <c r="AJ18">
        <v>58.674079999999996</v>
      </c>
      <c r="AK18">
        <v>182.5334</v>
      </c>
      <c r="AL18">
        <v>60.775269999999999</v>
      </c>
      <c r="AM18">
        <v>45.585230000000003</v>
      </c>
      <c r="AN18">
        <v>141.81440000000001</v>
      </c>
      <c r="AO18">
        <v>47.217689999999997</v>
      </c>
      <c r="AP18">
        <v>159.6026</v>
      </c>
      <c r="AQ18">
        <v>123.99890000000001</v>
      </c>
      <c r="AR18">
        <v>278.92959999999999</v>
      </c>
      <c r="AS18">
        <v>357.2192</v>
      </c>
      <c r="AT18">
        <v>494.94889999999998</v>
      </c>
      <c r="AU18">
        <v>137.49629999999999</v>
      </c>
      <c r="AV18">
        <v>100.9049</v>
      </c>
      <c r="AW18">
        <v>0.98074399999999995</v>
      </c>
      <c r="AX18">
        <v>1.0872230000000001</v>
      </c>
      <c r="AY18">
        <v>1.635103</v>
      </c>
      <c r="AZ18">
        <v>-0.25418800000000003</v>
      </c>
      <c r="BA18">
        <v>2.416531</v>
      </c>
      <c r="BB18">
        <v>2.790975</v>
      </c>
      <c r="BC18">
        <v>2.2298960000000001</v>
      </c>
      <c r="BD18">
        <v>6.1482359999999998</v>
      </c>
      <c r="BE18">
        <v>0.58661399999999997</v>
      </c>
      <c r="BF18">
        <v>1.802681</v>
      </c>
      <c r="BG18">
        <v>4.1098499999999998</v>
      </c>
      <c r="BH18">
        <v>0.48783199999999999</v>
      </c>
      <c r="BI18">
        <v>0.68193599999999999</v>
      </c>
      <c r="BJ18">
        <v>1.4352579999999999</v>
      </c>
      <c r="BK18">
        <v>1.971557</v>
      </c>
      <c r="BL18">
        <v>0.87149799999999999</v>
      </c>
      <c r="BM18">
        <v>0.99999499999999997</v>
      </c>
      <c r="BN18">
        <v>-2.5255209999999999</v>
      </c>
      <c r="BO18">
        <v>1.973158</v>
      </c>
      <c r="BP18">
        <v>1.020327</v>
      </c>
      <c r="BQ18">
        <v>0.20653299999999999</v>
      </c>
      <c r="BR18">
        <v>-43.17512</v>
      </c>
      <c r="BS18">
        <v>-4.3810630000000002</v>
      </c>
      <c r="BT18">
        <v>74.134569999999997</v>
      </c>
      <c r="BU18">
        <v>-11.322649999999999</v>
      </c>
      <c r="BV18">
        <v>-76.867050000000006</v>
      </c>
      <c r="BW18">
        <v>3.8131840000000001</v>
      </c>
      <c r="BX18">
        <v>-78.845690000000005</v>
      </c>
      <c r="BY18">
        <v>513.65830000000005</v>
      </c>
      <c r="BZ18">
        <v>280.42020000000002</v>
      </c>
      <c r="CA18">
        <v>40.149839999999998</v>
      </c>
      <c r="CB18">
        <v>-42.895409999999998</v>
      </c>
      <c r="CC18">
        <v>-14.457100000000001</v>
      </c>
      <c r="CD18">
        <v>-2.5901909999999999</v>
      </c>
      <c r="CE18">
        <v>14.48921</v>
      </c>
      <c r="CF18">
        <v>8.8998439999999999</v>
      </c>
      <c r="CG18">
        <v>21.861409999999999</v>
      </c>
      <c r="CH18">
        <v>23.770150000000001</v>
      </c>
      <c r="CI18">
        <v>1.6795979999999999</v>
      </c>
      <c r="CJ18">
        <v>2.9294129999999998</v>
      </c>
      <c r="CK18">
        <v>-0.14166599999999999</v>
      </c>
      <c r="CL18">
        <v>2.7444229999999998</v>
      </c>
      <c r="CM18">
        <v>3.0873089999999999</v>
      </c>
      <c r="CN18">
        <v>1.5084949999999999</v>
      </c>
      <c r="CO18">
        <v>8.930828</v>
      </c>
      <c r="CP18">
        <v>0.410302</v>
      </c>
      <c r="CQ18">
        <v>0.42109099999999999</v>
      </c>
      <c r="CR18">
        <v>9.2461870000000008</v>
      </c>
      <c r="CS18">
        <v>1.5725499999999999</v>
      </c>
      <c r="CT18">
        <v>1.1853359999999999</v>
      </c>
      <c r="CU18">
        <v>1.6068990000000001</v>
      </c>
      <c r="CV18">
        <v>2.130226</v>
      </c>
      <c r="CW18">
        <v>1.179494</v>
      </c>
      <c r="CX18">
        <v>1.940887</v>
      </c>
      <c r="CY18">
        <v>-1.679762</v>
      </c>
      <c r="CZ18">
        <v>1.625788</v>
      </c>
      <c r="DA18">
        <v>1.2844549999999999</v>
      </c>
      <c r="DB18">
        <v>0.32763300000000001</v>
      </c>
      <c r="DC18">
        <v>-41.208460000000002</v>
      </c>
      <c r="DD18">
        <v>-5.355925</v>
      </c>
      <c r="DE18">
        <v>31.253530000000001</v>
      </c>
      <c r="DF18">
        <v>-11.42909</v>
      </c>
      <c r="DG18">
        <v>-85.449809999999999</v>
      </c>
      <c r="DH18">
        <v>5.8955520000000003</v>
      </c>
      <c r="DI18">
        <v>-79.47972</v>
      </c>
      <c r="DJ18">
        <v>657.09299999999996</v>
      </c>
      <c r="DK18">
        <v>172.70140000000001</v>
      </c>
      <c r="DL18">
        <v>48.227910000000001</v>
      </c>
      <c r="DM18">
        <v>-40.426949999999998</v>
      </c>
      <c r="DN18">
        <v>-9.8436430000000001</v>
      </c>
      <c r="DO18">
        <v>-3.65842</v>
      </c>
      <c r="DP18">
        <v>11.58447</v>
      </c>
      <c r="DQ18">
        <v>13.129</v>
      </c>
      <c r="DR18">
        <v>32.042990000000003</v>
      </c>
      <c r="DS18">
        <v>10.05233</v>
      </c>
      <c r="DT18">
        <v>1.9876000000000001E-2</v>
      </c>
      <c r="DU18">
        <v>1.888215</v>
      </c>
      <c r="DV18">
        <v>-1.127389</v>
      </c>
      <c r="DW18">
        <v>2.6066690000000001</v>
      </c>
      <c r="DX18">
        <v>2.3121640000000001</v>
      </c>
      <c r="DY18">
        <v>2.364271</v>
      </c>
      <c r="DZ18">
        <v>1.2816160000000001</v>
      </c>
      <c r="EA18">
        <v>1.932248</v>
      </c>
      <c r="EB18">
        <v>2.9718789999999999</v>
      </c>
      <c r="EC18">
        <v>0</v>
      </c>
      <c r="ED18">
        <v>2.0979399999999999</v>
      </c>
      <c r="EE18">
        <v>2.0618280000000002</v>
      </c>
      <c r="EF18">
        <v>1.8886540000000001</v>
      </c>
      <c r="EG18">
        <v>0.52312599999999998</v>
      </c>
      <c r="EH18">
        <v>0.94339899999999999</v>
      </c>
      <c r="EI18">
        <v>0.781165</v>
      </c>
      <c r="EJ18">
        <v>1.1984109999999999</v>
      </c>
      <c r="EK18">
        <v>-1.2423489999999999</v>
      </c>
      <c r="EL18">
        <v>1.9988520000000001</v>
      </c>
      <c r="EM18">
        <v>2.0232679999999998</v>
      </c>
      <c r="EN18">
        <v>-13.217890000000001</v>
      </c>
      <c r="EO18">
        <v>-7.3397880000000004</v>
      </c>
      <c r="EP18">
        <v>-0.52301500000000001</v>
      </c>
      <c r="EQ18">
        <v>-1.8759030000000001</v>
      </c>
      <c r="ER18">
        <v>6.9145729999999999</v>
      </c>
      <c r="ES18">
        <v>75.760800000000003</v>
      </c>
      <c r="ET18">
        <v>2.217536</v>
      </c>
      <c r="EU18">
        <v>32.102499999999999</v>
      </c>
      <c r="EV18">
        <v>0.51368000000000003</v>
      </c>
      <c r="EW18">
        <v>1.8767130000000001</v>
      </c>
      <c r="EX18">
        <v>2.37005</v>
      </c>
      <c r="EY18">
        <v>0.74832699999999996</v>
      </c>
      <c r="EZ18">
        <v>9.9176E-2</v>
      </c>
      <c r="FA18">
        <v>5.0579710000000002</v>
      </c>
      <c r="FB18">
        <v>1.622878</v>
      </c>
      <c r="FC18">
        <v>33.863039999999998</v>
      </c>
      <c r="FD18">
        <v>9.2561800000000005</v>
      </c>
      <c r="FE18">
        <v>0.55903700000000001</v>
      </c>
      <c r="FF18">
        <v>0.86146599999999995</v>
      </c>
      <c r="FG18">
        <v>1.5488059999999999</v>
      </c>
      <c r="FH18">
        <v>0.34825200000000001</v>
      </c>
      <c r="FI18">
        <v>5.1389860000000001</v>
      </c>
      <c r="FJ18">
        <v>71.751459999999994</v>
      </c>
      <c r="FK18">
        <v>2.6284010000000002</v>
      </c>
      <c r="FL18">
        <v>28.450320000000001</v>
      </c>
      <c r="FM18">
        <v>8.4524000000000002E-2</v>
      </c>
      <c r="FN18">
        <v>1.947754</v>
      </c>
      <c r="FO18">
        <v>0.51554100000000003</v>
      </c>
      <c r="FP18">
        <v>4.5751660000000003</v>
      </c>
      <c r="FQ18">
        <v>0.36762499999999998</v>
      </c>
      <c r="FR18">
        <v>7.0700180000000001</v>
      </c>
      <c r="FS18">
        <v>0.92897399999999997</v>
      </c>
      <c r="FT18">
        <v>31.32705</v>
      </c>
      <c r="FU18">
        <v>9.1896269999999998</v>
      </c>
      <c r="FV18">
        <v>0.65273999999999999</v>
      </c>
      <c r="FW18">
        <v>0.96004100000000003</v>
      </c>
      <c r="FX18">
        <v>1.9311959999999999</v>
      </c>
      <c r="FY18">
        <v>0.44242500000000001</v>
      </c>
      <c r="FZ18">
        <v>4.9679770000000003</v>
      </c>
      <c r="GA18">
        <v>60.557220000000001</v>
      </c>
      <c r="GB18">
        <v>2.217536</v>
      </c>
      <c r="GC18">
        <v>28.16122</v>
      </c>
      <c r="GD18">
        <v>0.45061499999999999</v>
      </c>
      <c r="GE18">
        <v>1.646306</v>
      </c>
      <c r="GF18">
        <v>2.0790739999999999</v>
      </c>
      <c r="GG18">
        <v>0.65645399999999998</v>
      </c>
      <c r="GH18">
        <v>8.6999999999999994E-2</v>
      </c>
      <c r="GI18">
        <v>4.4369949999999996</v>
      </c>
      <c r="GJ18">
        <v>1.423635</v>
      </c>
      <c r="GK18">
        <v>32.062620000000003</v>
      </c>
      <c r="GL18">
        <v>9.2561800000000005</v>
      </c>
      <c r="GM18">
        <v>0.55903700000000001</v>
      </c>
      <c r="GN18">
        <v>0.86146599999999995</v>
      </c>
      <c r="GO18">
        <v>1.5488059999999999</v>
      </c>
      <c r="GP18">
        <v>0.34825200000000001</v>
      </c>
      <c r="GQ18">
        <v>3.2020390000000001</v>
      </c>
      <c r="GR18">
        <v>56.609319999999997</v>
      </c>
      <c r="GS18">
        <v>2.6284010000000002</v>
      </c>
      <c r="GT18">
        <v>24.92154</v>
      </c>
      <c r="GU18">
        <v>7.4040999999999996E-2</v>
      </c>
      <c r="GV18">
        <v>1.7061679999999999</v>
      </c>
      <c r="GW18">
        <v>0.45159700000000003</v>
      </c>
      <c r="GX18">
        <v>4.0076939999999999</v>
      </c>
      <c r="GY18">
        <v>0.32202700000000001</v>
      </c>
      <c r="GZ18">
        <v>6.1931029999999998</v>
      </c>
      <c r="HA18">
        <v>0.813751</v>
      </c>
      <c r="HB18">
        <v>29.533899999999999</v>
      </c>
      <c r="HC18">
        <v>9.1896269999999998</v>
      </c>
      <c r="HD18">
        <v>0.65273999999999999</v>
      </c>
      <c r="HE18">
        <v>0.96004100000000003</v>
      </c>
      <c r="HF18">
        <v>1.9311959999999999</v>
      </c>
      <c r="HG18">
        <v>0.44242500000000001</v>
      </c>
      <c r="HH18">
        <v>5.0575799999999997</v>
      </c>
      <c r="HI18">
        <v>65.089550000000003</v>
      </c>
      <c r="HJ18">
        <v>2.217536</v>
      </c>
      <c r="HK18">
        <v>115.89190000000001</v>
      </c>
      <c r="HL18">
        <v>1.109558</v>
      </c>
      <c r="HM18">
        <v>4.053731</v>
      </c>
      <c r="HN18">
        <v>5.1193460000000002</v>
      </c>
      <c r="HO18">
        <v>0.80899699999999997</v>
      </c>
      <c r="HP18">
        <v>0.10721700000000001</v>
      </c>
      <c r="HQ18">
        <v>5.4680419999999996</v>
      </c>
      <c r="HR18">
        <v>4.7435179999999999</v>
      </c>
      <c r="HS18">
        <v>32.282919999999997</v>
      </c>
      <c r="HT18">
        <v>9.3946170000000002</v>
      </c>
      <c r="HU18">
        <v>0.56739799999999996</v>
      </c>
      <c r="HV18">
        <v>0.87435099999999999</v>
      </c>
      <c r="HW18">
        <v>1.571971</v>
      </c>
      <c r="HX18">
        <v>0.35346100000000003</v>
      </c>
      <c r="HY18">
        <v>3.2432669999999999</v>
      </c>
      <c r="HZ18">
        <v>60.523910000000001</v>
      </c>
      <c r="IA18">
        <v>2.6284010000000002</v>
      </c>
      <c r="IB18">
        <v>99.418409999999994</v>
      </c>
      <c r="IC18">
        <v>8.4524000000000002E-2</v>
      </c>
      <c r="ID18">
        <v>4.1361910000000002</v>
      </c>
      <c r="IE18">
        <v>0.51554100000000003</v>
      </c>
      <c r="IF18">
        <v>4.9178100000000002</v>
      </c>
      <c r="IG18">
        <v>0.39515699999999998</v>
      </c>
      <c r="IH18">
        <v>7.5995080000000002</v>
      </c>
      <c r="II18">
        <v>2.7801930000000001</v>
      </c>
      <c r="IJ18">
        <v>29.806139999999999</v>
      </c>
      <c r="IK18">
        <v>9.3882250000000003</v>
      </c>
      <c r="IL18">
        <v>0.66283800000000004</v>
      </c>
      <c r="IM18">
        <v>0.98482999999999998</v>
      </c>
      <c r="IN18">
        <v>1.9805079999999999</v>
      </c>
      <c r="IO18">
        <v>0.449766</v>
      </c>
      <c r="IP18">
        <v>4.3673070000000003</v>
      </c>
      <c r="IQ18">
        <v>4.8244980000000002</v>
      </c>
      <c r="IR18">
        <v>0.76099799999999995</v>
      </c>
      <c r="IS18">
        <v>1.688077</v>
      </c>
      <c r="IT18">
        <v>3.656361</v>
      </c>
      <c r="IU18">
        <v>3.8359909999999999</v>
      </c>
      <c r="IV18">
        <v>4.7296630000000004</v>
      </c>
      <c r="IW18">
        <v>5.7113300000000002</v>
      </c>
      <c r="IX18">
        <v>0.71579300000000001</v>
      </c>
      <c r="IY18">
        <v>5.6327629999999997</v>
      </c>
      <c r="IZ18">
        <v>1.629877</v>
      </c>
      <c r="JA18">
        <v>7.4395600000000002</v>
      </c>
      <c r="JB18">
        <v>0.36286800000000002</v>
      </c>
      <c r="JC18">
        <v>1.1951799999999999</v>
      </c>
      <c r="JD18">
        <v>0.85878100000000002</v>
      </c>
      <c r="JE18">
        <v>17.792400000000001</v>
      </c>
      <c r="JF18">
        <v>0.354657</v>
      </c>
      <c r="JG18">
        <v>1.8477250000000001</v>
      </c>
      <c r="JH18">
        <v>18.364049999999999</v>
      </c>
      <c r="JI18">
        <v>6.1217480000000002</v>
      </c>
      <c r="JJ18">
        <v>20.438580000000002</v>
      </c>
      <c r="JK18">
        <v>38.992179999999998</v>
      </c>
      <c r="JL18">
        <v>4.1717519999999997</v>
      </c>
      <c r="JM18">
        <v>4.5826700000000002</v>
      </c>
      <c r="JN18">
        <v>0.73954900000000001</v>
      </c>
      <c r="JO18">
        <v>1.552681</v>
      </c>
      <c r="JP18">
        <v>3.3040250000000002</v>
      </c>
      <c r="JQ18">
        <v>3.5885259999999999</v>
      </c>
      <c r="JR18">
        <v>4.2939910000000001</v>
      </c>
      <c r="JS18">
        <v>5.5851470000000001</v>
      </c>
      <c r="JT18">
        <v>0.70627499999999999</v>
      </c>
      <c r="JU18">
        <v>4.1715819999999999</v>
      </c>
      <c r="JV18">
        <v>1.547455</v>
      </c>
      <c r="JW18">
        <v>6.9893780000000003</v>
      </c>
      <c r="JX18">
        <v>0.30385800000000002</v>
      </c>
      <c r="JY18">
        <v>1.186086</v>
      </c>
      <c r="JZ18">
        <v>0.84869899999999998</v>
      </c>
      <c r="KA18">
        <v>17.086200000000002</v>
      </c>
      <c r="KB18">
        <v>0.30770900000000001</v>
      </c>
      <c r="KC18">
        <v>1.6877500000000001</v>
      </c>
      <c r="KD18">
        <v>18.024760000000001</v>
      </c>
      <c r="KE18">
        <v>5.9394260000000001</v>
      </c>
      <c r="KF18">
        <v>18.88561</v>
      </c>
      <c r="KG18">
        <v>38.136490000000002</v>
      </c>
      <c r="KH18">
        <v>4195.366</v>
      </c>
      <c r="KI18">
        <v>7824.61</v>
      </c>
      <c r="KJ18">
        <v>6041.7079999999996</v>
      </c>
      <c r="KK18">
        <v>3875.4490000000001</v>
      </c>
      <c r="KL18">
        <v>5875.067</v>
      </c>
      <c r="KM18">
        <v>2034.635</v>
      </c>
      <c r="KN18">
        <v>2052.6660000000002</v>
      </c>
      <c r="KO18">
        <v>0</v>
      </c>
      <c r="KP18">
        <v>30817.85</v>
      </c>
      <c r="KQ18">
        <v>1081.6479999999999</v>
      </c>
      <c r="KR18">
        <v>0</v>
      </c>
      <c r="KS18">
        <v>4949.17</v>
      </c>
      <c r="KT18">
        <v>7808.3519999999999</v>
      </c>
      <c r="KU18">
        <v>6150.741</v>
      </c>
      <c r="KV18">
        <v>4062.21</v>
      </c>
      <c r="KW18">
        <v>5821.3580000000002</v>
      </c>
      <c r="KX18">
        <v>1877.4369999999999</v>
      </c>
      <c r="KY18">
        <v>1127.454</v>
      </c>
      <c r="KZ18">
        <v>0</v>
      </c>
      <c r="LA18">
        <v>29916.53</v>
      </c>
      <c r="LB18">
        <v>1880.19</v>
      </c>
      <c r="LC18">
        <v>0</v>
      </c>
      <c r="LD18">
        <v>46737480</v>
      </c>
      <c r="LE18" s="21">
        <v>190000000</v>
      </c>
      <c r="LF18" s="21">
        <v>592000000</v>
      </c>
      <c r="LG18" s="21">
        <v>644000000</v>
      </c>
      <c r="LH18" s="21">
        <v>657000000</v>
      </c>
      <c r="LI18" s="21">
        <v>347000000</v>
      </c>
      <c r="LJ18" s="21">
        <v>144000000</v>
      </c>
      <c r="LK18" s="21">
        <v>2.1399999999999998E-6</v>
      </c>
      <c r="LL18" s="21">
        <v>4.0500000000000002E-6</v>
      </c>
      <c r="LM18" s="21">
        <v>7.4100000000000002E-6</v>
      </c>
      <c r="LN18" s="21">
        <v>1.52E-5</v>
      </c>
      <c r="LO18" s="21">
        <v>2.19E-5</v>
      </c>
      <c r="LP18" s="21">
        <v>3.0499999999999999E-5</v>
      </c>
      <c r="LQ18" s="21">
        <v>4.4499999999999997E-5</v>
      </c>
      <c r="LR18">
        <v>51312928</v>
      </c>
      <c r="LS18" s="21">
        <v>197000000</v>
      </c>
      <c r="LT18" s="21">
        <v>596000000</v>
      </c>
      <c r="LU18" s="21">
        <v>641000000</v>
      </c>
      <c r="LV18" s="21">
        <v>651000000</v>
      </c>
      <c r="LW18" s="21">
        <v>342000000</v>
      </c>
      <c r="LX18" s="21">
        <v>141000000</v>
      </c>
      <c r="LY18" s="21">
        <v>2.3199999999999998E-6</v>
      </c>
      <c r="LZ18" s="21">
        <v>4.3800000000000004E-6</v>
      </c>
      <c r="MA18" s="21">
        <v>8.0299999999999994E-6</v>
      </c>
      <c r="MB18" s="21">
        <v>1.6500000000000001E-5</v>
      </c>
      <c r="MC18" s="21">
        <v>2.3900000000000002E-5</v>
      </c>
      <c r="MD18" s="21">
        <v>3.3500000000000001E-5</v>
      </c>
      <c r="ME18" s="21">
        <v>4.88E-5</v>
      </c>
      <c r="MF18">
        <v>0.27339200000000002</v>
      </c>
      <c r="MG18">
        <v>0.40750799999999998</v>
      </c>
      <c r="MH18">
        <v>0.21384700000000001</v>
      </c>
      <c r="MI18">
        <v>4.4635000000000001E-2</v>
      </c>
      <c r="MJ18">
        <v>1.7573999999999999E-2</v>
      </c>
      <c r="MK18">
        <v>5.3509999999999999E-3</v>
      </c>
      <c r="ML18">
        <v>3.7692000000000003E-2</v>
      </c>
      <c r="MM18">
        <v>0.30685699999999999</v>
      </c>
      <c r="MN18">
        <v>0.43402600000000002</v>
      </c>
      <c r="MO18">
        <v>0.230711</v>
      </c>
      <c r="MP18">
        <v>5.2826999999999999E-2</v>
      </c>
      <c r="MQ18">
        <v>1.7432E-2</v>
      </c>
      <c r="MR18">
        <v>-8.6280000000000003E-3</v>
      </c>
      <c r="MS18">
        <v>-3.3223999999999997E-2</v>
      </c>
      <c r="MT18">
        <v>0.32534299999999999</v>
      </c>
      <c r="MU18">
        <v>0.38086999999999999</v>
      </c>
      <c r="MV18">
        <v>0.21376899999999999</v>
      </c>
      <c r="MW18">
        <v>6.4201999999999995E-2</v>
      </c>
      <c r="MX18">
        <v>1.274E-2</v>
      </c>
      <c r="MY18">
        <v>4.6900000000000002E-4</v>
      </c>
      <c r="MZ18">
        <v>2.6069999999999999E-3</v>
      </c>
      <c r="NA18">
        <v>0.47785</v>
      </c>
      <c r="NB18">
        <v>0.52770099999999998</v>
      </c>
      <c r="NC18">
        <v>0.30082799999999998</v>
      </c>
      <c r="ND18">
        <v>9.7124000000000002E-2</v>
      </c>
      <c r="NE18">
        <v>1.5448999999999999E-2</v>
      </c>
      <c r="NF18">
        <v>-6.6663E-2</v>
      </c>
      <c r="NG18">
        <v>-0.35228799999999999</v>
      </c>
      <c r="NH18">
        <v>5.4530000000000004E-3</v>
      </c>
      <c r="NI18">
        <v>5.3839999999999999E-3</v>
      </c>
      <c r="NJ18">
        <v>9.6080000000000002E-3</v>
      </c>
      <c r="NK18">
        <v>1.8915000000000001E-2</v>
      </c>
      <c r="NL18">
        <v>1.9724999999999999E-2</v>
      </c>
      <c r="NM18">
        <v>6.1573000000000003E-2</v>
      </c>
      <c r="NN18">
        <v>5.4530000000000004E-3</v>
      </c>
      <c r="NO18">
        <v>5.3839999999999999E-3</v>
      </c>
      <c r="NP18">
        <v>9.6080000000000002E-3</v>
      </c>
      <c r="NQ18">
        <v>1.8915000000000001E-2</v>
      </c>
      <c r="NR18">
        <v>1.9724999999999999E-2</v>
      </c>
      <c r="NS18">
        <v>6.1573000000000003E-2</v>
      </c>
      <c r="NT18">
        <v>8.7500000000000008E-3</v>
      </c>
      <c r="NU18">
        <v>8.7559999999999999E-3</v>
      </c>
      <c r="NV18">
        <v>1.3424999999999999E-2</v>
      </c>
      <c r="NW18">
        <v>2.3272999999999999E-2</v>
      </c>
      <c r="NX18">
        <v>2.4594999999999999E-2</v>
      </c>
      <c r="NY18">
        <v>6.6400000000000001E-2</v>
      </c>
      <c r="NZ18">
        <v>8.7500000000000008E-3</v>
      </c>
      <c r="OA18">
        <v>8.7559999999999999E-3</v>
      </c>
      <c r="OB18">
        <v>1.3424999999999999E-2</v>
      </c>
      <c r="OC18">
        <v>2.3272999999999999E-2</v>
      </c>
      <c r="OD18">
        <v>2.4594999999999999E-2</v>
      </c>
      <c r="OE18">
        <v>6.6400000000000001E-2</v>
      </c>
      <c r="OF18">
        <v>51.094839999999998</v>
      </c>
      <c r="OG18">
        <v>36465.07</v>
      </c>
      <c r="OH18">
        <v>17596.96</v>
      </c>
      <c r="OI18">
        <v>8848.5339999999997</v>
      </c>
      <c r="OJ18">
        <v>44.341180000000001</v>
      </c>
      <c r="OK18">
        <v>33788.61</v>
      </c>
      <c r="OL18">
        <v>17504.93</v>
      </c>
      <c r="OM18">
        <v>8682.5439999999999</v>
      </c>
      <c r="ON18">
        <v>1335514</v>
      </c>
      <c r="OO18">
        <v>1346741</v>
      </c>
      <c r="OP18">
        <v>9902.3439999999991</v>
      </c>
      <c r="OQ18">
        <v>5299.1760000000004</v>
      </c>
      <c r="OR18">
        <v>4808.2640000000001</v>
      </c>
      <c r="OS18">
        <v>445.71550000000002</v>
      </c>
      <c r="OT18">
        <v>1397.4369999999999</v>
      </c>
      <c r="OU18">
        <v>1114.68</v>
      </c>
      <c r="OV18">
        <v>281.72390000000001</v>
      </c>
      <c r="OW18">
        <v>1112.2560000000001</v>
      </c>
      <c r="OX18">
        <v>1192.6179999999999</v>
      </c>
      <c r="OY18">
        <v>952.34010000000001</v>
      </c>
      <c r="OZ18">
        <v>544.17430000000002</v>
      </c>
      <c r="PA18">
        <v>17834.939999999999</v>
      </c>
      <c r="PB18">
        <v>6342.4920000000002</v>
      </c>
      <c r="PC18">
        <v>1041.1759999999999</v>
      </c>
      <c r="PD18">
        <v>1875.6980000000001</v>
      </c>
      <c r="PE18">
        <v>5528.5990000000002</v>
      </c>
      <c r="PF18">
        <v>1231.07</v>
      </c>
      <c r="PG18">
        <v>2258.404</v>
      </c>
      <c r="PH18">
        <v>169638.5</v>
      </c>
      <c r="PI18">
        <v>73752.179999999993</v>
      </c>
      <c r="PJ18">
        <v>1.704142</v>
      </c>
      <c r="PK18">
        <v>608.62720000000002</v>
      </c>
      <c r="PL18">
        <v>116.84829999999999</v>
      </c>
      <c r="PM18">
        <v>1394.518</v>
      </c>
      <c r="PN18">
        <v>448.70179999999999</v>
      </c>
      <c r="PO18">
        <v>154.28980000000001</v>
      </c>
      <c r="PP18">
        <v>247.0788</v>
      </c>
      <c r="PQ18">
        <v>519.31290000000001</v>
      </c>
      <c r="PR18">
        <v>93.149550000000005</v>
      </c>
      <c r="PS18">
        <v>570.29359999999997</v>
      </c>
      <c r="PT18">
        <v>1165.4290000000001</v>
      </c>
      <c r="PU18">
        <v>482.40480000000002</v>
      </c>
      <c r="PV18">
        <v>871.7568</v>
      </c>
      <c r="PW18">
        <v>64.078729999999993</v>
      </c>
      <c r="PX18">
        <v>139.83779999999999</v>
      </c>
      <c r="PY18">
        <v>739.56650000000002</v>
      </c>
      <c r="PZ18">
        <v>142.86670000000001</v>
      </c>
      <c r="QA18">
        <v>314314.3</v>
      </c>
      <c r="QB18">
        <v>6415.549</v>
      </c>
      <c r="QC18">
        <v>74959.7</v>
      </c>
      <c r="QD18">
        <v>9438.3760000000002</v>
      </c>
      <c r="QE18">
        <v>15988.17</v>
      </c>
      <c r="QF18">
        <v>9948.9509999999991</v>
      </c>
      <c r="QG18">
        <v>2379.3829999999998</v>
      </c>
      <c r="QH18">
        <v>1305.3399999999999</v>
      </c>
      <c r="QI18">
        <v>564.49890000000005</v>
      </c>
      <c r="QJ18">
        <v>5253.2470000000003</v>
      </c>
      <c r="QK18">
        <v>10068.66</v>
      </c>
      <c r="QL18">
        <v>5454.4110000000001</v>
      </c>
      <c r="QM18">
        <v>4801.4520000000002</v>
      </c>
      <c r="QN18">
        <v>457.94779999999997</v>
      </c>
      <c r="QO18">
        <v>1440.58</v>
      </c>
      <c r="QP18">
        <v>1131.4949999999999</v>
      </c>
      <c r="QQ18">
        <v>306.88420000000002</v>
      </c>
      <c r="QR18">
        <v>1116.819</v>
      </c>
      <c r="QS18">
        <v>1197.6410000000001</v>
      </c>
      <c r="QT18">
        <v>1040.395</v>
      </c>
      <c r="QU18">
        <v>552.73170000000005</v>
      </c>
      <c r="QV18">
        <v>18046.34</v>
      </c>
      <c r="QW18">
        <v>6444.4089999999997</v>
      </c>
      <c r="QX18">
        <v>1063.355</v>
      </c>
      <c r="QY18">
        <v>1897.8219999999999</v>
      </c>
      <c r="QZ18">
        <v>5635.9030000000002</v>
      </c>
      <c r="RA18">
        <v>1210.3910000000001</v>
      </c>
      <c r="RB18">
        <v>2295.12</v>
      </c>
      <c r="RC18">
        <v>171817.4</v>
      </c>
      <c r="RD18">
        <v>73993.81</v>
      </c>
      <c r="RE18">
        <v>1.0018910000000001</v>
      </c>
      <c r="RF18">
        <v>576.02959999999996</v>
      </c>
      <c r="RG18">
        <v>153.36760000000001</v>
      </c>
      <c r="RH18">
        <v>1235.1369999999999</v>
      </c>
      <c r="RI18">
        <v>65.286950000000004</v>
      </c>
      <c r="RJ18">
        <v>163.3861</v>
      </c>
      <c r="RK18">
        <v>50.701259999999998</v>
      </c>
      <c r="RL18">
        <v>3931.6819999999998</v>
      </c>
      <c r="RM18">
        <v>254.02010000000001</v>
      </c>
      <c r="RN18">
        <v>845.33429999999998</v>
      </c>
      <c r="RO18">
        <v>694.28150000000005</v>
      </c>
      <c r="RP18">
        <v>434.91860000000003</v>
      </c>
      <c r="RQ18">
        <v>839.86429999999996</v>
      </c>
      <c r="RR18">
        <v>71.501909999999995</v>
      </c>
      <c r="RS18">
        <v>158.19710000000001</v>
      </c>
      <c r="RT18">
        <v>976.54570000000001</v>
      </c>
      <c r="RU18">
        <v>157.22819999999999</v>
      </c>
      <c r="RV18">
        <v>320582.09999999998</v>
      </c>
      <c r="RW18">
        <v>7971.6689999999999</v>
      </c>
      <c r="RX18">
        <v>74403.16</v>
      </c>
      <c r="RY18">
        <v>10985.76</v>
      </c>
      <c r="RZ18">
        <v>14615.57</v>
      </c>
      <c r="SA18">
        <v>9727.3359999999993</v>
      </c>
      <c r="SB18">
        <v>3347.5</v>
      </c>
      <c r="SC18">
        <v>925.54039999999998</v>
      </c>
      <c r="SD18">
        <v>48.342750000000002</v>
      </c>
      <c r="SE18">
        <v>355.36090000000002</v>
      </c>
      <c r="SF18">
        <v>34571.14</v>
      </c>
      <c r="SG18">
        <v>51.094839999999998</v>
      </c>
      <c r="SH18">
        <v>8400.7890000000007</v>
      </c>
      <c r="SI18">
        <v>17270.72</v>
      </c>
      <c r="SJ18">
        <v>8848.5339999999997</v>
      </c>
      <c r="SK18">
        <v>33792.629999999997</v>
      </c>
      <c r="SL18">
        <v>44.341180000000001</v>
      </c>
      <c r="SM18">
        <v>8127.6319999999996</v>
      </c>
      <c r="SN18">
        <v>16938.12</v>
      </c>
      <c r="SO18">
        <v>8682.5439999999999</v>
      </c>
      <c r="SP18">
        <v>110730.3</v>
      </c>
      <c r="SQ18">
        <v>75156.66</v>
      </c>
      <c r="SR18">
        <v>113108</v>
      </c>
      <c r="SS18">
        <v>69998.98</v>
      </c>
      <c r="ST18">
        <v>38.992179999999998</v>
      </c>
      <c r="SU18">
        <v>0.30774499999999999</v>
      </c>
      <c r="SV18">
        <v>6.0463490000000002</v>
      </c>
      <c r="SW18">
        <v>12.33089</v>
      </c>
      <c r="SX18">
        <v>20.307189999999999</v>
      </c>
      <c r="SY18">
        <v>38.136490000000002</v>
      </c>
      <c r="SZ18">
        <v>0.26706800000000003</v>
      </c>
      <c r="TA18">
        <v>5.8497479999999999</v>
      </c>
      <c r="TB18">
        <v>12.09342</v>
      </c>
      <c r="TC18">
        <v>19.92625</v>
      </c>
      <c r="TD18">
        <v>25185.200000000001</v>
      </c>
      <c r="TE18">
        <v>815.85820000000001</v>
      </c>
      <c r="TF18">
        <v>483.19760000000002</v>
      </c>
      <c r="TG18">
        <v>221.34479999999999</v>
      </c>
      <c r="TH18">
        <v>51.04665</v>
      </c>
      <c r="TI18">
        <v>103.9546</v>
      </c>
      <c r="TJ18">
        <v>86.278090000000006</v>
      </c>
      <c r="TK18">
        <v>26.57891</v>
      </c>
      <c r="TL18">
        <v>31.920439999999999</v>
      </c>
      <c r="TM18">
        <v>168.20599999999999</v>
      </c>
      <c r="TN18">
        <v>42.099809999999998</v>
      </c>
      <c r="TO18">
        <v>27.09732</v>
      </c>
      <c r="TP18">
        <v>2042.9290000000001</v>
      </c>
      <c r="TQ18">
        <v>1965.7449999999999</v>
      </c>
      <c r="TR18">
        <v>99.630529999999993</v>
      </c>
      <c r="TS18">
        <v>176.41239999999999</v>
      </c>
      <c r="TT18">
        <v>419.58589999999998</v>
      </c>
      <c r="TU18">
        <v>43.323839999999997</v>
      </c>
      <c r="TV18">
        <v>75.039249999999996</v>
      </c>
      <c r="TW18">
        <v>11901</v>
      </c>
      <c r="TX18">
        <v>6275.2889999999998</v>
      </c>
      <c r="TY18">
        <v>0.51566599999999996</v>
      </c>
      <c r="TZ18">
        <v>11.155900000000001</v>
      </c>
      <c r="UA18">
        <v>6.0783889999999996</v>
      </c>
      <c r="UB18">
        <v>59.72889</v>
      </c>
      <c r="UC18">
        <v>0.72109400000000001</v>
      </c>
      <c r="UD18">
        <v>2.4138030000000001</v>
      </c>
      <c r="UE18">
        <v>4.3895189999999999</v>
      </c>
      <c r="UF18">
        <v>1.6810449999999999</v>
      </c>
      <c r="UG18">
        <v>0.796404</v>
      </c>
      <c r="UH18">
        <v>10.54907</v>
      </c>
      <c r="UI18">
        <v>5.3336249999999996</v>
      </c>
      <c r="UJ18">
        <v>15.95905</v>
      </c>
      <c r="UK18">
        <v>6.1076670000000002</v>
      </c>
      <c r="UL18">
        <v>0.47389599999999998</v>
      </c>
      <c r="UM18">
        <v>0.51261900000000005</v>
      </c>
      <c r="UN18">
        <v>1.8709229999999999</v>
      </c>
      <c r="UO18">
        <v>0.38043700000000003</v>
      </c>
      <c r="UP18">
        <v>25383.98</v>
      </c>
      <c r="UQ18">
        <v>820.73609999999996</v>
      </c>
      <c r="UR18">
        <v>489.96269999999998</v>
      </c>
      <c r="US18">
        <v>221.05950000000001</v>
      </c>
      <c r="UT18">
        <v>52.104669999999999</v>
      </c>
      <c r="UU18">
        <v>106.72920000000001</v>
      </c>
      <c r="UV18">
        <v>88.25797</v>
      </c>
      <c r="UW18">
        <v>26.8827</v>
      </c>
      <c r="UX18">
        <v>32.206069999999997</v>
      </c>
      <c r="UY18">
        <v>171.71420000000001</v>
      </c>
      <c r="UZ18">
        <v>42.979900000000001</v>
      </c>
      <c r="VA18">
        <v>27.09543</v>
      </c>
      <c r="VB18">
        <v>2055.915</v>
      </c>
      <c r="VC18">
        <v>1990.8530000000001</v>
      </c>
      <c r="VD18">
        <v>101.2474</v>
      </c>
      <c r="VE18">
        <v>177.63069999999999</v>
      </c>
      <c r="VF18">
        <v>422.14960000000002</v>
      </c>
      <c r="VG18">
        <v>42.069600000000001</v>
      </c>
      <c r="VH18">
        <v>76.436019999999999</v>
      </c>
      <c r="VI18">
        <v>12021.5</v>
      </c>
      <c r="VJ18">
        <v>6285.0309999999999</v>
      </c>
      <c r="VK18">
        <v>0.31838499999999997</v>
      </c>
      <c r="VL18">
        <v>10.67292</v>
      </c>
      <c r="VM18">
        <v>7.8882190000000003</v>
      </c>
      <c r="VN18">
        <v>53.609209999999997</v>
      </c>
      <c r="VO18">
        <v>0.14644099999999999</v>
      </c>
      <c r="VP18">
        <v>2.5421680000000002</v>
      </c>
      <c r="VQ18">
        <v>1.1740820000000001</v>
      </c>
      <c r="VR18">
        <v>10.04011</v>
      </c>
      <c r="VS18">
        <v>1.982477</v>
      </c>
      <c r="VT18">
        <v>14.8771</v>
      </c>
      <c r="VU18">
        <v>3.4772599999999998</v>
      </c>
      <c r="VV18">
        <v>14.680569999999999</v>
      </c>
      <c r="VW18">
        <v>6.0333069999999998</v>
      </c>
      <c r="VX18">
        <v>0.522567</v>
      </c>
      <c r="VY18">
        <v>0.57973600000000003</v>
      </c>
      <c r="VZ18">
        <v>2.4563769999999998</v>
      </c>
      <c r="WA18">
        <v>0.41673700000000002</v>
      </c>
      <c r="WB18">
        <v>0.104113</v>
      </c>
      <c r="WC18">
        <v>9.5538999999999999E-2</v>
      </c>
      <c r="WD18">
        <v>-1.1771999999999999E-2</v>
      </c>
      <c r="WE18">
        <v>-1.1417E-2</v>
      </c>
      <c r="WF18">
        <v>0.65065700000000004</v>
      </c>
      <c r="WG18">
        <v>0.61693799999999999</v>
      </c>
      <c r="WH18">
        <v>-2.3491000000000001E-2</v>
      </c>
      <c r="WI18">
        <v>-1.7762E-2</v>
      </c>
      <c r="WJ18">
        <v>2139447</v>
      </c>
      <c r="WK18">
        <v>2160280</v>
      </c>
    </row>
    <row r="19" spans="1:609" ht="14.45" x14ac:dyDescent="0.35">
      <c r="A19">
        <v>2020</v>
      </c>
      <c r="B19">
        <v>0.94635800000000003</v>
      </c>
      <c r="C19">
        <v>121.67700000000001</v>
      </c>
      <c r="D19">
        <v>1.3706929999999999</v>
      </c>
      <c r="E19">
        <v>2.2750659999999998</v>
      </c>
      <c r="F19">
        <v>-0.51762699999999995</v>
      </c>
      <c r="G19">
        <v>0.29894999999999999</v>
      </c>
      <c r="H19">
        <v>-0.88587300000000002</v>
      </c>
      <c r="I19">
        <v>0.789995</v>
      </c>
      <c r="J19">
        <v>2.2841149999999999</v>
      </c>
      <c r="K19">
        <v>0.29974800000000001</v>
      </c>
      <c r="L19">
        <v>1.978437</v>
      </c>
      <c r="M19">
        <v>0.39853499999999997</v>
      </c>
      <c r="N19">
        <v>0</v>
      </c>
      <c r="O19">
        <v>-4.0704359999999999</v>
      </c>
      <c r="P19">
        <v>-0.59179700000000002</v>
      </c>
      <c r="Q19">
        <v>-15.984859999999999</v>
      </c>
      <c r="R19">
        <v>80.559780000000003</v>
      </c>
      <c r="S19">
        <v>50</v>
      </c>
      <c r="T19">
        <v>60</v>
      </c>
      <c r="U19">
        <v>50</v>
      </c>
      <c r="V19">
        <v>56.444600000000001</v>
      </c>
      <c r="W19">
        <v>0.82122700000000004</v>
      </c>
      <c r="X19">
        <v>18060.89</v>
      </c>
      <c r="Y19">
        <v>0.13104099999999999</v>
      </c>
      <c r="Z19">
        <v>0.35835899999999998</v>
      </c>
      <c r="AA19">
        <v>-0.31579099999999999</v>
      </c>
      <c r="AB19">
        <v>-0.36152299999999998</v>
      </c>
      <c r="AC19">
        <v>4.3327999999999998E-2</v>
      </c>
      <c r="AD19">
        <v>15447.56</v>
      </c>
      <c r="AE19">
        <v>23975.49</v>
      </c>
      <c r="AF19">
        <v>39275.74</v>
      </c>
      <c r="AG19">
        <v>-2142.348</v>
      </c>
      <c r="AH19">
        <v>34783.42</v>
      </c>
      <c r="AI19">
        <v>-4.444E-3</v>
      </c>
      <c r="AJ19">
        <v>66.712860000000006</v>
      </c>
      <c r="AK19">
        <v>195.273</v>
      </c>
      <c r="AL19">
        <v>68.832459999999998</v>
      </c>
      <c r="AM19">
        <v>50.464970000000001</v>
      </c>
      <c r="AN19">
        <v>147.71430000000001</v>
      </c>
      <c r="AO19">
        <v>52.068339999999999</v>
      </c>
      <c r="AP19">
        <v>175.2886</v>
      </c>
      <c r="AQ19">
        <v>132.59719999999999</v>
      </c>
      <c r="AR19">
        <v>294.60660000000001</v>
      </c>
      <c r="AS19">
        <v>370.63339999999999</v>
      </c>
      <c r="AT19">
        <v>515.58280000000002</v>
      </c>
      <c r="AU19">
        <v>156.1534</v>
      </c>
      <c r="AV19">
        <v>110.2409</v>
      </c>
      <c r="AW19">
        <v>0.95866099999999999</v>
      </c>
      <c r="AX19">
        <v>1.087979</v>
      </c>
      <c r="AY19">
        <v>1.5882449999999999</v>
      </c>
      <c r="AZ19">
        <v>-0.499973</v>
      </c>
      <c r="BA19">
        <v>2.558983</v>
      </c>
      <c r="BB19">
        <v>3.0799110000000001</v>
      </c>
      <c r="BC19">
        <v>2.3508719999999999</v>
      </c>
      <c r="BD19">
        <v>6.6907819999999996</v>
      </c>
      <c r="BE19">
        <v>0.51349800000000001</v>
      </c>
      <c r="BF19">
        <v>1.866968</v>
      </c>
      <c r="BG19">
        <v>4.3902229999999998</v>
      </c>
      <c r="BH19">
        <v>0.453154</v>
      </c>
      <c r="BI19">
        <v>0.63405100000000003</v>
      </c>
      <c r="BJ19">
        <v>1.5697410000000001</v>
      </c>
      <c r="BK19">
        <v>2.2366549999999998</v>
      </c>
      <c r="BL19">
        <v>1.104962</v>
      </c>
      <c r="BM19">
        <v>0.97372499999999995</v>
      </c>
      <c r="BN19">
        <v>-2.964197</v>
      </c>
      <c r="BO19">
        <v>2.1204000000000001</v>
      </c>
      <c r="BP19">
        <v>0.94906400000000002</v>
      </c>
      <c r="BQ19">
        <v>0.20658899999999999</v>
      </c>
      <c r="BR19">
        <v>-46.909590000000001</v>
      </c>
      <c r="BS19">
        <v>-4.4281829999999998</v>
      </c>
      <c r="BT19">
        <v>66.003010000000003</v>
      </c>
      <c r="BU19">
        <v>-13.35435</v>
      </c>
      <c r="BV19">
        <v>-83.577740000000006</v>
      </c>
      <c r="BW19">
        <v>2.8943310000000002</v>
      </c>
      <c r="BX19">
        <v>-85.823890000000006</v>
      </c>
      <c r="BY19">
        <v>589.33510000000001</v>
      </c>
      <c r="BZ19">
        <v>471.97660000000002</v>
      </c>
      <c r="CA19">
        <v>40.10331</v>
      </c>
      <c r="CB19">
        <v>-49.124510000000001</v>
      </c>
      <c r="CC19">
        <v>-18.528289999999998</v>
      </c>
      <c r="CD19">
        <v>-1.6549119999999999</v>
      </c>
      <c r="CE19">
        <v>33.734870000000001</v>
      </c>
      <c r="CF19">
        <v>8.1760000000000002</v>
      </c>
      <c r="CG19">
        <v>14.908720000000001</v>
      </c>
      <c r="CH19">
        <v>56.61345</v>
      </c>
      <c r="CI19">
        <v>1.886679</v>
      </c>
      <c r="CJ19">
        <v>3.2224780000000002</v>
      </c>
      <c r="CK19">
        <v>-0.30732300000000001</v>
      </c>
      <c r="CL19">
        <v>3.2144249999999999</v>
      </c>
      <c r="CM19">
        <v>3.7291639999999999</v>
      </c>
      <c r="CN19">
        <v>1.7013</v>
      </c>
      <c r="CO19">
        <v>10.712260000000001</v>
      </c>
      <c r="CP19">
        <v>0.39057500000000001</v>
      </c>
      <c r="CQ19">
        <v>0.35800300000000002</v>
      </c>
      <c r="CR19">
        <v>10.95162</v>
      </c>
      <c r="CS19">
        <v>1.8452809999999999</v>
      </c>
      <c r="CT19">
        <v>1.2835890000000001</v>
      </c>
      <c r="CU19">
        <v>1.8593200000000001</v>
      </c>
      <c r="CV19">
        <v>2.5229710000000001</v>
      </c>
      <c r="CW19">
        <v>1.5221880000000001</v>
      </c>
      <c r="CX19">
        <v>2.2804679999999999</v>
      </c>
      <c r="CY19">
        <v>-1.811115</v>
      </c>
      <c r="CZ19">
        <v>2.125769</v>
      </c>
      <c r="DA19">
        <v>1.3084690000000001</v>
      </c>
      <c r="DB19">
        <v>0.377166</v>
      </c>
      <c r="DC19">
        <v>-45.674320000000002</v>
      </c>
      <c r="DD19">
        <v>-5.7086980000000001</v>
      </c>
      <c r="DE19">
        <v>19.460059999999999</v>
      </c>
      <c r="DF19">
        <v>-13.4267</v>
      </c>
      <c r="DG19">
        <v>-90.534239999999997</v>
      </c>
      <c r="DH19">
        <v>5.0481939999999996</v>
      </c>
      <c r="DI19">
        <v>-86.763409999999993</v>
      </c>
      <c r="DJ19">
        <v>790.43629999999996</v>
      </c>
      <c r="DK19">
        <v>351.1506</v>
      </c>
      <c r="DL19">
        <v>50.843580000000003</v>
      </c>
      <c r="DM19">
        <v>-48.973990000000001</v>
      </c>
      <c r="DN19">
        <v>-11.971880000000001</v>
      </c>
      <c r="DO19">
        <v>-3.099256</v>
      </c>
      <c r="DP19">
        <v>27.277249999999999</v>
      </c>
      <c r="DQ19">
        <v>12.145820000000001</v>
      </c>
      <c r="DR19">
        <v>24.408860000000001</v>
      </c>
      <c r="DS19">
        <v>38.508110000000002</v>
      </c>
      <c r="DT19">
        <v>1.8936000000000001E-2</v>
      </c>
      <c r="DU19">
        <v>1.8021240000000001</v>
      </c>
      <c r="DV19">
        <v>-1.7027559999999999</v>
      </c>
      <c r="DW19">
        <v>2.5749650000000002</v>
      </c>
      <c r="DX19">
        <v>2.255849</v>
      </c>
      <c r="DY19">
        <v>2.322829</v>
      </c>
      <c r="DZ19">
        <v>1.112398</v>
      </c>
      <c r="EA19">
        <v>1.8744799999999999</v>
      </c>
      <c r="EB19">
        <v>3.029668</v>
      </c>
      <c r="EC19">
        <v>0</v>
      </c>
      <c r="ED19">
        <v>2.0690300000000001</v>
      </c>
      <c r="EE19">
        <v>2.0118070000000001</v>
      </c>
      <c r="EF19">
        <v>2.0924659999999999</v>
      </c>
      <c r="EG19">
        <v>0.73107699999999998</v>
      </c>
      <c r="EH19">
        <v>1.3172280000000001</v>
      </c>
      <c r="EI19">
        <v>0.50567200000000001</v>
      </c>
      <c r="EJ19">
        <v>1.0040750000000001</v>
      </c>
      <c r="EK19">
        <v>-1.4015850000000001</v>
      </c>
      <c r="EL19">
        <v>1.9133100000000001</v>
      </c>
      <c r="EM19">
        <v>1.9148000000000001</v>
      </c>
      <c r="EN19">
        <v>-14.30158</v>
      </c>
      <c r="EO19">
        <v>-7.7661189999999998</v>
      </c>
      <c r="EP19">
        <v>-0.75472600000000001</v>
      </c>
      <c r="EQ19">
        <v>-2.2587380000000001</v>
      </c>
      <c r="ER19">
        <v>7.0009459999999999</v>
      </c>
      <c r="ES19">
        <v>75.844149999999999</v>
      </c>
      <c r="ET19">
        <v>2.2128070000000002</v>
      </c>
      <c r="EU19">
        <v>32.397489999999998</v>
      </c>
      <c r="EV19">
        <v>0.518401</v>
      </c>
      <c r="EW19">
        <v>1.893958</v>
      </c>
      <c r="EX19">
        <v>2.3918279999999998</v>
      </c>
      <c r="EY19">
        <v>0.75520399999999999</v>
      </c>
      <c r="EZ19">
        <v>0.100087</v>
      </c>
      <c r="FA19">
        <v>5.1044489999999998</v>
      </c>
      <c r="FB19">
        <v>1.637791</v>
      </c>
      <c r="FC19">
        <v>34.011389999999999</v>
      </c>
      <c r="FD19">
        <v>9.2917419999999993</v>
      </c>
      <c r="FE19">
        <v>0.56118400000000002</v>
      </c>
      <c r="FF19">
        <v>0.86477599999999999</v>
      </c>
      <c r="FG19">
        <v>1.5547569999999999</v>
      </c>
      <c r="FH19">
        <v>0.34959000000000001</v>
      </c>
      <c r="FI19">
        <v>5.0802779999999998</v>
      </c>
      <c r="FJ19">
        <v>71.618200000000002</v>
      </c>
      <c r="FK19">
        <v>2.3736429999999999</v>
      </c>
      <c r="FL19">
        <v>28.052</v>
      </c>
      <c r="FM19">
        <v>5.9216999999999999E-2</v>
      </c>
      <c r="FN19">
        <v>1.946995</v>
      </c>
      <c r="FO19">
        <v>0.350462</v>
      </c>
      <c r="FP19">
        <v>5.1868650000000001</v>
      </c>
      <c r="FQ19">
        <v>0.56073899999999999</v>
      </c>
      <c r="FR19">
        <v>7.1319400000000002</v>
      </c>
      <c r="FS19">
        <v>0.83292100000000002</v>
      </c>
      <c r="FT19">
        <v>30.886140000000001</v>
      </c>
      <c r="FU19">
        <v>9.3573710000000005</v>
      </c>
      <c r="FV19">
        <v>0.76906799999999997</v>
      </c>
      <c r="FW19">
        <v>0.96133500000000005</v>
      </c>
      <c r="FX19">
        <v>1.8349519999999999</v>
      </c>
      <c r="FY19">
        <v>0.567944</v>
      </c>
      <c r="FZ19">
        <v>5.0194159999999997</v>
      </c>
      <c r="GA19">
        <v>60.428069999999998</v>
      </c>
      <c r="GB19">
        <v>2.2128070000000002</v>
      </c>
      <c r="GC19">
        <v>28.456209999999999</v>
      </c>
      <c r="GD19">
        <v>0.45533499999999999</v>
      </c>
      <c r="GE19">
        <v>1.663551</v>
      </c>
      <c r="GF19">
        <v>2.1008529999999999</v>
      </c>
      <c r="GG19">
        <v>0.66332999999999998</v>
      </c>
      <c r="GH19">
        <v>8.7911000000000003E-2</v>
      </c>
      <c r="GI19">
        <v>4.4834719999999999</v>
      </c>
      <c r="GJ19">
        <v>1.438547</v>
      </c>
      <c r="GK19">
        <v>32.1858</v>
      </c>
      <c r="GL19">
        <v>9.2917419999999993</v>
      </c>
      <c r="GM19">
        <v>0.56118400000000002</v>
      </c>
      <c r="GN19">
        <v>0.86477599999999999</v>
      </c>
      <c r="GO19">
        <v>1.5547569999999999</v>
      </c>
      <c r="GP19">
        <v>0.34959000000000001</v>
      </c>
      <c r="GQ19">
        <v>3.1125530000000001</v>
      </c>
      <c r="GR19">
        <v>56.295729999999999</v>
      </c>
      <c r="GS19">
        <v>2.3736429999999999</v>
      </c>
      <c r="GT19">
        <v>24.586919999999999</v>
      </c>
      <c r="GU19">
        <v>5.1902999999999998E-2</v>
      </c>
      <c r="GV19">
        <v>1.7064950000000001</v>
      </c>
      <c r="GW19">
        <v>0.30717100000000003</v>
      </c>
      <c r="GX19">
        <v>4.5461650000000002</v>
      </c>
      <c r="GY19">
        <v>0.49147400000000002</v>
      </c>
      <c r="GZ19">
        <v>6.2509769999999998</v>
      </c>
      <c r="HA19">
        <v>0.73003600000000002</v>
      </c>
      <c r="HB19">
        <v>29.071629999999999</v>
      </c>
      <c r="HC19">
        <v>9.3573710000000005</v>
      </c>
      <c r="HD19">
        <v>0.76906799999999997</v>
      </c>
      <c r="HE19">
        <v>0.96133500000000005</v>
      </c>
      <c r="HF19">
        <v>1.8349519999999999</v>
      </c>
      <c r="HG19">
        <v>0.567944</v>
      </c>
      <c r="HH19">
        <v>5.109947</v>
      </c>
      <c r="HI19">
        <v>64.950729999999993</v>
      </c>
      <c r="HJ19">
        <v>2.2128070000000002</v>
      </c>
      <c r="HK19">
        <v>116.9569</v>
      </c>
      <c r="HL19">
        <v>1.1197539999999999</v>
      </c>
      <c r="HM19">
        <v>4.0909810000000002</v>
      </c>
      <c r="HN19">
        <v>5.1663870000000003</v>
      </c>
      <c r="HO19">
        <v>0.81643100000000002</v>
      </c>
      <c r="HP19">
        <v>0.10820200000000001</v>
      </c>
      <c r="HQ19">
        <v>5.5182880000000001</v>
      </c>
      <c r="HR19">
        <v>4.7871069999999998</v>
      </c>
      <c r="HS19">
        <v>32.406950000000002</v>
      </c>
      <c r="HT19">
        <v>9.4307110000000005</v>
      </c>
      <c r="HU19">
        <v>0.56957800000000003</v>
      </c>
      <c r="HV19">
        <v>0.87770999999999999</v>
      </c>
      <c r="HW19">
        <v>1.5780099999999999</v>
      </c>
      <c r="HX19">
        <v>0.354819</v>
      </c>
      <c r="HY19">
        <v>3.152628</v>
      </c>
      <c r="HZ19">
        <v>60.188639999999999</v>
      </c>
      <c r="IA19">
        <v>2.3736429999999999</v>
      </c>
      <c r="IB19">
        <v>98.027479999999997</v>
      </c>
      <c r="IC19">
        <v>5.9216999999999999E-2</v>
      </c>
      <c r="ID19">
        <v>4.1346449999999999</v>
      </c>
      <c r="IE19">
        <v>0.350462</v>
      </c>
      <c r="IF19">
        <v>5.575501</v>
      </c>
      <c r="IG19">
        <v>0.60275299999999998</v>
      </c>
      <c r="IH19">
        <v>7.6663129999999997</v>
      </c>
      <c r="II19">
        <v>2.4942410000000002</v>
      </c>
      <c r="IJ19">
        <v>29.33961</v>
      </c>
      <c r="IK19">
        <v>9.5595940000000006</v>
      </c>
      <c r="IL19">
        <v>0.78096500000000002</v>
      </c>
      <c r="IM19">
        <v>0.98615699999999995</v>
      </c>
      <c r="IN19">
        <v>1.8818060000000001</v>
      </c>
      <c r="IO19">
        <v>0.57736699999999996</v>
      </c>
      <c r="IP19">
        <v>4.4082309999999998</v>
      </c>
      <c r="IQ19">
        <v>4.9063819999999998</v>
      </c>
      <c r="IR19">
        <v>0.75389099999999998</v>
      </c>
      <c r="IS19">
        <v>1.7093370000000001</v>
      </c>
      <c r="IT19">
        <v>3.708447</v>
      </c>
      <c r="IU19">
        <v>3.8936959999999998</v>
      </c>
      <c r="IV19">
        <v>4.7874850000000002</v>
      </c>
      <c r="IW19">
        <v>5.8064099999999996</v>
      </c>
      <c r="IX19">
        <v>0.72849200000000003</v>
      </c>
      <c r="IY19">
        <v>5.7409220000000003</v>
      </c>
      <c r="IZ19">
        <v>1.6533990000000001</v>
      </c>
      <c r="JA19">
        <v>7.554983</v>
      </c>
      <c r="JB19">
        <v>0.36800699999999997</v>
      </c>
      <c r="JC19">
        <v>1.2115149999999999</v>
      </c>
      <c r="JD19">
        <v>0.85708600000000001</v>
      </c>
      <c r="JE19">
        <v>17.965509999999998</v>
      </c>
      <c r="JF19">
        <v>0.35677500000000001</v>
      </c>
      <c r="JG19">
        <v>1.85639</v>
      </c>
      <c r="JH19">
        <v>18.572399999999998</v>
      </c>
      <c r="JI19">
        <v>6.1734549999999997</v>
      </c>
      <c r="JJ19">
        <v>20.04674</v>
      </c>
      <c r="JK19">
        <v>38.757800000000003</v>
      </c>
      <c r="JL19">
        <v>4.1661349999999997</v>
      </c>
      <c r="JM19">
        <v>4.6106249999999998</v>
      </c>
      <c r="JN19">
        <v>0.72771200000000003</v>
      </c>
      <c r="JO19">
        <v>1.550934</v>
      </c>
      <c r="JP19">
        <v>3.3058049999999999</v>
      </c>
      <c r="JQ19">
        <v>3.6057739999999998</v>
      </c>
      <c r="JR19">
        <v>4.2902820000000004</v>
      </c>
      <c r="JS19">
        <v>5.6494479999999996</v>
      </c>
      <c r="JT19">
        <v>0.71580699999999997</v>
      </c>
      <c r="JU19">
        <v>4.1382989999999999</v>
      </c>
      <c r="JV19">
        <v>1.5520560000000001</v>
      </c>
      <c r="JW19">
        <v>7.0285010000000003</v>
      </c>
      <c r="JX19">
        <v>0.30149700000000001</v>
      </c>
      <c r="JY19">
        <v>1.1975340000000001</v>
      </c>
      <c r="JZ19">
        <v>0.84594400000000003</v>
      </c>
      <c r="KA19">
        <v>17.078859999999999</v>
      </c>
      <c r="KB19">
        <v>0.30128100000000002</v>
      </c>
      <c r="KC19">
        <v>1.6633739999999999</v>
      </c>
      <c r="KD19">
        <v>18.117339999999999</v>
      </c>
      <c r="KE19">
        <v>5.9508190000000001</v>
      </c>
      <c r="KF19">
        <v>18.491350000000001</v>
      </c>
      <c r="KG19">
        <v>37.726010000000002</v>
      </c>
      <c r="KH19">
        <v>4601.9920000000002</v>
      </c>
      <c r="KI19">
        <v>8268.0509999999995</v>
      </c>
      <c r="KJ19">
        <v>6130.5609999999997</v>
      </c>
      <c r="KK19">
        <v>3700.942</v>
      </c>
      <c r="KL19">
        <v>5466.0389999999998</v>
      </c>
      <c r="KM19">
        <v>1884.9469999999999</v>
      </c>
      <c r="KN19">
        <v>1942.82</v>
      </c>
      <c r="KO19">
        <v>0</v>
      </c>
      <c r="KP19">
        <v>30740.16</v>
      </c>
      <c r="KQ19">
        <v>1255.19</v>
      </c>
      <c r="KR19">
        <v>0</v>
      </c>
      <c r="KS19">
        <v>5404.1719999999996</v>
      </c>
      <c r="KT19">
        <v>8140.924</v>
      </c>
      <c r="KU19">
        <v>6207.9780000000001</v>
      </c>
      <c r="KV19">
        <v>3918.5619999999999</v>
      </c>
      <c r="KW19">
        <v>5401.893</v>
      </c>
      <c r="KX19">
        <v>1733.605</v>
      </c>
      <c r="KY19">
        <v>1043.9849999999999</v>
      </c>
      <c r="KZ19">
        <v>0</v>
      </c>
      <c r="LA19">
        <v>29666.91</v>
      </c>
      <c r="LB19">
        <v>2184.2069999999999</v>
      </c>
      <c r="LC19">
        <v>0</v>
      </c>
      <c r="LD19">
        <v>51088555</v>
      </c>
      <c r="LE19" s="21">
        <v>201000000</v>
      </c>
      <c r="LF19" s="21">
        <v>609000000</v>
      </c>
      <c r="LG19" s="21">
        <v>644000000</v>
      </c>
      <c r="LH19" s="21">
        <v>649000000</v>
      </c>
      <c r="LI19" s="21">
        <v>342000000</v>
      </c>
      <c r="LJ19" s="21">
        <v>144000000</v>
      </c>
      <c r="LK19" s="21">
        <v>2.1900000000000002E-6</v>
      </c>
      <c r="LL19" s="21">
        <v>4.1400000000000002E-6</v>
      </c>
      <c r="LM19" s="21">
        <v>7.5900000000000002E-6</v>
      </c>
      <c r="LN19" s="21">
        <v>1.56E-5</v>
      </c>
      <c r="LO19" s="21">
        <v>2.2500000000000001E-5</v>
      </c>
      <c r="LP19" s="21">
        <v>3.1300000000000002E-5</v>
      </c>
      <c r="LQ19" s="21">
        <v>4.57E-5</v>
      </c>
      <c r="LR19">
        <v>57792095</v>
      </c>
      <c r="LS19" s="21">
        <v>210000000</v>
      </c>
      <c r="LT19" s="21">
        <v>615000000</v>
      </c>
      <c r="LU19" s="21">
        <v>641000000</v>
      </c>
      <c r="LV19" s="21">
        <v>640000000</v>
      </c>
      <c r="LW19" s="21">
        <v>336000000</v>
      </c>
      <c r="LX19" s="21">
        <v>141000000</v>
      </c>
      <c r="LY19" s="21">
        <v>2.3999999999999999E-6</v>
      </c>
      <c r="LZ19" s="21">
        <v>4.5499999999999996E-6</v>
      </c>
      <c r="MA19" s="21">
        <v>8.3399999999999998E-6</v>
      </c>
      <c r="MB19" s="21">
        <v>1.7200000000000001E-5</v>
      </c>
      <c r="MC19" s="21">
        <v>2.4899999999999999E-5</v>
      </c>
      <c r="MD19" s="21">
        <v>3.4799999999999999E-5</v>
      </c>
      <c r="ME19" s="21">
        <v>5.0800000000000002E-5</v>
      </c>
      <c r="MF19">
        <v>0.28605700000000001</v>
      </c>
      <c r="MG19">
        <v>0.40999000000000002</v>
      </c>
      <c r="MH19">
        <v>0.21712699999999999</v>
      </c>
      <c r="MI19">
        <v>4.8479000000000001E-2</v>
      </c>
      <c r="MJ19">
        <v>1.6826000000000001E-2</v>
      </c>
      <c r="MK19">
        <v>2.676E-3</v>
      </c>
      <c r="ML19">
        <v>1.8846000000000002E-2</v>
      </c>
      <c r="MM19">
        <v>0.31948199999999999</v>
      </c>
      <c r="MN19">
        <v>0.441137</v>
      </c>
      <c r="MO19">
        <v>0.23572399999999999</v>
      </c>
      <c r="MP19">
        <v>5.5959000000000002E-2</v>
      </c>
      <c r="MQ19">
        <v>1.7194999999999998E-2</v>
      </c>
      <c r="MR19">
        <v>-1.2947E-2</v>
      </c>
      <c r="MS19">
        <v>-5.6550000000000003E-2</v>
      </c>
      <c r="MT19">
        <v>0.33424300000000001</v>
      </c>
      <c r="MU19">
        <v>0.37324099999999999</v>
      </c>
      <c r="MV19">
        <v>0.21212300000000001</v>
      </c>
      <c r="MW19">
        <v>6.7524000000000001E-2</v>
      </c>
      <c r="MX19">
        <v>1.1331000000000001E-2</v>
      </c>
      <c r="MY19">
        <v>2.34E-4</v>
      </c>
      <c r="MZ19">
        <v>1.3029999999999999E-3</v>
      </c>
      <c r="NA19">
        <v>0.51365700000000003</v>
      </c>
      <c r="NB19">
        <v>0.54729099999999997</v>
      </c>
      <c r="NC19">
        <v>0.31506600000000001</v>
      </c>
      <c r="ND19">
        <v>0.10605000000000001</v>
      </c>
      <c r="NE19">
        <v>1.4853E-2</v>
      </c>
      <c r="NF19">
        <v>-7.8792000000000001E-2</v>
      </c>
      <c r="NG19">
        <v>-0.418124</v>
      </c>
      <c r="NH19">
        <v>5.6109999999999997E-3</v>
      </c>
      <c r="NI19">
        <v>5.5579999999999996E-3</v>
      </c>
      <c r="NJ19">
        <v>9.3970000000000008E-3</v>
      </c>
      <c r="NK19">
        <v>1.9890000000000001E-2</v>
      </c>
      <c r="NL19">
        <v>2.1094000000000002E-2</v>
      </c>
      <c r="NM19">
        <v>6.4215999999999995E-2</v>
      </c>
      <c r="NN19">
        <v>5.6109999999999997E-3</v>
      </c>
      <c r="NO19">
        <v>5.5579999999999996E-3</v>
      </c>
      <c r="NP19">
        <v>9.3970000000000008E-3</v>
      </c>
      <c r="NQ19">
        <v>1.9890000000000001E-2</v>
      </c>
      <c r="NR19">
        <v>2.1094000000000002E-2</v>
      </c>
      <c r="NS19">
        <v>6.4215999999999995E-2</v>
      </c>
      <c r="NT19">
        <v>9.5600000000000008E-3</v>
      </c>
      <c r="NU19">
        <v>9.5879999999999993E-3</v>
      </c>
      <c r="NV19">
        <v>1.3906999999999999E-2</v>
      </c>
      <c r="NW19">
        <v>2.4840999999999998E-2</v>
      </c>
      <c r="NX19">
        <v>2.6512999999999998E-2</v>
      </c>
      <c r="NY19">
        <v>6.9569000000000006E-2</v>
      </c>
      <c r="NZ19">
        <v>9.5600000000000008E-3</v>
      </c>
      <c r="OA19">
        <v>9.5879999999999993E-3</v>
      </c>
      <c r="OB19">
        <v>1.3906999999999999E-2</v>
      </c>
      <c r="OC19">
        <v>2.4840999999999998E-2</v>
      </c>
      <c r="OD19">
        <v>2.6512999999999998E-2</v>
      </c>
      <c r="OE19">
        <v>6.9569000000000006E-2</v>
      </c>
      <c r="OF19">
        <v>50.534039999999997</v>
      </c>
      <c r="OG19">
        <v>35772.57</v>
      </c>
      <c r="OH19">
        <v>17663.580000000002</v>
      </c>
      <c r="OI19">
        <v>8773.1149999999998</v>
      </c>
      <c r="OJ19">
        <v>43.30688</v>
      </c>
      <c r="OK19">
        <v>32994.43</v>
      </c>
      <c r="OL19">
        <v>17530.27</v>
      </c>
      <c r="OM19">
        <v>8574.9529999999995</v>
      </c>
      <c r="ON19">
        <v>1358556</v>
      </c>
      <c r="OO19">
        <v>1370888</v>
      </c>
      <c r="OP19">
        <v>10047.1</v>
      </c>
      <c r="OQ19">
        <v>5416.1329999999998</v>
      </c>
      <c r="OR19">
        <v>4886.4120000000003</v>
      </c>
      <c r="OS19">
        <v>454.82240000000002</v>
      </c>
      <c r="OT19">
        <v>1421.7280000000001</v>
      </c>
      <c r="OU19">
        <v>1137.3440000000001</v>
      </c>
      <c r="OV19">
        <v>287.76089999999999</v>
      </c>
      <c r="OW19">
        <v>1135.626</v>
      </c>
      <c r="OX19">
        <v>1215.2170000000001</v>
      </c>
      <c r="OY19">
        <v>969.9837</v>
      </c>
      <c r="OZ19">
        <v>555.65260000000001</v>
      </c>
      <c r="PA19">
        <v>18186.599999999999</v>
      </c>
      <c r="PB19">
        <v>6444.31</v>
      </c>
      <c r="PC19">
        <v>1049.7429999999999</v>
      </c>
      <c r="PD19">
        <v>1892.856</v>
      </c>
      <c r="PE19">
        <v>5629.48</v>
      </c>
      <c r="PF19">
        <v>1251.3599999999999</v>
      </c>
      <c r="PG19">
        <v>2295.0729999999999</v>
      </c>
      <c r="PH19">
        <v>172961.1</v>
      </c>
      <c r="PI19">
        <v>74973.75</v>
      </c>
      <c r="PJ19">
        <v>1.7109970000000001</v>
      </c>
      <c r="PK19">
        <v>605.58920000000001</v>
      </c>
      <c r="PL19">
        <v>117.7607</v>
      </c>
      <c r="PM19">
        <v>1426.9929999999999</v>
      </c>
      <c r="PN19">
        <v>446.9511</v>
      </c>
      <c r="PO19">
        <v>155.02510000000001</v>
      </c>
      <c r="PP19">
        <v>247.14580000000001</v>
      </c>
      <c r="PQ19">
        <v>527.36919999999998</v>
      </c>
      <c r="PR19">
        <v>93.337590000000006</v>
      </c>
      <c r="PS19">
        <v>572.65390000000002</v>
      </c>
      <c r="PT19">
        <v>1186.213</v>
      </c>
      <c r="PU19">
        <v>481.00990000000002</v>
      </c>
      <c r="PV19">
        <v>869.44320000000005</v>
      </c>
      <c r="PW19">
        <v>65.018950000000004</v>
      </c>
      <c r="PX19">
        <v>140.76840000000001</v>
      </c>
      <c r="PY19">
        <v>751.73130000000003</v>
      </c>
      <c r="PZ19">
        <v>143.0155</v>
      </c>
      <c r="QA19">
        <v>320043.8</v>
      </c>
      <c r="QB19">
        <v>6662.0990000000002</v>
      </c>
      <c r="QC19">
        <v>75630.039999999994</v>
      </c>
      <c r="QD19">
        <v>9976.3050000000003</v>
      </c>
      <c r="QE19">
        <v>16249.55</v>
      </c>
      <c r="QF19">
        <v>10204.52</v>
      </c>
      <c r="QG19">
        <v>2610.6619999999998</v>
      </c>
      <c r="QH19">
        <v>1262.482</v>
      </c>
      <c r="QI19">
        <v>285.12729999999999</v>
      </c>
      <c r="QJ19">
        <v>2653.4050000000002</v>
      </c>
      <c r="QK19">
        <v>10236.66</v>
      </c>
      <c r="QL19">
        <v>5590.6670000000004</v>
      </c>
      <c r="QM19">
        <v>4871.3950000000004</v>
      </c>
      <c r="QN19">
        <v>469.44229999999999</v>
      </c>
      <c r="QO19">
        <v>1474.7470000000001</v>
      </c>
      <c r="QP19">
        <v>1156.694</v>
      </c>
      <c r="QQ19">
        <v>318.58659999999998</v>
      </c>
      <c r="QR19">
        <v>1140.0609999999999</v>
      </c>
      <c r="QS19">
        <v>1219.567</v>
      </c>
      <c r="QT19">
        <v>1076.213</v>
      </c>
      <c r="QU19">
        <v>565.90589999999997</v>
      </c>
      <c r="QV19">
        <v>18420.04</v>
      </c>
      <c r="QW19">
        <v>6564.13</v>
      </c>
      <c r="QX19">
        <v>1076.2270000000001</v>
      </c>
      <c r="QY19">
        <v>1921.6690000000001</v>
      </c>
      <c r="QZ19">
        <v>5757.8590000000004</v>
      </c>
      <c r="RA19">
        <v>1228.6969999999999</v>
      </c>
      <c r="RB19">
        <v>2343.8609999999999</v>
      </c>
      <c r="RC19">
        <v>175224.3</v>
      </c>
      <c r="RD19">
        <v>75256.52</v>
      </c>
      <c r="RE19">
        <v>0.92951099999999998</v>
      </c>
      <c r="RF19">
        <v>571.01790000000005</v>
      </c>
      <c r="RG19">
        <v>140.67699999999999</v>
      </c>
      <c r="RH19">
        <v>1235.395</v>
      </c>
      <c r="RI19">
        <v>42.30733</v>
      </c>
      <c r="RJ19">
        <v>162.8511</v>
      </c>
      <c r="RK19">
        <v>32.713679999999997</v>
      </c>
      <c r="RL19">
        <v>4695.8860000000004</v>
      </c>
      <c r="RM19">
        <v>421.09309999999999</v>
      </c>
      <c r="RN19">
        <v>863.8116</v>
      </c>
      <c r="RO19">
        <v>605.27719999999999</v>
      </c>
      <c r="RP19">
        <v>423.42399999999998</v>
      </c>
      <c r="RQ19">
        <v>842.49699999999996</v>
      </c>
      <c r="RR19">
        <v>82.754329999999996</v>
      </c>
      <c r="RS19">
        <v>157.86580000000001</v>
      </c>
      <c r="RT19">
        <v>935.22040000000004</v>
      </c>
      <c r="RU19">
        <v>198.0881</v>
      </c>
      <c r="RV19">
        <v>327325</v>
      </c>
      <c r="RW19">
        <v>8442.0589999999993</v>
      </c>
      <c r="RX19">
        <v>74985.210000000006</v>
      </c>
      <c r="RY19">
        <v>11310.57</v>
      </c>
      <c r="RZ19">
        <v>14353.63</v>
      </c>
      <c r="SA19">
        <v>9673.2039999999997</v>
      </c>
      <c r="SB19">
        <v>3528.259</v>
      </c>
      <c r="SC19">
        <v>824.9588</v>
      </c>
      <c r="SD19">
        <v>24.223379999999999</v>
      </c>
      <c r="SE19">
        <v>178.06270000000001</v>
      </c>
      <c r="SF19">
        <v>34414.800000000003</v>
      </c>
      <c r="SG19">
        <v>50.534039999999997</v>
      </c>
      <c r="SH19">
        <v>8306.1450000000004</v>
      </c>
      <c r="SI19">
        <v>17285</v>
      </c>
      <c r="SJ19">
        <v>8773.1149999999998</v>
      </c>
      <c r="SK19">
        <v>33464.879999999997</v>
      </c>
      <c r="SL19">
        <v>43.30688</v>
      </c>
      <c r="SM19">
        <v>7974.7939999999999</v>
      </c>
      <c r="SN19">
        <v>16871.82</v>
      </c>
      <c r="SO19">
        <v>8574.9529999999995</v>
      </c>
      <c r="SP19">
        <v>112214.3</v>
      </c>
      <c r="SQ19">
        <v>73000.36</v>
      </c>
      <c r="SR19">
        <v>114803.7</v>
      </c>
      <c r="SS19">
        <v>69577.36</v>
      </c>
      <c r="ST19">
        <v>38.757800000000003</v>
      </c>
      <c r="SU19">
        <v>0.304367</v>
      </c>
      <c r="SV19">
        <v>5.9782299999999999</v>
      </c>
      <c r="SW19">
        <v>12.341089999999999</v>
      </c>
      <c r="SX19">
        <v>20.13411</v>
      </c>
      <c r="SY19">
        <v>37.726010000000002</v>
      </c>
      <c r="SZ19">
        <v>0.26083800000000001</v>
      </c>
      <c r="TA19">
        <v>5.7397460000000002</v>
      </c>
      <c r="TB19">
        <v>12.04609</v>
      </c>
      <c r="TC19">
        <v>19.67933</v>
      </c>
      <c r="TD19">
        <v>25334.77</v>
      </c>
      <c r="TE19">
        <v>818.53219999999999</v>
      </c>
      <c r="TF19">
        <v>487.6044</v>
      </c>
      <c r="TG19">
        <v>222.3613</v>
      </c>
      <c r="TH19">
        <v>51.446919999999999</v>
      </c>
      <c r="TI19">
        <v>104.4387</v>
      </c>
      <c r="TJ19">
        <v>86.973349999999996</v>
      </c>
      <c r="TK19">
        <v>26.772919999999999</v>
      </c>
      <c r="TL19">
        <v>32.179180000000002</v>
      </c>
      <c r="TM19">
        <v>169.3674</v>
      </c>
      <c r="TN19">
        <v>42.420929999999998</v>
      </c>
      <c r="TO19">
        <v>27.312850000000001</v>
      </c>
      <c r="TP19">
        <v>2057.971</v>
      </c>
      <c r="TQ19">
        <v>1971.9</v>
      </c>
      <c r="TR19">
        <v>99.803960000000004</v>
      </c>
      <c r="TS19">
        <v>176.18709999999999</v>
      </c>
      <c r="TT19">
        <v>422.21010000000001</v>
      </c>
      <c r="TU19">
        <v>43.544240000000002</v>
      </c>
      <c r="TV19">
        <v>75.379559999999998</v>
      </c>
      <c r="TW19">
        <v>11989.29</v>
      </c>
      <c r="TX19">
        <v>6301.2129999999997</v>
      </c>
      <c r="TY19">
        <v>0.51329800000000003</v>
      </c>
      <c r="TZ19">
        <v>11.04674</v>
      </c>
      <c r="UA19">
        <v>5.9647189999999997</v>
      </c>
      <c r="UB19">
        <v>59.471179999999997</v>
      </c>
      <c r="UC19">
        <v>0.71848000000000001</v>
      </c>
      <c r="UD19">
        <v>2.40184</v>
      </c>
      <c r="UE19">
        <v>4.3705540000000003</v>
      </c>
      <c r="UF19">
        <v>1.668312</v>
      </c>
      <c r="UG19">
        <v>0.79261999999999999</v>
      </c>
      <c r="UH19">
        <v>10.4983</v>
      </c>
      <c r="UI19">
        <v>5.2839080000000003</v>
      </c>
      <c r="UJ19">
        <v>15.863860000000001</v>
      </c>
      <c r="UK19">
        <v>6.0649709999999999</v>
      </c>
      <c r="UL19">
        <v>0.46784100000000001</v>
      </c>
      <c r="UM19">
        <v>0.50812400000000002</v>
      </c>
      <c r="UN19">
        <v>1.8466020000000001</v>
      </c>
      <c r="UO19">
        <v>0.37746299999999999</v>
      </c>
      <c r="UP19">
        <v>25534.91</v>
      </c>
      <c r="UQ19">
        <v>822.99739999999997</v>
      </c>
      <c r="UR19">
        <v>494.2921</v>
      </c>
      <c r="US19">
        <v>221.72710000000001</v>
      </c>
      <c r="UT19">
        <v>52.619410000000002</v>
      </c>
      <c r="UU19">
        <v>107.64700000000001</v>
      </c>
      <c r="UV19">
        <v>89.184600000000003</v>
      </c>
      <c r="UW19">
        <v>27.08785</v>
      </c>
      <c r="UX19">
        <v>32.46942</v>
      </c>
      <c r="UY19">
        <v>173.26329999999999</v>
      </c>
      <c r="UZ19">
        <v>43.401940000000003</v>
      </c>
      <c r="VA19">
        <v>27.28116</v>
      </c>
      <c r="VB19">
        <v>2070.5630000000001</v>
      </c>
      <c r="VC19">
        <v>2000.713</v>
      </c>
      <c r="VD19">
        <v>101.6606</v>
      </c>
      <c r="VE19">
        <v>177.7193</v>
      </c>
      <c r="VF19">
        <v>424.553</v>
      </c>
      <c r="VG19">
        <v>42.026879999999998</v>
      </c>
      <c r="VH19">
        <v>76.948139999999995</v>
      </c>
      <c r="VI19">
        <v>12107.64</v>
      </c>
      <c r="VJ19">
        <v>6310.509</v>
      </c>
      <c r="VK19">
        <v>0.29959200000000002</v>
      </c>
      <c r="VL19">
        <v>10.54555</v>
      </c>
      <c r="VM19">
        <v>7.1101619999999999</v>
      </c>
      <c r="VN19">
        <v>52.283450000000002</v>
      </c>
      <c r="VO19">
        <v>0.103454</v>
      </c>
      <c r="VP19">
        <v>2.5089830000000002</v>
      </c>
      <c r="VQ19">
        <v>0.81732499999999997</v>
      </c>
      <c r="VR19">
        <v>11.42061</v>
      </c>
      <c r="VS19">
        <v>3.2183670000000002</v>
      </c>
      <c r="VT19">
        <v>14.98221</v>
      </c>
      <c r="VU19">
        <v>2.9933420000000002</v>
      </c>
      <c r="VV19">
        <v>14.326370000000001</v>
      </c>
      <c r="VW19">
        <v>6.0414500000000002</v>
      </c>
      <c r="VX19">
        <v>0.57549700000000004</v>
      </c>
      <c r="VY19">
        <v>0.56960299999999997</v>
      </c>
      <c r="VZ19">
        <v>2.2960750000000001</v>
      </c>
      <c r="WA19">
        <v>0.50908699999999996</v>
      </c>
      <c r="WB19">
        <v>0.10180500000000001</v>
      </c>
      <c r="WC19">
        <v>9.2947000000000002E-2</v>
      </c>
      <c r="WD19">
        <v>-1.1461000000000001E-2</v>
      </c>
      <c r="WE19">
        <v>-1.081E-2</v>
      </c>
      <c r="WF19">
        <v>0.64749100000000004</v>
      </c>
      <c r="WG19">
        <v>0.60678699999999997</v>
      </c>
      <c r="WH19">
        <v>-2.2669000000000002E-2</v>
      </c>
      <c r="WI19">
        <v>-1.6750999999999999E-2</v>
      </c>
      <c r="WJ19">
        <v>2178639</v>
      </c>
      <c r="WK19">
        <v>2199257</v>
      </c>
    </row>
    <row r="20" spans="1:609" ht="14.45" x14ac:dyDescent="0.35">
      <c r="A20">
        <v>2021</v>
      </c>
      <c r="B20">
        <v>0.92391000000000001</v>
      </c>
      <c r="C20">
        <v>123.81229999999999</v>
      </c>
      <c r="D20">
        <v>1.3000510000000001</v>
      </c>
      <c r="E20">
        <v>2.604536</v>
      </c>
      <c r="F20">
        <v>-0.684338</v>
      </c>
      <c r="G20">
        <v>0.24224100000000001</v>
      </c>
      <c r="H20">
        <v>-0.88619400000000004</v>
      </c>
      <c r="I20">
        <v>0.76851000000000003</v>
      </c>
      <c r="J20">
        <v>2.7286009999999998</v>
      </c>
      <c r="K20">
        <v>0.298151</v>
      </c>
      <c r="L20">
        <v>2.423225</v>
      </c>
      <c r="M20">
        <v>0.44670500000000002</v>
      </c>
      <c r="N20">
        <v>0</v>
      </c>
      <c r="O20">
        <v>-4.7779889999999998</v>
      </c>
      <c r="P20">
        <v>-0.60476799999999997</v>
      </c>
      <c r="Q20">
        <v>-17.44895</v>
      </c>
      <c r="R20">
        <v>79.220479999999995</v>
      </c>
      <c r="S20">
        <v>53.58867</v>
      </c>
      <c r="T20">
        <v>72.534080000000003</v>
      </c>
      <c r="U20">
        <v>54.574669999999998</v>
      </c>
      <c r="V20">
        <v>66.156450000000007</v>
      </c>
      <c r="W20">
        <v>0.92912300000000003</v>
      </c>
      <c r="X20">
        <v>20792.39</v>
      </c>
      <c r="Y20">
        <v>0.130467</v>
      </c>
      <c r="Z20">
        <v>0.337895</v>
      </c>
      <c r="AA20">
        <v>-0.33263900000000002</v>
      </c>
      <c r="AB20">
        <v>-0.41383599999999998</v>
      </c>
      <c r="AC20">
        <v>4.3327999999999998E-2</v>
      </c>
      <c r="AD20">
        <v>18170.02</v>
      </c>
      <c r="AE20">
        <v>31434.76</v>
      </c>
      <c r="AF20">
        <v>47610.55</v>
      </c>
      <c r="AG20">
        <v>-2492.3649999999998</v>
      </c>
      <c r="AH20">
        <v>41679.29</v>
      </c>
      <c r="AI20">
        <v>-3.4060000000000002E-3</v>
      </c>
      <c r="AJ20">
        <v>73.539209999999997</v>
      </c>
      <c r="AK20">
        <v>215.25790000000001</v>
      </c>
      <c r="AL20">
        <v>77.040130000000005</v>
      </c>
      <c r="AM20">
        <v>54.10718</v>
      </c>
      <c r="AN20">
        <v>158.37799999999999</v>
      </c>
      <c r="AO20">
        <v>56.683010000000003</v>
      </c>
      <c r="AP20">
        <v>196.3142</v>
      </c>
      <c r="AQ20">
        <v>144.4401</v>
      </c>
      <c r="AR20">
        <v>316.76330000000002</v>
      </c>
      <c r="AS20">
        <v>375.47300000000001</v>
      </c>
      <c r="AT20">
        <v>553.33720000000005</v>
      </c>
      <c r="AU20">
        <v>176.37610000000001</v>
      </c>
      <c r="AV20">
        <v>118.176</v>
      </c>
      <c r="AW20">
        <v>0.94274000000000002</v>
      </c>
      <c r="AX20">
        <v>1.105002</v>
      </c>
      <c r="AY20">
        <v>1.5624150000000001</v>
      </c>
      <c r="AZ20">
        <v>-0.94832499999999997</v>
      </c>
      <c r="BA20">
        <v>2.6917300000000002</v>
      </c>
      <c r="BB20">
        <v>3.3812410000000002</v>
      </c>
      <c r="BC20">
        <v>2.4746130000000002</v>
      </c>
      <c r="BD20">
        <v>7.1684409999999996</v>
      </c>
      <c r="BE20">
        <v>0.419375</v>
      </c>
      <c r="BF20">
        <v>1.912736</v>
      </c>
      <c r="BG20">
        <v>4.6073069999999996</v>
      </c>
      <c r="BH20">
        <v>0.39678200000000002</v>
      </c>
      <c r="BI20">
        <v>0.58796700000000002</v>
      </c>
      <c r="BJ20">
        <v>1.7115180000000001</v>
      </c>
      <c r="BK20">
        <v>2.6115360000000001</v>
      </c>
      <c r="BL20">
        <v>1.506073</v>
      </c>
      <c r="BM20">
        <v>0.94639600000000002</v>
      </c>
      <c r="BN20">
        <v>-3.471425</v>
      </c>
      <c r="BO20">
        <v>2.2587830000000002</v>
      </c>
      <c r="BP20">
        <v>0.88196600000000003</v>
      </c>
      <c r="BQ20">
        <v>0.20807899999999999</v>
      </c>
      <c r="BR20">
        <v>-50.016309999999997</v>
      </c>
      <c r="BS20">
        <v>-4.8453400000000002</v>
      </c>
      <c r="BT20">
        <v>54.323050000000002</v>
      </c>
      <c r="BU20">
        <v>-15.69495</v>
      </c>
      <c r="BV20">
        <v>-88.874889999999994</v>
      </c>
      <c r="BW20">
        <v>2.044915</v>
      </c>
      <c r="BX20">
        <v>-91.122770000000003</v>
      </c>
      <c r="BY20">
        <v>665.74869999999999</v>
      </c>
      <c r="BZ20">
        <v>715.44960000000003</v>
      </c>
      <c r="CA20">
        <v>38.14114</v>
      </c>
      <c r="CB20">
        <v>-51.076230000000002</v>
      </c>
      <c r="CC20">
        <v>-22.95524</v>
      </c>
      <c r="CD20">
        <v>-0.135601</v>
      </c>
      <c r="CE20">
        <v>62.859000000000002</v>
      </c>
      <c r="CF20">
        <v>8.5606030000000004</v>
      </c>
      <c r="CG20">
        <v>8.6083350000000003</v>
      </c>
      <c r="CH20">
        <v>100.33499999999999</v>
      </c>
      <c r="CI20">
        <v>2.127723</v>
      </c>
      <c r="CJ20">
        <v>3.5176229999999999</v>
      </c>
      <c r="CK20">
        <v>-0.61627799999999999</v>
      </c>
      <c r="CL20">
        <v>3.7166839999999999</v>
      </c>
      <c r="CM20">
        <v>4.4603060000000001</v>
      </c>
      <c r="CN20">
        <v>1.9054979999999999</v>
      </c>
      <c r="CO20">
        <v>12.56887</v>
      </c>
      <c r="CP20">
        <v>0.36907499999999999</v>
      </c>
      <c r="CQ20">
        <v>0.24873700000000001</v>
      </c>
      <c r="CR20">
        <v>12.62255</v>
      </c>
      <c r="CS20">
        <v>2.103761</v>
      </c>
      <c r="CT20">
        <v>1.370967</v>
      </c>
      <c r="CU20">
        <v>2.1027640000000001</v>
      </c>
      <c r="CV20">
        <v>3.0076550000000002</v>
      </c>
      <c r="CW20">
        <v>2.0291600000000001</v>
      </c>
      <c r="CX20">
        <v>2.729679</v>
      </c>
      <c r="CY20">
        <v>-1.800659</v>
      </c>
      <c r="CZ20">
        <v>2.8408340000000001</v>
      </c>
      <c r="DA20">
        <v>1.3133159999999999</v>
      </c>
      <c r="DB20">
        <v>0.42405799999999999</v>
      </c>
      <c r="DC20">
        <v>-49.42512</v>
      </c>
      <c r="DD20">
        <v>-6.101661</v>
      </c>
      <c r="DE20">
        <v>6.0827910000000003</v>
      </c>
      <c r="DF20">
        <v>-15.765700000000001</v>
      </c>
      <c r="DG20">
        <v>-94.056449999999998</v>
      </c>
      <c r="DH20">
        <v>4.1527099999999999</v>
      </c>
      <c r="DI20">
        <v>-92.151920000000004</v>
      </c>
      <c r="DJ20">
        <v>932.73969999999997</v>
      </c>
      <c r="DK20">
        <v>615.26369999999997</v>
      </c>
      <c r="DL20">
        <v>51.376370000000001</v>
      </c>
      <c r="DM20">
        <v>-53.754399999999997</v>
      </c>
      <c r="DN20">
        <v>-14.588609999999999</v>
      </c>
      <c r="DO20">
        <v>-1.960466</v>
      </c>
      <c r="DP20">
        <v>53.175490000000003</v>
      </c>
      <c r="DQ20">
        <v>12.08873</v>
      </c>
      <c r="DR20">
        <v>16.891079999999999</v>
      </c>
      <c r="DS20">
        <v>79.709019999999995</v>
      </c>
      <c r="DT20">
        <v>1.8244E-2</v>
      </c>
      <c r="DU20">
        <v>1.7417069999999999</v>
      </c>
      <c r="DV20">
        <v>-2.9988700000000001</v>
      </c>
      <c r="DW20">
        <v>2.5710299999999999</v>
      </c>
      <c r="DX20">
        <v>2.2213349999999998</v>
      </c>
      <c r="DY20">
        <v>2.3066970000000002</v>
      </c>
      <c r="DZ20">
        <v>0.98152200000000001</v>
      </c>
      <c r="EA20">
        <v>1.8418300000000001</v>
      </c>
      <c r="EB20">
        <v>3.1210100000000001</v>
      </c>
      <c r="EC20">
        <v>0</v>
      </c>
      <c r="ED20">
        <v>2.0748139999999999</v>
      </c>
      <c r="EE20">
        <v>1.993204</v>
      </c>
      <c r="EF20">
        <v>2.281088</v>
      </c>
      <c r="EG20">
        <v>1.095073</v>
      </c>
      <c r="EH20">
        <v>1.9680660000000001</v>
      </c>
      <c r="EI20">
        <v>0.22376799999999999</v>
      </c>
      <c r="EJ20">
        <v>0.81339300000000003</v>
      </c>
      <c r="EK20">
        <v>-1.6423179999999999</v>
      </c>
      <c r="EL20">
        <v>1.8575740000000001</v>
      </c>
      <c r="EM20">
        <v>1.841283</v>
      </c>
      <c r="EN20">
        <v>-15.275980000000001</v>
      </c>
      <c r="EO20">
        <v>-8.2154900000000008</v>
      </c>
      <c r="EP20">
        <v>-0.97309800000000002</v>
      </c>
      <c r="EQ20">
        <v>-2.5876350000000001</v>
      </c>
      <c r="ER20">
        <v>7.0965720000000001</v>
      </c>
      <c r="ES20">
        <v>75.792209999999997</v>
      </c>
      <c r="ET20">
        <v>2.2038700000000002</v>
      </c>
      <c r="EU20">
        <v>32.708660000000002</v>
      </c>
      <c r="EV20">
        <v>0.52337999999999996</v>
      </c>
      <c r="EW20">
        <v>1.9121490000000001</v>
      </c>
      <c r="EX20">
        <v>2.4148010000000002</v>
      </c>
      <c r="EY20">
        <v>0.76245700000000005</v>
      </c>
      <c r="EZ20">
        <v>0.101049</v>
      </c>
      <c r="FA20">
        <v>5.1534750000000003</v>
      </c>
      <c r="FB20">
        <v>1.653521</v>
      </c>
      <c r="FC20">
        <v>34.13673</v>
      </c>
      <c r="FD20">
        <v>9.3213589999999993</v>
      </c>
      <c r="FE20">
        <v>0.56297299999999995</v>
      </c>
      <c r="FF20">
        <v>0.86753199999999997</v>
      </c>
      <c r="FG20">
        <v>1.5597129999999999</v>
      </c>
      <c r="FH20">
        <v>0.35070499999999999</v>
      </c>
      <c r="FI20">
        <v>5.0475640000000004</v>
      </c>
      <c r="FJ20">
        <v>71.293120000000002</v>
      </c>
      <c r="FK20">
        <v>2.0966779999999998</v>
      </c>
      <c r="FL20">
        <v>27.562419999999999</v>
      </c>
      <c r="FM20">
        <v>4.1073999999999999E-2</v>
      </c>
      <c r="FN20">
        <v>1.9482969999999999</v>
      </c>
      <c r="FO20">
        <v>0.22275400000000001</v>
      </c>
      <c r="FP20">
        <v>5.8182739999999997</v>
      </c>
      <c r="FQ20">
        <v>0.81073300000000004</v>
      </c>
      <c r="FR20">
        <v>7.1007829999999998</v>
      </c>
      <c r="FS20">
        <v>0.80540400000000001</v>
      </c>
      <c r="FT20">
        <v>30.266870000000001</v>
      </c>
      <c r="FU20">
        <v>9.5856949999999994</v>
      </c>
      <c r="FV20">
        <v>0.94513800000000003</v>
      </c>
      <c r="FW20">
        <v>0.97276499999999999</v>
      </c>
      <c r="FX20">
        <v>1.7474810000000001</v>
      </c>
      <c r="FY20">
        <v>0.73642399999999997</v>
      </c>
      <c r="FZ20">
        <v>5.0816039999999996</v>
      </c>
      <c r="GA20">
        <v>60.184019999999997</v>
      </c>
      <c r="GB20">
        <v>2.2038700000000002</v>
      </c>
      <c r="GC20">
        <v>28.767379999999999</v>
      </c>
      <c r="GD20">
        <v>0.460314</v>
      </c>
      <c r="GE20">
        <v>1.6817420000000001</v>
      </c>
      <c r="GF20">
        <v>2.1238260000000002</v>
      </c>
      <c r="GG20">
        <v>0.67058399999999996</v>
      </c>
      <c r="GH20">
        <v>8.8872999999999994E-2</v>
      </c>
      <c r="GI20">
        <v>4.5324989999999996</v>
      </c>
      <c r="GJ20">
        <v>1.454278</v>
      </c>
      <c r="GK20">
        <v>32.28839</v>
      </c>
      <c r="GL20">
        <v>9.3213589999999993</v>
      </c>
      <c r="GM20">
        <v>0.56297299999999995</v>
      </c>
      <c r="GN20">
        <v>0.86753199999999997</v>
      </c>
      <c r="GO20">
        <v>1.5597129999999999</v>
      </c>
      <c r="GP20">
        <v>0.35070499999999999</v>
      </c>
      <c r="GQ20">
        <v>3.0510320000000002</v>
      </c>
      <c r="GR20">
        <v>55.816200000000002</v>
      </c>
      <c r="GS20">
        <v>2.0966779999999998</v>
      </c>
      <c r="GT20">
        <v>24.1723</v>
      </c>
      <c r="GU20">
        <v>3.6021999999999998E-2</v>
      </c>
      <c r="GV20">
        <v>1.708661</v>
      </c>
      <c r="GW20">
        <v>0.195355</v>
      </c>
      <c r="GX20">
        <v>5.1026400000000001</v>
      </c>
      <c r="GY20">
        <v>0.71101400000000003</v>
      </c>
      <c r="GZ20">
        <v>6.2274029999999998</v>
      </c>
      <c r="HA20">
        <v>0.706341</v>
      </c>
      <c r="HB20">
        <v>28.434080000000002</v>
      </c>
      <c r="HC20">
        <v>9.5856949999999994</v>
      </c>
      <c r="HD20">
        <v>0.94513800000000003</v>
      </c>
      <c r="HE20">
        <v>0.97276499999999999</v>
      </c>
      <c r="HF20">
        <v>1.7474810000000001</v>
      </c>
      <c r="HG20">
        <v>0.73642399999999997</v>
      </c>
      <c r="HH20">
        <v>5.1732560000000003</v>
      </c>
      <c r="HI20">
        <v>64.688419999999994</v>
      </c>
      <c r="HJ20">
        <v>2.2038700000000002</v>
      </c>
      <c r="HK20">
        <v>118.0802</v>
      </c>
      <c r="HL20">
        <v>1.1305080000000001</v>
      </c>
      <c r="HM20">
        <v>4.1302729999999999</v>
      </c>
      <c r="HN20">
        <v>5.2160089999999997</v>
      </c>
      <c r="HO20">
        <v>0.82427300000000003</v>
      </c>
      <c r="HP20">
        <v>0.109241</v>
      </c>
      <c r="HQ20">
        <v>5.5712890000000002</v>
      </c>
      <c r="HR20">
        <v>4.8330849999999996</v>
      </c>
      <c r="HS20">
        <v>32.510240000000003</v>
      </c>
      <c r="HT20">
        <v>9.4607709999999994</v>
      </c>
      <c r="HU20">
        <v>0.57139300000000004</v>
      </c>
      <c r="HV20">
        <v>0.88050700000000004</v>
      </c>
      <c r="HW20">
        <v>1.58304</v>
      </c>
      <c r="HX20">
        <v>0.35594999999999999</v>
      </c>
      <c r="HY20">
        <v>3.0903160000000001</v>
      </c>
      <c r="HZ20">
        <v>59.705800000000004</v>
      </c>
      <c r="IA20">
        <v>2.0966779999999998</v>
      </c>
      <c r="IB20">
        <v>95.697069999999997</v>
      </c>
      <c r="IC20">
        <v>4.1073999999999999E-2</v>
      </c>
      <c r="ID20">
        <v>4.1235010000000001</v>
      </c>
      <c r="IE20">
        <v>0.22275400000000001</v>
      </c>
      <c r="IF20">
        <v>6.2544199999999996</v>
      </c>
      <c r="IG20">
        <v>0.871506</v>
      </c>
      <c r="IH20">
        <v>7.6330669999999996</v>
      </c>
      <c r="II20">
        <v>2.4234100000000001</v>
      </c>
      <c r="IJ20">
        <v>28.712029999999999</v>
      </c>
      <c r="IK20">
        <v>9.8086789999999997</v>
      </c>
      <c r="IL20">
        <v>0.95985799999999999</v>
      </c>
      <c r="IM20">
        <v>1.0007809999999999</v>
      </c>
      <c r="IN20">
        <v>1.79714</v>
      </c>
      <c r="IO20">
        <v>0.74889899999999998</v>
      </c>
      <c r="IP20">
        <v>4.4422119999999996</v>
      </c>
      <c r="IQ20">
        <v>4.9852759999999998</v>
      </c>
      <c r="IR20">
        <v>0.74354100000000001</v>
      </c>
      <c r="IS20">
        <v>1.7284310000000001</v>
      </c>
      <c r="IT20">
        <v>3.7585570000000001</v>
      </c>
      <c r="IU20">
        <v>3.948531</v>
      </c>
      <c r="IV20">
        <v>4.8412389999999998</v>
      </c>
      <c r="IW20">
        <v>5.8921739999999998</v>
      </c>
      <c r="IX20">
        <v>0.74066799999999999</v>
      </c>
      <c r="IY20">
        <v>5.8527719999999999</v>
      </c>
      <c r="IZ20">
        <v>1.6765589999999999</v>
      </c>
      <c r="JA20">
        <v>7.668317</v>
      </c>
      <c r="JB20">
        <v>0.37321300000000002</v>
      </c>
      <c r="JC20">
        <v>1.2279329999999999</v>
      </c>
      <c r="JD20">
        <v>0.85600399999999999</v>
      </c>
      <c r="JE20">
        <v>18.104150000000001</v>
      </c>
      <c r="JF20">
        <v>0.358074</v>
      </c>
      <c r="JG20">
        <v>1.8611660000000001</v>
      </c>
      <c r="JH20">
        <v>18.77159</v>
      </c>
      <c r="JI20">
        <v>6.2257569999999998</v>
      </c>
      <c r="JJ20">
        <v>19.630759999999999</v>
      </c>
      <c r="JK20">
        <v>38.512740000000001</v>
      </c>
      <c r="JL20">
        <v>4.1472829999999998</v>
      </c>
      <c r="JM20">
        <v>4.6373119999999997</v>
      </c>
      <c r="JN20">
        <v>0.71190399999999998</v>
      </c>
      <c r="JO20">
        <v>1.546557</v>
      </c>
      <c r="JP20">
        <v>3.3031299999999999</v>
      </c>
      <c r="JQ20">
        <v>3.61965</v>
      </c>
      <c r="JR20">
        <v>4.285234</v>
      </c>
      <c r="JS20">
        <v>5.7014009999999997</v>
      </c>
      <c r="JT20">
        <v>0.72445499999999996</v>
      </c>
      <c r="JU20">
        <v>4.1193049999999998</v>
      </c>
      <c r="JV20">
        <v>1.5558959999999999</v>
      </c>
      <c r="JW20">
        <v>7.0704250000000002</v>
      </c>
      <c r="JX20">
        <v>0.30010700000000001</v>
      </c>
      <c r="JY20">
        <v>1.209225</v>
      </c>
      <c r="JZ20">
        <v>0.84437099999999998</v>
      </c>
      <c r="KA20">
        <v>16.994489999999999</v>
      </c>
      <c r="KB20">
        <v>0.29270699999999999</v>
      </c>
      <c r="KC20">
        <v>1.6281509999999999</v>
      </c>
      <c r="KD20">
        <v>18.197980000000001</v>
      </c>
      <c r="KE20">
        <v>5.9620379999999997</v>
      </c>
      <c r="KF20">
        <v>18.088069999999998</v>
      </c>
      <c r="KG20">
        <v>37.305529999999997</v>
      </c>
      <c r="KH20">
        <v>4993.9830000000002</v>
      </c>
      <c r="KI20">
        <v>8655.0360000000001</v>
      </c>
      <c r="KJ20">
        <v>6207.2079999999996</v>
      </c>
      <c r="KK20">
        <v>3548.5990000000002</v>
      </c>
      <c r="KL20">
        <v>5085.5770000000002</v>
      </c>
      <c r="KM20">
        <v>1743.318</v>
      </c>
      <c r="KN20">
        <v>1817.087</v>
      </c>
      <c r="KO20">
        <v>0</v>
      </c>
      <c r="KP20">
        <v>30614.54</v>
      </c>
      <c r="KQ20">
        <v>1436.2670000000001</v>
      </c>
      <c r="KR20">
        <v>0</v>
      </c>
      <c r="KS20">
        <v>5826.6620000000003</v>
      </c>
      <c r="KT20">
        <v>8398.5139999999992</v>
      </c>
      <c r="KU20">
        <v>6241.0950000000003</v>
      </c>
      <c r="KV20">
        <v>3791.413</v>
      </c>
      <c r="KW20">
        <v>5010.1270000000004</v>
      </c>
      <c r="KX20">
        <v>1600.5350000000001</v>
      </c>
      <c r="KY20">
        <v>965.26430000000005</v>
      </c>
      <c r="KZ20">
        <v>0</v>
      </c>
      <c r="LA20">
        <v>29337.58</v>
      </c>
      <c r="LB20">
        <v>2496.0259999999998</v>
      </c>
      <c r="LC20">
        <v>0</v>
      </c>
      <c r="LD20">
        <v>55521672</v>
      </c>
      <c r="LE20" s="21">
        <v>211000000</v>
      </c>
      <c r="LF20" s="21">
        <v>626000000</v>
      </c>
      <c r="LG20" s="21">
        <v>646000000</v>
      </c>
      <c r="LH20" s="21">
        <v>640000000</v>
      </c>
      <c r="LI20" s="21">
        <v>336000000</v>
      </c>
      <c r="LJ20" s="21">
        <v>144000000</v>
      </c>
      <c r="LK20" s="21">
        <v>2.2400000000000002E-6</v>
      </c>
      <c r="LL20" s="21">
        <v>4.25E-6</v>
      </c>
      <c r="LM20" s="21">
        <v>7.7800000000000001E-6</v>
      </c>
      <c r="LN20" s="21">
        <v>1.5999999999999999E-5</v>
      </c>
      <c r="LO20" s="21">
        <v>2.3099999999999999E-5</v>
      </c>
      <c r="LP20" s="21">
        <v>3.2299999999999999E-5</v>
      </c>
      <c r="LQ20" s="21">
        <v>4.7200000000000002E-5</v>
      </c>
      <c r="LR20">
        <v>64723962</v>
      </c>
      <c r="LS20" s="21">
        <v>223000000</v>
      </c>
      <c r="LT20" s="21">
        <v>632000000</v>
      </c>
      <c r="LU20" s="21">
        <v>640000000</v>
      </c>
      <c r="LV20" s="21">
        <v>629000000</v>
      </c>
      <c r="LW20" s="21">
        <v>328000000</v>
      </c>
      <c r="LX20" s="21">
        <v>140000000</v>
      </c>
      <c r="LY20" s="21">
        <v>2.5000000000000002E-6</v>
      </c>
      <c r="LZ20" s="21">
        <v>4.7299999999999996E-6</v>
      </c>
      <c r="MA20" s="21">
        <v>8.6799999999999999E-6</v>
      </c>
      <c r="MB20" s="21">
        <v>1.7900000000000001E-5</v>
      </c>
      <c r="MC20" s="21">
        <v>2.5999999999999998E-5</v>
      </c>
      <c r="MD20" s="21">
        <v>3.65E-5</v>
      </c>
      <c r="ME20" s="21">
        <v>5.3199999999999999E-5</v>
      </c>
      <c r="MF20">
        <v>0.29642400000000002</v>
      </c>
      <c r="MG20">
        <v>0.40649099999999999</v>
      </c>
      <c r="MH20">
        <v>0.21784200000000001</v>
      </c>
      <c r="MI20">
        <v>5.2588000000000003E-2</v>
      </c>
      <c r="MJ20">
        <v>1.5894999999999999E-2</v>
      </c>
      <c r="MK20">
        <v>1.338E-3</v>
      </c>
      <c r="ML20">
        <v>9.4230000000000008E-3</v>
      </c>
      <c r="MM20">
        <v>0.35009400000000002</v>
      </c>
      <c r="MN20">
        <v>0.45987299999999998</v>
      </c>
      <c r="MO20">
        <v>0.24940599999999999</v>
      </c>
      <c r="MP20">
        <v>6.4699000000000007E-2</v>
      </c>
      <c r="MQ20">
        <v>1.7076999999999998E-2</v>
      </c>
      <c r="MR20">
        <v>-2.3793000000000002E-2</v>
      </c>
      <c r="MS20">
        <v>-0.117355</v>
      </c>
      <c r="MT20">
        <v>0.34457100000000002</v>
      </c>
      <c r="MU20">
        <v>0.36332500000000001</v>
      </c>
      <c r="MV20">
        <v>0.209923</v>
      </c>
      <c r="MW20">
        <v>7.1642999999999998E-2</v>
      </c>
      <c r="MX20">
        <v>9.7689999999999999E-3</v>
      </c>
      <c r="MY20">
        <v>1.17E-4</v>
      </c>
      <c r="MZ20">
        <v>6.5200000000000002E-4</v>
      </c>
      <c r="NA20">
        <v>0.59533599999999998</v>
      </c>
      <c r="NB20">
        <v>0.59283600000000003</v>
      </c>
      <c r="NC20">
        <v>0.34845100000000001</v>
      </c>
      <c r="ND20">
        <v>0.12709100000000001</v>
      </c>
      <c r="NE20">
        <v>1.3768000000000001E-2</v>
      </c>
      <c r="NF20">
        <v>-0.10667600000000001</v>
      </c>
      <c r="NG20">
        <v>-0.57080600000000004</v>
      </c>
      <c r="NH20">
        <v>5.731E-3</v>
      </c>
      <c r="NI20">
        <v>5.6950000000000004E-3</v>
      </c>
      <c r="NJ20">
        <v>9.1500000000000001E-3</v>
      </c>
      <c r="NK20">
        <v>2.086E-2</v>
      </c>
      <c r="NL20">
        <v>2.2475999999999999E-2</v>
      </c>
      <c r="NM20">
        <v>6.6899E-2</v>
      </c>
      <c r="NN20">
        <v>5.731E-3</v>
      </c>
      <c r="NO20">
        <v>5.6950000000000004E-3</v>
      </c>
      <c r="NP20">
        <v>9.1500000000000001E-3</v>
      </c>
      <c r="NQ20">
        <v>2.086E-2</v>
      </c>
      <c r="NR20">
        <v>2.2475999999999999E-2</v>
      </c>
      <c r="NS20">
        <v>6.6899E-2</v>
      </c>
      <c r="NT20">
        <v>1.0305999999999999E-2</v>
      </c>
      <c r="NU20">
        <v>1.0356000000000001E-2</v>
      </c>
      <c r="NV20">
        <v>1.4333E-2</v>
      </c>
      <c r="NW20">
        <v>2.6393E-2</v>
      </c>
      <c r="NX20">
        <v>2.8441000000000001E-2</v>
      </c>
      <c r="NY20">
        <v>7.2755E-2</v>
      </c>
      <c r="NZ20">
        <v>1.0305999999999999E-2</v>
      </c>
      <c r="OA20">
        <v>1.0356000000000001E-2</v>
      </c>
      <c r="OB20">
        <v>1.4333E-2</v>
      </c>
      <c r="OC20">
        <v>2.6393E-2</v>
      </c>
      <c r="OD20">
        <v>2.8441000000000001E-2</v>
      </c>
      <c r="OE20">
        <v>7.2755E-2</v>
      </c>
      <c r="OF20">
        <v>50.138260000000002</v>
      </c>
      <c r="OG20">
        <v>35018.269999999997</v>
      </c>
      <c r="OH20">
        <v>17741.900000000001</v>
      </c>
      <c r="OI20">
        <v>8697.8140000000003</v>
      </c>
      <c r="OJ20">
        <v>42.479149999999997</v>
      </c>
      <c r="OK20">
        <v>32141.35</v>
      </c>
      <c r="OL20">
        <v>17569.25</v>
      </c>
      <c r="OM20">
        <v>8472.7459999999992</v>
      </c>
      <c r="ON20">
        <v>1381999</v>
      </c>
      <c r="OO20">
        <v>1395062</v>
      </c>
      <c r="OP20">
        <v>10200.6</v>
      </c>
      <c r="OQ20">
        <v>5537.9639999999999</v>
      </c>
      <c r="OR20">
        <v>4949.598</v>
      </c>
      <c r="OS20">
        <v>463.98509999999999</v>
      </c>
      <c r="OT20">
        <v>1446.752</v>
      </c>
      <c r="OU20">
        <v>1160.21</v>
      </c>
      <c r="OV20">
        <v>293.89830000000001</v>
      </c>
      <c r="OW20">
        <v>1159.075</v>
      </c>
      <c r="OX20">
        <v>1237.6089999999999</v>
      </c>
      <c r="OY20">
        <v>987.60270000000003</v>
      </c>
      <c r="OZ20">
        <v>567.06510000000003</v>
      </c>
      <c r="PA20">
        <v>18541.57</v>
      </c>
      <c r="PB20">
        <v>6550.5259999999998</v>
      </c>
      <c r="PC20">
        <v>1060.9780000000001</v>
      </c>
      <c r="PD20">
        <v>1913.367</v>
      </c>
      <c r="PE20">
        <v>5731.1719999999996</v>
      </c>
      <c r="PF20">
        <v>1271.0170000000001</v>
      </c>
      <c r="PG20">
        <v>2331.328</v>
      </c>
      <c r="PH20">
        <v>176383.9</v>
      </c>
      <c r="PI20">
        <v>76222.94</v>
      </c>
      <c r="PJ20">
        <v>1.719992</v>
      </c>
      <c r="PK20">
        <v>601.61120000000005</v>
      </c>
      <c r="PL20">
        <v>118.14400000000001</v>
      </c>
      <c r="PM20">
        <v>1464.748</v>
      </c>
      <c r="PN20">
        <v>445.714</v>
      </c>
      <c r="PO20">
        <v>155.83629999999999</v>
      </c>
      <c r="PP20">
        <v>247.38919999999999</v>
      </c>
      <c r="PQ20">
        <v>535.09389999999996</v>
      </c>
      <c r="PR20">
        <v>93.586680000000001</v>
      </c>
      <c r="PS20">
        <v>575.30640000000005</v>
      </c>
      <c r="PT20">
        <v>1205.3499999999999</v>
      </c>
      <c r="PU20">
        <v>479.39190000000002</v>
      </c>
      <c r="PV20">
        <v>866.61810000000003</v>
      </c>
      <c r="PW20">
        <v>65.758709999999994</v>
      </c>
      <c r="PX20">
        <v>141.51920000000001</v>
      </c>
      <c r="PY20">
        <v>761.61839999999995</v>
      </c>
      <c r="PZ20">
        <v>143.02719999999999</v>
      </c>
      <c r="QA20">
        <v>325913.59999999998</v>
      </c>
      <c r="QB20">
        <v>6898.1890000000003</v>
      </c>
      <c r="QC20">
        <v>76281.320000000007</v>
      </c>
      <c r="QD20">
        <v>10180.81</v>
      </c>
      <c r="QE20">
        <v>15866.12</v>
      </c>
      <c r="QF20">
        <v>10082.59</v>
      </c>
      <c r="QG20">
        <v>2788.9119999999998</v>
      </c>
      <c r="QH20">
        <v>1174.5350000000001</v>
      </c>
      <c r="QI20">
        <v>140.398</v>
      </c>
      <c r="QJ20">
        <v>1306.548</v>
      </c>
      <c r="QK20">
        <v>10417.64</v>
      </c>
      <c r="QL20">
        <v>5732.768</v>
      </c>
      <c r="QM20">
        <v>4919.0950000000003</v>
      </c>
      <c r="QN20">
        <v>481.23</v>
      </c>
      <c r="QO20">
        <v>1511.2819999999999</v>
      </c>
      <c r="QP20">
        <v>1182.318</v>
      </c>
      <c r="QQ20">
        <v>330.83800000000002</v>
      </c>
      <c r="QR20">
        <v>1163.3530000000001</v>
      </c>
      <c r="QS20">
        <v>1240.6869999999999</v>
      </c>
      <c r="QT20">
        <v>1112.2629999999999</v>
      </c>
      <c r="QU20">
        <v>578.99480000000005</v>
      </c>
      <c r="QV20">
        <v>18795.77</v>
      </c>
      <c r="QW20">
        <v>6688.2690000000002</v>
      </c>
      <c r="QX20">
        <v>1092.8889999999999</v>
      </c>
      <c r="QY20">
        <v>1952.192</v>
      </c>
      <c r="QZ20">
        <v>5887.6139999999996</v>
      </c>
      <c r="RA20">
        <v>1248.1300000000001</v>
      </c>
      <c r="RB20">
        <v>2397.5569999999998</v>
      </c>
      <c r="RC20">
        <v>178700.4</v>
      </c>
      <c r="RD20">
        <v>76546.17</v>
      </c>
      <c r="RE20">
        <v>0.86988399999999999</v>
      </c>
      <c r="RF20">
        <v>564.90290000000005</v>
      </c>
      <c r="RG20">
        <v>125.3304</v>
      </c>
      <c r="RH20">
        <v>1233.82</v>
      </c>
      <c r="RI20">
        <v>26.491209999999999</v>
      </c>
      <c r="RJ20">
        <v>162.30770000000001</v>
      </c>
      <c r="RK20">
        <v>19.415310000000002</v>
      </c>
      <c r="RL20">
        <v>5526.1279999999997</v>
      </c>
      <c r="RM20">
        <v>669.39149999999995</v>
      </c>
      <c r="RN20">
        <v>870.87800000000004</v>
      </c>
      <c r="RO20">
        <v>557.4212</v>
      </c>
      <c r="RP20">
        <v>409.45530000000002</v>
      </c>
      <c r="RQ20">
        <v>849.62840000000006</v>
      </c>
      <c r="RR20">
        <v>100.72620000000001</v>
      </c>
      <c r="RS20">
        <v>158.62700000000001</v>
      </c>
      <c r="RT20">
        <v>890.26390000000004</v>
      </c>
      <c r="RU20">
        <v>257.03280000000001</v>
      </c>
      <c r="RV20">
        <v>334402.09999999998</v>
      </c>
      <c r="RW20">
        <v>8890.1299999999992</v>
      </c>
      <c r="RX20">
        <v>75520.429999999993</v>
      </c>
      <c r="RY20">
        <v>11296.14</v>
      </c>
      <c r="RZ20">
        <v>13536.21</v>
      </c>
      <c r="SA20">
        <v>9274.1139999999996</v>
      </c>
      <c r="SB20">
        <v>3626.6750000000002</v>
      </c>
      <c r="SC20">
        <v>689.0462</v>
      </c>
      <c r="SD20">
        <v>11.73368</v>
      </c>
      <c r="SE20">
        <v>86.252709999999993</v>
      </c>
      <c r="SF20">
        <v>34242.230000000003</v>
      </c>
      <c r="SG20">
        <v>50.138260000000002</v>
      </c>
      <c r="SH20">
        <v>8185.558</v>
      </c>
      <c r="SI20">
        <v>17308.72</v>
      </c>
      <c r="SJ20">
        <v>8697.8140000000003</v>
      </c>
      <c r="SK20">
        <v>33110.019999999997</v>
      </c>
      <c r="SL20">
        <v>42.479149999999997</v>
      </c>
      <c r="SM20">
        <v>7777.973</v>
      </c>
      <c r="SN20">
        <v>16816.82</v>
      </c>
      <c r="SO20">
        <v>8472.7459999999992</v>
      </c>
      <c r="SP20">
        <v>113667.9</v>
      </c>
      <c r="SQ20">
        <v>71155.44</v>
      </c>
      <c r="SR20">
        <v>116481</v>
      </c>
      <c r="SS20">
        <v>68825.789999999994</v>
      </c>
      <c r="ST20">
        <v>38.512740000000001</v>
      </c>
      <c r="SU20">
        <v>0.30198399999999997</v>
      </c>
      <c r="SV20">
        <v>5.8914400000000002</v>
      </c>
      <c r="SW20">
        <v>12.35802</v>
      </c>
      <c r="SX20">
        <v>19.961290000000002</v>
      </c>
      <c r="SY20">
        <v>37.305529999999997</v>
      </c>
      <c r="SZ20">
        <v>0.255853</v>
      </c>
      <c r="TA20">
        <v>5.5980860000000003</v>
      </c>
      <c r="TB20">
        <v>12.006819999999999</v>
      </c>
      <c r="TC20">
        <v>19.444769999999998</v>
      </c>
      <c r="TD20">
        <v>25484.15</v>
      </c>
      <c r="TE20">
        <v>821.25480000000005</v>
      </c>
      <c r="TF20">
        <v>492.09230000000002</v>
      </c>
      <c r="TG20">
        <v>222.81880000000001</v>
      </c>
      <c r="TH20">
        <v>51.822159999999997</v>
      </c>
      <c r="TI20">
        <v>104.9342</v>
      </c>
      <c r="TJ20">
        <v>87.632959999999997</v>
      </c>
      <c r="TK20">
        <v>26.946860000000001</v>
      </c>
      <c r="TL20">
        <v>32.391849999999998</v>
      </c>
      <c r="TM20">
        <v>170.43440000000001</v>
      </c>
      <c r="TN20">
        <v>42.704419999999999</v>
      </c>
      <c r="TO20">
        <v>27.506060000000002</v>
      </c>
      <c r="TP20">
        <v>2072.192</v>
      </c>
      <c r="TQ20">
        <v>1978.7339999999999</v>
      </c>
      <c r="TR20">
        <v>99.976590000000002</v>
      </c>
      <c r="TS20">
        <v>176.1396</v>
      </c>
      <c r="TT20">
        <v>424.59570000000002</v>
      </c>
      <c r="TU20">
        <v>43.715319999999998</v>
      </c>
      <c r="TV20">
        <v>75.657669999999996</v>
      </c>
      <c r="TW20">
        <v>12078.34</v>
      </c>
      <c r="TX20">
        <v>6327.1689999999999</v>
      </c>
      <c r="TY20">
        <v>0.51167399999999996</v>
      </c>
      <c r="TZ20">
        <v>10.922000000000001</v>
      </c>
      <c r="UA20">
        <v>5.8453609999999996</v>
      </c>
      <c r="UB20">
        <v>59.264670000000002</v>
      </c>
      <c r="UC20">
        <v>0.71639799999999998</v>
      </c>
      <c r="UD20">
        <v>2.3920089999999998</v>
      </c>
      <c r="UE20">
        <v>4.355264</v>
      </c>
      <c r="UF20">
        <v>1.657241</v>
      </c>
      <c r="UG20">
        <v>0.78949000000000003</v>
      </c>
      <c r="UH20">
        <v>10.456480000000001</v>
      </c>
      <c r="UI20">
        <v>5.2404510000000002</v>
      </c>
      <c r="UJ20">
        <v>15.762269999999999</v>
      </c>
      <c r="UK20">
        <v>6.0198619999999998</v>
      </c>
      <c r="UL20">
        <v>0.46183200000000002</v>
      </c>
      <c r="UM20">
        <v>0.50348000000000004</v>
      </c>
      <c r="UN20">
        <v>1.822417</v>
      </c>
      <c r="UO20">
        <v>0.37435099999999999</v>
      </c>
      <c r="UP20">
        <v>25680</v>
      </c>
      <c r="UQ20">
        <v>825.09</v>
      </c>
      <c r="UR20">
        <v>498.51799999999997</v>
      </c>
      <c r="US20">
        <v>221.56659999999999</v>
      </c>
      <c r="UT20">
        <v>53.085830000000001</v>
      </c>
      <c r="UU20">
        <v>108.5508</v>
      </c>
      <c r="UV20">
        <v>90.042330000000007</v>
      </c>
      <c r="UW20">
        <v>27.262170000000001</v>
      </c>
      <c r="UX20">
        <v>32.674109999999999</v>
      </c>
      <c r="UY20">
        <v>174.63159999999999</v>
      </c>
      <c r="UZ20">
        <v>43.765470000000001</v>
      </c>
      <c r="VA20">
        <v>27.436219999999999</v>
      </c>
      <c r="VB20">
        <v>2083.8809999999999</v>
      </c>
      <c r="VC20">
        <v>2010.873</v>
      </c>
      <c r="VD20">
        <v>102.1178</v>
      </c>
      <c r="VE20">
        <v>178.173</v>
      </c>
      <c r="VF20">
        <v>426.5394</v>
      </c>
      <c r="VG20">
        <v>41.91968</v>
      </c>
      <c r="VH20">
        <v>77.363039999999998</v>
      </c>
      <c r="VI20">
        <v>12190.45</v>
      </c>
      <c r="VJ20">
        <v>6335.7929999999997</v>
      </c>
      <c r="VK20">
        <v>0.285188</v>
      </c>
      <c r="VL20">
        <v>10.404070000000001</v>
      </c>
      <c r="VM20">
        <v>6.2666240000000002</v>
      </c>
      <c r="VN20">
        <v>50.838140000000003</v>
      </c>
      <c r="VO20">
        <v>7.1318000000000006E-2</v>
      </c>
      <c r="VP20">
        <v>2.4770620000000001</v>
      </c>
      <c r="VQ20">
        <v>0.53306799999999999</v>
      </c>
      <c r="VR20">
        <v>12.81616</v>
      </c>
      <c r="VS20">
        <v>4.9748999999999999</v>
      </c>
      <c r="VT20">
        <v>14.899749999999999</v>
      </c>
      <c r="VU20">
        <v>2.7058</v>
      </c>
      <c r="VV20">
        <v>13.90315</v>
      </c>
      <c r="VW20">
        <v>6.0792710000000003</v>
      </c>
      <c r="VX20">
        <v>0.66717599999999999</v>
      </c>
      <c r="VY20">
        <v>0.56354599999999999</v>
      </c>
      <c r="VZ20">
        <v>2.1404290000000001</v>
      </c>
      <c r="WA20">
        <v>0.64083900000000005</v>
      </c>
      <c r="WB20">
        <v>9.9451999999999999E-2</v>
      </c>
      <c r="WC20">
        <v>9.0590000000000004E-2</v>
      </c>
      <c r="WD20">
        <v>-1.1753E-2</v>
      </c>
      <c r="WE20">
        <v>-1.0678999999999999E-2</v>
      </c>
      <c r="WF20">
        <v>0.64363499999999996</v>
      </c>
      <c r="WG20">
        <v>0.59585500000000002</v>
      </c>
      <c r="WH20">
        <v>-2.1891000000000001E-2</v>
      </c>
      <c r="WI20">
        <v>-1.5844E-2</v>
      </c>
      <c r="WJ20">
        <v>2217365</v>
      </c>
      <c r="WK20">
        <v>2237851</v>
      </c>
    </row>
    <row r="21" spans="1:609" ht="14.45" x14ac:dyDescent="0.35">
      <c r="A21">
        <v>2022</v>
      </c>
      <c r="B21">
        <v>0.923844</v>
      </c>
      <c r="C21">
        <v>125.9727</v>
      </c>
      <c r="D21">
        <v>1.2702290000000001</v>
      </c>
      <c r="E21">
        <v>3.0020920000000002</v>
      </c>
      <c r="F21">
        <v>-0.87046299999999999</v>
      </c>
      <c r="G21">
        <v>0.21426000000000001</v>
      </c>
      <c r="H21">
        <v>-0.87897999999999998</v>
      </c>
      <c r="I21">
        <v>0.74645600000000001</v>
      </c>
      <c r="J21">
        <v>3.1610520000000002</v>
      </c>
      <c r="K21">
        <v>0.24997</v>
      </c>
      <c r="L21">
        <v>2.903823</v>
      </c>
      <c r="M21">
        <v>0.48108099999999998</v>
      </c>
      <c r="N21">
        <v>0</v>
      </c>
      <c r="O21">
        <v>-5.4841860000000002</v>
      </c>
      <c r="P21">
        <v>-0.611456</v>
      </c>
      <c r="Q21">
        <v>-19.020849999999999</v>
      </c>
      <c r="R21">
        <v>77.735500000000002</v>
      </c>
      <c r="S21">
        <v>57.434919999999998</v>
      </c>
      <c r="T21">
        <v>87.686549999999997</v>
      </c>
      <c r="U21">
        <v>59.567889999999998</v>
      </c>
      <c r="V21">
        <v>77.774479999999997</v>
      </c>
      <c r="W21">
        <v>1.0518909999999999</v>
      </c>
      <c r="X21">
        <v>23950.49</v>
      </c>
      <c r="Y21">
        <v>0.12980800000000001</v>
      </c>
      <c r="Z21">
        <v>0.31463999999999998</v>
      </c>
      <c r="AA21">
        <v>-0.36990800000000001</v>
      </c>
      <c r="AB21">
        <v>-0.47552100000000003</v>
      </c>
      <c r="AC21">
        <v>4.3327999999999998E-2</v>
      </c>
      <c r="AD21">
        <v>21426.02</v>
      </c>
      <c r="AE21">
        <v>40065.67</v>
      </c>
      <c r="AF21">
        <v>56974.33</v>
      </c>
      <c r="AG21">
        <v>-3021.808</v>
      </c>
      <c r="AH21">
        <v>50068.33</v>
      </c>
      <c r="AI21">
        <v>-2.7260000000000001E-3</v>
      </c>
      <c r="AJ21">
        <v>81.176150000000007</v>
      </c>
      <c r="AK21">
        <v>240.21709999999999</v>
      </c>
      <c r="AL21">
        <v>86.379649999999998</v>
      </c>
      <c r="AM21">
        <v>58.002400000000002</v>
      </c>
      <c r="AN21">
        <v>171.6412</v>
      </c>
      <c r="AO21">
        <v>61.72043</v>
      </c>
      <c r="AP21">
        <v>222.28110000000001</v>
      </c>
      <c r="AQ21">
        <v>158.8254</v>
      </c>
      <c r="AR21">
        <v>343.37439999999998</v>
      </c>
      <c r="AS21">
        <v>384.5231</v>
      </c>
      <c r="AT21">
        <v>600.20410000000004</v>
      </c>
      <c r="AU21">
        <v>200.61609999999999</v>
      </c>
      <c r="AV21">
        <v>125.9372</v>
      </c>
      <c r="AW21">
        <v>0.94856399999999996</v>
      </c>
      <c r="AX21">
        <v>1.147235</v>
      </c>
      <c r="AY21">
        <v>1.558759</v>
      </c>
      <c r="AZ21">
        <v>-1.231695</v>
      </c>
      <c r="BA21">
        <v>2.8461979999999998</v>
      </c>
      <c r="BB21">
        <v>3.7219169999999999</v>
      </c>
      <c r="BC21">
        <v>2.619567</v>
      </c>
      <c r="BD21">
        <v>7.6214570000000004</v>
      </c>
      <c r="BE21">
        <v>0.319052</v>
      </c>
      <c r="BF21">
        <v>1.9832959999999999</v>
      </c>
      <c r="BG21">
        <v>4.8147190000000002</v>
      </c>
      <c r="BH21">
        <v>0.33133800000000002</v>
      </c>
      <c r="BI21">
        <v>0.560145</v>
      </c>
      <c r="BJ21">
        <v>1.8777759999999999</v>
      </c>
      <c r="BK21">
        <v>3.092117</v>
      </c>
      <c r="BL21">
        <v>2.0290219999999999</v>
      </c>
      <c r="BM21">
        <v>0.94721599999999995</v>
      </c>
      <c r="BN21">
        <v>-4.0148380000000001</v>
      </c>
      <c r="BO21">
        <v>2.4209860000000001</v>
      </c>
      <c r="BP21">
        <v>0.83593700000000004</v>
      </c>
      <c r="BQ21">
        <v>0.213481</v>
      </c>
      <c r="BR21">
        <v>-52.668010000000002</v>
      </c>
      <c r="BS21">
        <v>-5.400093</v>
      </c>
      <c r="BT21">
        <v>35.309289999999997</v>
      </c>
      <c r="BU21">
        <v>-18.30564</v>
      </c>
      <c r="BV21">
        <v>-92.646019999999993</v>
      </c>
      <c r="BW21">
        <v>1.2389060000000001</v>
      </c>
      <c r="BX21">
        <v>-94.891999999999996</v>
      </c>
      <c r="BY21">
        <v>741.3134</v>
      </c>
      <c r="BZ21">
        <v>1001.018</v>
      </c>
      <c r="CA21">
        <v>34.474260000000001</v>
      </c>
      <c r="CB21">
        <v>-49.195189999999997</v>
      </c>
      <c r="CC21">
        <v>-27.350819999999999</v>
      </c>
      <c r="CD21">
        <v>1.8438460000000001</v>
      </c>
      <c r="CE21">
        <v>100.32299999999999</v>
      </c>
      <c r="CF21">
        <v>9.9548459999999999</v>
      </c>
      <c r="CG21">
        <v>3.2585139999999999</v>
      </c>
      <c r="CH21">
        <v>152.9667</v>
      </c>
      <c r="CI21">
        <v>2.428407</v>
      </c>
      <c r="CJ21">
        <v>3.841259</v>
      </c>
      <c r="CK21">
        <v>-0.94642300000000001</v>
      </c>
      <c r="CL21">
        <v>4.2869539999999997</v>
      </c>
      <c r="CM21">
        <v>5.3273289999999998</v>
      </c>
      <c r="CN21">
        <v>2.1459769999999998</v>
      </c>
      <c r="CO21">
        <v>14.54731</v>
      </c>
      <c r="CP21">
        <v>0.35924800000000001</v>
      </c>
      <c r="CQ21">
        <v>0.119614</v>
      </c>
      <c r="CR21">
        <v>14.31607</v>
      </c>
      <c r="CS21">
        <v>2.3610039999999999</v>
      </c>
      <c r="CT21">
        <v>1.467203</v>
      </c>
      <c r="CU21">
        <v>2.3588650000000002</v>
      </c>
      <c r="CV21">
        <v>3.6136759999999999</v>
      </c>
      <c r="CW21">
        <v>2.7083179999999998</v>
      </c>
      <c r="CX21">
        <v>3.3492869999999999</v>
      </c>
      <c r="CY21">
        <v>-1.6075219999999999</v>
      </c>
      <c r="CZ21">
        <v>3.8534280000000001</v>
      </c>
      <c r="DA21">
        <v>1.322549</v>
      </c>
      <c r="DB21">
        <v>0.47092299999999998</v>
      </c>
      <c r="DC21">
        <v>-52.511589999999998</v>
      </c>
      <c r="DD21">
        <v>-6.583234</v>
      </c>
      <c r="DE21">
        <v>-7.544581</v>
      </c>
      <c r="DF21">
        <v>-18.449960000000001</v>
      </c>
      <c r="DG21">
        <v>-96.262140000000002</v>
      </c>
      <c r="DH21">
        <v>3.2407370000000002</v>
      </c>
      <c r="DI21">
        <v>-95.787769999999995</v>
      </c>
      <c r="DJ21">
        <v>1081.4490000000001</v>
      </c>
      <c r="DK21">
        <v>980.73429999999996</v>
      </c>
      <c r="DL21">
        <v>49.734729999999999</v>
      </c>
      <c r="DM21">
        <v>-54.951259999999998</v>
      </c>
      <c r="DN21">
        <v>-17.673929999999999</v>
      </c>
      <c r="DO21">
        <v>-0.27589799999999998</v>
      </c>
      <c r="DP21">
        <v>89.843509999999995</v>
      </c>
      <c r="DQ21">
        <v>13.049720000000001</v>
      </c>
      <c r="DR21">
        <v>10.00506</v>
      </c>
      <c r="DS21">
        <v>134.84219999999999</v>
      </c>
      <c r="DT21">
        <v>1.7860999999999998E-2</v>
      </c>
      <c r="DU21">
        <v>1.7132590000000001</v>
      </c>
      <c r="DV21">
        <v>-4.0748439999999997</v>
      </c>
      <c r="DW21">
        <v>2.6096360000000001</v>
      </c>
      <c r="DX21">
        <v>2.2186949999999999</v>
      </c>
      <c r="DY21">
        <v>2.326924</v>
      </c>
      <c r="DZ21">
        <v>0.89371999999999996</v>
      </c>
      <c r="EA21">
        <v>1.838808</v>
      </c>
      <c r="EB21">
        <v>3.2599480000000001</v>
      </c>
      <c r="EC21">
        <v>0</v>
      </c>
      <c r="ED21">
        <v>2.1222840000000001</v>
      </c>
      <c r="EE21">
        <v>2.013779</v>
      </c>
      <c r="EF21">
        <v>2.478227</v>
      </c>
      <c r="EG21">
        <v>1.5725439999999999</v>
      </c>
      <c r="EH21">
        <v>2.8175669999999999</v>
      </c>
      <c r="EI21">
        <v>-7.1425000000000002E-2</v>
      </c>
      <c r="EJ21">
        <v>0.62490999999999997</v>
      </c>
      <c r="EK21">
        <v>-1.920536</v>
      </c>
      <c r="EL21">
        <v>1.8411310000000001</v>
      </c>
      <c r="EM21">
        <v>1.815801</v>
      </c>
      <c r="EN21">
        <v>-16.305980000000002</v>
      </c>
      <c r="EO21">
        <v>-8.7110479999999999</v>
      </c>
      <c r="EP21">
        <v>-1.2342280000000001</v>
      </c>
      <c r="EQ21">
        <v>-2.898215</v>
      </c>
      <c r="ER21">
        <v>7.199675</v>
      </c>
      <c r="ES21">
        <v>75.656630000000007</v>
      </c>
      <c r="ET21">
        <v>2.1926239999999999</v>
      </c>
      <c r="EU21">
        <v>33.030070000000002</v>
      </c>
      <c r="EV21">
        <v>0.52852299999999997</v>
      </c>
      <c r="EW21">
        <v>1.930939</v>
      </c>
      <c r="EX21">
        <v>2.4385300000000001</v>
      </c>
      <c r="EY21">
        <v>0.76994899999999999</v>
      </c>
      <c r="EZ21">
        <v>0.10204100000000001</v>
      </c>
      <c r="FA21">
        <v>5.204116</v>
      </c>
      <c r="FB21">
        <v>1.66977</v>
      </c>
      <c r="FC21">
        <v>34.234969999999997</v>
      </c>
      <c r="FD21">
        <v>9.3438549999999996</v>
      </c>
      <c r="FE21">
        <v>0.56433199999999994</v>
      </c>
      <c r="FF21">
        <v>0.86962600000000001</v>
      </c>
      <c r="FG21">
        <v>1.563477</v>
      </c>
      <c r="FH21">
        <v>0.351551</v>
      </c>
      <c r="FI21">
        <v>5.0312590000000004</v>
      </c>
      <c r="FJ21">
        <v>70.78537</v>
      </c>
      <c r="FK21">
        <v>1.8298049999999999</v>
      </c>
      <c r="FL21">
        <v>26.98358</v>
      </c>
      <c r="FM21">
        <v>2.9508E-2</v>
      </c>
      <c r="FN21">
        <v>1.951309</v>
      </c>
      <c r="FO21">
        <v>0.130352</v>
      </c>
      <c r="FP21">
        <v>6.4578740000000003</v>
      </c>
      <c r="FQ21">
        <v>1.1101559999999999</v>
      </c>
      <c r="FR21">
        <v>6.9828289999999997</v>
      </c>
      <c r="FS21">
        <v>0.84155000000000002</v>
      </c>
      <c r="FT21">
        <v>29.479959999999998</v>
      </c>
      <c r="FU21">
        <v>9.8623569999999994</v>
      </c>
      <c r="FV21">
        <v>1.173516</v>
      </c>
      <c r="FW21">
        <v>0.99353999999999998</v>
      </c>
      <c r="FX21">
        <v>1.673708</v>
      </c>
      <c r="FY21">
        <v>0.94147199999999998</v>
      </c>
      <c r="FZ21">
        <v>5.1521619999999997</v>
      </c>
      <c r="GA21">
        <v>59.876910000000002</v>
      </c>
      <c r="GB21">
        <v>2.1926239999999999</v>
      </c>
      <c r="GC21">
        <v>29.088789999999999</v>
      </c>
      <c r="GD21">
        <v>0.46545700000000001</v>
      </c>
      <c r="GE21">
        <v>1.700531</v>
      </c>
      <c r="GF21">
        <v>2.1475550000000001</v>
      </c>
      <c r="GG21">
        <v>0.67807600000000001</v>
      </c>
      <c r="GH21">
        <v>8.9865E-2</v>
      </c>
      <c r="GI21">
        <v>4.5831390000000001</v>
      </c>
      <c r="GJ21">
        <v>1.470526</v>
      </c>
      <c r="GK21">
        <v>32.366320000000002</v>
      </c>
      <c r="GL21">
        <v>9.3438549999999996</v>
      </c>
      <c r="GM21">
        <v>0.56433199999999994</v>
      </c>
      <c r="GN21">
        <v>0.86962600000000001</v>
      </c>
      <c r="GO21">
        <v>1.563477</v>
      </c>
      <c r="GP21">
        <v>0.351551</v>
      </c>
      <c r="GQ21">
        <v>3.0068640000000002</v>
      </c>
      <c r="GR21">
        <v>55.179279999999999</v>
      </c>
      <c r="GS21">
        <v>1.8298049999999999</v>
      </c>
      <c r="GT21">
        <v>23.677900000000001</v>
      </c>
      <c r="GU21">
        <v>2.5892999999999999E-2</v>
      </c>
      <c r="GV21">
        <v>1.7122599999999999</v>
      </c>
      <c r="GW21">
        <v>0.114383</v>
      </c>
      <c r="GX21">
        <v>5.6667379999999996</v>
      </c>
      <c r="GY21">
        <v>0.97415399999999996</v>
      </c>
      <c r="GZ21">
        <v>6.1273809999999997</v>
      </c>
      <c r="HA21">
        <v>0.73845400000000005</v>
      </c>
      <c r="HB21">
        <v>27.631869999999999</v>
      </c>
      <c r="HC21">
        <v>9.8623569999999994</v>
      </c>
      <c r="HD21">
        <v>1.173516</v>
      </c>
      <c r="HE21">
        <v>0.99353999999999998</v>
      </c>
      <c r="HF21">
        <v>1.673708</v>
      </c>
      <c r="HG21">
        <v>0.94147199999999998</v>
      </c>
      <c r="HH21">
        <v>5.2450869999999998</v>
      </c>
      <c r="HI21">
        <v>64.358320000000006</v>
      </c>
      <c r="HJ21">
        <v>2.1926239999999999</v>
      </c>
      <c r="HK21">
        <v>119.2405</v>
      </c>
      <c r="HL21">
        <v>1.1416170000000001</v>
      </c>
      <c r="HM21">
        <v>4.1708590000000001</v>
      </c>
      <c r="HN21">
        <v>5.2672639999999999</v>
      </c>
      <c r="HO21">
        <v>0.832372</v>
      </c>
      <c r="HP21">
        <v>0.110314</v>
      </c>
      <c r="HQ21">
        <v>5.6260349999999999</v>
      </c>
      <c r="HR21">
        <v>4.8805769999999997</v>
      </c>
      <c r="HS21">
        <v>32.588700000000003</v>
      </c>
      <c r="HT21">
        <v>9.4836030000000004</v>
      </c>
      <c r="HU21">
        <v>0.57277199999999995</v>
      </c>
      <c r="HV21">
        <v>0.88263199999999997</v>
      </c>
      <c r="HW21">
        <v>1.5868599999999999</v>
      </c>
      <c r="HX21">
        <v>0.35680899999999999</v>
      </c>
      <c r="HY21">
        <v>3.045579</v>
      </c>
      <c r="HZ21">
        <v>59.054250000000003</v>
      </c>
      <c r="IA21">
        <v>1.8298049999999999</v>
      </c>
      <c r="IB21">
        <v>93.085520000000002</v>
      </c>
      <c r="IC21">
        <v>2.9508E-2</v>
      </c>
      <c r="ID21">
        <v>4.1159720000000002</v>
      </c>
      <c r="IE21">
        <v>0.130352</v>
      </c>
      <c r="IF21">
        <v>6.9419649999999997</v>
      </c>
      <c r="IG21">
        <v>1.1933739999999999</v>
      </c>
      <c r="IH21">
        <v>7.5062709999999999</v>
      </c>
      <c r="II21">
        <v>2.542767</v>
      </c>
      <c r="IJ21">
        <v>27.918340000000001</v>
      </c>
      <c r="IK21">
        <v>10.109299999999999</v>
      </c>
      <c r="IL21">
        <v>1.1919169999999999</v>
      </c>
      <c r="IM21">
        <v>1.0254570000000001</v>
      </c>
      <c r="IN21">
        <v>1.726642</v>
      </c>
      <c r="IO21">
        <v>0.95775399999999999</v>
      </c>
      <c r="IP21">
        <v>4.4683029999999997</v>
      </c>
      <c r="IQ21">
        <v>5.0587859999999996</v>
      </c>
      <c r="IR21">
        <v>0.73417299999999996</v>
      </c>
      <c r="IS21">
        <v>1.7455719999999999</v>
      </c>
      <c r="IT21">
        <v>3.806419</v>
      </c>
      <c r="IU21">
        <v>3.9999509999999998</v>
      </c>
      <c r="IV21">
        <v>4.8905580000000004</v>
      </c>
      <c r="IW21">
        <v>5.968242</v>
      </c>
      <c r="IX21">
        <v>0.75250799999999995</v>
      </c>
      <c r="IY21">
        <v>5.96896</v>
      </c>
      <c r="IZ21">
        <v>1.6991339999999999</v>
      </c>
      <c r="JA21">
        <v>7.7784769999999996</v>
      </c>
      <c r="JB21">
        <v>0.37837799999999999</v>
      </c>
      <c r="JC21">
        <v>1.244327</v>
      </c>
      <c r="JD21">
        <v>0.85470999999999997</v>
      </c>
      <c r="JE21">
        <v>18.212910000000001</v>
      </c>
      <c r="JF21">
        <v>0.35863699999999998</v>
      </c>
      <c r="JG21">
        <v>1.862617</v>
      </c>
      <c r="JH21">
        <v>18.956700000000001</v>
      </c>
      <c r="JI21">
        <v>6.2778460000000003</v>
      </c>
      <c r="JJ21">
        <v>19.220980000000001</v>
      </c>
      <c r="JK21">
        <v>38.266599999999997</v>
      </c>
      <c r="JL21">
        <v>4.1130870000000002</v>
      </c>
      <c r="JM21">
        <v>4.6602180000000004</v>
      </c>
      <c r="JN21">
        <v>0.69746300000000006</v>
      </c>
      <c r="JO21">
        <v>1.5399989999999999</v>
      </c>
      <c r="JP21">
        <v>3.2951000000000001</v>
      </c>
      <c r="JQ21">
        <v>3.6298759999999999</v>
      </c>
      <c r="JR21">
        <v>4.2774330000000003</v>
      </c>
      <c r="JS21">
        <v>5.7401260000000001</v>
      </c>
      <c r="JT21">
        <v>0.73253299999999999</v>
      </c>
      <c r="JU21">
        <v>4.1099399999999999</v>
      </c>
      <c r="JV21">
        <v>1.5584800000000001</v>
      </c>
      <c r="JW21">
        <v>7.113823</v>
      </c>
      <c r="JX21">
        <v>0.29950399999999999</v>
      </c>
      <c r="JY21">
        <v>1.220818</v>
      </c>
      <c r="JZ21">
        <v>0.842727</v>
      </c>
      <c r="KA21">
        <v>16.834060000000001</v>
      </c>
      <c r="KB21">
        <v>0.281997</v>
      </c>
      <c r="KC21">
        <v>1.5820730000000001</v>
      </c>
      <c r="KD21">
        <v>18.26182</v>
      </c>
      <c r="KE21">
        <v>5.9713390000000004</v>
      </c>
      <c r="KF21">
        <v>17.690249999999999</v>
      </c>
      <c r="KG21">
        <v>36.876899999999999</v>
      </c>
      <c r="KH21">
        <v>5375.7139999999999</v>
      </c>
      <c r="KI21">
        <v>8993.1409999999996</v>
      </c>
      <c r="KJ21">
        <v>6274.5839999999998</v>
      </c>
      <c r="KK21">
        <v>3417.538</v>
      </c>
      <c r="KL21">
        <v>4731.701</v>
      </c>
      <c r="KM21">
        <v>1610.894</v>
      </c>
      <c r="KN21">
        <v>1689.124</v>
      </c>
      <c r="KO21">
        <v>0</v>
      </c>
      <c r="KP21">
        <v>30467.3</v>
      </c>
      <c r="KQ21">
        <v>1625.3920000000001</v>
      </c>
      <c r="KR21">
        <v>0</v>
      </c>
      <c r="KS21">
        <v>6229.5230000000001</v>
      </c>
      <c r="KT21">
        <v>8596.74</v>
      </c>
      <c r="KU21">
        <v>6257.7120000000004</v>
      </c>
      <c r="KV21">
        <v>3681.5189999999998</v>
      </c>
      <c r="KW21">
        <v>4644.2049999999999</v>
      </c>
      <c r="KX21">
        <v>1477.557</v>
      </c>
      <c r="KY21">
        <v>891.79330000000004</v>
      </c>
      <c r="KZ21">
        <v>0</v>
      </c>
      <c r="LA21">
        <v>28960.19</v>
      </c>
      <c r="LB21">
        <v>2818.8580000000002</v>
      </c>
      <c r="LC21">
        <v>0</v>
      </c>
      <c r="LD21">
        <v>60033965</v>
      </c>
      <c r="LE21" s="21">
        <v>221000000</v>
      </c>
      <c r="LF21" s="21">
        <v>642000000</v>
      </c>
      <c r="LG21" s="21">
        <v>648000000</v>
      </c>
      <c r="LH21" s="21">
        <v>632000000</v>
      </c>
      <c r="LI21" s="21">
        <v>330000000</v>
      </c>
      <c r="LJ21" s="21">
        <v>144000000</v>
      </c>
      <c r="LK21" s="21">
        <v>2.3E-6</v>
      </c>
      <c r="LL21" s="21">
        <v>4.3499999999999999E-6</v>
      </c>
      <c r="LM21" s="21">
        <v>7.9799999999999998E-6</v>
      </c>
      <c r="LN21" s="21">
        <v>1.6399999999999999E-5</v>
      </c>
      <c r="LO21" s="21">
        <v>2.3799999999999999E-5</v>
      </c>
      <c r="LP21" s="21">
        <v>3.3399999999999999E-5</v>
      </c>
      <c r="LQ21" s="21">
        <v>4.8900000000000003E-5</v>
      </c>
      <c r="LR21">
        <v>72115019</v>
      </c>
      <c r="LS21" s="21">
        <v>236000000</v>
      </c>
      <c r="LT21" s="21">
        <v>649000000</v>
      </c>
      <c r="LU21" s="21">
        <v>640000000</v>
      </c>
      <c r="LV21" s="21">
        <v>618000000</v>
      </c>
      <c r="LW21" s="21">
        <v>321000000</v>
      </c>
      <c r="LX21" s="21">
        <v>139000000</v>
      </c>
      <c r="LY21" s="21">
        <v>2.61E-6</v>
      </c>
      <c r="LZ21" s="21">
        <v>4.9400000000000001E-6</v>
      </c>
      <c r="MA21" s="21">
        <v>9.0499999999999997E-6</v>
      </c>
      <c r="MB21" s="21">
        <v>1.8700000000000001E-5</v>
      </c>
      <c r="MC21" s="21">
        <v>2.73E-5</v>
      </c>
      <c r="MD21" s="21">
        <v>3.8399999999999998E-5</v>
      </c>
      <c r="ME21" s="21">
        <v>5.5899999999999997E-5</v>
      </c>
      <c r="MF21">
        <v>0.30545699999999998</v>
      </c>
      <c r="MG21">
        <v>0.40037600000000001</v>
      </c>
      <c r="MH21">
        <v>0.217304</v>
      </c>
      <c r="MI21">
        <v>5.6597000000000001E-2</v>
      </c>
      <c r="MJ21">
        <v>1.4885000000000001E-2</v>
      </c>
      <c r="MK21">
        <v>6.69E-4</v>
      </c>
      <c r="ML21">
        <v>4.712E-3</v>
      </c>
      <c r="MM21">
        <v>0.382303</v>
      </c>
      <c r="MN21">
        <v>0.479273</v>
      </c>
      <c r="MO21">
        <v>0.26350600000000002</v>
      </c>
      <c r="MP21">
        <v>7.3675000000000004E-2</v>
      </c>
      <c r="MQ21">
        <v>1.6867E-2</v>
      </c>
      <c r="MR21">
        <v>-3.5126999999999999E-2</v>
      </c>
      <c r="MS21">
        <v>-0.18049699999999999</v>
      </c>
      <c r="MT21">
        <v>0.35547299999999998</v>
      </c>
      <c r="MU21">
        <v>0.35263299999999997</v>
      </c>
      <c r="MV21">
        <v>0.20746200000000001</v>
      </c>
      <c r="MW21">
        <v>7.5914999999999996E-2</v>
      </c>
      <c r="MX21">
        <v>8.1329999999999996E-3</v>
      </c>
      <c r="MY21" s="21">
        <v>5.8600000000000001E-5</v>
      </c>
      <c r="MZ21">
        <v>3.2600000000000001E-4</v>
      </c>
      <c r="NA21">
        <v>0.69217399999999996</v>
      </c>
      <c r="NB21">
        <v>0.646011</v>
      </c>
      <c r="NC21">
        <v>0.38729799999999998</v>
      </c>
      <c r="ND21">
        <v>0.15149099999999999</v>
      </c>
      <c r="NE21">
        <v>1.2272999999999999E-2</v>
      </c>
      <c r="NF21">
        <v>-0.13953399999999999</v>
      </c>
      <c r="NG21">
        <v>-0.74971500000000002</v>
      </c>
      <c r="NH21">
        <v>5.8510000000000003E-3</v>
      </c>
      <c r="NI21">
        <v>5.8349999999999999E-3</v>
      </c>
      <c r="NJ21">
        <v>8.9269999999999992E-3</v>
      </c>
      <c r="NK21">
        <v>2.1919000000000001E-2</v>
      </c>
      <c r="NL21">
        <v>2.3991999999999999E-2</v>
      </c>
      <c r="NM21">
        <v>6.9713999999999998E-2</v>
      </c>
      <c r="NN21">
        <v>5.8510000000000003E-3</v>
      </c>
      <c r="NO21">
        <v>5.8349999999999999E-3</v>
      </c>
      <c r="NP21">
        <v>8.9269999999999992E-3</v>
      </c>
      <c r="NQ21">
        <v>2.1919000000000001E-2</v>
      </c>
      <c r="NR21">
        <v>2.3991999999999999E-2</v>
      </c>
      <c r="NS21">
        <v>6.9713999999999998E-2</v>
      </c>
      <c r="NT21">
        <v>1.1039E-2</v>
      </c>
      <c r="NU21">
        <v>1.1117999999999999E-2</v>
      </c>
      <c r="NV21">
        <v>1.4796E-2</v>
      </c>
      <c r="NW21">
        <v>2.8087999999999998E-2</v>
      </c>
      <c r="NX21">
        <v>3.0595000000000001E-2</v>
      </c>
      <c r="NY21">
        <v>7.6114000000000001E-2</v>
      </c>
      <c r="NZ21">
        <v>1.1039E-2</v>
      </c>
      <c r="OA21">
        <v>1.1117999999999999E-2</v>
      </c>
      <c r="OB21">
        <v>1.4796E-2</v>
      </c>
      <c r="OC21">
        <v>2.8087999999999998E-2</v>
      </c>
      <c r="OD21">
        <v>3.0595000000000001E-2</v>
      </c>
      <c r="OE21">
        <v>7.6114000000000001E-2</v>
      </c>
      <c r="OF21">
        <v>49.760829999999999</v>
      </c>
      <c r="OG21">
        <v>34268.94</v>
      </c>
      <c r="OH21">
        <v>17827.11</v>
      </c>
      <c r="OI21">
        <v>8620.9719999999998</v>
      </c>
      <c r="OJ21">
        <v>41.646839999999997</v>
      </c>
      <c r="OK21">
        <v>31283.759999999998</v>
      </c>
      <c r="OL21">
        <v>17607.09</v>
      </c>
      <c r="OM21">
        <v>8371.1180000000004</v>
      </c>
      <c r="ON21">
        <v>1405502</v>
      </c>
      <c r="OO21">
        <v>1419366</v>
      </c>
      <c r="OP21">
        <v>10360.32</v>
      </c>
      <c r="OQ21">
        <v>5662.3329999999996</v>
      </c>
      <c r="OR21">
        <v>5013.1369999999997</v>
      </c>
      <c r="OS21">
        <v>473.16289999999998</v>
      </c>
      <c r="OT21">
        <v>1472.327</v>
      </c>
      <c r="OU21">
        <v>1183.0170000000001</v>
      </c>
      <c r="OV21">
        <v>300.10680000000002</v>
      </c>
      <c r="OW21">
        <v>1182.4870000000001</v>
      </c>
      <c r="OX21">
        <v>1259.8230000000001</v>
      </c>
      <c r="OY21">
        <v>1005.271</v>
      </c>
      <c r="OZ21">
        <v>578.36159999999995</v>
      </c>
      <c r="PA21">
        <v>18897.47</v>
      </c>
      <c r="PB21">
        <v>6660.3630000000003</v>
      </c>
      <c r="PC21">
        <v>1074.6420000000001</v>
      </c>
      <c r="PD21">
        <v>1936.652</v>
      </c>
      <c r="PE21">
        <v>5833.5789999999997</v>
      </c>
      <c r="PF21">
        <v>1290.0160000000001</v>
      </c>
      <c r="PG21">
        <v>2367.2199999999998</v>
      </c>
      <c r="PH21">
        <v>179863</v>
      </c>
      <c r="PI21">
        <v>77497.2</v>
      </c>
      <c r="PJ21">
        <v>1.7312399999999999</v>
      </c>
      <c r="PK21">
        <v>596.83420000000001</v>
      </c>
      <c r="PL21">
        <v>118.0527</v>
      </c>
      <c r="PM21">
        <v>1507.596</v>
      </c>
      <c r="PN21">
        <v>444.9008</v>
      </c>
      <c r="PO21">
        <v>156.69669999999999</v>
      </c>
      <c r="PP21">
        <v>247.76390000000001</v>
      </c>
      <c r="PQ21">
        <v>542.41160000000002</v>
      </c>
      <c r="PR21">
        <v>93.880359999999996</v>
      </c>
      <c r="PS21">
        <v>578.15020000000004</v>
      </c>
      <c r="PT21">
        <v>1222.742</v>
      </c>
      <c r="PU21">
        <v>477.47789999999998</v>
      </c>
      <c r="PV21">
        <v>863.15110000000004</v>
      </c>
      <c r="PW21">
        <v>66.293400000000005</v>
      </c>
      <c r="PX21">
        <v>142.06909999999999</v>
      </c>
      <c r="PY21">
        <v>769.16629999999998</v>
      </c>
      <c r="PZ21">
        <v>142.881</v>
      </c>
      <c r="QA21">
        <v>331882.3</v>
      </c>
      <c r="QB21">
        <v>7155.5349999999999</v>
      </c>
      <c r="QC21">
        <v>76935.039999999994</v>
      </c>
      <c r="QD21">
        <v>10426.200000000001</v>
      </c>
      <c r="QE21">
        <v>15530.81</v>
      </c>
      <c r="QF21">
        <v>9995.4940000000006</v>
      </c>
      <c r="QG21">
        <v>2982.989</v>
      </c>
      <c r="QH21">
        <v>1093.1089999999999</v>
      </c>
      <c r="QI21">
        <v>69.764870000000002</v>
      </c>
      <c r="QJ21">
        <v>649.23429999999996</v>
      </c>
      <c r="QK21">
        <v>10611.91</v>
      </c>
      <c r="QL21">
        <v>5879.8379999999997</v>
      </c>
      <c r="QM21">
        <v>4965.692</v>
      </c>
      <c r="QN21">
        <v>493.44720000000001</v>
      </c>
      <c r="QO21">
        <v>1550.7629999999999</v>
      </c>
      <c r="QP21">
        <v>1208.404</v>
      </c>
      <c r="QQ21">
        <v>343.76420000000002</v>
      </c>
      <c r="QR21">
        <v>1186.7349999999999</v>
      </c>
      <c r="QS21">
        <v>1261.33</v>
      </c>
      <c r="QT21">
        <v>1149.1859999999999</v>
      </c>
      <c r="QU21">
        <v>592.01670000000001</v>
      </c>
      <c r="QV21">
        <v>19174.73</v>
      </c>
      <c r="QW21">
        <v>6817.4719999999998</v>
      </c>
      <c r="QX21">
        <v>1113.4760000000001</v>
      </c>
      <c r="QY21">
        <v>1989.1030000000001</v>
      </c>
      <c r="QZ21">
        <v>6028.9620000000004</v>
      </c>
      <c r="RA21">
        <v>1269.279</v>
      </c>
      <c r="RB21">
        <v>2458.4389999999999</v>
      </c>
      <c r="RC21">
        <v>182241.8</v>
      </c>
      <c r="RD21">
        <v>77862.149999999994</v>
      </c>
      <c r="RE21">
        <v>0.82213800000000004</v>
      </c>
      <c r="RF21">
        <v>557.54319999999996</v>
      </c>
      <c r="RG21">
        <v>109.1461</v>
      </c>
      <c r="RH21">
        <v>1229.4449999999999</v>
      </c>
      <c r="RI21">
        <v>16.62979</v>
      </c>
      <c r="RJ21">
        <v>161.7749</v>
      </c>
      <c r="RK21">
        <v>10.436389999999999</v>
      </c>
      <c r="RL21">
        <v>6408.3159999999998</v>
      </c>
      <c r="RM21">
        <v>1014.597</v>
      </c>
      <c r="RN21">
        <v>865.69169999999997</v>
      </c>
      <c r="RO21">
        <v>550.82979999999998</v>
      </c>
      <c r="RP21">
        <v>393.08870000000002</v>
      </c>
      <c r="RQ21">
        <v>860.76969999999994</v>
      </c>
      <c r="RR21">
        <v>125.8537</v>
      </c>
      <c r="RS21">
        <v>160.6087</v>
      </c>
      <c r="RT21">
        <v>846.12189999999998</v>
      </c>
      <c r="RU21">
        <v>335.54480000000001</v>
      </c>
      <c r="RV21">
        <v>341845.7</v>
      </c>
      <c r="RW21">
        <v>9366.9950000000008</v>
      </c>
      <c r="RX21">
        <v>76038.41</v>
      </c>
      <c r="RY21">
        <v>11417.15</v>
      </c>
      <c r="RZ21">
        <v>12871.34</v>
      </c>
      <c r="SA21">
        <v>8979.4750000000004</v>
      </c>
      <c r="SB21">
        <v>3764.9369999999999</v>
      </c>
      <c r="SC21">
        <v>561.99009999999998</v>
      </c>
      <c r="SD21">
        <v>5.7478290000000003</v>
      </c>
      <c r="SE21">
        <v>42.2515</v>
      </c>
      <c r="SF21">
        <v>34071.43</v>
      </c>
      <c r="SG21">
        <v>49.760829999999999</v>
      </c>
      <c r="SH21">
        <v>8063.7910000000002</v>
      </c>
      <c r="SI21">
        <v>17336.900000000001</v>
      </c>
      <c r="SJ21">
        <v>8620.9719999999998</v>
      </c>
      <c r="SK21">
        <v>32742.57</v>
      </c>
      <c r="SL21">
        <v>41.646839999999997</v>
      </c>
      <c r="SM21">
        <v>7572.451</v>
      </c>
      <c r="SN21">
        <v>16757.36</v>
      </c>
      <c r="SO21">
        <v>8371.1180000000004</v>
      </c>
      <c r="SP21">
        <v>115061.5</v>
      </c>
      <c r="SQ21">
        <v>70070.16</v>
      </c>
      <c r="SR21">
        <v>118134.5</v>
      </c>
      <c r="SS21">
        <v>68588.97</v>
      </c>
      <c r="ST21">
        <v>38.266599999999997</v>
      </c>
      <c r="SU21">
        <v>0.29970999999999998</v>
      </c>
      <c r="SV21">
        <v>5.8037989999999997</v>
      </c>
      <c r="SW21">
        <v>12.37815</v>
      </c>
      <c r="SX21">
        <v>19.784939999999999</v>
      </c>
      <c r="SY21">
        <v>36.876899999999999</v>
      </c>
      <c r="SZ21">
        <v>0.25084000000000001</v>
      </c>
      <c r="TA21">
        <v>5.4501650000000001</v>
      </c>
      <c r="TB21">
        <v>11.964359999999999</v>
      </c>
      <c r="TC21">
        <v>19.21153</v>
      </c>
      <c r="TD21">
        <v>25628.15</v>
      </c>
      <c r="TE21">
        <v>823.79470000000003</v>
      </c>
      <c r="TF21">
        <v>496.42469999999997</v>
      </c>
      <c r="TG21">
        <v>223.13720000000001</v>
      </c>
      <c r="TH21">
        <v>52.163809999999998</v>
      </c>
      <c r="TI21">
        <v>105.42010000000001</v>
      </c>
      <c r="TJ21">
        <v>88.235489999999999</v>
      </c>
      <c r="TK21">
        <v>27.09693</v>
      </c>
      <c r="TL21">
        <v>32.556460000000001</v>
      </c>
      <c r="TM21">
        <v>171.39330000000001</v>
      </c>
      <c r="TN21">
        <v>42.948999999999998</v>
      </c>
      <c r="TO21">
        <v>27.674579999999999</v>
      </c>
      <c r="TP21">
        <v>2085.2289999999998</v>
      </c>
      <c r="TQ21">
        <v>1985.857</v>
      </c>
      <c r="TR21">
        <v>100.14960000000001</v>
      </c>
      <c r="TS21">
        <v>176.24100000000001</v>
      </c>
      <c r="TT21">
        <v>426.68849999999998</v>
      </c>
      <c r="TU21">
        <v>43.835979999999999</v>
      </c>
      <c r="TV21">
        <v>75.870379999999997</v>
      </c>
      <c r="TW21">
        <v>12164.25</v>
      </c>
      <c r="TX21">
        <v>6352.83</v>
      </c>
      <c r="TY21">
        <v>0.51056400000000002</v>
      </c>
      <c r="TZ21">
        <v>10.78449</v>
      </c>
      <c r="UA21">
        <v>5.7228029999999999</v>
      </c>
      <c r="UB21">
        <v>59.092799999999997</v>
      </c>
      <c r="UC21">
        <v>0.71463299999999996</v>
      </c>
      <c r="UD21">
        <v>2.3836599999999999</v>
      </c>
      <c r="UE21">
        <v>4.3424149999999999</v>
      </c>
      <c r="UF21">
        <v>1.6474390000000001</v>
      </c>
      <c r="UG21">
        <v>0.78678599999999999</v>
      </c>
      <c r="UH21">
        <v>10.42074</v>
      </c>
      <c r="UI21">
        <v>5.2019650000000004</v>
      </c>
      <c r="UJ21">
        <v>15.651630000000001</v>
      </c>
      <c r="UK21">
        <v>5.9712880000000004</v>
      </c>
      <c r="UL21">
        <v>0.45581199999999999</v>
      </c>
      <c r="UM21">
        <v>0.498612</v>
      </c>
      <c r="UN21">
        <v>1.7981499999999999</v>
      </c>
      <c r="UO21">
        <v>0.37103900000000001</v>
      </c>
      <c r="UP21">
        <v>25819.46</v>
      </c>
      <c r="UQ21">
        <v>826.9461</v>
      </c>
      <c r="UR21">
        <v>502.54739999999998</v>
      </c>
      <c r="US21">
        <v>221.18940000000001</v>
      </c>
      <c r="UT21">
        <v>53.513330000000003</v>
      </c>
      <c r="UU21">
        <v>109.459</v>
      </c>
      <c r="UV21">
        <v>90.838710000000006</v>
      </c>
      <c r="UW21">
        <v>27.408470000000001</v>
      </c>
      <c r="UX21">
        <v>32.823700000000002</v>
      </c>
      <c r="UY21">
        <v>175.86949999999999</v>
      </c>
      <c r="UZ21">
        <v>44.082940000000001</v>
      </c>
      <c r="VA21">
        <v>27.5609</v>
      </c>
      <c r="VB21">
        <v>2095.92</v>
      </c>
      <c r="VC21">
        <v>2021.37</v>
      </c>
      <c r="VD21">
        <v>102.6534</v>
      </c>
      <c r="VE21">
        <v>178.98670000000001</v>
      </c>
      <c r="VF21">
        <v>428.15859999999998</v>
      </c>
      <c r="VG21">
        <v>41.745640000000002</v>
      </c>
      <c r="VH21">
        <v>77.702129999999997</v>
      </c>
      <c r="VI21">
        <v>12269.33</v>
      </c>
      <c r="VJ21">
        <v>6360.8819999999996</v>
      </c>
      <c r="VK21">
        <v>0.27439400000000003</v>
      </c>
      <c r="VL21">
        <v>10.245100000000001</v>
      </c>
      <c r="VM21">
        <v>5.4297709999999997</v>
      </c>
      <c r="VN21">
        <v>49.258609999999997</v>
      </c>
      <c r="VO21">
        <v>4.9495999999999998E-2</v>
      </c>
      <c r="VP21">
        <v>2.4469660000000002</v>
      </c>
      <c r="VQ21">
        <v>0.32218599999999997</v>
      </c>
      <c r="VR21">
        <v>14.202199999999999</v>
      </c>
      <c r="VS21">
        <v>7.2721689999999999</v>
      </c>
      <c r="VT21">
        <v>14.625529999999999</v>
      </c>
      <c r="VU21">
        <v>2.6148060000000002</v>
      </c>
      <c r="VV21">
        <v>13.41048</v>
      </c>
      <c r="VW21">
        <v>6.1450940000000003</v>
      </c>
      <c r="VX21">
        <v>0.79845600000000005</v>
      </c>
      <c r="VY21">
        <v>0.56223599999999996</v>
      </c>
      <c r="VZ21">
        <v>1.999323</v>
      </c>
      <c r="WA21">
        <v>0.81303199999999998</v>
      </c>
      <c r="WB21">
        <v>9.7266000000000005E-2</v>
      </c>
      <c r="WC21">
        <v>8.8475999999999999E-2</v>
      </c>
      <c r="WD21">
        <v>-1.2187E-2</v>
      </c>
      <c r="WE21">
        <v>-1.0742E-2</v>
      </c>
      <c r="WF21">
        <v>0.63861900000000005</v>
      </c>
      <c r="WG21">
        <v>0.58377699999999999</v>
      </c>
      <c r="WH21">
        <v>-2.1156999999999999E-2</v>
      </c>
      <c r="WI21">
        <v>-1.5043000000000001E-2</v>
      </c>
      <c r="WJ21">
        <v>2256057</v>
      </c>
      <c r="WK21">
        <v>2276899</v>
      </c>
    </row>
    <row r="22" spans="1:609" x14ac:dyDescent="0.25">
      <c r="A22">
        <v>2023</v>
      </c>
      <c r="B22">
        <v>0.94530800000000004</v>
      </c>
      <c r="C22">
        <v>128.13550000000001</v>
      </c>
      <c r="D22">
        <v>1.271323</v>
      </c>
      <c r="E22">
        <v>3.4727510000000001</v>
      </c>
      <c r="F22">
        <v>-1.07483</v>
      </c>
      <c r="G22">
        <v>0.19966</v>
      </c>
      <c r="H22">
        <v>-0.87842399999999998</v>
      </c>
      <c r="I22">
        <v>0.73699400000000004</v>
      </c>
      <c r="J22">
        <v>3.6001500000000002</v>
      </c>
      <c r="K22">
        <v>0.17002200000000001</v>
      </c>
      <c r="L22">
        <v>3.4243060000000001</v>
      </c>
      <c r="M22">
        <v>0.51908900000000002</v>
      </c>
      <c r="N22">
        <v>0</v>
      </c>
      <c r="O22">
        <v>-6.2096539999999996</v>
      </c>
      <c r="P22">
        <v>-0.63890800000000003</v>
      </c>
      <c r="Q22">
        <v>-20.742080000000001</v>
      </c>
      <c r="R22">
        <v>76.070310000000006</v>
      </c>
      <c r="S22">
        <v>61.557220000000001</v>
      </c>
      <c r="T22">
        <v>106.0044</v>
      </c>
      <c r="U22">
        <v>65.017970000000005</v>
      </c>
      <c r="V22">
        <v>91.676919999999996</v>
      </c>
      <c r="W22">
        <v>1.1907449999999999</v>
      </c>
      <c r="X22">
        <v>27577.55</v>
      </c>
      <c r="Y22">
        <v>0.129055</v>
      </c>
      <c r="Z22">
        <v>0.288574</v>
      </c>
      <c r="AA22">
        <v>-0.42393799999999998</v>
      </c>
      <c r="AB22">
        <v>-0.54587799999999997</v>
      </c>
      <c r="AC22">
        <v>4.3327999999999998E-2</v>
      </c>
      <c r="AD22">
        <v>25297</v>
      </c>
      <c r="AE22">
        <v>50058.64</v>
      </c>
      <c r="AF22">
        <v>68399.62</v>
      </c>
      <c r="AG22">
        <v>-3724.9459999999999</v>
      </c>
      <c r="AH22">
        <v>60174.22</v>
      </c>
      <c r="AI22">
        <v>-2.1489999999999999E-3</v>
      </c>
      <c r="AJ22">
        <v>89.728129999999993</v>
      </c>
      <c r="AK22">
        <v>271.50599999999997</v>
      </c>
      <c r="AL22">
        <v>97.014849999999996</v>
      </c>
      <c r="AM22">
        <v>62.16872</v>
      </c>
      <c r="AN22">
        <v>188.1147</v>
      </c>
      <c r="AO22">
        <v>67.217370000000003</v>
      </c>
      <c r="AP22">
        <v>254.52209999999999</v>
      </c>
      <c r="AQ22">
        <v>176.34729999999999</v>
      </c>
      <c r="AR22">
        <v>375.24299999999999</v>
      </c>
      <c r="AS22">
        <v>398.37549999999999</v>
      </c>
      <c r="AT22">
        <v>657.95119999999997</v>
      </c>
      <c r="AU22">
        <v>229.72409999999999</v>
      </c>
      <c r="AV22">
        <v>133.4735</v>
      </c>
      <c r="AW22">
        <v>0.97682599999999997</v>
      </c>
      <c r="AX22">
        <v>1.222281</v>
      </c>
      <c r="AY22">
        <v>1.5861719999999999</v>
      </c>
      <c r="AZ22">
        <v>-1.597618</v>
      </c>
      <c r="BA22">
        <v>3.027676</v>
      </c>
      <c r="BB22">
        <v>4.1128970000000002</v>
      </c>
      <c r="BC22">
        <v>2.7946469999999999</v>
      </c>
      <c r="BD22">
        <v>8.0696080000000006</v>
      </c>
      <c r="BE22">
        <v>0.215978</v>
      </c>
      <c r="BF22">
        <v>2.0801150000000002</v>
      </c>
      <c r="BG22">
        <v>5.0171720000000004</v>
      </c>
      <c r="BH22">
        <v>0.259544</v>
      </c>
      <c r="BI22">
        <v>0.55040800000000001</v>
      </c>
      <c r="BJ22">
        <v>2.0776119999999998</v>
      </c>
      <c r="BK22">
        <v>3.6861259999999998</v>
      </c>
      <c r="BL22">
        <v>2.6967099999999999</v>
      </c>
      <c r="BM22">
        <v>0.96962800000000005</v>
      </c>
      <c r="BN22">
        <v>-4.6036510000000002</v>
      </c>
      <c r="BO22">
        <v>2.603637</v>
      </c>
      <c r="BP22">
        <v>0.81555900000000003</v>
      </c>
      <c r="BQ22">
        <v>0.22398999999999999</v>
      </c>
      <c r="BR22">
        <v>-54.970230000000001</v>
      </c>
      <c r="BS22">
        <v>-6.2081949999999999</v>
      </c>
      <c r="BT22">
        <v>9.0606329999999993</v>
      </c>
      <c r="BU22">
        <v>-21.124300000000002</v>
      </c>
      <c r="BV22">
        <v>-95.151169999999993</v>
      </c>
      <c r="BW22">
        <v>0.462449</v>
      </c>
      <c r="BX22">
        <v>-97.348969999999994</v>
      </c>
      <c r="BY22">
        <v>814.35130000000004</v>
      </c>
      <c r="BZ22">
        <v>1316.5909999999999</v>
      </c>
      <c r="CA22">
        <v>29.417960000000001</v>
      </c>
      <c r="CB22">
        <v>-44.234369999999998</v>
      </c>
      <c r="CC22">
        <v>-31.36497</v>
      </c>
      <c r="CD22">
        <v>4.1580589999999997</v>
      </c>
      <c r="CE22">
        <v>144.13669999999999</v>
      </c>
      <c r="CF22">
        <v>12.21</v>
      </c>
      <c r="CG22">
        <v>-0.879498</v>
      </c>
      <c r="CH22">
        <v>212.0779</v>
      </c>
      <c r="CI22">
        <v>2.8128259999999998</v>
      </c>
      <c r="CJ22">
        <v>4.2139239999999996</v>
      </c>
      <c r="CK22">
        <v>-1.3202179999999999</v>
      </c>
      <c r="CL22">
        <v>4.951854</v>
      </c>
      <c r="CM22">
        <v>6.3757739999999998</v>
      </c>
      <c r="CN22">
        <v>2.4441700000000002</v>
      </c>
      <c r="CO22">
        <v>16.68976</v>
      </c>
      <c r="CP22">
        <v>0.37469999999999998</v>
      </c>
      <c r="CQ22">
        <v>-1.7461999999999998E-2</v>
      </c>
      <c r="CR22">
        <v>16.068100000000001</v>
      </c>
      <c r="CS22">
        <v>2.628412</v>
      </c>
      <c r="CT22">
        <v>1.583167</v>
      </c>
      <c r="CU22">
        <v>2.643046</v>
      </c>
      <c r="CV22">
        <v>4.3620900000000002</v>
      </c>
      <c r="CW22">
        <v>3.587634</v>
      </c>
      <c r="CX22">
        <v>4.1978470000000003</v>
      </c>
      <c r="CY22">
        <v>-1.1714230000000001</v>
      </c>
      <c r="CZ22">
        <v>5.2634069999999999</v>
      </c>
      <c r="DA22">
        <v>1.349308</v>
      </c>
      <c r="DB22">
        <v>0.52011399999999997</v>
      </c>
      <c r="DC22">
        <v>-55.021650000000001</v>
      </c>
      <c r="DD22">
        <v>-7.212186</v>
      </c>
      <c r="DE22">
        <v>-19.81419</v>
      </c>
      <c r="DF22">
        <v>-21.43402</v>
      </c>
      <c r="DG22">
        <v>-97.488900000000001</v>
      </c>
      <c r="DH22">
        <v>2.3180589999999999</v>
      </c>
      <c r="DI22">
        <v>-97.994789999999995</v>
      </c>
      <c r="DJ22">
        <v>1233.1990000000001</v>
      </c>
      <c r="DK22">
        <v>1454.7639999999999</v>
      </c>
      <c r="DL22">
        <v>46.049849999999999</v>
      </c>
      <c r="DM22">
        <v>-53.162059999999997</v>
      </c>
      <c r="DN22">
        <v>-21.15174</v>
      </c>
      <c r="DO22">
        <v>1.870511</v>
      </c>
      <c r="DP22">
        <v>137.0772</v>
      </c>
      <c r="DQ22">
        <v>14.98143</v>
      </c>
      <c r="DR22">
        <v>4.1397069999999996</v>
      </c>
      <c r="DS22">
        <v>204.21610000000001</v>
      </c>
      <c r="DT22">
        <v>1.7904E-2</v>
      </c>
      <c r="DU22">
        <v>1.7262299999999999</v>
      </c>
      <c r="DV22">
        <v>-5.3804540000000003</v>
      </c>
      <c r="DW22">
        <v>2.703945</v>
      </c>
      <c r="DX22">
        <v>2.2589130000000002</v>
      </c>
      <c r="DY22">
        <v>2.3950429999999998</v>
      </c>
      <c r="DZ22">
        <v>0.85524500000000003</v>
      </c>
      <c r="EA22">
        <v>1.8737440000000001</v>
      </c>
      <c r="EB22">
        <v>3.459568</v>
      </c>
      <c r="EC22">
        <v>0</v>
      </c>
      <c r="ED22">
        <v>2.2209750000000001</v>
      </c>
      <c r="EE22">
        <v>2.0836329999999998</v>
      </c>
      <c r="EF22">
        <v>2.7002999999999999</v>
      </c>
      <c r="EG22">
        <v>2.1825770000000002</v>
      </c>
      <c r="EH22">
        <v>3.8968479999999999</v>
      </c>
      <c r="EI22">
        <v>-0.37722600000000001</v>
      </c>
      <c r="EJ22">
        <v>0.44500699999999999</v>
      </c>
      <c r="EK22">
        <v>-2.2390479999999999</v>
      </c>
      <c r="EL22">
        <v>1.874692</v>
      </c>
      <c r="EM22">
        <v>1.849542</v>
      </c>
      <c r="EN22">
        <v>-17.393630000000002</v>
      </c>
      <c r="EO22">
        <v>-9.2947089999999992</v>
      </c>
      <c r="EP22">
        <v>-1.5609550000000001</v>
      </c>
      <c r="EQ22">
        <v>-3.1832690000000001</v>
      </c>
      <c r="ER22">
        <v>7.3075720000000004</v>
      </c>
      <c r="ES22">
        <v>75.448440000000005</v>
      </c>
      <c r="ET22">
        <v>2.1794760000000002</v>
      </c>
      <c r="EU22">
        <v>33.356090000000002</v>
      </c>
      <c r="EV22">
        <v>0.53373899999999996</v>
      </c>
      <c r="EW22">
        <v>1.9499979999999999</v>
      </c>
      <c r="EX22">
        <v>2.462599</v>
      </c>
      <c r="EY22">
        <v>0.77754900000000005</v>
      </c>
      <c r="EZ22">
        <v>0.103049</v>
      </c>
      <c r="FA22">
        <v>5.2554819999999998</v>
      </c>
      <c r="FB22">
        <v>1.6862509999999999</v>
      </c>
      <c r="FC22">
        <v>34.306269999999998</v>
      </c>
      <c r="FD22">
        <v>9.3592809999999993</v>
      </c>
      <c r="FE22">
        <v>0.56526399999999999</v>
      </c>
      <c r="FF22">
        <v>0.871062</v>
      </c>
      <c r="FG22">
        <v>1.566058</v>
      </c>
      <c r="FH22">
        <v>0.35213100000000003</v>
      </c>
      <c r="FI22">
        <v>5.0240720000000003</v>
      </c>
      <c r="FJ22">
        <v>70.058819999999997</v>
      </c>
      <c r="FK22">
        <v>1.605351</v>
      </c>
      <c r="FL22">
        <v>26.325220000000002</v>
      </c>
      <c r="FM22">
        <v>2.3623999999999999E-2</v>
      </c>
      <c r="FN22">
        <v>1.9554229999999999</v>
      </c>
      <c r="FO22">
        <v>6.8948999999999996E-2</v>
      </c>
      <c r="FP22">
        <v>7.0919829999999999</v>
      </c>
      <c r="FQ22">
        <v>1.447902</v>
      </c>
      <c r="FR22">
        <v>6.7900960000000001</v>
      </c>
      <c r="FS22">
        <v>0.93083199999999999</v>
      </c>
      <c r="FT22">
        <v>28.556100000000001</v>
      </c>
      <c r="FU22">
        <v>10.174519999999999</v>
      </c>
      <c r="FV22">
        <v>1.443406</v>
      </c>
      <c r="FW22">
        <v>1.0223850000000001</v>
      </c>
      <c r="FX22">
        <v>1.6181680000000001</v>
      </c>
      <c r="FY22">
        <v>1.1744969999999999</v>
      </c>
      <c r="FZ22">
        <v>5.2286619999999999</v>
      </c>
      <c r="GA22">
        <v>59.517870000000002</v>
      </c>
      <c r="GB22">
        <v>2.1794760000000002</v>
      </c>
      <c r="GC22">
        <v>29.414809999999999</v>
      </c>
      <c r="GD22">
        <v>0.47067399999999998</v>
      </c>
      <c r="GE22">
        <v>1.71959</v>
      </c>
      <c r="GF22">
        <v>2.171624</v>
      </c>
      <c r="GG22">
        <v>0.68567599999999995</v>
      </c>
      <c r="GH22">
        <v>9.0872999999999995E-2</v>
      </c>
      <c r="GI22">
        <v>4.634506</v>
      </c>
      <c r="GJ22">
        <v>1.487007</v>
      </c>
      <c r="GK22">
        <v>32.419750000000001</v>
      </c>
      <c r="GL22">
        <v>9.3592809999999993</v>
      </c>
      <c r="GM22">
        <v>0.56526399999999999</v>
      </c>
      <c r="GN22">
        <v>0.871062</v>
      </c>
      <c r="GO22">
        <v>1.566058</v>
      </c>
      <c r="GP22">
        <v>0.35213100000000003</v>
      </c>
      <c r="GQ22">
        <v>2.9730219999999998</v>
      </c>
      <c r="GR22">
        <v>54.34872</v>
      </c>
      <c r="GS22">
        <v>1.605351</v>
      </c>
      <c r="GT22">
        <v>23.110800000000001</v>
      </c>
      <c r="GU22">
        <v>2.0739E-2</v>
      </c>
      <c r="GV22">
        <v>1.7166570000000001</v>
      </c>
      <c r="GW22">
        <v>6.053E-2</v>
      </c>
      <c r="GX22">
        <v>6.2260220000000004</v>
      </c>
      <c r="GY22">
        <v>1.271107</v>
      </c>
      <c r="GZ22">
        <v>5.9609969999999999</v>
      </c>
      <c r="HA22">
        <v>0.81717300000000004</v>
      </c>
      <c r="HB22">
        <v>26.695699999999999</v>
      </c>
      <c r="HC22">
        <v>10.174519999999999</v>
      </c>
      <c r="HD22">
        <v>1.443406</v>
      </c>
      <c r="HE22">
        <v>1.0223850000000001</v>
      </c>
      <c r="HF22">
        <v>1.6181680000000001</v>
      </c>
      <c r="HG22">
        <v>1.1744969999999999</v>
      </c>
      <c r="HH22">
        <v>5.3229670000000002</v>
      </c>
      <c r="HI22">
        <v>63.972410000000004</v>
      </c>
      <c r="HJ22">
        <v>2.1794760000000002</v>
      </c>
      <c r="HK22">
        <v>120.4175</v>
      </c>
      <c r="HL22">
        <v>1.1528849999999999</v>
      </c>
      <c r="HM22">
        <v>4.212027</v>
      </c>
      <c r="HN22">
        <v>5.3192539999999999</v>
      </c>
      <c r="HO22">
        <v>0.840588</v>
      </c>
      <c r="HP22">
        <v>0.111403</v>
      </c>
      <c r="HQ22">
        <v>5.6815660000000001</v>
      </c>
      <c r="HR22">
        <v>4.92875</v>
      </c>
      <c r="HS22">
        <v>32.642499999999998</v>
      </c>
      <c r="HT22">
        <v>9.4992599999999996</v>
      </c>
      <c r="HU22">
        <v>0.57371799999999995</v>
      </c>
      <c r="HV22">
        <v>0.88409000000000004</v>
      </c>
      <c r="HW22">
        <v>1.58948</v>
      </c>
      <c r="HX22">
        <v>0.35739799999999999</v>
      </c>
      <c r="HY22">
        <v>3.011301</v>
      </c>
      <c r="HZ22">
        <v>58.194890000000001</v>
      </c>
      <c r="IA22">
        <v>1.605351</v>
      </c>
      <c r="IB22">
        <v>90.232680000000002</v>
      </c>
      <c r="IC22">
        <v>2.3623999999999999E-2</v>
      </c>
      <c r="ID22">
        <v>4.1108120000000001</v>
      </c>
      <c r="IE22">
        <v>6.8948999999999996E-2</v>
      </c>
      <c r="IF22">
        <v>7.6236069999999998</v>
      </c>
      <c r="IG22">
        <v>1.556438</v>
      </c>
      <c r="IH22">
        <v>7.2990899999999996</v>
      </c>
      <c r="II22">
        <v>2.8243339999999999</v>
      </c>
      <c r="IJ22">
        <v>26.98921</v>
      </c>
      <c r="IK22">
        <v>10.448740000000001</v>
      </c>
      <c r="IL22">
        <v>1.4661930000000001</v>
      </c>
      <c r="IM22">
        <v>1.059018</v>
      </c>
      <c r="IN22">
        <v>1.6751240000000001</v>
      </c>
      <c r="IO22">
        <v>1.195235</v>
      </c>
      <c r="IP22">
        <v>4.4869500000000002</v>
      </c>
      <c r="IQ22">
        <v>5.126563</v>
      </c>
      <c r="IR22">
        <v>0.72478600000000004</v>
      </c>
      <c r="IS22">
        <v>1.76068</v>
      </c>
      <c r="IT22">
        <v>3.851807</v>
      </c>
      <c r="IU22">
        <v>4.0477319999999999</v>
      </c>
      <c r="IV22">
        <v>4.9350259999999997</v>
      </c>
      <c r="IW22">
        <v>6.0346970000000004</v>
      </c>
      <c r="IX22">
        <v>0.76389899999999999</v>
      </c>
      <c r="IY22">
        <v>6.0876409999999996</v>
      </c>
      <c r="IZ22">
        <v>1.72085</v>
      </c>
      <c r="JA22">
        <v>7.8842639999999999</v>
      </c>
      <c r="JB22">
        <v>0.38344400000000001</v>
      </c>
      <c r="JC22">
        <v>1.26064</v>
      </c>
      <c r="JD22">
        <v>0.853159</v>
      </c>
      <c r="JE22">
        <v>18.29129</v>
      </c>
      <c r="JF22">
        <v>0.35850100000000001</v>
      </c>
      <c r="JG22">
        <v>1.8608979999999999</v>
      </c>
      <c r="JH22">
        <v>19.125509999999998</v>
      </c>
      <c r="JI22">
        <v>6.3294079999999999</v>
      </c>
      <c r="JJ22">
        <v>18.825489999999999</v>
      </c>
      <c r="JK22">
        <v>38.021079999999998</v>
      </c>
      <c r="JL22">
        <v>4.0629920000000004</v>
      </c>
      <c r="JM22">
        <v>4.6787510000000001</v>
      </c>
      <c r="JN22">
        <v>0.68286800000000003</v>
      </c>
      <c r="JO22">
        <v>1.5312840000000001</v>
      </c>
      <c r="JP22">
        <v>3.2811330000000001</v>
      </c>
      <c r="JQ22">
        <v>3.636422</v>
      </c>
      <c r="JR22">
        <v>4.265358</v>
      </c>
      <c r="JS22">
        <v>5.7650779999999999</v>
      </c>
      <c r="JT22">
        <v>0.73987899999999995</v>
      </c>
      <c r="JU22">
        <v>4.1043209999999997</v>
      </c>
      <c r="JV22">
        <v>1.5590729999999999</v>
      </c>
      <c r="JW22">
        <v>7.1566669999999997</v>
      </c>
      <c r="JX22">
        <v>0.29957699999999998</v>
      </c>
      <c r="JY22">
        <v>1.231927</v>
      </c>
      <c r="JZ22">
        <v>0.84091099999999996</v>
      </c>
      <c r="KA22">
        <v>16.591819999999998</v>
      </c>
      <c r="KB22">
        <v>0.26923200000000003</v>
      </c>
      <c r="KC22">
        <v>1.5250680000000001</v>
      </c>
      <c r="KD22">
        <v>18.30443</v>
      </c>
      <c r="KE22">
        <v>5.9771939999999999</v>
      </c>
      <c r="KF22">
        <v>17.29541</v>
      </c>
      <c r="KG22">
        <v>36.440379999999998</v>
      </c>
      <c r="KH22">
        <v>5745.4939999999997</v>
      </c>
      <c r="KI22">
        <v>9283.8850000000002</v>
      </c>
      <c r="KJ22">
        <v>6331.8860000000004</v>
      </c>
      <c r="KK22">
        <v>3305.3020000000001</v>
      </c>
      <c r="KL22">
        <v>4402.3280000000004</v>
      </c>
      <c r="KM22">
        <v>1487.8140000000001</v>
      </c>
      <c r="KN22">
        <v>1565.076</v>
      </c>
      <c r="KO22">
        <v>0</v>
      </c>
      <c r="KP22">
        <v>30300.28</v>
      </c>
      <c r="KQ22">
        <v>1821.509</v>
      </c>
      <c r="KR22">
        <v>0</v>
      </c>
      <c r="KS22">
        <v>6611.2389999999996</v>
      </c>
      <c r="KT22">
        <v>8738.8950000000004</v>
      </c>
      <c r="KU22">
        <v>6257.7749999999996</v>
      </c>
      <c r="KV22">
        <v>3586.3110000000001</v>
      </c>
      <c r="KW22">
        <v>4302.1769999999997</v>
      </c>
      <c r="KX22">
        <v>1363.9680000000001</v>
      </c>
      <c r="KY22">
        <v>823.57659999999998</v>
      </c>
      <c r="KZ22">
        <v>0</v>
      </c>
      <c r="LA22">
        <v>28533.46</v>
      </c>
      <c r="LB22">
        <v>3150.4830000000002</v>
      </c>
      <c r="LC22">
        <v>0</v>
      </c>
      <c r="LD22">
        <v>64626378</v>
      </c>
      <c r="LE22" s="21">
        <v>230000000</v>
      </c>
      <c r="LF22" s="21">
        <v>658000000</v>
      </c>
      <c r="LG22" s="21">
        <v>650000000</v>
      </c>
      <c r="LH22" s="21">
        <v>623000000</v>
      </c>
      <c r="LI22" s="21">
        <v>324000000</v>
      </c>
      <c r="LJ22" s="21">
        <v>144000000</v>
      </c>
      <c r="LK22" s="21">
        <v>2.3499999999999999E-6</v>
      </c>
      <c r="LL22" s="21">
        <v>4.4700000000000004E-6</v>
      </c>
      <c r="LM22" s="21">
        <v>8.1999999999999994E-6</v>
      </c>
      <c r="LN22" s="21">
        <v>1.6900000000000001E-5</v>
      </c>
      <c r="LO22" s="21">
        <v>2.4600000000000002E-5</v>
      </c>
      <c r="LP22" s="21">
        <v>3.4600000000000001E-5</v>
      </c>
      <c r="LQ22" s="21">
        <v>5.0599999999999997E-5</v>
      </c>
      <c r="LR22">
        <v>79994455</v>
      </c>
      <c r="LS22" s="21">
        <v>250000000</v>
      </c>
      <c r="LT22" s="21">
        <v>666000000</v>
      </c>
      <c r="LU22" s="21">
        <v>641000000</v>
      </c>
      <c r="LV22" s="21">
        <v>607000000</v>
      </c>
      <c r="LW22" s="21">
        <v>313000000</v>
      </c>
      <c r="LX22" s="21">
        <v>139000000</v>
      </c>
      <c r="LY22" s="21">
        <v>2.7199999999999998E-6</v>
      </c>
      <c r="LZ22" s="21">
        <v>5.1599999999999997E-6</v>
      </c>
      <c r="MA22" s="21">
        <v>9.4700000000000008E-6</v>
      </c>
      <c r="MB22" s="21">
        <v>1.9599999999999999E-5</v>
      </c>
      <c r="MC22" s="21">
        <v>2.87E-5</v>
      </c>
      <c r="MD22" s="21">
        <v>4.0599999999999998E-5</v>
      </c>
      <c r="ME22" s="21">
        <v>5.8900000000000002E-5</v>
      </c>
      <c r="MF22">
        <v>0.31359999999999999</v>
      </c>
      <c r="MG22">
        <v>0.39336199999999999</v>
      </c>
      <c r="MH22">
        <v>0.21617900000000001</v>
      </c>
      <c r="MI22">
        <v>6.0315000000000001E-2</v>
      </c>
      <c r="MJ22">
        <v>1.3854E-2</v>
      </c>
      <c r="MK22">
        <v>3.3399999999999999E-4</v>
      </c>
      <c r="ML22">
        <v>2.356E-3</v>
      </c>
      <c r="MM22">
        <v>0.41550900000000002</v>
      </c>
      <c r="MN22">
        <v>0.49894300000000003</v>
      </c>
      <c r="MO22">
        <v>0.277727</v>
      </c>
      <c r="MP22">
        <v>8.2694000000000004E-2</v>
      </c>
      <c r="MQ22">
        <v>1.6559999999999998E-2</v>
      </c>
      <c r="MR22">
        <v>-4.6730000000000001E-2</v>
      </c>
      <c r="MS22">
        <v>-0.244702</v>
      </c>
      <c r="MT22">
        <v>0.36643300000000001</v>
      </c>
      <c r="MU22">
        <v>0.34197300000000003</v>
      </c>
      <c r="MV22">
        <v>0.20491100000000001</v>
      </c>
      <c r="MW22">
        <v>8.0013000000000001E-2</v>
      </c>
      <c r="MX22">
        <v>6.4780000000000003E-3</v>
      </c>
      <c r="MY22" s="21">
        <v>2.9300000000000001E-5</v>
      </c>
      <c r="MZ22">
        <v>1.63E-4</v>
      </c>
      <c r="NA22">
        <v>0.80634399999999995</v>
      </c>
      <c r="NB22">
        <v>0.70788899999999999</v>
      </c>
      <c r="NC22">
        <v>0.432367</v>
      </c>
      <c r="ND22">
        <v>0.17971500000000001</v>
      </c>
      <c r="NE22">
        <v>1.0304000000000001E-2</v>
      </c>
      <c r="NF22">
        <v>-0.17807200000000001</v>
      </c>
      <c r="NG22">
        <v>-0.95854799999999996</v>
      </c>
      <c r="NH22">
        <v>5.9839999999999997E-3</v>
      </c>
      <c r="NI22">
        <v>5.9909999999999998E-3</v>
      </c>
      <c r="NJ22">
        <v>8.7299999999999999E-3</v>
      </c>
      <c r="NK22">
        <v>2.3040999999999999E-2</v>
      </c>
      <c r="NL22">
        <v>2.5597999999999999E-2</v>
      </c>
      <c r="NM22">
        <v>7.2624999999999995E-2</v>
      </c>
      <c r="NN22">
        <v>5.9839999999999997E-3</v>
      </c>
      <c r="NO22">
        <v>5.9909999999999998E-3</v>
      </c>
      <c r="NP22">
        <v>8.7299999999999999E-3</v>
      </c>
      <c r="NQ22">
        <v>2.3040999999999999E-2</v>
      </c>
      <c r="NR22">
        <v>2.5597999999999999E-2</v>
      </c>
      <c r="NS22">
        <v>7.2624999999999995E-2</v>
      </c>
      <c r="NT22">
        <v>1.1813000000000001E-2</v>
      </c>
      <c r="NU22">
        <v>1.1925E-2</v>
      </c>
      <c r="NV22">
        <v>1.5337E-2</v>
      </c>
      <c r="NW22">
        <v>2.9923000000000002E-2</v>
      </c>
      <c r="NX22">
        <v>3.2939999999999997E-2</v>
      </c>
      <c r="NY22">
        <v>7.9627000000000003E-2</v>
      </c>
      <c r="NZ22">
        <v>1.1813000000000001E-2</v>
      </c>
      <c r="OA22">
        <v>1.1925E-2</v>
      </c>
      <c r="OB22">
        <v>1.5337E-2</v>
      </c>
      <c r="OC22">
        <v>2.9923000000000002E-2</v>
      </c>
      <c r="OD22">
        <v>3.2939999999999997E-2</v>
      </c>
      <c r="OE22">
        <v>7.9627000000000003E-2</v>
      </c>
      <c r="OF22">
        <v>49.395000000000003</v>
      </c>
      <c r="OG22">
        <v>33537.01</v>
      </c>
      <c r="OH22">
        <v>17918.43</v>
      </c>
      <c r="OI22">
        <v>8543.2180000000008</v>
      </c>
      <c r="OJ22">
        <v>40.803420000000003</v>
      </c>
      <c r="OK22">
        <v>30419.84</v>
      </c>
      <c r="OL22">
        <v>17638.73</v>
      </c>
      <c r="OM22">
        <v>8271.2639999999992</v>
      </c>
      <c r="ON22">
        <v>1428935</v>
      </c>
      <c r="OO22">
        <v>1443903</v>
      </c>
      <c r="OP22">
        <v>10524.62</v>
      </c>
      <c r="OQ22">
        <v>5787.9960000000001</v>
      </c>
      <c r="OR22">
        <v>5075.4799999999996</v>
      </c>
      <c r="OS22">
        <v>482.28089999999997</v>
      </c>
      <c r="OT22">
        <v>1498.261</v>
      </c>
      <c r="OU22">
        <v>1205.5640000000001</v>
      </c>
      <c r="OV22">
        <v>306.34679999999997</v>
      </c>
      <c r="OW22">
        <v>1205.752</v>
      </c>
      <c r="OX22">
        <v>1281.674</v>
      </c>
      <c r="OY22">
        <v>1022.8680000000001</v>
      </c>
      <c r="OZ22">
        <v>589.47969999999998</v>
      </c>
      <c r="PA22">
        <v>19251.439999999999</v>
      </c>
      <c r="PB22">
        <v>6773.0889999999999</v>
      </c>
      <c r="PC22">
        <v>1090.482</v>
      </c>
      <c r="PD22">
        <v>1962.4469999999999</v>
      </c>
      <c r="PE22">
        <v>5935.83</v>
      </c>
      <c r="PF22">
        <v>1308.2429999999999</v>
      </c>
      <c r="PG22">
        <v>2402.5770000000002</v>
      </c>
      <c r="PH22">
        <v>183363.6</v>
      </c>
      <c r="PI22">
        <v>78794.350000000006</v>
      </c>
      <c r="PJ22">
        <v>1.744397</v>
      </c>
      <c r="PK22">
        <v>591.36980000000005</v>
      </c>
      <c r="PL22">
        <v>117.53579999999999</v>
      </c>
      <c r="PM22">
        <v>1555.36</v>
      </c>
      <c r="PN22">
        <v>444.43169999999998</v>
      </c>
      <c r="PO22">
        <v>157.58199999999999</v>
      </c>
      <c r="PP22">
        <v>248.2294</v>
      </c>
      <c r="PQ22">
        <v>549.25170000000003</v>
      </c>
      <c r="PR22">
        <v>94.203580000000002</v>
      </c>
      <c r="PS22">
        <v>581.09249999999997</v>
      </c>
      <c r="PT22">
        <v>1238.3019999999999</v>
      </c>
      <c r="PU22">
        <v>475.2373</v>
      </c>
      <c r="PV22">
        <v>858.99149999999997</v>
      </c>
      <c r="PW22">
        <v>66.625479999999996</v>
      </c>
      <c r="PX22">
        <v>142.41030000000001</v>
      </c>
      <c r="PY22">
        <v>774.39599999999996</v>
      </c>
      <c r="PZ22">
        <v>142.56950000000001</v>
      </c>
      <c r="QA22">
        <v>337901.7</v>
      </c>
      <c r="QB22">
        <v>7428.183</v>
      </c>
      <c r="QC22">
        <v>77590.59</v>
      </c>
      <c r="QD22">
        <v>10634.39</v>
      </c>
      <c r="QE22">
        <v>15159.32</v>
      </c>
      <c r="QF22">
        <v>9878.9549999999999</v>
      </c>
      <c r="QG22">
        <v>3158.2130000000002</v>
      </c>
      <c r="QH22">
        <v>1010.745</v>
      </c>
      <c r="QI22">
        <v>34.655149999999999</v>
      </c>
      <c r="QJ22">
        <v>322.50209999999998</v>
      </c>
      <c r="QK22">
        <v>10820.66</v>
      </c>
      <c r="QL22">
        <v>6031.8969999999999</v>
      </c>
      <c r="QM22">
        <v>5008.473</v>
      </c>
      <c r="QN22">
        <v>506.16269999999997</v>
      </c>
      <c r="QO22">
        <v>1593.787</v>
      </c>
      <c r="QP22">
        <v>1235.03</v>
      </c>
      <c r="QQ22">
        <v>357.4753</v>
      </c>
      <c r="QR22">
        <v>1210.27</v>
      </c>
      <c r="QS22">
        <v>1281.451</v>
      </c>
      <c r="QT22">
        <v>1187.223</v>
      </c>
      <c r="QU22">
        <v>604.97370000000001</v>
      </c>
      <c r="QV22">
        <v>19556.22</v>
      </c>
      <c r="QW22">
        <v>6952.1049999999996</v>
      </c>
      <c r="QX22">
        <v>1138.05</v>
      </c>
      <c r="QY22">
        <v>2032.8530000000001</v>
      </c>
      <c r="QZ22">
        <v>6185.0069999999996</v>
      </c>
      <c r="RA22">
        <v>1292.9179999999999</v>
      </c>
      <c r="RB22">
        <v>2529.0340000000001</v>
      </c>
      <c r="RC22">
        <v>185837.7</v>
      </c>
      <c r="RD22">
        <v>79204.17</v>
      </c>
      <c r="RE22">
        <v>0.78460099999999999</v>
      </c>
      <c r="RF22">
        <v>548.71910000000003</v>
      </c>
      <c r="RG22">
        <v>94.247060000000005</v>
      </c>
      <c r="RH22">
        <v>1221.9839999999999</v>
      </c>
      <c r="RI22">
        <v>11.16011</v>
      </c>
      <c r="RJ22">
        <v>161.23480000000001</v>
      </c>
      <c r="RK22">
        <v>4.9775150000000004</v>
      </c>
      <c r="RL22">
        <v>7322.6170000000002</v>
      </c>
      <c r="RM22">
        <v>1464.644</v>
      </c>
      <c r="RN22">
        <v>848.6848</v>
      </c>
      <c r="RO22">
        <v>579.99519999999995</v>
      </c>
      <c r="RP22">
        <v>374.71629999999999</v>
      </c>
      <c r="RQ22">
        <v>875.05899999999997</v>
      </c>
      <c r="RR22">
        <v>157.9538</v>
      </c>
      <c r="RS22">
        <v>163.74539999999999</v>
      </c>
      <c r="RT22">
        <v>806.45370000000003</v>
      </c>
      <c r="RU22">
        <v>433.71929999999998</v>
      </c>
      <c r="RV22">
        <v>349636.2</v>
      </c>
      <c r="RW22">
        <v>9876.4940000000006</v>
      </c>
      <c r="RX22">
        <v>76536.289999999994</v>
      </c>
      <c r="RY22">
        <v>11491.92</v>
      </c>
      <c r="RZ22">
        <v>12188.22</v>
      </c>
      <c r="SA22">
        <v>8660.1460000000006</v>
      </c>
      <c r="SB22">
        <v>3874.7289999999998</v>
      </c>
      <c r="SC22">
        <v>437.07859999999999</v>
      </c>
      <c r="SD22">
        <v>2.8062170000000002</v>
      </c>
      <c r="SE22">
        <v>20.628119999999999</v>
      </c>
      <c r="SF22">
        <v>33903.43</v>
      </c>
      <c r="SG22">
        <v>49.395000000000003</v>
      </c>
      <c r="SH22">
        <v>7941.7340000000004</v>
      </c>
      <c r="SI22">
        <v>17369.080000000002</v>
      </c>
      <c r="SJ22">
        <v>8543.2180000000008</v>
      </c>
      <c r="SK22">
        <v>32360.29</v>
      </c>
      <c r="SL22">
        <v>40.803420000000003</v>
      </c>
      <c r="SM22">
        <v>7359.1639999999998</v>
      </c>
      <c r="SN22">
        <v>16689.05</v>
      </c>
      <c r="SO22">
        <v>8271.2639999999992</v>
      </c>
      <c r="SP22">
        <v>116395.8</v>
      </c>
      <c r="SQ22">
        <v>69252.69</v>
      </c>
      <c r="SR22">
        <v>119782.1</v>
      </c>
      <c r="SS22">
        <v>68456.100000000006</v>
      </c>
      <c r="ST22">
        <v>38.021079999999998</v>
      </c>
      <c r="SU22">
        <v>0.29750700000000002</v>
      </c>
      <c r="SV22">
        <v>5.7159509999999996</v>
      </c>
      <c r="SW22">
        <v>12.40113</v>
      </c>
      <c r="SX22">
        <v>19.6065</v>
      </c>
      <c r="SY22">
        <v>36.440379999999998</v>
      </c>
      <c r="SZ22">
        <v>0.24576000000000001</v>
      </c>
      <c r="TA22">
        <v>5.2966540000000002</v>
      </c>
      <c r="TB22">
        <v>11.9156</v>
      </c>
      <c r="TC22">
        <v>18.98237</v>
      </c>
      <c r="TD22">
        <v>25762.85</v>
      </c>
      <c r="TE22">
        <v>826.00570000000005</v>
      </c>
      <c r="TF22">
        <v>500.4658</v>
      </c>
      <c r="TG22">
        <v>223.30439999999999</v>
      </c>
      <c r="TH22">
        <v>52.464410000000001</v>
      </c>
      <c r="TI22">
        <v>105.8796</v>
      </c>
      <c r="TJ22">
        <v>88.767300000000006</v>
      </c>
      <c r="TK22">
        <v>27.220400000000001</v>
      </c>
      <c r="TL22">
        <v>32.672550000000001</v>
      </c>
      <c r="TM22">
        <v>172.22290000000001</v>
      </c>
      <c r="TN22">
        <v>43.151380000000003</v>
      </c>
      <c r="TO22">
        <v>27.816800000000001</v>
      </c>
      <c r="TP22">
        <v>2096.8000000000002</v>
      </c>
      <c r="TQ22">
        <v>1992.9670000000001</v>
      </c>
      <c r="TR22">
        <v>100.3177</v>
      </c>
      <c r="TS22">
        <v>176.46809999999999</v>
      </c>
      <c r="TT22">
        <v>428.42529999999999</v>
      </c>
      <c r="TU22">
        <v>43.905029999999996</v>
      </c>
      <c r="TV22">
        <v>76.013900000000007</v>
      </c>
      <c r="TW22">
        <v>12244.34</v>
      </c>
      <c r="TX22">
        <v>6378.0219999999999</v>
      </c>
      <c r="TY22">
        <v>0.50977899999999998</v>
      </c>
      <c r="TZ22">
        <v>10.63678</v>
      </c>
      <c r="UA22">
        <v>5.5988530000000001</v>
      </c>
      <c r="UB22">
        <v>58.941479999999999</v>
      </c>
      <c r="UC22">
        <v>0.71301800000000004</v>
      </c>
      <c r="UD22">
        <v>2.3762289999999999</v>
      </c>
      <c r="UE22">
        <v>4.3309740000000003</v>
      </c>
      <c r="UF22">
        <v>1.6385320000000001</v>
      </c>
      <c r="UG22">
        <v>0.78432100000000005</v>
      </c>
      <c r="UH22">
        <v>10.388629999999999</v>
      </c>
      <c r="UI22">
        <v>5.167198</v>
      </c>
      <c r="UJ22">
        <v>15.53069</v>
      </c>
      <c r="UK22">
        <v>5.9188010000000002</v>
      </c>
      <c r="UL22">
        <v>0.44974500000000001</v>
      </c>
      <c r="UM22">
        <v>0.49348399999999998</v>
      </c>
      <c r="UN22">
        <v>1.7736670000000001</v>
      </c>
      <c r="UO22">
        <v>0.36749900000000002</v>
      </c>
      <c r="UP22">
        <v>25952.720000000001</v>
      </c>
      <c r="UQ22">
        <v>828.53510000000006</v>
      </c>
      <c r="UR22">
        <v>506.34570000000002</v>
      </c>
      <c r="US22">
        <v>220.5771</v>
      </c>
      <c r="UT22">
        <v>53.906680000000001</v>
      </c>
      <c r="UU22">
        <v>110.386</v>
      </c>
      <c r="UV22">
        <v>91.582319999999996</v>
      </c>
      <c r="UW22">
        <v>27.528839999999999</v>
      </c>
      <c r="UX22">
        <v>32.921889999999998</v>
      </c>
      <c r="UY22">
        <v>176.99940000000001</v>
      </c>
      <c r="UZ22">
        <v>44.360199999999999</v>
      </c>
      <c r="VA22">
        <v>27.655480000000001</v>
      </c>
      <c r="VB22">
        <v>2106.652</v>
      </c>
      <c r="VC22">
        <v>2032.232</v>
      </c>
      <c r="VD22">
        <v>103.28279999999999</v>
      </c>
      <c r="VE22">
        <v>180.1686</v>
      </c>
      <c r="VF22">
        <v>429.39589999999998</v>
      </c>
      <c r="VG22">
        <v>41.503570000000003</v>
      </c>
      <c r="VH22">
        <v>77.979960000000005</v>
      </c>
      <c r="VI22">
        <v>12343.71</v>
      </c>
      <c r="VJ22">
        <v>6385.8019999999997</v>
      </c>
      <c r="VK22">
        <v>0.26652700000000001</v>
      </c>
      <c r="VL22">
        <v>10.064920000000001</v>
      </c>
      <c r="VM22">
        <v>4.681025</v>
      </c>
      <c r="VN22">
        <v>47.551870000000001</v>
      </c>
      <c r="VO22">
        <v>3.6528999999999999E-2</v>
      </c>
      <c r="VP22">
        <v>2.418606</v>
      </c>
      <c r="VQ22">
        <v>0.177757</v>
      </c>
      <c r="VR22">
        <v>15.55015</v>
      </c>
      <c r="VS22">
        <v>10.05081</v>
      </c>
      <c r="VT22">
        <v>14.17628</v>
      </c>
      <c r="VU22">
        <v>2.6968450000000002</v>
      </c>
      <c r="VV22">
        <v>12.858230000000001</v>
      </c>
      <c r="VW22">
        <v>6.2340330000000002</v>
      </c>
      <c r="VX22">
        <v>0.96635499999999996</v>
      </c>
      <c r="VY22">
        <v>0.56556600000000001</v>
      </c>
      <c r="VZ22">
        <v>1.8795569999999999</v>
      </c>
      <c r="WA22">
        <v>1.0220590000000001</v>
      </c>
      <c r="WB22">
        <v>9.5425999999999997E-2</v>
      </c>
      <c r="WC22">
        <v>8.6640999999999996E-2</v>
      </c>
      <c r="WD22">
        <v>-1.2654E-2</v>
      </c>
      <c r="WE22">
        <v>-1.0839E-2</v>
      </c>
      <c r="WF22">
        <v>0.63292199999999998</v>
      </c>
      <c r="WG22">
        <v>0.57082599999999994</v>
      </c>
      <c r="WH22">
        <v>-2.0695999999999999E-2</v>
      </c>
      <c r="WI22">
        <v>-1.4307E-2</v>
      </c>
      <c r="WJ22">
        <v>2294302</v>
      </c>
      <c r="WK22">
        <v>2315991</v>
      </c>
    </row>
    <row r="23" spans="1:609" x14ac:dyDescent="0.25">
      <c r="A23">
        <v>2024</v>
      </c>
      <c r="B23">
        <v>0.99211099999999997</v>
      </c>
      <c r="C23">
        <v>130.30340000000001</v>
      </c>
      <c r="D23">
        <v>1.3107949999999999</v>
      </c>
      <c r="E23">
        <v>4.0170000000000003</v>
      </c>
      <c r="F23">
        <v>-1.2974159999999999</v>
      </c>
      <c r="G23">
        <v>0.201932</v>
      </c>
      <c r="H23">
        <v>-0.89512599999999998</v>
      </c>
      <c r="I23">
        <v>0.74879700000000005</v>
      </c>
      <c r="J23">
        <v>4.0663539999999996</v>
      </c>
      <c r="K23">
        <v>7.1036000000000002E-2</v>
      </c>
      <c r="L23">
        <v>3.9924819999999999</v>
      </c>
      <c r="M23">
        <v>0.56431200000000004</v>
      </c>
      <c r="N23">
        <v>0</v>
      </c>
      <c r="O23">
        <v>-6.9692449999999999</v>
      </c>
      <c r="P23">
        <v>-0.677311</v>
      </c>
      <c r="Q23">
        <v>-22.64143</v>
      </c>
      <c r="R23">
        <v>74.202420000000004</v>
      </c>
      <c r="S23">
        <v>65.975399999999993</v>
      </c>
      <c r="T23">
        <v>128.1489</v>
      </c>
      <c r="U23">
        <v>70.966679999999997</v>
      </c>
      <c r="V23">
        <v>108.3103</v>
      </c>
      <c r="W23">
        <v>1.346527</v>
      </c>
      <c r="X23">
        <v>31713.05</v>
      </c>
      <c r="Y23">
        <v>0.12819900000000001</v>
      </c>
      <c r="Z23">
        <v>0.25969199999999998</v>
      </c>
      <c r="AA23">
        <v>-0.49201699999999998</v>
      </c>
      <c r="AB23">
        <v>-0.62504400000000004</v>
      </c>
      <c r="AC23">
        <v>4.3327999999999998E-2</v>
      </c>
      <c r="AD23">
        <v>29870.73</v>
      </c>
      <c r="AE23">
        <v>61712.52</v>
      </c>
      <c r="AF23">
        <v>81933.11</v>
      </c>
      <c r="AG23">
        <v>-4593.8860000000004</v>
      </c>
      <c r="AH23">
        <v>72331.66</v>
      </c>
      <c r="AI23">
        <v>-1.6260000000000001E-3</v>
      </c>
      <c r="AJ23">
        <v>99.313680000000005</v>
      </c>
      <c r="AK23">
        <v>310.81970000000001</v>
      </c>
      <c r="AL23">
        <v>109.1348</v>
      </c>
      <c r="AM23">
        <v>66.625410000000002</v>
      </c>
      <c r="AN23">
        <v>208.51599999999999</v>
      </c>
      <c r="AO23">
        <v>73.213970000000003</v>
      </c>
      <c r="AP23">
        <v>294.70769999999999</v>
      </c>
      <c r="AQ23">
        <v>197.7071</v>
      </c>
      <c r="AR23">
        <v>413.24489999999997</v>
      </c>
      <c r="AS23">
        <v>417.40019999999998</v>
      </c>
      <c r="AT23">
        <v>728.55799999999999</v>
      </c>
      <c r="AU23">
        <v>264.70179999999999</v>
      </c>
      <c r="AV23">
        <v>140.7465</v>
      </c>
      <c r="AW23">
        <v>1.0312520000000001</v>
      </c>
      <c r="AX23">
        <v>1.3361959999999999</v>
      </c>
      <c r="AY23">
        <v>1.6516379999999999</v>
      </c>
      <c r="AZ23">
        <v>-2.0048710000000001</v>
      </c>
      <c r="BA23">
        <v>3.2439740000000001</v>
      </c>
      <c r="BB23">
        <v>4.5638480000000001</v>
      </c>
      <c r="BC23">
        <v>3.0069340000000002</v>
      </c>
      <c r="BD23">
        <v>8.5295620000000003</v>
      </c>
      <c r="BE23">
        <v>0.113164</v>
      </c>
      <c r="BF23">
        <v>2.213101</v>
      </c>
      <c r="BG23">
        <v>5.2266750000000002</v>
      </c>
      <c r="BH23">
        <v>0.185118</v>
      </c>
      <c r="BI23">
        <v>0.56111200000000006</v>
      </c>
      <c r="BJ23">
        <v>2.3184999999999998</v>
      </c>
      <c r="BK23">
        <v>4.4021730000000003</v>
      </c>
      <c r="BL23">
        <v>3.5281829999999998</v>
      </c>
      <c r="BM23">
        <v>1.012413</v>
      </c>
      <c r="BN23">
        <v>-5.2448670000000002</v>
      </c>
      <c r="BO23">
        <v>2.8034659999999998</v>
      </c>
      <c r="BP23">
        <v>0.82641799999999999</v>
      </c>
      <c r="BQ23">
        <v>0.24060500000000001</v>
      </c>
      <c r="BR23">
        <v>-57.044269999999997</v>
      </c>
      <c r="BS23">
        <v>-7.3035269999999999</v>
      </c>
      <c r="BT23">
        <v>-24.031949999999998</v>
      </c>
      <c r="BU23">
        <v>-24.093820000000001</v>
      </c>
      <c r="BV23">
        <v>-96.767840000000007</v>
      </c>
      <c r="BW23">
        <v>-0.29747000000000001</v>
      </c>
      <c r="BX23">
        <v>-98.704080000000005</v>
      </c>
      <c r="BY23">
        <v>883.14930000000004</v>
      </c>
      <c r="BZ23">
        <v>1650.183</v>
      </c>
      <c r="CA23">
        <v>23.28265</v>
      </c>
      <c r="CB23">
        <v>-36.94032</v>
      </c>
      <c r="CC23">
        <v>-34.972999999999999</v>
      </c>
      <c r="CD23">
        <v>6.6903410000000001</v>
      </c>
      <c r="CE23">
        <v>192.45580000000001</v>
      </c>
      <c r="CF23">
        <v>15.18704</v>
      </c>
      <c r="CG23">
        <v>-3.5571329999999999</v>
      </c>
      <c r="CH23">
        <v>275.40030000000002</v>
      </c>
      <c r="CI23">
        <v>3.3061219999999998</v>
      </c>
      <c r="CJ23">
        <v>4.6543890000000001</v>
      </c>
      <c r="CK23">
        <v>-1.7441610000000001</v>
      </c>
      <c r="CL23">
        <v>5.7386629999999998</v>
      </c>
      <c r="CM23">
        <v>7.6557180000000002</v>
      </c>
      <c r="CN23">
        <v>2.8216380000000001</v>
      </c>
      <c r="CO23">
        <v>19.04074</v>
      </c>
      <c r="CP23">
        <v>0.43025600000000003</v>
      </c>
      <c r="CQ23">
        <v>-0.152397</v>
      </c>
      <c r="CR23">
        <v>17.909109999999998</v>
      </c>
      <c r="CS23">
        <v>2.9177040000000001</v>
      </c>
      <c r="CT23">
        <v>1.727352</v>
      </c>
      <c r="CU23">
        <v>2.9677210000000001</v>
      </c>
      <c r="CV23">
        <v>5.2741059999999997</v>
      </c>
      <c r="CW23">
        <v>4.7043280000000003</v>
      </c>
      <c r="CX23">
        <v>5.3465090000000002</v>
      </c>
      <c r="CY23">
        <v>-0.41422999999999999</v>
      </c>
      <c r="CZ23">
        <v>7.196949</v>
      </c>
      <c r="DA23">
        <v>1.404128</v>
      </c>
      <c r="DB23">
        <v>0.57431699999999997</v>
      </c>
      <c r="DC23">
        <v>-57.04598</v>
      </c>
      <c r="DD23">
        <v>-8.0465750000000007</v>
      </c>
      <c r="DE23">
        <v>-29.193719999999999</v>
      </c>
      <c r="DF23">
        <v>-24.659040000000001</v>
      </c>
      <c r="DG23">
        <v>-98.066850000000002</v>
      </c>
      <c r="DH23">
        <v>1.3805259999999999</v>
      </c>
      <c r="DI23">
        <v>-99.140169999999998</v>
      </c>
      <c r="DJ23">
        <v>1384.0219999999999</v>
      </c>
      <c r="DK23">
        <v>2035.5820000000001</v>
      </c>
      <c r="DL23">
        <v>40.563330000000001</v>
      </c>
      <c r="DM23">
        <v>-48.976520000000001</v>
      </c>
      <c r="DN23">
        <v>-24.928619999999999</v>
      </c>
      <c r="DO23">
        <v>4.3818910000000004</v>
      </c>
      <c r="DP23">
        <v>194.267</v>
      </c>
      <c r="DQ23">
        <v>17.79701</v>
      </c>
      <c r="DR23">
        <v>-0.380853</v>
      </c>
      <c r="DS23">
        <v>287.5444</v>
      </c>
      <c r="DT23">
        <v>1.8464999999999999E-2</v>
      </c>
      <c r="DU23">
        <v>1.787776</v>
      </c>
      <c r="DV23">
        <v>-6.9220319999999997</v>
      </c>
      <c r="DW23">
        <v>2.8622130000000001</v>
      </c>
      <c r="DX23">
        <v>2.3492709999999999</v>
      </c>
      <c r="DY23">
        <v>2.5188410000000001</v>
      </c>
      <c r="DZ23">
        <v>0.86974499999999999</v>
      </c>
      <c r="EA23">
        <v>1.953114</v>
      </c>
      <c r="EB23">
        <v>3.729025</v>
      </c>
      <c r="EC23">
        <v>0</v>
      </c>
      <c r="ED23">
        <v>2.378371</v>
      </c>
      <c r="EE23">
        <v>2.2104149999999998</v>
      </c>
      <c r="EF23">
        <v>2.96217</v>
      </c>
      <c r="EG23">
        <v>2.942723</v>
      </c>
      <c r="EH23">
        <v>5.2333160000000003</v>
      </c>
      <c r="EI23">
        <v>-0.69181400000000004</v>
      </c>
      <c r="EJ23">
        <v>0.27905799999999997</v>
      </c>
      <c r="EK23">
        <v>-2.5995759999999999</v>
      </c>
      <c r="EL23">
        <v>1.965592</v>
      </c>
      <c r="EM23">
        <v>1.9487410000000001</v>
      </c>
      <c r="EN23">
        <v>-18.533049999999999</v>
      </c>
      <c r="EO23">
        <v>-9.9909990000000004</v>
      </c>
      <c r="EP23">
        <v>-1.97584</v>
      </c>
      <c r="EQ23">
        <v>-3.4382609999999998</v>
      </c>
      <c r="ER23">
        <v>7.4183620000000001</v>
      </c>
      <c r="ES23">
        <v>75.176659999999998</v>
      </c>
      <c r="ET23">
        <v>2.164733</v>
      </c>
      <c r="EU23">
        <v>33.682940000000002</v>
      </c>
      <c r="EV23">
        <v>0.53896900000000003</v>
      </c>
      <c r="EW23">
        <v>1.9691050000000001</v>
      </c>
      <c r="EX23">
        <v>2.486729</v>
      </c>
      <c r="EY23">
        <v>0.78516799999999998</v>
      </c>
      <c r="EZ23">
        <v>0.104058</v>
      </c>
      <c r="FA23">
        <v>5.3069790000000001</v>
      </c>
      <c r="FB23">
        <v>1.702774</v>
      </c>
      <c r="FC23">
        <v>34.351970000000001</v>
      </c>
      <c r="FD23">
        <v>9.3680029999999999</v>
      </c>
      <c r="FE23">
        <v>0.56579000000000002</v>
      </c>
      <c r="FF23">
        <v>0.87187400000000004</v>
      </c>
      <c r="FG23">
        <v>1.567517</v>
      </c>
      <c r="FH23">
        <v>0.35246</v>
      </c>
      <c r="FI23">
        <v>5.0213830000000002</v>
      </c>
      <c r="FJ23">
        <v>69.084339999999997</v>
      </c>
      <c r="FK23">
        <v>1.45299</v>
      </c>
      <c r="FL23">
        <v>25.59947</v>
      </c>
      <c r="FM23">
        <v>2.2505000000000001E-2</v>
      </c>
      <c r="FN23">
        <v>1.9600789999999999</v>
      </c>
      <c r="FO23">
        <v>3.4175999999999998E-2</v>
      </c>
      <c r="FP23">
        <v>7.7059259999999998</v>
      </c>
      <c r="FQ23">
        <v>1.812063</v>
      </c>
      <c r="FR23">
        <v>6.5355840000000001</v>
      </c>
      <c r="FS23">
        <v>1.062281</v>
      </c>
      <c r="FT23">
        <v>27.52636</v>
      </c>
      <c r="FU23">
        <v>10.50986</v>
      </c>
      <c r="FV23">
        <v>1.7442310000000001</v>
      </c>
      <c r="FW23">
        <v>1.0580689999999999</v>
      </c>
      <c r="FX23">
        <v>1.5853619999999999</v>
      </c>
      <c r="FY23">
        <v>1.4270910000000001</v>
      </c>
      <c r="FZ23">
        <v>5.3093510000000004</v>
      </c>
      <c r="GA23">
        <v>59.115259999999999</v>
      </c>
      <c r="GB23">
        <v>2.164733</v>
      </c>
      <c r="GC23">
        <v>29.74166</v>
      </c>
      <c r="GD23">
        <v>0.47590399999999999</v>
      </c>
      <c r="GE23">
        <v>1.7386980000000001</v>
      </c>
      <c r="GF23">
        <v>2.195754</v>
      </c>
      <c r="GG23">
        <v>0.69329499999999999</v>
      </c>
      <c r="GH23">
        <v>9.1882000000000005E-2</v>
      </c>
      <c r="GI23">
        <v>4.6860030000000004</v>
      </c>
      <c r="GJ23">
        <v>1.50353</v>
      </c>
      <c r="GK23">
        <v>32.449959999999997</v>
      </c>
      <c r="GL23">
        <v>9.3680029999999999</v>
      </c>
      <c r="GM23">
        <v>0.56579000000000002</v>
      </c>
      <c r="GN23">
        <v>0.87187400000000004</v>
      </c>
      <c r="GO23">
        <v>1.567517</v>
      </c>
      <c r="GP23">
        <v>0.35246</v>
      </c>
      <c r="GQ23">
        <v>2.9450310000000002</v>
      </c>
      <c r="GR23">
        <v>53.294629999999998</v>
      </c>
      <c r="GS23">
        <v>1.45299</v>
      </c>
      <c r="GT23">
        <v>22.480519999999999</v>
      </c>
      <c r="GU23">
        <v>1.9762999999999999E-2</v>
      </c>
      <c r="GV23">
        <v>1.7212689999999999</v>
      </c>
      <c r="GW23">
        <v>3.0012E-2</v>
      </c>
      <c r="GX23">
        <v>6.7670630000000003</v>
      </c>
      <c r="GY23">
        <v>1.5912869999999999</v>
      </c>
      <c r="GZ23">
        <v>5.7393109999999998</v>
      </c>
      <c r="HA23">
        <v>0.93285600000000002</v>
      </c>
      <c r="HB23">
        <v>25.65652</v>
      </c>
      <c r="HC23">
        <v>10.50986</v>
      </c>
      <c r="HD23">
        <v>1.7442310000000001</v>
      </c>
      <c r="HE23">
        <v>1.0580689999999999</v>
      </c>
      <c r="HF23">
        <v>1.5853619999999999</v>
      </c>
      <c r="HG23">
        <v>1.4270910000000001</v>
      </c>
      <c r="HH23">
        <v>5.4051109999999998</v>
      </c>
      <c r="HI23">
        <v>63.539670000000001</v>
      </c>
      <c r="HJ23">
        <v>2.164733</v>
      </c>
      <c r="HK23">
        <v>121.59739999999999</v>
      </c>
      <c r="HL23">
        <v>1.1641820000000001</v>
      </c>
      <c r="HM23">
        <v>4.2533000000000003</v>
      </c>
      <c r="HN23">
        <v>5.3713759999999997</v>
      </c>
      <c r="HO23">
        <v>0.84882500000000005</v>
      </c>
      <c r="HP23">
        <v>0.112495</v>
      </c>
      <c r="HQ23">
        <v>5.7372389999999998</v>
      </c>
      <c r="HR23">
        <v>4.9770459999999996</v>
      </c>
      <c r="HS23">
        <v>32.672919999999998</v>
      </c>
      <c r="HT23">
        <v>9.5081120000000006</v>
      </c>
      <c r="HU23">
        <v>0.57425199999999998</v>
      </c>
      <c r="HV23">
        <v>0.88491299999999995</v>
      </c>
      <c r="HW23">
        <v>1.5909610000000001</v>
      </c>
      <c r="HX23">
        <v>0.35773100000000002</v>
      </c>
      <c r="HY23">
        <v>2.9829490000000001</v>
      </c>
      <c r="HZ23">
        <v>57.095379999999999</v>
      </c>
      <c r="IA23">
        <v>1.45299</v>
      </c>
      <c r="IB23">
        <v>87.184709999999995</v>
      </c>
      <c r="IC23">
        <v>2.2505000000000001E-2</v>
      </c>
      <c r="ID23">
        <v>4.1068239999999996</v>
      </c>
      <c r="IE23">
        <v>3.4175999999999998E-2</v>
      </c>
      <c r="IF23">
        <v>8.2835730000000005</v>
      </c>
      <c r="IG23">
        <v>1.947897</v>
      </c>
      <c r="IH23">
        <v>7.0255000000000001</v>
      </c>
      <c r="II23">
        <v>3.2367279999999998</v>
      </c>
      <c r="IJ23">
        <v>25.955680000000001</v>
      </c>
      <c r="IK23">
        <v>10.81476</v>
      </c>
      <c r="IL23">
        <v>1.7719529999999999</v>
      </c>
      <c r="IM23">
        <v>1.1003559999999999</v>
      </c>
      <c r="IN23">
        <v>1.6474629999999999</v>
      </c>
      <c r="IO23">
        <v>1.4528179999999999</v>
      </c>
      <c r="IP23">
        <v>4.4988020000000004</v>
      </c>
      <c r="IQ23">
        <v>5.1886729999999996</v>
      </c>
      <c r="IR23">
        <v>0.71518599999999999</v>
      </c>
      <c r="IS23">
        <v>1.773798</v>
      </c>
      <c r="IT23">
        <v>3.8946420000000002</v>
      </c>
      <c r="IU23">
        <v>4.0918400000000004</v>
      </c>
      <c r="IV23">
        <v>4.9745220000000003</v>
      </c>
      <c r="IW23">
        <v>6.0919340000000002</v>
      </c>
      <c r="IX23">
        <v>0.774783</v>
      </c>
      <c r="IY23">
        <v>6.2075209999999998</v>
      </c>
      <c r="IZ23">
        <v>1.741519</v>
      </c>
      <c r="JA23">
        <v>7.9850979999999998</v>
      </c>
      <c r="JB23">
        <v>0.38837899999999997</v>
      </c>
      <c r="JC23">
        <v>1.2768740000000001</v>
      </c>
      <c r="JD23">
        <v>0.85140199999999999</v>
      </c>
      <c r="JE23">
        <v>18.340699999999998</v>
      </c>
      <c r="JF23">
        <v>0.35772599999999999</v>
      </c>
      <c r="JG23">
        <v>1.8562449999999999</v>
      </c>
      <c r="JH23">
        <v>19.2775</v>
      </c>
      <c r="JI23">
        <v>6.3802789999999998</v>
      </c>
      <c r="JJ23">
        <v>18.44717</v>
      </c>
      <c r="JK23">
        <v>37.777070000000002</v>
      </c>
      <c r="JL23">
        <v>3.996623</v>
      </c>
      <c r="JM23">
        <v>4.6926579999999998</v>
      </c>
      <c r="JN23">
        <v>0.66782900000000001</v>
      </c>
      <c r="JO23">
        <v>1.5205519999999999</v>
      </c>
      <c r="JP23">
        <v>3.2609219999999999</v>
      </c>
      <c r="JQ23">
        <v>3.6393789999999999</v>
      </c>
      <c r="JR23">
        <v>4.2479009999999997</v>
      </c>
      <c r="JS23">
        <v>5.7759819999999999</v>
      </c>
      <c r="JT23">
        <v>0.74639100000000003</v>
      </c>
      <c r="JU23">
        <v>4.0982880000000002</v>
      </c>
      <c r="JV23">
        <v>1.5569550000000001</v>
      </c>
      <c r="JW23">
        <v>7.197597</v>
      </c>
      <c r="JX23">
        <v>0.300261</v>
      </c>
      <c r="JY23">
        <v>1.242146</v>
      </c>
      <c r="JZ23">
        <v>0.838924</v>
      </c>
      <c r="KA23">
        <v>16.264700000000001</v>
      </c>
      <c r="KB23">
        <v>0.254581</v>
      </c>
      <c r="KC23">
        <v>1.4574149999999999</v>
      </c>
      <c r="KD23">
        <v>18.322649999999999</v>
      </c>
      <c r="KE23">
        <v>5.978065</v>
      </c>
      <c r="KF23">
        <v>16.90089</v>
      </c>
      <c r="KG23">
        <v>35.995150000000002</v>
      </c>
      <c r="KH23">
        <v>6102.2150000000001</v>
      </c>
      <c r="KI23">
        <v>9530.5879999999997</v>
      </c>
      <c r="KJ23">
        <v>6379.1229999999996</v>
      </c>
      <c r="KK23">
        <v>3209.4160000000002</v>
      </c>
      <c r="KL23">
        <v>4095.6030000000001</v>
      </c>
      <c r="KM23">
        <v>1373.7829999999999</v>
      </c>
      <c r="KN23">
        <v>1447.615</v>
      </c>
      <c r="KO23">
        <v>0</v>
      </c>
      <c r="KP23">
        <v>30114.65</v>
      </c>
      <c r="KQ23">
        <v>2023.693</v>
      </c>
      <c r="KR23">
        <v>0</v>
      </c>
      <c r="KS23">
        <v>6969.2809999999999</v>
      </c>
      <c r="KT23">
        <v>8828.9680000000008</v>
      </c>
      <c r="KU23">
        <v>6241.4059999999999</v>
      </c>
      <c r="KV23">
        <v>3502.98</v>
      </c>
      <c r="KW23">
        <v>3982.366</v>
      </c>
      <c r="KX23">
        <v>1259.0809999999999</v>
      </c>
      <c r="KY23">
        <v>760.41179999999997</v>
      </c>
      <c r="KZ23">
        <v>0</v>
      </c>
      <c r="LA23">
        <v>28056.400000000001</v>
      </c>
      <c r="LB23">
        <v>3488.0929999999998</v>
      </c>
      <c r="LC23">
        <v>0</v>
      </c>
      <c r="LD23">
        <v>69301696</v>
      </c>
      <c r="LE23" s="21">
        <v>240000000</v>
      </c>
      <c r="LF23" s="21">
        <v>673000000</v>
      </c>
      <c r="LG23" s="21">
        <v>654000000</v>
      </c>
      <c r="LH23" s="21">
        <v>616000000</v>
      </c>
      <c r="LI23" s="21">
        <v>318000000</v>
      </c>
      <c r="LJ23" s="21">
        <v>145000000</v>
      </c>
      <c r="LK23" s="21">
        <v>2.4099999999999998E-6</v>
      </c>
      <c r="LL23" s="21">
        <v>4.5900000000000001E-6</v>
      </c>
      <c r="LM23" s="21">
        <v>8.4300000000000006E-6</v>
      </c>
      <c r="LN23" s="21">
        <v>1.7399999999999999E-5</v>
      </c>
      <c r="LO23" s="21">
        <v>2.55E-5</v>
      </c>
      <c r="LP23" s="21">
        <v>3.5899999999999998E-5</v>
      </c>
      <c r="LQ23" s="21">
        <v>5.2500000000000002E-5</v>
      </c>
      <c r="LR23">
        <v>88414610</v>
      </c>
      <c r="LS23" s="21">
        <v>263000000</v>
      </c>
      <c r="LT23" s="21">
        <v>682000000</v>
      </c>
      <c r="LU23" s="21">
        <v>641000000</v>
      </c>
      <c r="LV23" s="21">
        <v>596000000</v>
      </c>
      <c r="LW23" s="21">
        <v>305000000</v>
      </c>
      <c r="LX23" s="21">
        <v>138000000</v>
      </c>
      <c r="LY23" s="21">
        <v>2.8600000000000001E-6</v>
      </c>
      <c r="LZ23" s="21">
        <v>5.4199999999999998E-6</v>
      </c>
      <c r="MA23" s="21">
        <v>9.9499999999999996E-6</v>
      </c>
      <c r="MB23" s="21">
        <v>2.0599999999999999E-5</v>
      </c>
      <c r="MC23" s="21">
        <v>3.04E-5</v>
      </c>
      <c r="MD23" s="21">
        <v>4.3000000000000002E-5</v>
      </c>
      <c r="ME23" s="21">
        <v>6.2299999999999996E-5</v>
      </c>
      <c r="MF23">
        <v>0.32108300000000001</v>
      </c>
      <c r="MG23">
        <v>0.38627600000000001</v>
      </c>
      <c r="MH23">
        <v>0.21479899999999999</v>
      </c>
      <c r="MI23">
        <v>6.3666E-2</v>
      </c>
      <c r="MJ23">
        <v>1.2829999999999999E-2</v>
      </c>
      <c r="MK23">
        <v>1.6699999999999999E-4</v>
      </c>
      <c r="ML23">
        <v>1.178E-3</v>
      </c>
      <c r="MM23">
        <v>0.44947199999999998</v>
      </c>
      <c r="MN23">
        <v>0.51872499999999999</v>
      </c>
      <c r="MO23">
        <v>0.29195300000000002</v>
      </c>
      <c r="MP23">
        <v>9.1678999999999997E-2</v>
      </c>
      <c r="MQ23">
        <v>1.6152E-2</v>
      </c>
      <c r="MR23">
        <v>-5.8514999999999998E-2</v>
      </c>
      <c r="MS23">
        <v>-0.30946600000000002</v>
      </c>
      <c r="MT23">
        <v>0.37714700000000001</v>
      </c>
      <c r="MU23">
        <v>0.33175300000000002</v>
      </c>
      <c r="MV23">
        <v>0.20236899999999999</v>
      </c>
      <c r="MW23">
        <v>8.3793000000000006E-2</v>
      </c>
      <c r="MX23">
        <v>4.8419999999999999E-3</v>
      </c>
      <c r="MY23" s="21">
        <v>1.4600000000000001E-5</v>
      </c>
      <c r="MZ23" s="21">
        <v>8.1500000000000002E-5</v>
      </c>
      <c r="NA23">
        <v>0.94096199999999997</v>
      </c>
      <c r="NB23">
        <v>0.78005199999999997</v>
      </c>
      <c r="NC23">
        <v>0.48478399999999999</v>
      </c>
      <c r="ND23">
        <v>0.21245600000000001</v>
      </c>
      <c r="NE23">
        <v>7.7770000000000001E-3</v>
      </c>
      <c r="NF23">
        <v>-0.22331599999999999</v>
      </c>
      <c r="NG23">
        <v>-1.202715</v>
      </c>
      <c r="NH23">
        <v>6.1380000000000002E-3</v>
      </c>
      <c r="NI23">
        <v>6.169E-3</v>
      </c>
      <c r="NJ23">
        <v>8.5609999999999992E-3</v>
      </c>
      <c r="NK23">
        <v>2.4202999999999999E-2</v>
      </c>
      <c r="NL23">
        <v>2.7251999999999998E-2</v>
      </c>
      <c r="NM23">
        <v>7.5595999999999997E-2</v>
      </c>
      <c r="NN23">
        <v>6.1380000000000002E-3</v>
      </c>
      <c r="NO23">
        <v>6.169E-3</v>
      </c>
      <c r="NP23">
        <v>8.5609999999999992E-3</v>
      </c>
      <c r="NQ23">
        <v>2.4202999999999999E-2</v>
      </c>
      <c r="NR23">
        <v>2.7251999999999998E-2</v>
      </c>
      <c r="NS23">
        <v>7.5595999999999997E-2</v>
      </c>
      <c r="NT23">
        <v>1.2671999999999999E-2</v>
      </c>
      <c r="NU23">
        <v>1.282E-2</v>
      </c>
      <c r="NV23">
        <v>1.5996E-2</v>
      </c>
      <c r="NW23">
        <v>3.1896000000000001E-2</v>
      </c>
      <c r="NX23">
        <v>3.5451999999999997E-2</v>
      </c>
      <c r="NY23">
        <v>8.3271999999999999E-2</v>
      </c>
      <c r="NZ23">
        <v>1.2671999999999999E-2</v>
      </c>
      <c r="OA23">
        <v>1.282E-2</v>
      </c>
      <c r="OB23">
        <v>1.5996E-2</v>
      </c>
      <c r="OC23">
        <v>3.1896000000000001E-2</v>
      </c>
      <c r="OD23">
        <v>3.5451999999999997E-2</v>
      </c>
      <c r="OE23">
        <v>8.3271999999999999E-2</v>
      </c>
      <c r="OF23">
        <v>49.030650000000001</v>
      </c>
      <c r="OG23">
        <v>32827.279999999999</v>
      </c>
      <c r="OH23">
        <v>18015.36</v>
      </c>
      <c r="OI23">
        <v>8464.8790000000008</v>
      </c>
      <c r="OJ23">
        <v>39.943779999999997</v>
      </c>
      <c r="OK23">
        <v>29547.5</v>
      </c>
      <c r="OL23">
        <v>17659.41</v>
      </c>
      <c r="OM23">
        <v>8173.8339999999998</v>
      </c>
      <c r="ON23">
        <v>1452165</v>
      </c>
      <c r="OO23">
        <v>1468740</v>
      </c>
      <c r="OP23">
        <v>10692.42</v>
      </c>
      <c r="OQ23">
        <v>5914.1779999999999</v>
      </c>
      <c r="OR23">
        <v>5135.5829999999996</v>
      </c>
      <c r="OS23">
        <v>491.28100000000001</v>
      </c>
      <c r="OT23">
        <v>1524.395</v>
      </c>
      <c r="OU23">
        <v>1227.7049999999999</v>
      </c>
      <c r="OV23">
        <v>312.58589999999998</v>
      </c>
      <c r="OW23">
        <v>1228.81</v>
      </c>
      <c r="OX23">
        <v>1303.0060000000001</v>
      </c>
      <c r="OY23">
        <v>1040.2719999999999</v>
      </c>
      <c r="OZ23">
        <v>600.36630000000002</v>
      </c>
      <c r="PA23">
        <v>19601.29</v>
      </c>
      <c r="PB23">
        <v>6888.0730000000003</v>
      </c>
      <c r="PC23">
        <v>1108.3389999999999</v>
      </c>
      <c r="PD23">
        <v>1990.6679999999999</v>
      </c>
      <c r="PE23">
        <v>6037.3909999999996</v>
      </c>
      <c r="PF23">
        <v>1325.6320000000001</v>
      </c>
      <c r="PG23">
        <v>2437.2809999999999</v>
      </c>
      <c r="PH23">
        <v>186862.4</v>
      </c>
      <c r="PI23">
        <v>80112.47</v>
      </c>
      <c r="PJ23">
        <v>1.7590790000000001</v>
      </c>
      <c r="PK23">
        <v>585.30999999999995</v>
      </c>
      <c r="PL23">
        <v>116.6379</v>
      </c>
      <c r="PM23">
        <v>1607.8989999999999</v>
      </c>
      <c r="PN23">
        <v>444.24610000000001</v>
      </c>
      <c r="PO23">
        <v>158.4734</v>
      </c>
      <c r="PP23">
        <v>248.75479999999999</v>
      </c>
      <c r="PQ23">
        <v>555.56320000000005</v>
      </c>
      <c r="PR23">
        <v>94.544799999999995</v>
      </c>
      <c r="PS23">
        <v>584.06169999999997</v>
      </c>
      <c r="PT23">
        <v>1251.9849999999999</v>
      </c>
      <c r="PU23">
        <v>472.6678</v>
      </c>
      <c r="PV23">
        <v>854.14009999999996</v>
      </c>
      <c r="PW23">
        <v>66.762439999999998</v>
      </c>
      <c r="PX23">
        <v>142.54429999999999</v>
      </c>
      <c r="PY23">
        <v>777.38630000000001</v>
      </c>
      <c r="PZ23">
        <v>142.0942</v>
      </c>
      <c r="QA23">
        <v>343938.9</v>
      </c>
      <c r="QB23">
        <v>7710.3159999999998</v>
      </c>
      <c r="QC23">
        <v>78246.8</v>
      </c>
      <c r="QD23">
        <v>10811.97</v>
      </c>
      <c r="QE23">
        <v>14782.09</v>
      </c>
      <c r="QF23">
        <v>9747.2199999999993</v>
      </c>
      <c r="QG23">
        <v>3310.3760000000002</v>
      </c>
      <c r="QH23">
        <v>929.52650000000006</v>
      </c>
      <c r="QI23">
        <v>17.206340000000001</v>
      </c>
      <c r="QJ23">
        <v>160.12280000000001</v>
      </c>
      <c r="QK23">
        <v>11045.93</v>
      </c>
      <c r="QL23">
        <v>6189.4459999999999</v>
      </c>
      <c r="QM23">
        <v>5046.01</v>
      </c>
      <c r="QN23">
        <v>519.47389999999996</v>
      </c>
      <c r="QO23">
        <v>1641.098</v>
      </c>
      <c r="QP23">
        <v>1262.346</v>
      </c>
      <c r="QQ23">
        <v>372.1046</v>
      </c>
      <c r="QR23">
        <v>1234.097</v>
      </c>
      <c r="QS23">
        <v>1301.021</v>
      </c>
      <c r="QT23">
        <v>1226.575</v>
      </c>
      <c r="QU23">
        <v>617.88319999999999</v>
      </c>
      <c r="QV23">
        <v>19939.87</v>
      </c>
      <c r="QW23">
        <v>7092.4920000000002</v>
      </c>
      <c r="QX23">
        <v>1166.7940000000001</v>
      </c>
      <c r="QY23">
        <v>2084.3159999999998</v>
      </c>
      <c r="QZ23">
        <v>6360.1809999999996</v>
      </c>
      <c r="RA23">
        <v>1320.1410000000001</v>
      </c>
      <c r="RB23">
        <v>2612.6909999999998</v>
      </c>
      <c r="RC23">
        <v>189486.1</v>
      </c>
      <c r="RD23">
        <v>80572.570000000007</v>
      </c>
      <c r="RE23">
        <v>0.75559500000000002</v>
      </c>
      <c r="RF23">
        <v>538.21259999999995</v>
      </c>
      <c r="RG23">
        <v>82.586960000000005</v>
      </c>
      <c r="RH23">
        <v>1211.4069999999999</v>
      </c>
      <c r="RI23">
        <v>8.587923</v>
      </c>
      <c r="RJ23">
        <v>160.66120000000001</v>
      </c>
      <c r="RK23">
        <v>2.1388660000000002</v>
      </c>
      <c r="RL23">
        <v>8244.6830000000009</v>
      </c>
      <c r="RM23">
        <v>2019.0809999999999</v>
      </c>
      <c r="RN23">
        <v>820.97670000000005</v>
      </c>
      <c r="RO23">
        <v>638.80610000000001</v>
      </c>
      <c r="RP23">
        <v>354.8383</v>
      </c>
      <c r="RQ23">
        <v>891.56759999999997</v>
      </c>
      <c r="RR23">
        <v>196.4598</v>
      </c>
      <c r="RS23">
        <v>167.91290000000001</v>
      </c>
      <c r="RT23">
        <v>774.42560000000003</v>
      </c>
      <c r="RU23">
        <v>550.67830000000004</v>
      </c>
      <c r="RV23">
        <v>357755</v>
      </c>
      <c r="RW23">
        <v>10422.98</v>
      </c>
      <c r="RX23">
        <v>77010.81</v>
      </c>
      <c r="RY23">
        <v>11505.72</v>
      </c>
      <c r="RZ23">
        <v>11501.89</v>
      </c>
      <c r="SA23">
        <v>8319.7009999999991</v>
      </c>
      <c r="SB23">
        <v>3947.2449999999999</v>
      </c>
      <c r="SC23">
        <v>317.7833</v>
      </c>
      <c r="SD23">
        <v>1.364886</v>
      </c>
      <c r="SE23">
        <v>10.03309</v>
      </c>
      <c r="SF23">
        <v>33738.83</v>
      </c>
      <c r="SG23">
        <v>49.030650000000001</v>
      </c>
      <c r="SH23">
        <v>7819.8720000000003</v>
      </c>
      <c r="SI23">
        <v>17405.05</v>
      </c>
      <c r="SJ23">
        <v>8464.8790000000008</v>
      </c>
      <c r="SK23">
        <v>31960.6</v>
      </c>
      <c r="SL23">
        <v>39.943779999999997</v>
      </c>
      <c r="SM23">
        <v>7138.8469999999998</v>
      </c>
      <c r="SN23">
        <v>16607.98</v>
      </c>
      <c r="SO23">
        <v>8173.8339999999998</v>
      </c>
      <c r="SP23">
        <v>117676.1</v>
      </c>
      <c r="SQ23">
        <v>68594.100000000006</v>
      </c>
      <c r="SR23">
        <v>121445.4</v>
      </c>
      <c r="SS23">
        <v>68421.66</v>
      </c>
      <c r="ST23">
        <v>37.777070000000002</v>
      </c>
      <c r="SU23">
        <v>0.29531200000000002</v>
      </c>
      <c r="SV23">
        <v>5.6282420000000002</v>
      </c>
      <c r="SW23">
        <v>12.4268</v>
      </c>
      <c r="SX23">
        <v>19.42671</v>
      </c>
      <c r="SY23">
        <v>35.995150000000002</v>
      </c>
      <c r="SZ23">
        <v>0.24058199999999999</v>
      </c>
      <c r="TA23">
        <v>5.1380840000000001</v>
      </c>
      <c r="TB23">
        <v>11.857710000000001</v>
      </c>
      <c r="TC23">
        <v>18.758769999999998</v>
      </c>
      <c r="TD23">
        <v>25886.1</v>
      </c>
      <c r="TE23">
        <v>827.80809999999997</v>
      </c>
      <c r="TF23">
        <v>504.14389999999997</v>
      </c>
      <c r="TG23">
        <v>223.30940000000001</v>
      </c>
      <c r="TH23">
        <v>52.720019999999998</v>
      </c>
      <c r="TI23">
        <v>106.3013</v>
      </c>
      <c r="TJ23">
        <v>89.221450000000004</v>
      </c>
      <c r="TK23">
        <v>27.316079999999999</v>
      </c>
      <c r="TL23">
        <v>32.741459999999996</v>
      </c>
      <c r="TM23">
        <v>172.9109</v>
      </c>
      <c r="TN23">
        <v>43.309959999999997</v>
      </c>
      <c r="TO23">
        <v>27.932200000000002</v>
      </c>
      <c r="TP23">
        <v>2106.7530000000002</v>
      </c>
      <c r="TQ23">
        <v>1999.8409999999999</v>
      </c>
      <c r="TR23">
        <v>100.4772</v>
      </c>
      <c r="TS23">
        <v>176.80529999999999</v>
      </c>
      <c r="TT23">
        <v>429.77670000000001</v>
      </c>
      <c r="TU23">
        <v>43.923589999999997</v>
      </c>
      <c r="TV23">
        <v>76.087969999999999</v>
      </c>
      <c r="TW23">
        <v>12317.14</v>
      </c>
      <c r="TX23">
        <v>6402.6970000000001</v>
      </c>
      <c r="TY23">
        <v>0.50919099999999995</v>
      </c>
      <c r="TZ23">
        <v>10.481109999999999</v>
      </c>
      <c r="UA23">
        <v>5.4748150000000004</v>
      </c>
      <c r="UB23">
        <v>58.799799999999998</v>
      </c>
      <c r="UC23">
        <v>0.71143400000000001</v>
      </c>
      <c r="UD23">
        <v>2.369278</v>
      </c>
      <c r="UE23">
        <v>4.320157</v>
      </c>
      <c r="UF23">
        <v>1.630225</v>
      </c>
      <c r="UG23">
        <v>0.78195999999999999</v>
      </c>
      <c r="UH23">
        <v>10.3583</v>
      </c>
      <c r="UI23">
        <v>5.1351250000000004</v>
      </c>
      <c r="UJ23">
        <v>15.39926</v>
      </c>
      <c r="UK23">
        <v>5.8624200000000002</v>
      </c>
      <c r="UL23">
        <v>0.44361800000000001</v>
      </c>
      <c r="UM23">
        <v>0.488097</v>
      </c>
      <c r="UN23">
        <v>1.7489330000000001</v>
      </c>
      <c r="UO23">
        <v>0.363734</v>
      </c>
      <c r="UP23">
        <v>26079.93</v>
      </c>
      <c r="UQ23">
        <v>829.85929999999996</v>
      </c>
      <c r="UR23">
        <v>509.91320000000002</v>
      </c>
      <c r="US23">
        <v>219.7184</v>
      </c>
      <c r="UT23">
        <v>54.271180000000001</v>
      </c>
      <c r="UU23">
        <v>111.3458</v>
      </c>
      <c r="UV23">
        <v>92.283379999999994</v>
      </c>
      <c r="UW23">
        <v>27.62555</v>
      </c>
      <c r="UX23">
        <v>32.973129999999998</v>
      </c>
      <c r="UY23">
        <v>178.04339999999999</v>
      </c>
      <c r="UZ23">
        <v>44.602409999999999</v>
      </c>
      <c r="VA23">
        <v>27.720669999999998</v>
      </c>
      <c r="VB23">
        <v>2116.085</v>
      </c>
      <c r="VC23">
        <v>2043.4939999999999</v>
      </c>
      <c r="VD23">
        <v>104.0159</v>
      </c>
      <c r="VE23">
        <v>181.7371</v>
      </c>
      <c r="VF23">
        <v>430.24799999999999</v>
      </c>
      <c r="VG23">
        <v>41.19576</v>
      </c>
      <c r="VH23">
        <v>78.211690000000004</v>
      </c>
      <c r="VI23">
        <v>12413.59</v>
      </c>
      <c r="VJ23">
        <v>6410.6170000000002</v>
      </c>
      <c r="VK23">
        <v>0.26101600000000003</v>
      </c>
      <c r="VL23">
        <v>9.8601670000000006</v>
      </c>
      <c r="VM23">
        <v>4.0959469999999998</v>
      </c>
      <c r="VN23">
        <v>45.737760000000002</v>
      </c>
      <c r="VO23">
        <v>3.0528E-2</v>
      </c>
      <c r="VP23">
        <v>2.3916149999999998</v>
      </c>
      <c r="VQ23">
        <v>9.0554999999999997E-2</v>
      </c>
      <c r="VR23">
        <v>16.829540000000001</v>
      </c>
      <c r="VS23">
        <v>13.18989</v>
      </c>
      <c r="VT23">
        <v>13.58015</v>
      </c>
      <c r="VU23">
        <v>2.9254380000000002</v>
      </c>
      <c r="VV23">
        <v>12.26113</v>
      </c>
      <c r="VW23">
        <v>6.3399739999999998</v>
      </c>
      <c r="VX23">
        <v>1.165068</v>
      </c>
      <c r="VY23">
        <v>0.57309200000000005</v>
      </c>
      <c r="VZ23">
        <v>1.786135</v>
      </c>
      <c r="WA23">
        <v>1.2606170000000001</v>
      </c>
      <c r="WB23">
        <v>9.4042000000000001E-2</v>
      </c>
      <c r="WC23">
        <v>8.5089999999999999E-2</v>
      </c>
      <c r="WD23">
        <v>-1.3148E-2</v>
      </c>
      <c r="WE23">
        <v>-1.0958000000000001E-2</v>
      </c>
      <c r="WF23">
        <v>0.62686799999999998</v>
      </c>
      <c r="WG23">
        <v>0.55717499999999998</v>
      </c>
      <c r="WH23">
        <v>-2.0441000000000001E-2</v>
      </c>
      <c r="WI23">
        <v>-1.3668E-2</v>
      </c>
      <c r="WJ23">
        <v>2332038</v>
      </c>
      <c r="WK23">
        <v>2355174</v>
      </c>
    </row>
    <row r="24" spans="1:609" x14ac:dyDescent="0.25">
      <c r="A24">
        <v>2025</v>
      </c>
      <c r="B24">
        <v>1.0658570000000001</v>
      </c>
      <c r="C24">
        <v>132.47890000000001</v>
      </c>
      <c r="D24">
        <v>1.3939859999999999</v>
      </c>
      <c r="E24">
        <v>4.6318250000000001</v>
      </c>
      <c r="F24">
        <v>-1.5396749999999999</v>
      </c>
      <c r="G24">
        <v>0.22467300000000001</v>
      </c>
      <c r="H24">
        <v>-0.936446</v>
      </c>
      <c r="I24">
        <v>0.78704099999999999</v>
      </c>
      <c r="J24">
        <v>4.5811330000000003</v>
      </c>
      <c r="K24">
        <v>-3.7310000000000003E-2</v>
      </c>
      <c r="L24">
        <v>4.6201660000000002</v>
      </c>
      <c r="M24">
        <v>0.62048899999999996</v>
      </c>
      <c r="N24">
        <v>0</v>
      </c>
      <c r="O24">
        <v>-7.78247</v>
      </c>
      <c r="P24">
        <v>-0.73097199999999996</v>
      </c>
      <c r="Q24">
        <v>-24.738939999999999</v>
      </c>
      <c r="R24">
        <v>72.117440000000002</v>
      </c>
      <c r="S24">
        <v>70.710679999999996</v>
      </c>
      <c r="T24">
        <v>154.91929999999999</v>
      </c>
      <c r="U24">
        <v>77.459670000000003</v>
      </c>
      <c r="V24">
        <v>128.1979</v>
      </c>
      <c r="W24">
        <v>1.5197000000000001</v>
      </c>
      <c r="X24">
        <v>36389.160000000003</v>
      </c>
      <c r="Y24">
        <v>0.12723100000000001</v>
      </c>
      <c r="Z24">
        <v>0.228045</v>
      </c>
      <c r="AA24">
        <v>-0.57089699999999999</v>
      </c>
      <c r="AB24">
        <v>-0.71353999999999995</v>
      </c>
      <c r="AC24">
        <v>4.3327999999999998E-2</v>
      </c>
      <c r="AD24">
        <v>35236.769999999997</v>
      </c>
      <c r="AE24">
        <v>75458.69</v>
      </c>
      <c r="AF24">
        <v>98202.82</v>
      </c>
      <c r="AG24">
        <v>-5625.3609999999999</v>
      </c>
      <c r="AH24">
        <v>86924.18</v>
      </c>
      <c r="AI24">
        <v>-1.1429999999999999E-3</v>
      </c>
      <c r="AJ24">
        <v>110.0681</v>
      </c>
      <c r="AK24">
        <v>360.28890000000001</v>
      </c>
      <c r="AL24">
        <v>122.9584</v>
      </c>
      <c r="AM24">
        <v>71.393090000000001</v>
      </c>
      <c r="AN24">
        <v>233.69300000000001</v>
      </c>
      <c r="AO24">
        <v>79.754080000000002</v>
      </c>
      <c r="AP24">
        <v>344.93889999999999</v>
      </c>
      <c r="AQ24">
        <v>223.73660000000001</v>
      </c>
      <c r="AR24">
        <v>458.32459999999998</v>
      </c>
      <c r="AS24">
        <v>441.7697</v>
      </c>
      <c r="AT24">
        <v>814.21950000000004</v>
      </c>
      <c r="AU24">
        <v>306.7353</v>
      </c>
      <c r="AV24">
        <v>147.73650000000001</v>
      </c>
      <c r="AW24">
        <v>1.1132420000000001</v>
      </c>
      <c r="AX24">
        <v>1.4925079999999999</v>
      </c>
      <c r="AY24">
        <v>1.758983</v>
      </c>
      <c r="AZ24">
        <v>-2.4440559999999998</v>
      </c>
      <c r="BA24">
        <v>3.4990890000000001</v>
      </c>
      <c r="BB24">
        <v>5.0807729999999998</v>
      </c>
      <c r="BC24">
        <v>3.2596620000000001</v>
      </c>
      <c r="BD24">
        <v>9.0117060000000002</v>
      </c>
      <c r="BE24">
        <v>1.0914999999999999E-2</v>
      </c>
      <c r="BF24">
        <v>2.3887049999999999</v>
      </c>
      <c r="BG24">
        <v>5.4496789999999997</v>
      </c>
      <c r="BH24">
        <v>0.109693</v>
      </c>
      <c r="BI24">
        <v>0.59209500000000004</v>
      </c>
      <c r="BJ24">
        <v>2.6054360000000001</v>
      </c>
      <c r="BK24">
        <v>5.2443929999999996</v>
      </c>
      <c r="BL24">
        <v>4.5385249999999999</v>
      </c>
      <c r="BM24">
        <v>1.069078</v>
      </c>
      <c r="BN24">
        <v>-5.9488250000000003</v>
      </c>
      <c r="BO24">
        <v>3.0110109999999999</v>
      </c>
      <c r="BP24">
        <v>0.87164699999999995</v>
      </c>
      <c r="BQ24">
        <v>0.26393499999999998</v>
      </c>
      <c r="BR24">
        <v>-59.022869999999998</v>
      </c>
      <c r="BS24">
        <v>-8.7114150000000006</v>
      </c>
      <c r="BT24">
        <v>-64.904619999999994</v>
      </c>
      <c r="BU24">
        <v>-27.15803</v>
      </c>
      <c r="BV24">
        <v>-97.694109999999995</v>
      </c>
      <c r="BW24">
        <v>-1.0567260000000001</v>
      </c>
      <c r="BX24">
        <v>-99.163250000000005</v>
      </c>
      <c r="BY24">
        <v>945.96109999999999</v>
      </c>
      <c r="BZ24">
        <v>1989.568</v>
      </c>
      <c r="CA24">
        <v>16.378350000000001</v>
      </c>
      <c r="CB24">
        <v>-28.059170000000002</v>
      </c>
      <c r="CC24">
        <v>-38.198279999999997</v>
      </c>
      <c r="CD24">
        <v>9.3276719999999997</v>
      </c>
      <c r="CE24">
        <v>243.54679999999999</v>
      </c>
      <c r="CF24">
        <v>18.752040000000001</v>
      </c>
      <c r="CG24">
        <v>-4.5398680000000002</v>
      </c>
      <c r="CH24">
        <v>340.8</v>
      </c>
      <c r="CI24">
        <v>3.9348700000000001</v>
      </c>
      <c r="CJ24">
        <v>5.1803210000000002</v>
      </c>
      <c r="CK24">
        <v>-2.2166320000000002</v>
      </c>
      <c r="CL24">
        <v>6.6765939999999997</v>
      </c>
      <c r="CM24">
        <v>9.223967</v>
      </c>
      <c r="CN24">
        <v>3.3010470000000001</v>
      </c>
      <c r="CO24">
        <v>21.650680000000001</v>
      </c>
      <c r="CP24">
        <v>0.54180600000000001</v>
      </c>
      <c r="CQ24">
        <v>-0.276092</v>
      </c>
      <c r="CR24">
        <v>19.867560000000001</v>
      </c>
      <c r="CS24">
        <v>3.2410899999999998</v>
      </c>
      <c r="CT24">
        <v>1.9065810000000001</v>
      </c>
      <c r="CU24">
        <v>3.343032</v>
      </c>
      <c r="CV24">
        <v>6.3704349999999996</v>
      </c>
      <c r="CW24">
        <v>6.0997709999999996</v>
      </c>
      <c r="CX24">
        <v>6.8811080000000002</v>
      </c>
      <c r="CY24">
        <v>0.75792199999999998</v>
      </c>
      <c r="CZ24">
        <v>9.8103580000000008</v>
      </c>
      <c r="DA24">
        <v>1.49559</v>
      </c>
      <c r="DB24">
        <v>0.63647799999999999</v>
      </c>
      <c r="DC24">
        <v>-58.670059999999999</v>
      </c>
      <c r="DD24">
        <v>-9.1404630000000004</v>
      </c>
      <c r="DE24">
        <v>-34.414749999999998</v>
      </c>
      <c r="DF24">
        <v>-28.060279999999999</v>
      </c>
      <c r="DG24">
        <v>-98.260800000000003</v>
      </c>
      <c r="DH24">
        <v>0.41837299999999999</v>
      </c>
      <c r="DI24">
        <v>-99.587869999999995</v>
      </c>
      <c r="DJ24">
        <v>1529.489</v>
      </c>
      <c r="DK24">
        <v>2712.1550000000002</v>
      </c>
      <c r="DL24">
        <v>33.586979999999997</v>
      </c>
      <c r="DM24">
        <v>-42.91798</v>
      </c>
      <c r="DN24">
        <v>-28.90935</v>
      </c>
      <c r="DO24">
        <v>7.1561729999999999</v>
      </c>
      <c r="DP24">
        <v>260.44</v>
      </c>
      <c r="DQ24">
        <v>21.39791</v>
      </c>
      <c r="DR24">
        <v>-3.2777250000000002</v>
      </c>
      <c r="DS24">
        <v>383.93540000000002</v>
      </c>
      <c r="DT24">
        <v>1.9598999999999998E-2</v>
      </c>
      <c r="DU24">
        <v>1.9019379999999999</v>
      </c>
      <c r="DV24">
        <v>-8.6946829999999995</v>
      </c>
      <c r="DW24">
        <v>3.088158</v>
      </c>
      <c r="DX24">
        <v>2.4931450000000002</v>
      </c>
      <c r="DY24">
        <v>2.7022170000000001</v>
      </c>
      <c r="DZ24">
        <v>0.93780399999999997</v>
      </c>
      <c r="EA24">
        <v>2.0808019999999998</v>
      </c>
      <c r="EB24">
        <v>4.0738789999999998</v>
      </c>
      <c r="EC24">
        <v>0</v>
      </c>
      <c r="ED24">
        <v>2.5994540000000002</v>
      </c>
      <c r="EE24">
        <v>2.3988399999999999</v>
      </c>
      <c r="EF24">
        <v>3.2761680000000002</v>
      </c>
      <c r="EG24">
        <v>3.8674379999999999</v>
      </c>
      <c r="EH24">
        <v>6.8478320000000004</v>
      </c>
      <c r="EI24">
        <v>-1.0163230000000001</v>
      </c>
      <c r="EJ24">
        <v>0.12987899999999999</v>
      </c>
      <c r="EK24">
        <v>-3.0025780000000002</v>
      </c>
      <c r="EL24">
        <v>2.117518</v>
      </c>
      <c r="EM24">
        <v>2.1153559999999998</v>
      </c>
      <c r="EN24">
        <v>-19.72486</v>
      </c>
      <c r="EO24">
        <v>-10.81424</v>
      </c>
      <c r="EP24">
        <v>-2.5009540000000001</v>
      </c>
      <c r="EQ24">
        <v>-3.662344</v>
      </c>
      <c r="ER24">
        <v>7.5307709999999997</v>
      </c>
      <c r="ES24">
        <v>74.848269999999999</v>
      </c>
      <c r="ET24">
        <v>2.1486070000000002</v>
      </c>
      <c r="EU24">
        <v>34.007950000000001</v>
      </c>
      <c r="EV24">
        <v>0.54417000000000004</v>
      </c>
      <c r="EW24">
        <v>1.9881059999999999</v>
      </c>
      <c r="EX24">
        <v>2.5107249999999999</v>
      </c>
      <c r="EY24">
        <v>0.792744</v>
      </c>
      <c r="EZ24">
        <v>0.105063</v>
      </c>
      <c r="FA24">
        <v>5.3581880000000002</v>
      </c>
      <c r="FB24">
        <v>1.7192050000000001</v>
      </c>
      <c r="FC24">
        <v>34.37377</v>
      </c>
      <c r="FD24">
        <v>9.3704689999999999</v>
      </c>
      <c r="FE24">
        <v>0.56593899999999997</v>
      </c>
      <c r="FF24">
        <v>0.87210299999999996</v>
      </c>
      <c r="FG24">
        <v>1.56793</v>
      </c>
      <c r="FH24">
        <v>0.35255199999999998</v>
      </c>
      <c r="FI24">
        <v>5.0202499999999999</v>
      </c>
      <c r="FJ24">
        <v>67.838120000000004</v>
      </c>
      <c r="FK24">
        <v>1.3987860000000001</v>
      </c>
      <c r="FL24">
        <v>24.820229999999999</v>
      </c>
      <c r="FM24">
        <v>2.5198000000000002E-2</v>
      </c>
      <c r="FN24">
        <v>1.9647079999999999</v>
      </c>
      <c r="FO24">
        <v>2.1517000000000001E-2</v>
      </c>
      <c r="FP24">
        <v>8.2840620000000005</v>
      </c>
      <c r="FQ24">
        <v>2.1898870000000001</v>
      </c>
      <c r="FR24">
        <v>6.2332130000000001</v>
      </c>
      <c r="FS24">
        <v>1.224362</v>
      </c>
      <c r="FT24">
        <v>26.42069</v>
      </c>
      <c r="FU24">
        <v>10.85613</v>
      </c>
      <c r="FV24">
        <v>2.0655950000000001</v>
      </c>
      <c r="FW24">
        <v>1.0993710000000001</v>
      </c>
      <c r="FX24">
        <v>1.5796840000000001</v>
      </c>
      <c r="FY24">
        <v>1.690995</v>
      </c>
      <c r="FZ24">
        <v>5.3930069999999999</v>
      </c>
      <c r="GA24">
        <v>58.674869999999999</v>
      </c>
      <c r="GB24">
        <v>2.1486070000000002</v>
      </c>
      <c r="GC24">
        <v>30.066669999999998</v>
      </c>
      <c r="GD24">
        <v>0.48110399999999998</v>
      </c>
      <c r="GE24">
        <v>1.757698</v>
      </c>
      <c r="GF24">
        <v>2.2197490000000002</v>
      </c>
      <c r="GG24">
        <v>0.70087100000000002</v>
      </c>
      <c r="GH24">
        <v>9.2886999999999997E-2</v>
      </c>
      <c r="GI24">
        <v>4.7372120000000004</v>
      </c>
      <c r="GJ24">
        <v>1.5199609999999999</v>
      </c>
      <c r="GK24">
        <v>32.458500000000001</v>
      </c>
      <c r="GL24">
        <v>9.3704689999999999</v>
      </c>
      <c r="GM24">
        <v>0.56593899999999997</v>
      </c>
      <c r="GN24">
        <v>0.87210299999999996</v>
      </c>
      <c r="GO24">
        <v>1.56793</v>
      </c>
      <c r="GP24">
        <v>0.35255199999999998</v>
      </c>
      <c r="GQ24">
        <v>2.9200119999999998</v>
      </c>
      <c r="GR24">
        <v>51.99212</v>
      </c>
      <c r="GS24">
        <v>1.3987860000000001</v>
      </c>
      <c r="GT24">
        <v>21.79832</v>
      </c>
      <c r="GU24">
        <v>2.213E-2</v>
      </c>
      <c r="GV24">
        <v>1.725501</v>
      </c>
      <c r="GW24">
        <v>1.8897000000000001E-2</v>
      </c>
      <c r="GX24">
        <v>7.2754620000000001</v>
      </c>
      <c r="GY24">
        <v>1.9232640000000001</v>
      </c>
      <c r="GZ24">
        <v>5.4743079999999997</v>
      </c>
      <c r="HA24">
        <v>1.075294</v>
      </c>
      <c r="HB24">
        <v>24.54419</v>
      </c>
      <c r="HC24">
        <v>10.85613</v>
      </c>
      <c r="HD24">
        <v>2.0655950000000001</v>
      </c>
      <c r="HE24">
        <v>1.0993710000000001</v>
      </c>
      <c r="HF24">
        <v>1.5796840000000001</v>
      </c>
      <c r="HG24">
        <v>1.690995</v>
      </c>
      <c r="HH24">
        <v>5.4902759999999997</v>
      </c>
      <c r="HI24">
        <v>63.066319999999997</v>
      </c>
      <c r="HJ24">
        <v>2.1486070000000002</v>
      </c>
      <c r="HK24">
        <v>122.77070000000001</v>
      </c>
      <c r="HL24">
        <v>1.175416</v>
      </c>
      <c r="HM24">
        <v>4.2943410000000002</v>
      </c>
      <c r="HN24">
        <v>5.4232060000000004</v>
      </c>
      <c r="HO24">
        <v>0.857016</v>
      </c>
      <c r="HP24">
        <v>0.11358</v>
      </c>
      <c r="HQ24">
        <v>5.7925990000000001</v>
      </c>
      <c r="HR24">
        <v>5.0250709999999996</v>
      </c>
      <c r="HS24">
        <v>32.681519999999999</v>
      </c>
      <c r="HT24">
        <v>9.5106149999999996</v>
      </c>
      <c r="HU24">
        <v>0.574403</v>
      </c>
      <c r="HV24">
        <v>0.88514599999999999</v>
      </c>
      <c r="HW24">
        <v>1.59138</v>
      </c>
      <c r="HX24">
        <v>0.357825</v>
      </c>
      <c r="HY24">
        <v>2.957608</v>
      </c>
      <c r="HZ24">
        <v>55.728670000000001</v>
      </c>
      <c r="IA24">
        <v>1.3987860000000001</v>
      </c>
      <c r="IB24">
        <v>83.992580000000004</v>
      </c>
      <c r="IC24">
        <v>2.5198000000000002E-2</v>
      </c>
      <c r="ID24">
        <v>4.102811</v>
      </c>
      <c r="IE24">
        <v>2.1517000000000001E-2</v>
      </c>
      <c r="IF24">
        <v>8.9050460000000005</v>
      </c>
      <c r="IG24">
        <v>2.3540429999999999</v>
      </c>
      <c r="IH24">
        <v>6.7004630000000001</v>
      </c>
      <c r="II24">
        <v>3.746308</v>
      </c>
      <c r="IJ24">
        <v>24.847709999999999</v>
      </c>
      <c r="IK24">
        <v>11.19514</v>
      </c>
      <c r="IL24">
        <v>2.0986470000000002</v>
      </c>
      <c r="IM24">
        <v>1.148379</v>
      </c>
      <c r="IN24">
        <v>1.64855</v>
      </c>
      <c r="IO24">
        <v>1.722118</v>
      </c>
      <c r="IP24">
        <v>4.5044550000000001</v>
      </c>
      <c r="IQ24">
        <v>5.2453120000000002</v>
      </c>
      <c r="IR24">
        <v>0.70531100000000002</v>
      </c>
      <c r="IS24">
        <v>1.785026</v>
      </c>
      <c r="IT24">
        <v>3.9349229999999999</v>
      </c>
      <c r="IU24">
        <v>4.132358</v>
      </c>
      <c r="IV24">
        <v>5.0091200000000002</v>
      </c>
      <c r="IW24">
        <v>6.1405060000000002</v>
      </c>
      <c r="IX24">
        <v>0.78513699999999997</v>
      </c>
      <c r="IY24">
        <v>6.3277359999999998</v>
      </c>
      <c r="IZ24">
        <v>1.7610250000000001</v>
      </c>
      <c r="JA24">
        <v>8.0807590000000005</v>
      </c>
      <c r="JB24">
        <v>0.39316299999999998</v>
      </c>
      <c r="JC24">
        <v>1.2930489999999999</v>
      </c>
      <c r="JD24">
        <v>0.84949399999999997</v>
      </c>
      <c r="JE24">
        <v>18.362909999999999</v>
      </c>
      <c r="JF24">
        <v>0.35637099999999999</v>
      </c>
      <c r="JG24">
        <v>1.8488990000000001</v>
      </c>
      <c r="JH24">
        <v>19.412690000000001</v>
      </c>
      <c r="JI24">
        <v>6.4303270000000001</v>
      </c>
      <c r="JJ24">
        <v>18.086390000000002</v>
      </c>
      <c r="JK24">
        <v>37.535179999999997</v>
      </c>
      <c r="JL24">
        <v>3.9135650000000002</v>
      </c>
      <c r="JM24">
        <v>4.7016830000000001</v>
      </c>
      <c r="JN24">
        <v>0.65224499999999996</v>
      </c>
      <c r="JO24">
        <v>1.507944</v>
      </c>
      <c r="JP24">
        <v>3.23428</v>
      </c>
      <c r="JQ24">
        <v>3.6387939999999999</v>
      </c>
      <c r="JR24">
        <v>4.2241609999999996</v>
      </c>
      <c r="JS24">
        <v>5.7726290000000002</v>
      </c>
      <c r="JT24">
        <v>0.75198299999999996</v>
      </c>
      <c r="JU24">
        <v>4.0887880000000001</v>
      </c>
      <c r="JV24">
        <v>1.551431</v>
      </c>
      <c r="JW24">
        <v>7.235506</v>
      </c>
      <c r="JX24">
        <v>0.30151699999999998</v>
      </c>
      <c r="JY24">
        <v>1.2509509999999999</v>
      </c>
      <c r="JZ24">
        <v>0.83672999999999997</v>
      </c>
      <c r="KA24">
        <v>15.85064</v>
      </c>
      <c r="KB24">
        <v>0.23827599999999999</v>
      </c>
      <c r="KC24">
        <v>1.379707</v>
      </c>
      <c r="KD24">
        <v>18.313199999999998</v>
      </c>
      <c r="KE24">
        <v>5.97227</v>
      </c>
      <c r="KF24">
        <v>16.504169999999998</v>
      </c>
      <c r="KG24">
        <v>35.539589999999997</v>
      </c>
      <c r="KH24">
        <v>6445.0829999999996</v>
      </c>
      <c r="KI24">
        <v>9737.0779999999995</v>
      </c>
      <c r="KJ24">
        <v>6416.6260000000002</v>
      </c>
      <c r="KK24">
        <v>3127.5549999999998</v>
      </c>
      <c r="KL24">
        <v>3809.8409999999999</v>
      </c>
      <c r="KM24">
        <v>1268.3140000000001</v>
      </c>
      <c r="KN24">
        <v>1337.7180000000001</v>
      </c>
      <c r="KO24">
        <v>0</v>
      </c>
      <c r="KP24">
        <v>29911.13</v>
      </c>
      <c r="KQ24">
        <v>2231.0830000000001</v>
      </c>
      <c r="KR24">
        <v>0</v>
      </c>
      <c r="KS24">
        <v>7300.6719999999996</v>
      </c>
      <c r="KT24">
        <v>8871.1669999999995</v>
      </c>
      <c r="KU24">
        <v>6208.8630000000003</v>
      </c>
      <c r="KV24">
        <v>3428.7669999999998</v>
      </c>
      <c r="KW24">
        <v>3683.306</v>
      </c>
      <c r="KX24">
        <v>1162.2449999999999</v>
      </c>
      <c r="KY24">
        <v>702.00980000000004</v>
      </c>
      <c r="KZ24">
        <v>0</v>
      </c>
      <c r="LA24">
        <v>27528.58</v>
      </c>
      <c r="LB24">
        <v>3828.4459999999999</v>
      </c>
      <c r="LC24">
        <v>0</v>
      </c>
      <c r="LD24">
        <v>74062899</v>
      </c>
      <c r="LE24" s="21">
        <v>249000000</v>
      </c>
      <c r="LF24" s="21">
        <v>688000000</v>
      </c>
      <c r="LG24" s="21">
        <v>658000000</v>
      </c>
      <c r="LH24" s="21">
        <v>608000000</v>
      </c>
      <c r="LI24" s="21">
        <v>312000000</v>
      </c>
      <c r="LJ24" s="21">
        <v>145000000</v>
      </c>
      <c r="LK24" s="21">
        <v>2.48E-6</v>
      </c>
      <c r="LL24" s="21">
        <v>4.7199999999999997E-6</v>
      </c>
      <c r="LM24" s="21">
        <v>8.67E-6</v>
      </c>
      <c r="LN24" s="21">
        <v>1.7900000000000001E-5</v>
      </c>
      <c r="LO24" s="21">
        <v>2.6400000000000001E-5</v>
      </c>
      <c r="LP24" s="21">
        <v>3.7200000000000003E-5</v>
      </c>
      <c r="LQ24" s="21">
        <v>5.4500000000000003E-5</v>
      </c>
      <c r="LR24">
        <v>97451421</v>
      </c>
      <c r="LS24" s="21">
        <v>277000000</v>
      </c>
      <c r="LT24" s="21">
        <v>697000000</v>
      </c>
      <c r="LU24" s="21">
        <v>642000000</v>
      </c>
      <c r="LV24" s="21">
        <v>585000000</v>
      </c>
      <c r="LW24" s="21">
        <v>297000000</v>
      </c>
      <c r="LX24" s="21">
        <v>137000000</v>
      </c>
      <c r="LY24" s="21">
        <v>3.0199999999999999E-6</v>
      </c>
      <c r="LZ24" s="21">
        <v>5.7200000000000003E-6</v>
      </c>
      <c r="MA24" s="21">
        <v>1.0499999999999999E-5</v>
      </c>
      <c r="MB24" s="21">
        <v>2.1800000000000001E-5</v>
      </c>
      <c r="MC24" s="21">
        <v>3.2199999999999997E-5</v>
      </c>
      <c r="MD24" s="21">
        <v>4.5800000000000002E-5</v>
      </c>
      <c r="ME24" s="21">
        <v>6.6099999999999994E-5</v>
      </c>
      <c r="MF24">
        <v>0.32805000000000001</v>
      </c>
      <c r="MG24">
        <v>0.37947999999999998</v>
      </c>
      <c r="MH24">
        <v>0.21332499999999999</v>
      </c>
      <c r="MI24">
        <v>6.6644999999999996E-2</v>
      </c>
      <c r="MJ24">
        <v>1.1827000000000001E-2</v>
      </c>
      <c r="MK24" s="21">
        <v>8.3599999999999999E-5</v>
      </c>
      <c r="ML24">
        <v>5.8900000000000001E-4</v>
      </c>
      <c r="MM24">
        <v>0.48416199999999998</v>
      </c>
      <c r="MN24">
        <v>0.53859800000000002</v>
      </c>
      <c r="MO24">
        <v>0.30616599999999999</v>
      </c>
      <c r="MP24">
        <v>0.10062</v>
      </c>
      <c r="MQ24">
        <v>1.5643000000000001E-2</v>
      </c>
      <c r="MR24">
        <v>-7.0469000000000004E-2</v>
      </c>
      <c r="MS24">
        <v>-0.37472</v>
      </c>
      <c r="MT24">
        <v>0.38743899999999998</v>
      </c>
      <c r="MU24">
        <v>0.32217000000000001</v>
      </c>
      <c r="MV24">
        <v>0.19989199999999999</v>
      </c>
      <c r="MW24">
        <v>8.7201000000000001E-2</v>
      </c>
      <c r="MX24">
        <v>3.2499999999999999E-3</v>
      </c>
      <c r="MY24" s="21">
        <v>7.3200000000000002E-6</v>
      </c>
      <c r="MZ24" s="21">
        <v>4.07E-5</v>
      </c>
      <c r="NA24">
        <v>1.09996</v>
      </c>
      <c r="NB24">
        <v>0.86448700000000001</v>
      </c>
      <c r="NC24">
        <v>0.54596999999999996</v>
      </c>
      <c r="ND24">
        <v>0.250587</v>
      </c>
      <c r="NE24">
        <v>4.5840000000000004E-3</v>
      </c>
      <c r="NF24">
        <v>-0.27655800000000003</v>
      </c>
      <c r="NG24">
        <v>-1.489031</v>
      </c>
      <c r="NH24">
        <v>6.3160000000000004E-3</v>
      </c>
      <c r="NI24">
        <v>6.3709999999999999E-3</v>
      </c>
      <c r="NJ24">
        <v>8.4180000000000001E-3</v>
      </c>
      <c r="NK24">
        <v>2.5388000000000001E-2</v>
      </c>
      <c r="NL24">
        <v>2.8923999999999998E-2</v>
      </c>
      <c r="NM24">
        <v>7.8597E-2</v>
      </c>
      <c r="NN24">
        <v>6.3160000000000004E-3</v>
      </c>
      <c r="NO24">
        <v>6.3709999999999999E-3</v>
      </c>
      <c r="NP24">
        <v>8.4180000000000001E-3</v>
      </c>
      <c r="NQ24">
        <v>2.5388000000000001E-2</v>
      </c>
      <c r="NR24">
        <v>2.8923999999999998E-2</v>
      </c>
      <c r="NS24">
        <v>7.8597E-2</v>
      </c>
      <c r="NT24">
        <v>1.3658E-2</v>
      </c>
      <c r="NU24">
        <v>1.3846000000000001E-2</v>
      </c>
      <c r="NV24">
        <v>1.6809000000000001E-2</v>
      </c>
      <c r="NW24">
        <v>3.4014000000000003E-2</v>
      </c>
      <c r="NX24">
        <v>3.8114000000000002E-2</v>
      </c>
      <c r="NY24">
        <v>8.7031999999999998E-2</v>
      </c>
      <c r="NZ24">
        <v>1.3658E-2</v>
      </c>
      <c r="OA24">
        <v>1.3846000000000001E-2</v>
      </c>
      <c r="OB24">
        <v>1.6809000000000001E-2</v>
      </c>
      <c r="OC24">
        <v>3.4014000000000003E-2</v>
      </c>
      <c r="OD24">
        <v>3.8114000000000002E-2</v>
      </c>
      <c r="OE24">
        <v>8.7031999999999998E-2</v>
      </c>
      <c r="OF24">
        <v>48.66263</v>
      </c>
      <c r="OG24">
        <v>32140.81</v>
      </c>
      <c r="OH24">
        <v>18117.59</v>
      </c>
      <c r="OI24">
        <v>8386.1509999999998</v>
      </c>
      <c r="OJ24">
        <v>39.063989999999997</v>
      </c>
      <c r="OK24">
        <v>28665.03</v>
      </c>
      <c r="OL24">
        <v>17664.48</v>
      </c>
      <c r="OM24">
        <v>8079.0219999999999</v>
      </c>
      <c r="ON24">
        <v>1475143</v>
      </c>
      <c r="OO24">
        <v>1493947</v>
      </c>
      <c r="OP24">
        <v>10862.99</v>
      </c>
      <c r="OQ24">
        <v>6040.36</v>
      </c>
      <c r="OR24">
        <v>5192.8580000000002</v>
      </c>
      <c r="OS24">
        <v>500.12369999999999</v>
      </c>
      <c r="OT24">
        <v>1550.6110000000001</v>
      </c>
      <c r="OU24">
        <v>1249.3389999999999</v>
      </c>
      <c r="OV24">
        <v>318.80259999999998</v>
      </c>
      <c r="OW24">
        <v>1251.6600000000001</v>
      </c>
      <c r="OX24">
        <v>1323.713</v>
      </c>
      <c r="OY24">
        <v>1057.3889999999999</v>
      </c>
      <c r="OZ24">
        <v>610.98270000000002</v>
      </c>
      <c r="PA24">
        <v>19945.46</v>
      </c>
      <c r="PB24">
        <v>7004.8370000000004</v>
      </c>
      <c r="PC24">
        <v>1128.1199999999999</v>
      </c>
      <c r="PD24">
        <v>2021.3240000000001</v>
      </c>
      <c r="PE24">
        <v>6138.0079999999998</v>
      </c>
      <c r="PF24">
        <v>1342.163</v>
      </c>
      <c r="PG24">
        <v>2471.2890000000002</v>
      </c>
      <c r="PH24">
        <v>190343.7</v>
      </c>
      <c r="PI24">
        <v>81449.850000000006</v>
      </c>
      <c r="PJ24">
        <v>1.774969</v>
      </c>
      <c r="PK24">
        <v>578.73030000000006</v>
      </c>
      <c r="PL24">
        <v>115.3993</v>
      </c>
      <c r="PM24">
        <v>1665.0930000000001</v>
      </c>
      <c r="PN24">
        <v>444.29919999999998</v>
      </c>
      <c r="PO24">
        <v>159.35740000000001</v>
      </c>
      <c r="PP24">
        <v>249.3176</v>
      </c>
      <c r="PQ24">
        <v>561.31259999999997</v>
      </c>
      <c r="PR24">
        <v>94.895409999999998</v>
      </c>
      <c r="PS24">
        <v>587.00440000000003</v>
      </c>
      <c r="PT24">
        <v>1263.7819999999999</v>
      </c>
      <c r="PU24">
        <v>469.78100000000001</v>
      </c>
      <c r="PV24">
        <v>848.62239999999997</v>
      </c>
      <c r="PW24">
        <v>66.714579999999998</v>
      </c>
      <c r="PX24">
        <v>142.4769</v>
      </c>
      <c r="PY24">
        <v>778.24940000000004</v>
      </c>
      <c r="PZ24">
        <v>141.46119999999999</v>
      </c>
      <c r="QA24">
        <v>349971.8</v>
      </c>
      <c r="QB24">
        <v>7997.0349999999999</v>
      </c>
      <c r="QC24">
        <v>78902.73</v>
      </c>
      <c r="QD24">
        <v>10962.62</v>
      </c>
      <c r="QE24">
        <v>14411.65</v>
      </c>
      <c r="QF24">
        <v>9606.7939999999999</v>
      </c>
      <c r="QG24">
        <v>3438.9319999999998</v>
      </c>
      <c r="QH24">
        <v>850.33609999999999</v>
      </c>
      <c r="QI24">
        <v>8.5377969999999994</v>
      </c>
      <c r="QJ24">
        <v>79.453040000000001</v>
      </c>
      <c r="QK24">
        <v>11290.43</v>
      </c>
      <c r="QL24">
        <v>6353.27</v>
      </c>
      <c r="QM24">
        <v>5077.7510000000002</v>
      </c>
      <c r="QN24">
        <v>533.51499999999999</v>
      </c>
      <c r="QO24">
        <v>1693.6389999999999</v>
      </c>
      <c r="QP24">
        <v>1290.58</v>
      </c>
      <c r="QQ24">
        <v>387.82549999999998</v>
      </c>
      <c r="QR24">
        <v>1258.442</v>
      </c>
      <c r="QS24">
        <v>1320.059</v>
      </c>
      <c r="QT24">
        <v>1267.4670000000001</v>
      </c>
      <c r="QU24">
        <v>630.78520000000003</v>
      </c>
      <c r="QV24">
        <v>20325.73</v>
      </c>
      <c r="QW24">
        <v>7239.0110000000004</v>
      </c>
      <c r="QX24">
        <v>1199.9870000000001</v>
      </c>
      <c r="QY24">
        <v>2144.62</v>
      </c>
      <c r="QZ24">
        <v>6560.3710000000001</v>
      </c>
      <c r="RA24">
        <v>1352.336</v>
      </c>
      <c r="RB24">
        <v>2713.7310000000002</v>
      </c>
      <c r="RC24">
        <v>193190.39999999999</v>
      </c>
      <c r="RD24">
        <v>81968.259999999995</v>
      </c>
      <c r="RE24">
        <v>0.73359399999999997</v>
      </c>
      <c r="RF24">
        <v>525.83169999999996</v>
      </c>
      <c r="RG24">
        <v>75.684899999999999</v>
      </c>
      <c r="RH24">
        <v>1197.864</v>
      </c>
      <c r="RI24">
        <v>7.7272509999999999</v>
      </c>
      <c r="RJ24">
        <v>160.0241</v>
      </c>
      <c r="RK24">
        <v>1.027523</v>
      </c>
      <c r="RL24">
        <v>9146.5280000000002</v>
      </c>
      <c r="RM24">
        <v>2668.6060000000002</v>
      </c>
      <c r="RN24">
        <v>784.16150000000005</v>
      </c>
      <c r="RO24">
        <v>721.39250000000004</v>
      </c>
      <c r="RP24">
        <v>333.97039999999998</v>
      </c>
      <c r="RQ24">
        <v>909.35130000000004</v>
      </c>
      <c r="RR24">
        <v>240.46600000000001</v>
      </c>
      <c r="RS24">
        <v>172.964</v>
      </c>
      <c r="RT24">
        <v>752.74059999999997</v>
      </c>
      <c r="RU24">
        <v>684.58069999999998</v>
      </c>
      <c r="RV24">
        <v>366181.9</v>
      </c>
      <c r="RW24">
        <v>11012.12</v>
      </c>
      <c r="RX24">
        <v>77458.66</v>
      </c>
      <c r="RY24">
        <v>11450.74</v>
      </c>
      <c r="RZ24">
        <v>10820.96</v>
      </c>
      <c r="SA24">
        <v>7961.35</v>
      </c>
      <c r="SB24">
        <v>3979.5450000000001</v>
      </c>
      <c r="SC24">
        <v>206.63380000000001</v>
      </c>
      <c r="SD24">
        <v>0.66113900000000003</v>
      </c>
      <c r="SE24">
        <v>4.8599449999999997</v>
      </c>
      <c r="SF24">
        <v>33578.080000000002</v>
      </c>
      <c r="SG24">
        <v>48.66263</v>
      </c>
      <c r="SH24">
        <v>7698.51</v>
      </c>
      <c r="SI24">
        <v>17444.75</v>
      </c>
      <c r="SJ24">
        <v>8386.1509999999998</v>
      </c>
      <c r="SK24">
        <v>31540.86</v>
      </c>
      <c r="SL24">
        <v>39.063989999999997</v>
      </c>
      <c r="SM24">
        <v>6912.2929999999997</v>
      </c>
      <c r="SN24">
        <v>16510.48</v>
      </c>
      <c r="SO24">
        <v>8079.0219999999999</v>
      </c>
      <c r="SP24">
        <v>118911.1</v>
      </c>
      <c r="SQ24">
        <v>68035.66</v>
      </c>
      <c r="SR24">
        <v>123148.7</v>
      </c>
      <c r="SS24">
        <v>68492.27</v>
      </c>
      <c r="ST24">
        <v>37.535179999999997</v>
      </c>
      <c r="SU24">
        <v>0.29309600000000002</v>
      </c>
      <c r="SV24">
        <v>5.5408939999999998</v>
      </c>
      <c r="SW24">
        <v>12.45515</v>
      </c>
      <c r="SX24">
        <v>19.246030000000001</v>
      </c>
      <c r="SY24">
        <v>35.539589999999997</v>
      </c>
      <c r="SZ24">
        <v>0.23528299999999999</v>
      </c>
      <c r="TA24">
        <v>4.9750249999999996</v>
      </c>
      <c r="TB24">
        <v>11.7881</v>
      </c>
      <c r="TC24">
        <v>18.541180000000001</v>
      </c>
      <c r="TD24">
        <v>25997.06</v>
      </c>
      <c r="TE24">
        <v>829.16949999999997</v>
      </c>
      <c r="TF24">
        <v>507.4298</v>
      </c>
      <c r="TG24">
        <v>223.14769999999999</v>
      </c>
      <c r="TH24">
        <v>52.929749999999999</v>
      </c>
      <c r="TI24">
        <v>106.67870000000001</v>
      </c>
      <c r="TJ24">
        <v>89.596239999999995</v>
      </c>
      <c r="TK24">
        <v>27.384139999999999</v>
      </c>
      <c r="TL24">
        <v>32.766089999999998</v>
      </c>
      <c r="TM24">
        <v>173.45410000000001</v>
      </c>
      <c r="TN24">
        <v>43.424999999999997</v>
      </c>
      <c r="TO24">
        <v>28.02129</v>
      </c>
      <c r="TP24">
        <v>2115.047</v>
      </c>
      <c r="TQ24">
        <v>2006.3340000000001</v>
      </c>
      <c r="TR24">
        <v>100.627</v>
      </c>
      <c r="TS24">
        <v>177.2439</v>
      </c>
      <c r="TT24">
        <v>430.74009999999998</v>
      </c>
      <c r="TU24">
        <v>43.894599999999997</v>
      </c>
      <c r="TV24">
        <v>76.095359999999999</v>
      </c>
      <c r="TW24">
        <v>12382.06</v>
      </c>
      <c r="TX24">
        <v>6426.8869999999997</v>
      </c>
      <c r="TY24">
        <v>0.508714</v>
      </c>
      <c r="TZ24">
        <v>10.319319999999999</v>
      </c>
      <c r="UA24">
        <v>5.3515750000000004</v>
      </c>
      <c r="UB24">
        <v>58.659709999999997</v>
      </c>
      <c r="UC24">
        <v>0.70980200000000004</v>
      </c>
      <c r="UD24">
        <v>2.3624869999999998</v>
      </c>
      <c r="UE24">
        <v>4.3094020000000004</v>
      </c>
      <c r="UF24">
        <v>1.6222989999999999</v>
      </c>
      <c r="UG24">
        <v>0.77961000000000003</v>
      </c>
      <c r="UH24">
        <v>10.328419999999999</v>
      </c>
      <c r="UI24">
        <v>5.1049620000000004</v>
      </c>
      <c r="UJ24">
        <v>15.257849999999999</v>
      </c>
      <c r="UK24">
        <v>5.8024500000000003</v>
      </c>
      <c r="UL24">
        <v>0.43743399999999999</v>
      </c>
      <c r="UM24">
        <v>0.48247499999999999</v>
      </c>
      <c r="UN24">
        <v>1.723975</v>
      </c>
      <c r="UO24">
        <v>0.359765</v>
      </c>
      <c r="UP24">
        <v>26201.66</v>
      </c>
      <c r="UQ24">
        <v>830.94119999999998</v>
      </c>
      <c r="UR24">
        <v>513.26930000000004</v>
      </c>
      <c r="US24">
        <v>218.6148</v>
      </c>
      <c r="UT24">
        <v>54.612690000000001</v>
      </c>
      <c r="UU24">
        <v>112.3526</v>
      </c>
      <c r="UV24">
        <v>92.95308</v>
      </c>
      <c r="UW24">
        <v>27.701080000000001</v>
      </c>
      <c r="UX24">
        <v>32.98236</v>
      </c>
      <c r="UY24">
        <v>179.02459999999999</v>
      </c>
      <c r="UZ24">
        <v>44.81465</v>
      </c>
      <c r="VA24">
        <v>27.7576</v>
      </c>
      <c r="VB24">
        <v>2124.259</v>
      </c>
      <c r="VC24">
        <v>2055.1990000000001</v>
      </c>
      <c r="VD24">
        <v>104.8591</v>
      </c>
      <c r="VE24">
        <v>183.71629999999999</v>
      </c>
      <c r="VF24">
        <v>430.71850000000001</v>
      </c>
      <c r="VG24">
        <v>40.826709999999999</v>
      </c>
      <c r="VH24">
        <v>78.413129999999995</v>
      </c>
      <c r="VI24">
        <v>12479.34</v>
      </c>
      <c r="VJ24">
        <v>6435.41</v>
      </c>
      <c r="VK24">
        <v>0.25736100000000001</v>
      </c>
      <c r="VL24">
        <v>9.6279850000000007</v>
      </c>
      <c r="VM24">
        <v>3.734972</v>
      </c>
      <c r="VN24">
        <v>43.84346</v>
      </c>
      <c r="VO24">
        <v>2.9651E-2</v>
      </c>
      <c r="VP24">
        <v>2.3654950000000001</v>
      </c>
      <c r="VQ24">
        <v>5.0286999999999998E-2</v>
      </c>
      <c r="VR24">
        <v>18.009219999999999</v>
      </c>
      <c r="VS24">
        <v>16.533090000000001</v>
      </c>
      <c r="VT24">
        <v>12.870950000000001</v>
      </c>
      <c r="VU24">
        <v>3.2746209999999998</v>
      </c>
      <c r="VV24">
        <v>11.63527</v>
      </c>
      <c r="VW24">
        <v>6.4563540000000001</v>
      </c>
      <c r="VX24">
        <v>1.386563</v>
      </c>
      <c r="VY24">
        <v>0.584229</v>
      </c>
      <c r="VZ24">
        <v>1.72295</v>
      </c>
      <c r="WA24">
        <v>1.5188969999999999</v>
      </c>
      <c r="WB24">
        <v>9.3174000000000007E-2</v>
      </c>
      <c r="WC24">
        <v>8.3808999999999995E-2</v>
      </c>
      <c r="WD24">
        <v>-1.3672E-2</v>
      </c>
      <c r="WE24">
        <v>-1.1091E-2</v>
      </c>
      <c r="WF24">
        <v>0.62078900000000004</v>
      </c>
      <c r="WG24">
        <v>0.542964</v>
      </c>
      <c r="WH24">
        <v>-2.0409E-2</v>
      </c>
      <c r="WI24">
        <v>-1.3100000000000001E-2</v>
      </c>
      <c r="WJ24">
        <v>2369243</v>
      </c>
      <c r="WK24">
        <v>2394496</v>
      </c>
    </row>
    <row r="25" spans="1:609" x14ac:dyDescent="0.25">
      <c r="A25">
        <v>2026</v>
      </c>
      <c r="B25">
        <v>1.1660090000000001</v>
      </c>
      <c r="C25">
        <v>134.66480000000001</v>
      </c>
      <c r="D25">
        <v>1.523987</v>
      </c>
      <c r="E25">
        <v>5.3109190000000002</v>
      </c>
      <c r="F25">
        <v>-1.8046439999999999</v>
      </c>
      <c r="G25">
        <v>0.27101700000000001</v>
      </c>
      <c r="H25">
        <v>-1.0066379999999999</v>
      </c>
      <c r="I25">
        <v>0.85394199999999998</v>
      </c>
      <c r="J25">
        <v>5.1662439999999998</v>
      </c>
      <c r="K25">
        <v>-0.14851500000000001</v>
      </c>
      <c r="L25">
        <v>5.3226639999999996</v>
      </c>
      <c r="M25">
        <v>0.69071199999999999</v>
      </c>
      <c r="N25">
        <v>0</v>
      </c>
      <c r="O25">
        <v>-8.6696690000000007</v>
      </c>
      <c r="P25">
        <v>-0.80119099999999999</v>
      </c>
      <c r="Q25">
        <v>-27.048120000000001</v>
      </c>
      <c r="R25">
        <v>69.807190000000006</v>
      </c>
      <c r="S25">
        <v>75.785830000000004</v>
      </c>
      <c r="T25">
        <v>187.28219999999999</v>
      </c>
      <c r="U25">
        <v>84.546719999999993</v>
      </c>
      <c r="V25">
        <v>151.9487</v>
      </c>
      <c r="W25">
        <v>1.7101660000000001</v>
      </c>
      <c r="X25">
        <v>41625.51</v>
      </c>
      <c r="Y25">
        <v>0.12614500000000001</v>
      </c>
      <c r="Z25">
        <v>0.193772</v>
      </c>
      <c r="AA25">
        <v>-0.656555</v>
      </c>
      <c r="AB25">
        <v>-0.812002</v>
      </c>
      <c r="AC25">
        <v>4.3327999999999998E-2</v>
      </c>
      <c r="AD25">
        <v>41480.53</v>
      </c>
      <c r="AE25">
        <v>91851.45</v>
      </c>
      <c r="AF25">
        <v>117878.39999999999</v>
      </c>
      <c r="AG25">
        <v>-6815.0360000000001</v>
      </c>
      <c r="AH25">
        <v>104380.3</v>
      </c>
      <c r="AI25">
        <v>-7.1100000000000004E-4</v>
      </c>
      <c r="AJ25">
        <v>122.1464</v>
      </c>
      <c r="AK25">
        <v>422.60270000000003</v>
      </c>
      <c r="AL25">
        <v>138.7398</v>
      </c>
      <c r="AM25">
        <v>76.493759999999995</v>
      </c>
      <c r="AN25">
        <v>264.65350000000001</v>
      </c>
      <c r="AO25">
        <v>86.885329999999996</v>
      </c>
      <c r="AP25">
        <v>407.86750000000001</v>
      </c>
      <c r="AQ25">
        <v>255.4256</v>
      </c>
      <c r="AR25">
        <v>511.483</v>
      </c>
      <c r="AS25">
        <v>471.32870000000003</v>
      </c>
      <c r="AT25">
        <v>917.32389999999998</v>
      </c>
      <c r="AU25">
        <v>357.23719999999997</v>
      </c>
      <c r="AV25">
        <v>154.44900000000001</v>
      </c>
      <c r="AW25">
        <v>1.2219800000000001</v>
      </c>
      <c r="AX25">
        <v>1.6917450000000001</v>
      </c>
      <c r="AY25">
        <v>1.908766</v>
      </c>
      <c r="AZ25">
        <v>-2.9084120000000002</v>
      </c>
      <c r="BA25">
        <v>3.7930609999999998</v>
      </c>
      <c r="BB25">
        <v>5.6659240000000004</v>
      </c>
      <c r="BC25">
        <v>3.5520350000000001</v>
      </c>
      <c r="BD25">
        <v>9.5211000000000006</v>
      </c>
      <c r="BE25">
        <v>-9.3259999999999996E-2</v>
      </c>
      <c r="BF25">
        <v>2.609683</v>
      </c>
      <c r="BG25">
        <v>5.6879200000000001</v>
      </c>
      <c r="BH25">
        <v>3.2865999999999999E-2</v>
      </c>
      <c r="BI25">
        <v>0.64053099999999996</v>
      </c>
      <c r="BJ25">
        <v>2.941306</v>
      </c>
      <c r="BK25">
        <v>6.2113800000000001</v>
      </c>
      <c r="BL25">
        <v>5.7374219999999996</v>
      </c>
      <c r="BM25">
        <v>1.1271610000000001</v>
      </c>
      <c r="BN25">
        <v>-6.7290609999999997</v>
      </c>
      <c r="BO25">
        <v>3.2098149999999999</v>
      </c>
      <c r="BP25">
        <v>0.95178099999999999</v>
      </c>
      <c r="BQ25">
        <v>0.294234</v>
      </c>
      <c r="BR25">
        <v>-61.055529999999997</v>
      </c>
      <c r="BS25">
        <v>-10.452070000000001</v>
      </c>
      <c r="BT25">
        <v>-115.4067</v>
      </c>
      <c r="BU25">
        <v>-30.2622</v>
      </c>
      <c r="BV25">
        <v>-97.882739999999998</v>
      </c>
      <c r="BW25">
        <v>-1.835439</v>
      </c>
      <c r="BX25">
        <v>-98.90401</v>
      </c>
      <c r="BY25">
        <v>1001.016</v>
      </c>
      <c r="BZ25">
        <v>2322.2860000000001</v>
      </c>
      <c r="CA25">
        <v>9.0131510000000006</v>
      </c>
      <c r="CB25">
        <v>-18.333030000000001</v>
      </c>
      <c r="CC25">
        <v>-41.067549999999997</v>
      </c>
      <c r="CD25">
        <v>11.9574</v>
      </c>
      <c r="CE25">
        <v>295.75799999999998</v>
      </c>
      <c r="CF25">
        <v>22.773</v>
      </c>
      <c r="CG25">
        <v>-3.6057269999999999</v>
      </c>
      <c r="CH25">
        <v>406.2441</v>
      </c>
      <c r="CI25">
        <v>4.7269680000000003</v>
      </c>
      <c r="CJ25">
        <v>5.8083830000000001</v>
      </c>
      <c r="CK25">
        <v>-2.7321520000000001</v>
      </c>
      <c r="CL25">
        <v>7.7973699999999999</v>
      </c>
      <c r="CM25">
        <v>11.145820000000001</v>
      </c>
      <c r="CN25">
        <v>3.9067599999999998</v>
      </c>
      <c r="CO25">
        <v>24.57931</v>
      </c>
      <c r="CP25">
        <v>0.72615200000000002</v>
      </c>
      <c r="CQ25">
        <v>-0.38070900000000002</v>
      </c>
      <c r="CR25">
        <v>21.971530000000001</v>
      </c>
      <c r="CS25">
        <v>3.6115089999999999</v>
      </c>
      <c r="CT25">
        <v>2.1259480000000002</v>
      </c>
      <c r="CU25">
        <v>3.7771439999999998</v>
      </c>
      <c r="CV25">
        <v>7.670547</v>
      </c>
      <c r="CW25">
        <v>7.8173349999999999</v>
      </c>
      <c r="CX25">
        <v>8.9040909999999993</v>
      </c>
      <c r="CY25">
        <v>2.4536720000000001</v>
      </c>
      <c r="CZ25">
        <v>13.29447</v>
      </c>
      <c r="DA25">
        <v>1.630179</v>
      </c>
      <c r="DB25">
        <v>0.70968699999999996</v>
      </c>
      <c r="DC25">
        <v>-59.977150000000002</v>
      </c>
      <c r="DD25">
        <v>-10.54238</v>
      </c>
      <c r="DE25">
        <v>-34.527819999999998</v>
      </c>
      <c r="DF25">
        <v>-31.57076</v>
      </c>
      <c r="DG25">
        <v>-98.247140000000002</v>
      </c>
      <c r="DH25">
        <v>-0.58324100000000001</v>
      </c>
      <c r="DI25">
        <v>-99.679019999999994</v>
      </c>
      <c r="DJ25">
        <v>1664.8240000000001</v>
      </c>
      <c r="DK25">
        <v>3464.2330000000002</v>
      </c>
      <c r="DL25">
        <v>25.48348</v>
      </c>
      <c r="DM25">
        <v>-35.478349999999999</v>
      </c>
      <c r="DN25">
        <v>-33.003059999999998</v>
      </c>
      <c r="DO25">
        <v>10.08555</v>
      </c>
      <c r="DP25">
        <v>334.233</v>
      </c>
      <c r="DQ25">
        <v>25.679639999999999</v>
      </c>
      <c r="DR25">
        <v>-4.3044089999999997</v>
      </c>
      <c r="DS25">
        <v>491.79450000000003</v>
      </c>
      <c r="DT25">
        <v>2.1325E-2</v>
      </c>
      <c r="DU25">
        <v>2.069347</v>
      </c>
      <c r="DV25">
        <v>-10.68074</v>
      </c>
      <c r="DW25">
        <v>3.3811879999999999</v>
      </c>
      <c r="DX25">
        <v>2.6900210000000002</v>
      </c>
      <c r="DY25">
        <v>2.9451390000000002</v>
      </c>
      <c r="DZ25">
        <v>1.0565869999999999</v>
      </c>
      <c r="EA25">
        <v>2.2578640000000001</v>
      </c>
      <c r="EB25">
        <v>4.4961909999999996</v>
      </c>
      <c r="EC25">
        <v>0</v>
      </c>
      <c r="ED25">
        <v>2.886482</v>
      </c>
      <c r="EE25">
        <v>2.6505299999999998</v>
      </c>
      <c r="EF25">
        <v>3.6528269999999998</v>
      </c>
      <c r="EG25">
        <v>4.966507</v>
      </c>
      <c r="EH25">
        <v>8.7519299999999998</v>
      </c>
      <c r="EI25">
        <v>-1.3551519999999999</v>
      </c>
      <c r="EJ25">
        <v>-2.6120000000000002E-3</v>
      </c>
      <c r="EK25">
        <v>-3.4471180000000001</v>
      </c>
      <c r="EL25">
        <v>2.3305539999999998</v>
      </c>
      <c r="EM25">
        <v>2.34761</v>
      </c>
      <c r="EN25">
        <v>-20.97476</v>
      </c>
      <c r="EO25">
        <v>-11.77186</v>
      </c>
      <c r="EP25">
        <v>-3.1586020000000001</v>
      </c>
      <c r="EQ25">
        <v>-3.8587280000000002</v>
      </c>
      <c r="ER25">
        <v>7.6439769999999996</v>
      </c>
      <c r="ES25">
        <v>74.468969999999999</v>
      </c>
      <c r="ET25">
        <v>2.1312500000000001</v>
      </c>
      <c r="EU25">
        <v>34.329430000000002</v>
      </c>
      <c r="EV25">
        <v>0.54931399999999997</v>
      </c>
      <c r="EW25">
        <v>2.0068999999999999</v>
      </c>
      <c r="EX25">
        <v>2.534459</v>
      </c>
      <c r="EY25">
        <v>0.800238</v>
      </c>
      <c r="EZ25">
        <v>0.106056</v>
      </c>
      <c r="FA25">
        <v>5.4088390000000004</v>
      </c>
      <c r="FB25">
        <v>1.7354560000000001</v>
      </c>
      <c r="FC25">
        <v>34.373519999999999</v>
      </c>
      <c r="FD25">
        <v>9.3671579999999999</v>
      </c>
      <c r="FE25">
        <v>0.56573899999999999</v>
      </c>
      <c r="FF25">
        <v>0.87179499999999999</v>
      </c>
      <c r="FG25">
        <v>1.5673760000000001</v>
      </c>
      <c r="FH25">
        <v>0.35242800000000002</v>
      </c>
      <c r="FI25">
        <v>5.0187780000000002</v>
      </c>
      <c r="FJ25">
        <v>66.302570000000003</v>
      </c>
      <c r="FK25">
        <v>1.464375</v>
      </c>
      <c r="FL25">
        <v>24.00282</v>
      </c>
      <c r="FM25">
        <v>3.0710000000000001E-2</v>
      </c>
      <c r="FN25">
        <v>1.9687079999999999</v>
      </c>
      <c r="FO25">
        <v>2.6272E-2</v>
      </c>
      <c r="FP25">
        <v>8.8099450000000008</v>
      </c>
      <c r="FQ25">
        <v>2.5678230000000002</v>
      </c>
      <c r="FR25">
        <v>5.8977630000000003</v>
      </c>
      <c r="FS25">
        <v>1.404962</v>
      </c>
      <c r="FT25">
        <v>25.267479999999999</v>
      </c>
      <c r="FU25">
        <v>11.200850000000001</v>
      </c>
      <c r="FV25">
        <v>2.397214</v>
      </c>
      <c r="FW25">
        <v>1.145044</v>
      </c>
      <c r="FX25">
        <v>1.605407</v>
      </c>
      <c r="FY25">
        <v>1.9580340000000001</v>
      </c>
      <c r="FZ25">
        <v>5.4787939999999997</v>
      </c>
      <c r="GA25">
        <v>58.200890000000001</v>
      </c>
      <c r="GB25">
        <v>2.1312500000000001</v>
      </c>
      <c r="GC25">
        <v>30.38815</v>
      </c>
      <c r="GD25">
        <v>0.48624899999999999</v>
      </c>
      <c r="GE25">
        <v>1.776492</v>
      </c>
      <c r="GF25">
        <v>2.2434829999999999</v>
      </c>
      <c r="GG25">
        <v>0.70836500000000002</v>
      </c>
      <c r="GH25">
        <v>9.3880000000000005E-2</v>
      </c>
      <c r="GI25">
        <v>4.7878629999999998</v>
      </c>
      <c r="GJ25">
        <v>1.5362130000000001</v>
      </c>
      <c r="GK25">
        <v>32.447040000000001</v>
      </c>
      <c r="GL25">
        <v>9.3671579999999999</v>
      </c>
      <c r="GM25">
        <v>0.56573899999999999</v>
      </c>
      <c r="GN25">
        <v>0.87179499999999999</v>
      </c>
      <c r="GO25">
        <v>1.5673760000000001</v>
      </c>
      <c r="GP25">
        <v>0.35242800000000002</v>
      </c>
      <c r="GQ25">
        <v>2.8961009999999998</v>
      </c>
      <c r="GR25">
        <v>50.422530000000002</v>
      </c>
      <c r="GS25">
        <v>1.464375</v>
      </c>
      <c r="GT25">
        <v>21.076889999999999</v>
      </c>
      <c r="GU25">
        <v>2.6966E-2</v>
      </c>
      <c r="GV25">
        <v>1.7287239999999999</v>
      </c>
      <c r="GW25">
        <v>2.3068999999999999E-2</v>
      </c>
      <c r="GX25">
        <v>7.7360179999999996</v>
      </c>
      <c r="GY25">
        <v>2.254807</v>
      </c>
      <c r="GZ25">
        <v>5.1788290000000003</v>
      </c>
      <c r="HA25">
        <v>1.233698</v>
      </c>
      <c r="HB25">
        <v>23.386949999999999</v>
      </c>
      <c r="HC25">
        <v>11.200850000000001</v>
      </c>
      <c r="HD25">
        <v>2.397214</v>
      </c>
      <c r="HE25">
        <v>1.145044</v>
      </c>
      <c r="HF25">
        <v>1.605407</v>
      </c>
      <c r="HG25">
        <v>1.9580340000000001</v>
      </c>
      <c r="HH25">
        <v>5.57761</v>
      </c>
      <c r="HI25">
        <v>62.55686</v>
      </c>
      <c r="HJ25">
        <v>2.1312500000000001</v>
      </c>
      <c r="HK25">
        <v>123.93129999999999</v>
      </c>
      <c r="HL25">
        <v>1.1865270000000001</v>
      </c>
      <c r="HM25">
        <v>4.3349359999999999</v>
      </c>
      <c r="HN25">
        <v>5.4744719999999996</v>
      </c>
      <c r="HO25">
        <v>0.86511700000000002</v>
      </c>
      <c r="HP25">
        <v>0.11465400000000001</v>
      </c>
      <c r="HQ25">
        <v>5.8473569999999997</v>
      </c>
      <c r="HR25">
        <v>5.0725730000000002</v>
      </c>
      <c r="HS25">
        <v>32.669980000000002</v>
      </c>
      <c r="HT25">
        <v>9.5072539999999996</v>
      </c>
      <c r="HU25">
        <v>0.57420099999999996</v>
      </c>
      <c r="HV25">
        <v>0.88483400000000001</v>
      </c>
      <c r="HW25">
        <v>1.5908180000000001</v>
      </c>
      <c r="HX25">
        <v>0.35769899999999999</v>
      </c>
      <c r="HY25">
        <v>2.9333900000000002</v>
      </c>
      <c r="HZ25">
        <v>54.074309999999997</v>
      </c>
      <c r="IA25">
        <v>1.464375</v>
      </c>
      <c r="IB25">
        <v>80.710740000000001</v>
      </c>
      <c r="IC25">
        <v>3.0710000000000001E-2</v>
      </c>
      <c r="ID25">
        <v>4.0975169999999999</v>
      </c>
      <c r="IE25">
        <v>2.6272E-2</v>
      </c>
      <c r="IF25">
        <v>9.4703499999999998</v>
      </c>
      <c r="IG25">
        <v>2.76031</v>
      </c>
      <c r="IH25">
        <v>6.3398669999999999</v>
      </c>
      <c r="II25">
        <v>4.3170679999999999</v>
      </c>
      <c r="IJ25">
        <v>23.693660000000001</v>
      </c>
      <c r="IK25">
        <v>11.57734</v>
      </c>
      <c r="IL25">
        <v>2.435832</v>
      </c>
      <c r="IM25">
        <v>1.2019789999999999</v>
      </c>
      <c r="IN25">
        <v>1.6832959999999999</v>
      </c>
      <c r="IO25">
        <v>1.994828</v>
      </c>
      <c r="IP25">
        <v>4.5044149999999998</v>
      </c>
      <c r="IQ25">
        <v>5.2967610000000001</v>
      </c>
      <c r="IR25">
        <v>0.69514399999999998</v>
      </c>
      <c r="IS25">
        <v>1.7944929999999999</v>
      </c>
      <c r="IT25">
        <v>3.9727009999999998</v>
      </c>
      <c r="IU25">
        <v>4.1694519999999997</v>
      </c>
      <c r="IV25">
        <v>5.0390329999999999</v>
      </c>
      <c r="IW25">
        <v>6.1810309999999999</v>
      </c>
      <c r="IX25">
        <v>0.79496500000000003</v>
      </c>
      <c r="IY25">
        <v>6.4477349999999998</v>
      </c>
      <c r="IZ25">
        <v>1.7793190000000001</v>
      </c>
      <c r="JA25">
        <v>8.171265</v>
      </c>
      <c r="JB25">
        <v>0.39778999999999998</v>
      </c>
      <c r="JC25">
        <v>1.3091950000000001</v>
      </c>
      <c r="JD25">
        <v>0.84748299999999999</v>
      </c>
      <c r="JE25">
        <v>18.359760000000001</v>
      </c>
      <c r="JF25">
        <v>0.354493</v>
      </c>
      <c r="JG25">
        <v>1.8390930000000001</v>
      </c>
      <c r="JH25">
        <v>19.531400000000001</v>
      </c>
      <c r="JI25">
        <v>6.4794229999999997</v>
      </c>
      <c r="JJ25">
        <v>17.742249999999999</v>
      </c>
      <c r="JK25">
        <v>37.295949999999998</v>
      </c>
      <c r="JL25">
        <v>3.813402</v>
      </c>
      <c r="JM25">
        <v>4.7054410000000004</v>
      </c>
      <c r="JN25">
        <v>0.63607599999999997</v>
      </c>
      <c r="JO25">
        <v>1.4935320000000001</v>
      </c>
      <c r="JP25">
        <v>3.2010350000000001</v>
      </c>
      <c r="JQ25">
        <v>3.634576</v>
      </c>
      <c r="JR25">
        <v>4.1933059999999998</v>
      </c>
      <c r="JS25">
        <v>5.7547750000000004</v>
      </c>
      <c r="JT25">
        <v>0.75656900000000005</v>
      </c>
      <c r="JU25">
        <v>4.0734370000000002</v>
      </c>
      <c r="JV25">
        <v>1.5418149999999999</v>
      </c>
      <c r="JW25">
        <v>7.2693019999999997</v>
      </c>
      <c r="JX25">
        <v>0.303317</v>
      </c>
      <c r="JY25">
        <v>1.2576719999999999</v>
      </c>
      <c r="JZ25">
        <v>0.83422600000000002</v>
      </c>
      <c r="KA25">
        <v>15.34886</v>
      </c>
      <c r="KB25">
        <v>0.22061500000000001</v>
      </c>
      <c r="KC25">
        <v>1.292888</v>
      </c>
      <c r="KD25">
        <v>18.272320000000001</v>
      </c>
      <c r="KE25">
        <v>5.9579040000000001</v>
      </c>
      <c r="KF25">
        <v>16.103079999999999</v>
      </c>
      <c r="KG25">
        <v>35.071359999999999</v>
      </c>
      <c r="KH25">
        <v>6773.5010000000002</v>
      </c>
      <c r="KI25">
        <v>9907.09</v>
      </c>
      <c r="KJ25">
        <v>6444.8239999999996</v>
      </c>
      <c r="KK25">
        <v>3057.6190000000001</v>
      </c>
      <c r="KL25">
        <v>3543.4960000000001</v>
      </c>
      <c r="KM25">
        <v>1170.855</v>
      </c>
      <c r="KN25">
        <v>1235.5419999999999</v>
      </c>
      <c r="KO25">
        <v>0</v>
      </c>
      <c r="KP25">
        <v>29690.07</v>
      </c>
      <c r="KQ25">
        <v>2442.855</v>
      </c>
      <c r="KR25">
        <v>0</v>
      </c>
      <c r="KS25">
        <v>7602.3829999999998</v>
      </c>
      <c r="KT25">
        <v>8869.74</v>
      </c>
      <c r="KU25">
        <v>6160.5550000000003</v>
      </c>
      <c r="KV25">
        <v>3361.123</v>
      </c>
      <c r="KW25">
        <v>3403.7130000000002</v>
      </c>
      <c r="KX25">
        <v>1072.8499999999999</v>
      </c>
      <c r="KY25">
        <v>648.05330000000004</v>
      </c>
      <c r="KZ25">
        <v>0</v>
      </c>
      <c r="LA25">
        <v>26950.400000000001</v>
      </c>
      <c r="LB25">
        <v>4168.0119999999997</v>
      </c>
      <c r="LC25">
        <v>0</v>
      </c>
      <c r="LD25">
        <v>78911739</v>
      </c>
      <c r="LE25" s="21">
        <v>258000000</v>
      </c>
      <c r="LF25" s="21">
        <v>702000000</v>
      </c>
      <c r="LG25" s="21">
        <v>662000000</v>
      </c>
      <c r="LH25" s="21">
        <v>601000000</v>
      </c>
      <c r="LI25" s="21">
        <v>305000000</v>
      </c>
      <c r="LJ25" s="21">
        <v>145000000</v>
      </c>
      <c r="LK25" s="21">
        <v>2.5500000000000001E-6</v>
      </c>
      <c r="LL25" s="21">
        <v>4.8500000000000002E-6</v>
      </c>
      <c r="LM25" s="21">
        <v>8.9299999999999992E-6</v>
      </c>
      <c r="LN25" s="21">
        <v>1.8499999999999999E-5</v>
      </c>
      <c r="LO25" s="21">
        <v>2.73E-5</v>
      </c>
      <c r="LP25" s="21">
        <v>3.8699999999999999E-5</v>
      </c>
      <c r="LQ25" s="21">
        <v>5.6700000000000003E-5</v>
      </c>
      <c r="LR25" s="21">
        <v>107000000</v>
      </c>
      <c r="LS25" s="21">
        <v>291000000</v>
      </c>
      <c r="LT25" s="21">
        <v>712000000</v>
      </c>
      <c r="LU25" s="21">
        <v>644000000</v>
      </c>
      <c r="LV25" s="21">
        <v>574000000</v>
      </c>
      <c r="LW25" s="21">
        <v>288000000</v>
      </c>
      <c r="LX25" s="21">
        <v>136000000</v>
      </c>
      <c r="LY25" s="21">
        <v>3.1999999999999999E-6</v>
      </c>
      <c r="LZ25" s="21">
        <v>6.0700000000000003E-6</v>
      </c>
      <c r="MA25" s="21">
        <v>1.11E-5</v>
      </c>
      <c r="MB25" s="21">
        <v>2.3200000000000001E-5</v>
      </c>
      <c r="MC25" s="21">
        <v>3.43E-5</v>
      </c>
      <c r="MD25" s="21">
        <v>4.8999999999999998E-5</v>
      </c>
      <c r="ME25" s="21">
        <v>7.0400000000000004E-5</v>
      </c>
      <c r="MF25">
        <v>0.33460400000000001</v>
      </c>
      <c r="MG25">
        <v>0.37310100000000002</v>
      </c>
      <c r="MH25">
        <v>0.21183299999999999</v>
      </c>
      <c r="MI25">
        <v>6.9278000000000006E-2</v>
      </c>
      <c r="MJ25">
        <v>1.0847000000000001E-2</v>
      </c>
      <c r="MK25" s="21">
        <v>4.18E-5</v>
      </c>
      <c r="ML25">
        <v>2.9399999999999999E-4</v>
      </c>
      <c r="MM25">
        <v>0.51967699999999994</v>
      </c>
      <c r="MN25">
        <v>0.558616</v>
      </c>
      <c r="MO25">
        <v>0.32040600000000002</v>
      </c>
      <c r="MP25">
        <v>0.109541</v>
      </c>
      <c r="MQ25">
        <v>1.5030999999999999E-2</v>
      </c>
      <c r="MR25">
        <v>-8.2627000000000006E-2</v>
      </c>
      <c r="MS25">
        <v>-0.44064500000000001</v>
      </c>
      <c r="MT25">
        <v>0.3972</v>
      </c>
      <c r="MU25">
        <v>0.31331100000000001</v>
      </c>
      <c r="MV25">
        <v>0.197517</v>
      </c>
      <c r="MW25">
        <v>9.0228000000000003E-2</v>
      </c>
      <c r="MX25">
        <v>1.72E-3</v>
      </c>
      <c r="MY25" s="21">
        <v>3.6600000000000001E-6</v>
      </c>
      <c r="MZ25" s="21">
        <v>2.0400000000000001E-5</v>
      </c>
      <c r="NA25">
        <v>1.287954</v>
      </c>
      <c r="NB25">
        <v>0.96352800000000005</v>
      </c>
      <c r="NC25">
        <v>0.61758800000000003</v>
      </c>
      <c r="ND25">
        <v>0.29513299999999998</v>
      </c>
      <c r="NE25">
        <v>6.0300000000000002E-4</v>
      </c>
      <c r="NF25">
        <v>-0.339314</v>
      </c>
      <c r="NG25">
        <v>-1.825491</v>
      </c>
      <c r="NH25">
        <v>6.5170000000000002E-3</v>
      </c>
      <c r="NI25">
        <v>6.5979999999999997E-3</v>
      </c>
      <c r="NJ25">
        <v>8.2950000000000003E-3</v>
      </c>
      <c r="NK25">
        <v>2.6581E-2</v>
      </c>
      <c r="NL25">
        <v>3.0594E-2</v>
      </c>
      <c r="NM25">
        <v>8.1606999999999999E-2</v>
      </c>
      <c r="NN25">
        <v>6.5170000000000002E-3</v>
      </c>
      <c r="NO25">
        <v>6.5979999999999997E-3</v>
      </c>
      <c r="NP25">
        <v>8.2950000000000003E-3</v>
      </c>
      <c r="NQ25">
        <v>2.6581E-2</v>
      </c>
      <c r="NR25">
        <v>3.0594E-2</v>
      </c>
      <c r="NS25">
        <v>8.1606999999999999E-2</v>
      </c>
      <c r="NT25">
        <v>1.4807000000000001E-2</v>
      </c>
      <c r="NU25">
        <v>1.5037E-2</v>
      </c>
      <c r="NV25">
        <v>1.7809999999999999E-2</v>
      </c>
      <c r="NW25">
        <v>3.6287E-2</v>
      </c>
      <c r="NX25">
        <v>4.0923000000000001E-2</v>
      </c>
      <c r="NY25">
        <v>9.0901999999999997E-2</v>
      </c>
      <c r="NZ25">
        <v>1.4807000000000001E-2</v>
      </c>
      <c r="OA25">
        <v>1.5037E-2</v>
      </c>
      <c r="OB25">
        <v>1.7809999999999999E-2</v>
      </c>
      <c r="OC25">
        <v>3.6287E-2</v>
      </c>
      <c r="OD25">
        <v>4.0923000000000001E-2</v>
      </c>
      <c r="OE25">
        <v>9.0901999999999997E-2</v>
      </c>
      <c r="OF25">
        <v>48.289670000000001</v>
      </c>
      <c r="OG25">
        <v>31476.86</v>
      </c>
      <c r="OH25">
        <v>18224.95</v>
      </c>
      <c r="OI25">
        <v>8307.1849999999995</v>
      </c>
      <c r="OJ25">
        <v>38.161029999999997</v>
      </c>
      <c r="OK25">
        <v>27771.439999999999</v>
      </c>
      <c r="OL25">
        <v>17649.3</v>
      </c>
      <c r="OM25">
        <v>7986.634</v>
      </c>
      <c r="ON25">
        <v>1497885</v>
      </c>
      <c r="OO25">
        <v>1519600</v>
      </c>
      <c r="OP25">
        <v>11035.91</v>
      </c>
      <c r="OQ25">
        <v>6166.2430000000004</v>
      </c>
      <c r="OR25">
        <v>5246.9719999999998</v>
      </c>
      <c r="OS25">
        <v>508.78739999999999</v>
      </c>
      <c r="OT25">
        <v>1576.835</v>
      </c>
      <c r="OU25">
        <v>1270.4069999999999</v>
      </c>
      <c r="OV25">
        <v>324.9871</v>
      </c>
      <c r="OW25">
        <v>1274.354</v>
      </c>
      <c r="OX25">
        <v>1343.7339999999999</v>
      </c>
      <c r="OY25">
        <v>1074.1590000000001</v>
      </c>
      <c r="OZ25">
        <v>621.30669999999998</v>
      </c>
      <c r="PA25">
        <v>20283.03</v>
      </c>
      <c r="PB25">
        <v>7123.067</v>
      </c>
      <c r="PC25">
        <v>1149.7909999999999</v>
      </c>
      <c r="PD25">
        <v>2054.4850000000001</v>
      </c>
      <c r="PE25">
        <v>6237.6639999999998</v>
      </c>
      <c r="PF25">
        <v>1357.8630000000001</v>
      </c>
      <c r="PG25">
        <v>2504.6320000000001</v>
      </c>
      <c r="PH25">
        <v>193798</v>
      </c>
      <c r="PI25">
        <v>82804.98</v>
      </c>
      <c r="PJ25">
        <v>1.7918229999999999</v>
      </c>
      <c r="PK25">
        <v>571.69290000000001</v>
      </c>
      <c r="PL25">
        <v>113.8569</v>
      </c>
      <c r="PM25">
        <v>1726.837</v>
      </c>
      <c r="PN25">
        <v>444.55880000000002</v>
      </c>
      <c r="PO25">
        <v>160.22450000000001</v>
      </c>
      <c r="PP25">
        <v>249.90190000000001</v>
      </c>
      <c r="PQ25">
        <v>566.48199999999997</v>
      </c>
      <c r="PR25">
        <v>95.249380000000002</v>
      </c>
      <c r="PS25">
        <v>589.88279999999997</v>
      </c>
      <c r="PT25">
        <v>1273.723</v>
      </c>
      <c r="PU25">
        <v>466.5951</v>
      </c>
      <c r="PV25">
        <v>842.47569999999996</v>
      </c>
      <c r="PW25">
        <v>66.493889999999993</v>
      </c>
      <c r="PX25">
        <v>142.21680000000001</v>
      </c>
      <c r="PY25">
        <v>777.1173</v>
      </c>
      <c r="PZ25">
        <v>140.67840000000001</v>
      </c>
      <c r="QA25">
        <v>355987</v>
      </c>
      <c r="QB25">
        <v>8284.4030000000002</v>
      </c>
      <c r="QC25">
        <v>79557.73</v>
      </c>
      <c r="QD25">
        <v>11088.86</v>
      </c>
      <c r="QE25">
        <v>14051.79</v>
      </c>
      <c r="QF25">
        <v>9460.4079999999994</v>
      </c>
      <c r="QG25">
        <v>3545.14</v>
      </c>
      <c r="QH25">
        <v>773.41790000000003</v>
      </c>
      <c r="QI25">
        <v>4.2334690000000004</v>
      </c>
      <c r="QJ25">
        <v>39.396810000000002</v>
      </c>
      <c r="QK25">
        <v>11557.57</v>
      </c>
      <c r="QL25">
        <v>6524.402</v>
      </c>
      <c r="QM25">
        <v>5103.616</v>
      </c>
      <c r="QN25">
        <v>548.45939999999996</v>
      </c>
      <c r="QO25">
        <v>1752.587</v>
      </c>
      <c r="QP25">
        <v>1320.039</v>
      </c>
      <c r="QQ25">
        <v>404.86669999999998</v>
      </c>
      <c r="QR25">
        <v>1283.6079999999999</v>
      </c>
      <c r="QS25">
        <v>1338.6189999999999</v>
      </c>
      <c r="QT25">
        <v>1310.1690000000001</v>
      </c>
      <c r="QU25">
        <v>643.74530000000004</v>
      </c>
      <c r="QV25">
        <v>20714.240000000002</v>
      </c>
      <c r="QW25">
        <v>7392.1149999999998</v>
      </c>
      <c r="QX25">
        <v>1237.9860000000001</v>
      </c>
      <c r="QY25">
        <v>2215.0909999999999</v>
      </c>
      <c r="QZ25">
        <v>6793.0709999999999</v>
      </c>
      <c r="RA25">
        <v>1391.18</v>
      </c>
      <c r="RB25">
        <v>2837.61</v>
      </c>
      <c r="RC25">
        <v>196957.3</v>
      </c>
      <c r="RD25">
        <v>83392.639999999999</v>
      </c>
      <c r="RE25">
        <v>0.71713899999999997</v>
      </c>
      <c r="RF25">
        <v>511.42290000000003</v>
      </c>
      <c r="RG25">
        <v>74.544600000000003</v>
      </c>
      <c r="RH25">
        <v>1181.6610000000001</v>
      </c>
      <c r="RI25">
        <v>7.7924730000000002</v>
      </c>
      <c r="RJ25">
        <v>159.29</v>
      </c>
      <c r="RK25">
        <v>0.80212600000000001</v>
      </c>
      <c r="RL25">
        <v>9997.41</v>
      </c>
      <c r="RM25">
        <v>3394.91</v>
      </c>
      <c r="RN25">
        <v>740.20550000000003</v>
      </c>
      <c r="RO25">
        <v>821.827</v>
      </c>
      <c r="RP25">
        <v>312.60449999999997</v>
      </c>
      <c r="RQ25">
        <v>927.44399999999996</v>
      </c>
      <c r="RR25">
        <v>288.73849999999999</v>
      </c>
      <c r="RS25">
        <v>178.73759999999999</v>
      </c>
      <c r="RT25">
        <v>743.66700000000003</v>
      </c>
      <c r="RU25">
        <v>832.52689999999996</v>
      </c>
      <c r="RV25">
        <v>374893.2</v>
      </c>
      <c r="RW25">
        <v>11650.98</v>
      </c>
      <c r="RX25">
        <v>77876.81</v>
      </c>
      <c r="RY25">
        <v>11324.4</v>
      </c>
      <c r="RZ25">
        <v>10151.530000000001</v>
      </c>
      <c r="SA25">
        <v>7588.7809999999999</v>
      </c>
      <c r="SB25">
        <v>3972.165</v>
      </c>
      <c r="SC25">
        <v>105.5044</v>
      </c>
      <c r="SD25">
        <v>0.318888</v>
      </c>
      <c r="SE25">
        <v>2.3441049999999999</v>
      </c>
      <c r="SF25">
        <v>33421.620000000003</v>
      </c>
      <c r="SG25">
        <v>48.289670000000001</v>
      </c>
      <c r="SH25">
        <v>7577.8860000000004</v>
      </c>
      <c r="SI25">
        <v>17488.259999999998</v>
      </c>
      <c r="SJ25">
        <v>8307.1849999999995</v>
      </c>
      <c r="SK25">
        <v>31098.22</v>
      </c>
      <c r="SL25">
        <v>38.161029999999997</v>
      </c>
      <c r="SM25">
        <v>6680.46</v>
      </c>
      <c r="SN25">
        <v>16392.97</v>
      </c>
      <c r="SO25">
        <v>7986.634</v>
      </c>
      <c r="SP25">
        <v>120112.2</v>
      </c>
      <c r="SQ25">
        <v>67544.600000000006</v>
      </c>
      <c r="SR25">
        <v>124919.8</v>
      </c>
      <c r="SS25">
        <v>68682.92</v>
      </c>
      <c r="ST25">
        <v>37.295949999999998</v>
      </c>
      <c r="SU25">
        <v>0.29085</v>
      </c>
      <c r="SV25">
        <v>5.4540769999999998</v>
      </c>
      <c r="SW25">
        <v>12.486219999999999</v>
      </c>
      <c r="SX25">
        <v>19.064810000000001</v>
      </c>
      <c r="SY25">
        <v>35.071359999999999</v>
      </c>
      <c r="SZ25">
        <v>0.22984499999999999</v>
      </c>
      <c r="TA25">
        <v>4.8081670000000001</v>
      </c>
      <c r="TB25">
        <v>11.7042</v>
      </c>
      <c r="TC25">
        <v>18.329149999999998</v>
      </c>
      <c r="TD25">
        <v>26095.85</v>
      </c>
      <c r="TE25">
        <v>830.09249999999997</v>
      </c>
      <c r="TF25">
        <v>510.32490000000001</v>
      </c>
      <c r="TG25">
        <v>222.82159999999999</v>
      </c>
      <c r="TH25">
        <v>53.095140000000001</v>
      </c>
      <c r="TI25">
        <v>107.0095</v>
      </c>
      <c r="TJ25">
        <v>89.894130000000004</v>
      </c>
      <c r="TK25">
        <v>27.425920000000001</v>
      </c>
      <c r="TL25">
        <v>32.750459999999997</v>
      </c>
      <c r="TM25">
        <v>173.85640000000001</v>
      </c>
      <c r="TN25">
        <v>43.498429999999999</v>
      </c>
      <c r="TO25">
        <v>28.08548</v>
      </c>
      <c r="TP25">
        <v>2121.7260000000001</v>
      </c>
      <c r="TQ25">
        <v>2012.37</v>
      </c>
      <c r="TR25">
        <v>100.7683</v>
      </c>
      <c r="TS25">
        <v>177.78110000000001</v>
      </c>
      <c r="TT25">
        <v>431.33260000000001</v>
      </c>
      <c r="TU25">
        <v>43.822400000000002</v>
      </c>
      <c r="TV25">
        <v>76.041200000000003</v>
      </c>
      <c r="TW25">
        <v>12439.13</v>
      </c>
      <c r="TX25">
        <v>6450.6750000000002</v>
      </c>
      <c r="TY25">
        <v>0.50829299999999999</v>
      </c>
      <c r="TZ25">
        <v>10.152889999999999</v>
      </c>
      <c r="UA25">
        <v>5.2297039999999999</v>
      </c>
      <c r="UB25">
        <v>58.515610000000002</v>
      </c>
      <c r="UC25">
        <v>0.70807500000000001</v>
      </c>
      <c r="UD25">
        <v>2.3556300000000001</v>
      </c>
      <c r="UE25">
        <v>4.2983269999999996</v>
      </c>
      <c r="UF25">
        <v>1.6146020000000001</v>
      </c>
      <c r="UG25">
        <v>0.77721300000000004</v>
      </c>
      <c r="UH25">
        <v>10.2981</v>
      </c>
      <c r="UI25">
        <v>5.076149</v>
      </c>
      <c r="UJ25">
        <v>15.10732</v>
      </c>
      <c r="UK25">
        <v>5.7393340000000004</v>
      </c>
      <c r="UL25">
        <v>0.431205</v>
      </c>
      <c r="UM25">
        <v>0.47665000000000002</v>
      </c>
      <c r="UN25">
        <v>1.698861</v>
      </c>
      <c r="UO25">
        <v>0.35561900000000002</v>
      </c>
      <c r="UP25">
        <v>26318.69</v>
      </c>
      <c r="UQ25">
        <v>831.81359999999995</v>
      </c>
      <c r="UR25">
        <v>516.44240000000002</v>
      </c>
      <c r="US25">
        <v>217.2791</v>
      </c>
      <c r="UT25">
        <v>54.937190000000001</v>
      </c>
      <c r="UU25">
        <v>113.42100000000001</v>
      </c>
      <c r="UV25">
        <v>93.602900000000005</v>
      </c>
      <c r="UW25">
        <v>27.757930000000002</v>
      </c>
      <c r="UX25">
        <v>32.954599999999999</v>
      </c>
      <c r="UY25">
        <v>179.9666</v>
      </c>
      <c r="UZ25">
        <v>45.001919999999998</v>
      </c>
      <c r="VA25">
        <v>27.767659999999999</v>
      </c>
      <c r="VB25">
        <v>2131.2310000000002</v>
      </c>
      <c r="VC25">
        <v>2067.3960000000002</v>
      </c>
      <c r="VD25">
        <v>105.8152</v>
      </c>
      <c r="VE25">
        <v>186.13079999999999</v>
      </c>
      <c r="VF25">
        <v>430.8116</v>
      </c>
      <c r="VG25">
        <v>40.402099999999997</v>
      </c>
      <c r="VH25">
        <v>78.600009999999997</v>
      </c>
      <c r="VI25">
        <v>12541.47</v>
      </c>
      <c r="VJ25">
        <v>6460.2659999999996</v>
      </c>
      <c r="VK25">
        <v>0.25506800000000002</v>
      </c>
      <c r="VL25">
        <v>9.3662019999999995</v>
      </c>
      <c r="VM25">
        <v>3.6401379999999999</v>
      </c>
      <c r="VN25">
        <v>41.89996</v>
      </c>
      <c r="VO25">
        <v>3.2568E-2</v>
      </c>
      <c r="VP25">
        <v>2.339674</v>
      </c>
      <c r="VQ25">
        <v>4.1453999999999998E-2</v>
      </c>
      <c r="VR25">
        <v>19.058240000000001</v>
      </c>
      <c r="VS25">
        <v>19.912240000000001</v>
      </c>
      <c r="VT25">
        <v>12.08479</v>
      </c>
      <c r="VU25">
        <v>3.716377</v>
      </c>
      <c r="VV25">
        <v>10.996230000000001</v>
      </c>
      <c r="VW25">
        <v>6.5764550000000002</v>
      </c>
      <c r="VX25">
        <v>1.6213949999999999</v>
      </c>
      <c r="VY25">
        <v>0.59833199999999997</v>
      </c>
      <c r="VZ25">
        <v>1.693222</v>
      </c>
      <c r="WA25">
        <v>1.7859069999999999</v>
      </c>
      <c r="WB25">
        <v>9.2839000000000005E-2</v>
      </c>
      <c r="WC25">
        <v>8.2772999999999999E-2</v>
      </c>
      <c r="WD25">
        <v>-1.4226000000000001E-2</v>
      </c>
      <c r="WE25">
        <v>-1.1226E-2</v>
      </c>
      <c r="WF25">
        <v>0.61500600000000005</v>
      </c>
      <c r="WG25">
        <v>0.52830999999999995</v>
      </c>
      <c r="WH25">
        <v>-2.0601000000000001E-2</v>
      </c>
      <c r="WI25">
        <v>-1.259E-2</v>
      </c>
      <c r="WJ25">
        <v>2405951</v>
      </c>
      <c r="WK25">
        <v>2434004</v>
      </c>
    </row>
    <row r="26" spans="1:609" x14ac:dyDescent="0.25">
      <c r="A26">
        <v>2027</v>
      </c>
      <c r="B26">
        <v>1.290278</v>
      </c>
      <c r="C26">
        <v>136.8477</v>
      </c>
      <c r="D26">
        <v>1.702496</v>
      </c>
      <c r="E26">
        <v>6.0449020000000004</v>
      </c>
      <c r="F26">
        <v>-2.0968979999999999</v>
      </c>
      <c r="G26">
        <v>0.34393800000000002</v>
      </c>
      <c r="H26">
        <v>-1.1071200000000001</v>
      </c>
      <c r="I26">
        <v>0.94935899999999995</v>
      </c>
      <c r="J26">
        <v>5.8432899999999997</v>
      </c>
      <c r="K26">
        <v>-0.25921</v>
      </c>
      <c r="L26">
        <v>6.1183589999999999</v>
      </c>
      <c r="M26">
        <v>0.77746800000000005</v>
      </c>
      <c r="N26">
        <v>0</v>
      </c>
      <c r="O26">
        <v>-9.6519119999999994</v>
      </c>
      <c r="P26">
        <v>-0.88819599999999999</v>
      </c>
      <c r="Q26">
        <v>-29.573270000000001</v>
      </c>
      <c r="R26">
        <v>67.262910000000005</v>
      </c>
      <c r="S26">
        <v>81.225239999999999</v>
      </c>
      <c r="T26">
        <v>226.4057</v>
      </c>
      <c r="U26">
        <v>92.28219</v>
      </c>
      <c r="V26">
        <v>180.26679999999999</v>
      </c>
      <c r="W26">
        <v>1.9171020000000001</v>
      </c>
      <c r="X26">
        <v>47418.73</v>
      </c>
      <c r="Y26">
        <v>0.12494</v>
      </c>
      <c r="Z26">
        <v>0.157111</v>
      </c>
      <c r="AA26">
        <v>-0.744008</v>
      </c>
      <c r="AB26">
        <v>-0.92094900000000002</v>
      </c>
      <c r="AC26">
        <v>4.3327999999999998E-2</v>
      </c>
      <c r="AD26">
        <v>48673.49</v>
      </c>
      <c r="AE26">
        <v>111575.9</v>
      </c>
      <c r="AF26">
        <v>141715.6</v>
      </c>
      <c r="AG26">
        <v>-8145.3010000000004</v>
      </c>
      <c r="AH26">
        <v>125152.5</v>
      </c>
      <c r="AI26">
        <v>-3.5799999999999997E-4</v>
      </c>
      <c r="AJ26">
        <v>135.72389999999999</v>
      </c>
      <c r="AK26">
        <v>501.15839999999997</v>
      </c>
      <c r="AL26">
        <v>156.7713</v>
      </c>
      <c r="AM26">
        <v>81.951080000000005</v>
      </c>
      <c r="AN26">
        <v>302.60320000000002</v>
      </c>
      <c r="AO26">
        <v>94.659689999999998</v>
      </c>
      <c r="AP26">
        <v>486.83620000000002</v>
      </c>
      <c r="AQ26">
        <v>293.95530000000002</v>
      </c>
      <c r="AR26">
        <v>573.8297</v>
      </c>
      <c r="AS26">
        <v>505.85789999999997</v>
      </c>
      <c r="AT26">
        <v>1040.403</v>
      </c>
      <c r="AU26">
        <v>417.90269999999998</v>
      </c>
      <c r="AV26">
        <v>160.96019999999999</v>
      </c>
      <c r="AW26">
        <v>1.3547640000000001</v>
      </c>
      <c r="AX26">
        <v>1.9310099999999999</v>
      </c>
      <c r="AY26">
        <v>2.097499</v>
      </c>
      <c r="AZ26">
        <v>-3.3892310000000001</v>
      </c>
      <c r="BA26">
        <v>4.1223080000000003</v>
      </c>
      <c r="BB26">
        <v>6.3231099999999998</v>
      </c>
      <c r="BC26">
        <v>3.8792360000000001</v>
      </c>
      <c r="BD26">
        <v>10.058619999999999</v>
      </c>
      <c r="BE26">
        <v>-0.20433799999999999</v>
      </c>
      <c r="BF26">
        <v>2.8760400000000002</v>
      </c>
      <c r="BG26">
        <v>5.9400009999999996</v>
      </c>
      <c r="BH26">
        <v>-4.7306000000000001E-2</v>
      </c>
      <c r="BI26">
        <v>0.70124799999999998</v>
      </c>
      <c r="BJ26">
        <v>3.335718</v>
      </c>
      <c r="BK26">
        <v>7.2948919999999999</v>
      </c>
      <c r="BL26">
        <v>7.1272659999999997</v>
      </c>
      <c r="BM26">
        <v>1.1679889999999999</v>
      </c>
      <c r="BN26">
        <v>-7.6009729999999998</v>
      </c>
      <c r="BO26">
        <v>3.376242</v>
      </c>
      <c r="BP26">
        <v>1.064632</v>
      </c>
      <c r="BQ26">
        <v>0.33141599999999999</v>
      </c>
      <c r="BR26">
        <v>-63.289290000000001</v>
      </c>
      <c r="BS26">
        <v>-12.537140000000001</v>
      </c>
      <c r="BT26">
        <v>-175.75299999999999</v>
      </c>
      <c r="BU26">
        <v>-33.353720000000003</v>
      </c>
      <c r="BV26">
        <v>-97.274389999999997</v>
      </c>
      <c r="BW26">
        <v>-2.6585830000000001</v>
      </c>
      <c r="BX26">
        <v>-98.139309999999995</v>
      </c>
      <c r="BY26">
        <v>1046.5419999999999</v>
      </c>
      <c r="BZ26">
        <v>2635.7379999999998</v>
      </c>
      <c r="CA26">
        <v>1.490653</v>
      </c>
      <c r="CB26">
        <v>-8.496855</v>
      </c>
      <c r="CC26">
        <v>-43.620570000000001</v>
      </c>
      <c r="CD26">
        <v>14.461970000000001</v>
      </c>
      <c r="CE26">
        <v>347.47770000000003</v>
      </c>
      <c r="CF26">
        <v>27.113969999999998</v>
      </c>
      <c r="CG26">
        <v>-0.54586999999999997</v>
      </c>
      <c r="CH26">
        <v>469.74360000000001</v>
      </c>
      <c r="CI26">
        <v>5.7113310000000004</v>
      </c>
      <c r="CJ26">
        <v>6.5539170000000002</v>
      </c>
      <c r="CK26">
        <v>-3.282257</v>
      </c>
      <c r="CL26">
        <v>9.1361830000000008</v>
      </c>
      <c r="CM26">
        <v>13.49987</v>
      </c>
      <c r="CN26">
        <v>4.6656230000000001</v>
      </c>
      <c r="CO26">
        <v>27.899730000000002</v>
      </c>
      <c r="CP26">
        <v>1.001064</v>
      </c>
      <c r="CQ26">
        <v>-0.45929399999999998</v>
      </c>
      <c r="CR26">
        <v>24.25047</v>
      </c>
      <c r="CS26">
        <v>4.0433070000000004</v>
      </c>
      <c r="CT26">
        <v>2.3889140000000002</v>
      </c>
      <c r="CU26">
        <v>4.2817879999999997</v>
      </c>
      <c r="CV26">
        <v>9.1920610000000007</v>
      </c>
      <c r="CW26">
        <v>9.9010099999999994</v>
      </c>
      <c r="CX26">
        <v>11.536849999999999</v>
      </c>
      <c r="CY26">
        <v>4.7960609999999999</v>
      </c>
      <c r="CZ26">
        <v>17.879740000000002</v>
      </c>
      <c r="DA26">
        <v>1.812011</v>
      </c>
      <c r="DB26">
        <v>0.79709200000000002</v>
      </c>
      <c r="DC26">
        <v>-61.039470000000001</v>
      </c>
      <c r="DD26">
        <v>-12.293200000000001</v>
      </c>
      <c r="DE26">
        <v>-28.785869999999999</v>
      </c>
      <c r="DF26">
        <v>-35.12368</v>
      </c>
      <c r="DG26">
        <v>-98.135040000000004</v>
      </c>
      <c r="DH26">
        <v>-1.644606</v>
      </c>
      <c r="DI26">
        <v>-99.635310000000004</v>
      </c>
      <c r="DJ26">
        <v>1785.0360000000001</v>
      </c>
      <c r="DK26">
        <v>4262.8180000000002</v>
      </c>
      <c r="DL26">
        <v>16.650390000000002</v>
      </c>
      <c r="DM26">
        <v>-27.160599999999999</v>
      </c>
      <c r="DN26">
        <v>-37.125680000000003</v>
      </c>
      <c r="DO26">
        <v>13.051970000000001</v>
      </c>
      <c r="DP26">
        <v>413.84800000000001</v>
      </c>
      <c r="DQ26">
        <v>30.52852</v>
      </c>
      <c r="DR26">
        <v>-3.233708</v>
      </c>
      <c r="DS26">
        <v>608.70569999999998</v>
      </c>
      <c r="DT26">
        <v>2.3602000000000001E-2</v>
      </c>
      <c r="DU26">
        <v>2.2860710000000002</v>
      </c>
      <c r="DV26">
        <v>-12.845969999999999</v>
      </c>
      <c r="DW26">
        <v>3.7353360000000002</v>
      </c>
      <c r="DX26">
        <v>2.934355</v>
      </c>
      <c r="DY26">
        <v>3.2424719999999998</v>
      </c>
      <c r="DZ26">
        <v>1.218445</v>
      </c>
      <c r="EA26">
        <v>2.4813860000000001</v>
      </c>
      <c r="EB26">
        <v>4.9933329999999998</v>
      </c>
      <c r="EC26">
        <v>0</v>
      </c>
      <c r="ED26">
        <v>3.237711</v>
      </c>
      <c r="EE26">
        <v>2.9628429999999999</v>
      </c>
      <c r="EF26">
        <v>4.121467</v>
      </c>
      <c r="EG26">
        <v>6.2430709999999996</v>
      </c>
      <c r="EH26">
        <v>10.944419999999999</v>
      </c>
      <c r="EI26">
        <v>-1.7167969999999999</v>
      </c>
      <c r="EJ26">
        <v>-0.122601</v>
      </c>
      <c r="EK26">
        <v>-3.9306329999999998</v>
      </c>
      <c r="EL26">
        <v>2.600206</v>
      </c>
      <c r="EM26">
        <v>2.6392199999999999</v>
      </c>
      <c r="EN26">
        <v>-22.292649999999998</v>
      </c>
      <c r="EO26">
        <v>-12.864190000000001</v>
      </c>
      <c r="EP26">
        <v>-3.973875</v>
      </c>
      <c r="EQ26">
        <v>-4.0384310000000001</v>
      </c>
      <c r="ER26">
        <v>7.7564590000000004</v>
      </c>
      <c r="ES26">
        <v>74.037099999999995</v>
      </c>
      <c r="ET26">
        <v>2.112546</v>
      </c>
      <c r="EU26">
        <v>34.643700000000003</v>
      </c>
      <c r="EV26">
        <v>0.55434300000000003</v>
      </c>
      <c r="EW26">
        <v>2.0252720000000002</v>
      </c>
      <c r="EX26">
        <v>2.5576599999999998</v>
      </c>
      <c r="EY26">
        <v>0.80756399999999995</v>
      </c>
      <c r="EZ26">
        <v>0.107027</v>
      </c>
      <c r="FA26">
        <v>5.4583539999999999</v>
      </c>
      <c r="FB26">
        <v>1.751344</v>
      </c>
      <c r="FC26">
        <v>34.338740000000001</v>
      </c>
      <c r="FD26">
        <v>9.354419</v>
      </c>
      <c r="FE26">
        <v>0.56496999999999997</v>
      </c>
      <c r="FF26">
        <v>0.87060899999999997</v>
      </c>
      <c r="FG26">
        <v>1.5652440000000001</v>
      </c>
      <c r="FH26">
        <v>0.35194799999999998</v>
      </c>
      <c r="FI26">
        <v>5.0150639999999997</v>
      </c>
      <c r="FJ26">
        <v>64.462670000000003</v>
      </c>
      <c r="FK26">
        <v>1.666061</v>
      </c>
      <c r="FL26">
        <v>23.161470000000001</v>
      </c>
      <c r="FM26">
        <v>3.8004999999999997E-2</v>
      </c>
      <c r="FN26">
        <v>1.9712400000000001</v>
      </c>
      <c r="FO26">
        <v>4.3552E-2</v>
      </c>
      <c r="FP26">
        <v>9.2657640000000008</v>
      </c>
      <c r="FQ26">
        <v>2.9313850000000001</v>
      </c>
      <c r="FR26">
        <v>5.5442109999999998</v>
      </c>
      <c r="FS26">
        <v>1.5913109999999999</v>
      </c>
      <c r="FT26">
        <v>24.082909999999998</v>
      </c>
      <c r="FU26">
        <v>11.525639999999999</v>
      </c>
      <c r="FV26">
        <v>2.7275160000000001</v>
      </c>
      <c r="FW26">
        <v>1.193235</v>
      </c>
      <c r="FX26">
        <v>1.66587</v>
      </c>
      <c r="FY26">
        <v>2.218988</v>
      </c>
      <c r="FZ26">
        <v>5.5652609999999996</v>
      </c>
      <c r="GA26">
        <v>57.69012</v>
      </c>
      <c r="GB26">
        <v>2.112546</v>
      </c>
      <c r="GC26">
        <v>30.70242</v>
      </c>
      <c r="GD26">
        <v>0.49127700000000002</v>
      </c>
      <c r="GE26">
        <v>1.794864</v>
      </c>
      <c r="GF26">
        <v>2.2666849999999998</v>
      </c>
      <c r="GG26">
        <v>0.71569099999999997</v>
      </c>
      <c r="GH26">
        <v>9.4851000000000005E-2</v>
      </c>
      <c r="GI26">
        <v>4.8373780000000002</v>
      </c>
      <c r="GJ26">
        <v>1.5521</v>
      </c>
      <c r="GK26">
        <v>32.402909999999999</v>
      </c>
      <c r="GL26">
        <v>9.354419</v>
      </c>
      <c r="GM26">
        <v>0.56496999999999997</v>
      </c>
      <c r="GN26">
        <v>0.87060899999999997</v>
      </c>
      <c r="GO26">
        <v>1.5652440000000001</v>
      </c>
      <c r="GP26">
        <v>0.35194799999999998</v>
      </c>
      <c r="GQ26">
        <v>2.8715470000000001</v>
      </c>
      <c r="GR26">
        <v>48.570039999999999</v>
      </c>
      <c r="GS26">
        <v>1.666061</v>
      </c>
      <c r="GT26">
        <v>20.327829999999999</v>
      </c>
      <c r="GU26">
        <v>3.3355999999999997E-2</v>
      </c>
      <c r="GV26">
        <v>1.730073</v>
      </c>
      <c r="GW26">
        <v>3.8224000000000001E-2</v>
      </c>
      <c r="GX26">
        <v>8.1321639999999995</v>
      </c>
      <c r="GY26">
        <v>2.5727509999999998</v>
      </c>
      <c r="GZ26">
        <v>4.8659169999999996</v>
      </c>
      <c r="HA26">
        <v>1.3966259999999999</v>
      </c>
      <c r="HB26">
        <v>22.200890000000001</v>
      </c>
      <c r="HC26">
        <v>11.525639999999999</v>
      </c>
      <c r="HD26">
        <v>2.7275160000000001</v>
      </c>
      <c r="HE26">
        <v>1.193235</v>
      </c>
      <c r="HF26">
        <v>1.66587</v>
      </c>
      <c r="HG26">
        <v>2.218988</v>
      </c>
      <c r="HH26">
        <v>5.6656370000000003</v>
      </c>
      <c r="HI26">
        <v>62.007860000000001</v>
      </c>
      <c r="HJ26">
        <v>2.112546</v>
      </c>
      <c r="HK26">
        <v>125.0658</v>
      </c>
      <c r="HL26">
        <v>1.197389</v>
      </c>
      <c r="HM26">
        <v>4.3746200000000002</v>
      </c>
      <c r="HN26">
        <v>5.5245870000000004</v>
      </c>
      <c r="HO26">
        <v>0.87303699999999995</v>
      </c>
      <c r="HP26">
        <v>0.115704</v>
      </c>
      <c r="HQ26">
        <v>5.9008859999999999</v>
      </c>
      <c r="HR26">
        <v>5.1190100000000003</v>
      </c>
      <c r="HS26">
        <v>32.625549999999997</v>
      </c>
      <c r="HT26">
        <v>9.4943249999999999</v>
      </c>
      <c r="HU26">
        <v>0.57342000000000004</v>
      </c>
      <c r="HV26">
        <v>0.88363000000000003</v>
      </c>
      <c r="HW26">
        <v>1.588654</v>
      </c>
      <c r="HX26">
        <v>0.35721199999999997</v>
      </c>
      <c r="HY26">
        <v>2.9085200000000002</v>
      </c>
      <c r="HZ26">
        <v>52.114870000000003</v>
      </c>
      <c r="IA26">
        <v>1.666061</v>
      </c>
      <c r="IB26">
        <v>77.388670000000005</v>
      </c>
      <c r="IC26">
        <v>3.8004999999999997E-2</v>
      </c>
      <c r="ID26">
        <v>4.0892150000000003</v>
      </c>
      <c r="IE26">
        <v>4.3552E-2</v>
      </c>
      <c r="IF26">
        <v>9.9603380000000001</v>
      </c>
      <c r="IG26">
        <v>3.1511260000000001</v>
      </c>
      <c r="IH26">
        <v>5.9598129999999996</v>
      </c>
      <c r="II26">
        <v>4.9103729999999999</v>
      </c>
      <c r="IJ26">
        <v>22.50966</v>
      </c>
      <c r="IK26">
        <v>11.942640000000001</v>
      </c>
      <c r="IL26">
        <v>2.7717540000000001</v>
      </c>
      <c r="IM26">
        <v>1.2594129999999999</v>
      </c>
      <c r="IN26">
        <v>1.755819</v>
      </c>
      <c r="IO26">
        <v>2.2615599999999998</v>
      </c>
      <c r="IP26">
        <v>4.4989999999999997</v>
      </c>
      <c r="IQ26">
        <v>5.3434609999999996</v>
      </c>
      <c r="IR26">
        <v>0.68468600000000002</v>
      </c>
      <c r="IS26">
        <v>1.80226</v>
      </c>
      <c r="IT26">
        <v>4.0060409999999997</v>
      </c>
      <c r="IU26">
        <v>4.2032749999999997</v>
      </c>
      <c r="IV26">
        <v>5.0644609999999997</v>
      </c>
      <c r="IW26">
        <v>6.2140709999999997</v>
      </c>
      <c r="IX26">
        <v>0.80420599999999998</v>
      </c>
      <c r="IY26">
        <v>6.5667730000000004</v>
      </c>
      <c r="IZ26">
        <v>1.796357</v>
      </c>
      <c r="JA26">
        <v>8.2564360000000008</v>
      </c>
      <c r="JB26">
        <v>0.40190700000000001</v>
      </c>
      <c r="JC26">
        <v>1.325337</v>
      </c>
      <c r="JD26">
        <v>0.84540400000000004</v>
      </c>
      <c r="JE26">
        <v>18.332249999999998</v>
      </c>
      <c r="JF26">
        <v>0.35213</v>
      </c>
      <c r="JG26">
        <v>1.8270120000000001</v>
      </c>
      <c r="JH26">
        <v>19.633649999999999</v>
      </c>
      <c r="JI26">
        <v>6.5273729999999999</v>
      </c>
      <c r="JJ26">
        <v>17.413229999999999</v>
      </c>
      <c r="JK26">
        <v>37.033969999999997</v>
      </c>
      <c r="JL26">
        <v>3.6957230000000001</v>
      </c>
      <c r="JM26">
        <v>4.7034050000000001</v>
      </c>
      <c r="JN26">
        <v>0.61930700000000005</v>
      </c>
      <c r="JO26">
        <v>1.4772179999999999</v>
      </c>
      <c r="JP26">
        <v>3.159484</v>
      </c>
      <c r="JQ26">
        <v>3.6263420000000002</v>
      </c>
      <c r="JR26">
        <v>4.154388</v>
      </c>
      <c r="JS26">
        <v>5.7220339999999998</v>
      </c>
      <c r="JT26">
        <v>0.75997599999999998</v>
      </c>
      <c r="JU26">
        <v>4.0500090000000002</v>
      </c>
      <c r="JV26">
        <v>1.52738</v>
      </c>
      <c r="JW26">
        <v>7.2974319999999997</v>
      </c>
      <c r="JX26">
        <v>0.30538900000000002</v>
      </c>
      <c r="JY26">
        <v>1.2614449999999999</v>
      </c>
      <c r="JZ26">
        <v>0.83123100000000005</v>
      </c>
      <c r="KA26">
        <v>14.75977</v>
      </c>
      <c r="KB26">
        <v>0.20194200000000001</v>
      </c>
      <c r="KC26">
        <v>1.1982550000000001</v>
      </c>
      <c r="KD26">
        <v>18.195029999999999</v>
      </c>
      <c r="KE26">
        <v>5.932715</v>
      </c>
      <c r="KF26">
        <v>15.696429999999999</v>
      </c>
      <c r="KG26">
        <v>34.561810000000001</v>
      </c>
      <c r="KH26">
        <v>7086.9780000000001</v>
      </c>
      <c r="KI26">
        <v>10043.969999999999</v>
      </c>
      <c r="KJ26">
        <v>6464.1109999999999</v>
      </c>
      <c r="KK26">
        <v>2997.7429999999999</v>
      </c>
      <c r="KL26">
        <v>3295.1329999999998</v>
      </c>
      <c r="KM26">
        <v>1080.8399999999999</v>
      </c>
      <c r="KN26">
        <v>1140.8610000000001</v>
      </c>
      <c r="KO26">
        <v>0</v>
      </c>
      <c r="KP26">
        <v>29451.45</v>
      </c>
      <c r="KQ26">
        <v>2658.1950000000002</v>
      </c>
      <c r="KR26">
        <v>0</v>
      </c>
      <c r="KS26">
        <v>7871.1220000000003</v>
      </c>
      <c r="KT26">
        <v>8828.56</v>
      </c>
      <c r="KU26">
        <v>6096.8360000000002</v>
      </c>
      <c r="KV26">
        <v>3297.68</v>
      </c>
      <c r="KW26">
        <v>3143.6970000000001</v>
      </c>
      <c r="KX26">
        <v>990.32650000000001</v>
      </c>
      <c r="KY26">
        <v>598.22439999999995</v>
      </c>
      <c r="KZ26">
        <v>0</v>
      </c>
      <c r="LA26">
        <v>26323.599999999999</v>
      </c>
      <c r="LB26">
        <v>4502.848</v>
      </c>
      <c r="LC26">
        <v>0</v>
      </c>
      <c r="LD26">
        <v>83952329</v>
      </c>
      <c r="LE26" s="21">
        <v>267000000</v>
      </c>
      <c r="LF26" s="21">
        <v>717000000</v>
      </c>
      <c r="LG26" s="21">
        <v>667000000</v>
      </c>
      <c r="LH26" s="21">
        <v>593000000</v>
      </c>
      <c r="LI26" s="21">
        <v>299000000</v>
      </c>
      <c r="LJ26" s="21">
        <v>144000000</v>
      </c>
      <c r="LK26" s="21">
        <v>2.6199999999999999E-6</v>
      </c>
      <c r="LL26" s="21">
        <v>5.0000000000000004E-6</v>
      </c>
      <c r="LM26" s="21">
        <v>9.2E-6</v>
      </c>
      <c r="LN26" s="21">
        <v>1.91E-5</v>
      </c>
      <c r="LO26" s="21">
        <v>2.83E-5</v>
      </c>
      <c r="LP26" s="21">
        <v>4.0200000000000001E-5</v>
      </c>
      <c r="LQ26" s="21">
        <v>5.8999999999999998E-5</v>
      </c>
      <c r="LR26" s="21">
        <v>118000000</v>
      </c>
      <c r="LS26" s="21">
        <v>305000000</v>
      </c>
      <c r="LT26" s="21">
        <v>726000000</v>
      </c>
      <c r="LU26" s="21">
        <v>645000000</v>
      </c>
      <c r="LV26" s="21">
        <v>564000000</v>
      </c>
      <c r="LW26" s="21">
        <v>279000000</v>
      </c>
      <c r="LX26" s="21">
        <v>134000000</v>
      </c>
      <c r="LY26" s="21">
        <v>3.41E-6</v>
      </c>
      <c r="LZ26" s="21">
        <v>6.4699999999999999E-6</v>
      </c>
      <c r="MA26" s="21">
        <v>1.19E-5</v>
      </c>
      <c r="MB26" s="21">
        <v>2.48E-5</v>
      </c>
      <c r="MC26" s="21">
        <v>3.6699999999999998E-5</v>
      </c>
      <c r="MD26" s="21">
        <v>5.2599999999999998E-5</v>
      </c>
      <c r="ME26" s="21">
        <v>7.5300000000000001E-5</v>
      </c>
      <c r="MF26">
        <v>0.34083000000000002</v>
      </c>
      <c r="MG26">
        <v>0.36715399999999998</v>
      </c>
      <c r="MH26">
        <v>0.21035200000000001</v>
      </c>
      <c r="MI26">
        <v>7.1606000000000003E-2</v>
      </c>
      <c r="MJ26">
        <v>9.8890000000000002E-3</v>
      </c>
      <c r="MK26" s="21">
        <v>2.09E-5</v>
      </c>
      <c r="ML26">
        <v>1.47E-4</v>
      </c>
      <c r="MM26">
        <v>0.55620400000000003</v>
      </c>
      <c r="MN26">
        <v>0.57888300000000004</v>
      </c>
      <c r="MO26">
        <v>0.33474399999999999</v>
      </c>
      <c r="MP26">
        <v>0.118488</v>
      </c>
      <c r="MQ26">
        <v>1.4312999999999999E-2</v>
      </c>
      <c r="MR26">
        <v>-9.5050999999999997E-2</v>
      </c>
      <c r="MS26">
        <v>-0.50758099999999995</v>
      </c>
      <c r="MT26">
        <v>0.406107</v>
      </c>
      <c r="MU26">
        <v>0.305035</v>
      </c>
      <c r="MV26">
        <v>0.195156</v>
      </c>
      <c r="MW26">
        <v>9.2829999999999996E-2</v>
      </c>
      <c r="MX26">
        <v>8.5999999999999998E-4</v>
      </c>
      <c r="MY26" s="21">
        <v>1.8300000000000001E-6</v>
      </c>
      <c r="MZ26" s="21">
        <v>1.0200000000000001E-5</v>
      </c>
      <c r="NA26">
        <v>1.510027</v>
      </c>
      <c r="NB26">
        <v>1.0797570000000001</v>
      </c>
      <c r="NC26">
        <v>0.70148299999999997</v>
      </c>
      <c r="ND26">
        <v>0.34722700000000001</v>
      </c>
      <c r="NE26">
        <v>-4.3039999999999997E-3</v>
      </c>
      <c r="NF26">
        <v>-0.41325800000000001</v>
      </c>
      <c r="NG26">
        <v>-2.2209319999999999</v>
      </c>
      <c r="NH26">
        <v>6.7400000000000003E-3</v>
      </c>
      <c r="NI26">
        <v>6.8450000000000004E-3</v>
      </c>
      <c r="NJ26">
        <v>8.3389999999999992E-3</v>
      </c>
      <c r="NK26">
        <v>2.7651999999999999E-2</v>
      </c>
      <c r="NL26">
        <v>3.2074999999999999E-2</v>
      </c>
      <c r="NM26">
        <v>8.4025000000000002E-2</v>
      </c>
      <c r="NN26">
        <v>6.7400000000000003E-3</v>
      </c>
      <c r="NO26">
        <v>6.8450000000000004E-3</v>
      </c>
      <c r="NP26">
        <v>8.3389999999999992E-3</v>
      </c>
      <c r="NQ26">
        <v>2.7651999999999999E-2</v>
      </c>
      <c r="NR26">
        <v>3.2074999999999999E-2</v>
      </c>
      <c r="NS26">
        <v>8.4025000000000002E-2</v>
      </c>
      <c r="NT26">
        <v>1.6154999999999999E-2</v>
      </c>
      <c r="NU26">
        <v>1.643E-2</v>
      </c>
      <c r="NV26">
        <v>1.9186000000000002E-2</v>
      </c>
      <c r="NW26">
        <v>3.8613000000000001E-2</v>
      </c>
      <c r="NX26">
        <v>4.3714000000000003E-2</v>
      </c>
      <c r="NY26">
        <v>9.4302999999999998E-2</v>
      </c>
      <c r="NZ26">
        <v>1.6154999999999999E-2</v>
      </c>
      <c r="OA26">
        <v>1.643E-2</v>
      </c>
      <c r="OB26">
        <v>1.9186000000000002E-2</v>
      </c>
      <c r="OC26">
        <v>3.8613000000000001E-2</v>
      </c>
      <c r="OD26">
        <v>4.3714000000000003E-2</v>
      </c>
      <c r="OE26">
        <v>9.4302999999999998E-2</v>
      </c>
      <c r="OF26">
        <v>47.837350000000001</v>
      </c>
      <c r="OG26">
        <v>30827.65</v>
      </c>
      <c r="OH26">
        <v>18333.55</v>
      </c>
      <c r="OI26">
        <v>8220.0759999999991</v>
      </c>
      <c r="OJ26">
        <v>37.173139999999997</v>
      </c>
      <c r="OK26">
        <v>26861.919999999998</v>
      </c>
      <c r="OL26">
        <v>17605</v>
      </c>
      <c r="OM26">
        <v>7888.1139999999996</v>
      </c>
      <c r="ON26">
        <v>1520433</v>
      </c>
      <c r="OO26">
        <v>1545750</v>
      </c>
      <c r="OP26">
        <v>11210.93</v>
      </c>
      <c r="OQ26">
        <v>6291.8119999999999</v>
      </c>
      <c r="OR26">
        <v>5297.7049999999999</v>
      </c>
      <c r="OS26">
        <v>517.24649999999997</v>
      </c>
      <c r="OT26">
        <v>1602.4110000000001</v>
      </c>
      <c r="OU26">
        <v>1290.8699999999999</v>
      </c>
      <c r="OV26">
        <v>331.13499999999999</v>
      </c>
      <c r="OW26">
        <v>1296.979</v>
      </c>
      <c r="OX26">
        <v>1362.9449999999999</v>
      </c>
      <c r="OY26">
        <v>1090.4970000000001</v>
      </c>
      <c r="OZ26">
        <v>631.31700000000001</v>
      </c>
      <c r="PA26">
        <v>20612.939999999999</v>
      </c>
      <c r="PB26">
        <v>7237.7420000000002</v>
      </c>
      <c r="PC26">
        <v>1173.348</v>
      </c>
      <c r="PD26">
        <v>2090.2739999999999</v>
      </c>
      <c r="PE26">
        <v>6336.3490000000002</v>
      </c>
      <c r="PF26">
        <v>1372.752</v>
      </c>
      <c r="PG26">
        <v>2537.3809999999999</v>
      </c>
      <c r="PH26">
        <v>197218</v>
      </c>
      <c r="PI26">
        <v>84176.89</v>
      </c>
      <c r="PJ26">
        <v>1.8093379999999999</v>
      </c>
      <c r="PK26">
        <v>564.2079</v>
      </c>
      <c r="PL26">
        <v>112.0346</v>
      </c>
      <c r="PM26">
        <v>1792.894</v>
      </c>
      <c r="PN26">
        <v>444.97030000000001</v>
      </c>
      <c r="PO26">
        <v>161.05690000000001</v>
      </c>
      <c r="PP26">
        <v>250.47900000000001</v>
      </c>
      <c r="PQ26">
        <v>571.02530000000002</v>
      </c>
      <c r="PR26">
        <v>95.595640000000003</v>
      </c>
      <c r="PS26">
        <v>592.62810000000002</v>
      </c>
      <c r="PT26">
        <v>1281.768</v>
      </c>
      <c r="PU26">
        <v>463.024</v>
      </c>
      <c r="PV26">
        <v>835.53420000000006</v>
      </c>
      <c r="PW26">
        <v>66.096279999999993</v>
      </c>
      <c r="PX26">
        <v>141.73820000000001</v>
      </c>
      <c r="PY26">
        <v>773.93380000000002</v>
      </c>
      <c r="PZ26">
        <v>139.7201</v>
      </c>
      <c r="QA26">
        <v>361968</v>
      </c>
      <c r="QB26">
        <v>8543.3310000000001</v>
      </c>
      <c r="QC26">
        <v>79877.72</v>
      </c>
      <c r="QD26">
        <v>11192.33</v>
      </c>
      <c r="QE26">
        <v>13701.91</v>
      </c>
      <c r="QF26">
        <v>9308.7350000000006</v>
      </c>
      <c r="QG26">
        <v>3630.8719999999998</v>
      </c>
      <c r="QH26">
        <v>698.67280000000005</v>
      </c>
      <c r="QI26">
        <v>2.0974590000000002</v>
      </c>
      <c r="QJ26">
        <v>19.519020000000001</v>
      </c>
      <c r="QK26">
        <v>11851.22</v>
      </c>
      <c r="QL26">
        <v>6704.1719999999996</v>
      </c>
      <c r="QM26">
        <v>5123.82</v>
      </c>
      <c r="QN26">
        <v>564.50310000000002</v>
      </c>
      <c r="QO26">
        <v>1818.7349999999999</v>
      </c>
      <c r="QP26">
        <v>1351.097</v>
      </c>
      <c r="QQ26">
        <v>423.52080000000001</v>
      </c>
      <c r="QR26">
        <v>1309.962</v>
      </c>
      <c r="QS26">
        <v>1356.6849999999999</v>
      </c>
      <c r="QT26">
        <v>1354.9480000000001</v>
      </c>
      <c r="QU26">
        <v>656.84310000000005</v>
      </c>
      <c r="QV26">
        <v>21105.37</v>
      </c>
      <c r="QW26">
        <v>7547.6469999999999</v>
      </c>
      <c r="QX26">
        <v>1281.203</v>
      </c>
      <c r="QY26">
        <v>2297.2330000000002</v>
      </c>
      <c r="QZ26">
        <v>7067.3639999999996</v>
      </c>
      <c r="RA26">
        <v>1438.59</v>
      </c>
      <c r="RB26">
        <v>2991.058</v>
      </c>
      <c r="RC26">
        <v>200791.6</v>
      </c>
      <c r="RD26">
        <v>84847.86</v>
      </c>
      <c r="RE26">
        <v>0.704928</v>
      </c>
      <c r="RF26">
        <v>494.84870000000001</v>
      </c>
      <c r="RG26">
        <v>79.784490000000005</v>
      </c>
      <c r="RH26">
        <v>1163.164</v>
      </c>
      <c r="RI26">
        <v>8.2985190000000006</v>
      </c>
      <c r="RJ26">
        <v>158.40819999999999</v>
      </c>
      <c r="RK26">
        <v>0.91348099999999999</v>
      </c>
      <c r="RL26">
        <v>10764.03</v>
      </c>
      <c r="RM26">
        <v>4170.6639999999998</v>
      </c>
      <c r="RN26">
        <v>691.303</v>
      </c>
      <c r="RO26">
        <v>933.63220000000001</v>
      </c>
      <c r="RP26">
        <v>291.1232</v>
      </c>
      <c r="RQ26">
        <v>944.58780000000002</v>
      </c>
      <c r="RR26">
        <v>339.63440000000003</v>
      </c>
      <c r="RS26">
        <v>185.0087</v>
      </c>
      <c r="RT26">
        <v>748.90710000000001</v>
      </c>
      <c r="RU26">
        <v>990.20429999999999</v>
      </c>
      <c r="RV26">
        <v>383848.7</v>
      </c>
      <c r="RW26">
        <v>12323.88</v>
      </c>
      <c r="RX26">
        <v>77949.740000000005</v>
      </c>
      <c r="RY26">
        <v>11121.78</v>
      </c>
      <c r="RZ26">
        <v>9493.66</v>
      </c>
      <c r="SA26">
        <v>7202.3919999999998</v>
      </c>
      <c r="SB26">
        <v>3925.5549999999998</v>
      </c>
      <c r="SC26">
        <v>50.671939999999999</v>
      </c>
      <c r="SD26">
        <v>0.15315699999999999</v>
      </c>
      <c r="SE26">
        <v>1.1258349999999999</v>
      </c>
      <c r="SF26">
        <v>33251.96</v>
      </c>
      <c r="SG26">
        <v>47.837350000000001</v>
      </c>
      <c r="SH26">
        <v>7452.1049999999996</v>
      </c>
      <c r="SI26">
        <v>17531.939999999999</v>
      </c>
      <c r="SJ26">
        <v>8220.0759999999991</v>
      </c>
      <c r="SK26">
        <v>30612</v>
      </c>
      <c r="SL26">
        <v>37.173139999999997</v>
      </c>
      <c r="SM26">
        <v>6438.9489999999996</v>
      </c>
      <c r="SN26">
        <v>16247.76</v>
      </c>
      <c r="SO26">
        <v>7888.1139999999996</v>
      </c>
      <c r="SP26">
        <v>121193.2</v>
      </c>
      <c r="SQ26">
        <v>67101.789999999994</v>
      </c>
      <c r="SR26">
        <v>126691.4</v>
      </c>
      <c r="SS26">
        <v>69030.69</v>
      </c>
      <c r="ST26">
        <v>37.033969999999997</v>
      </c>
      <c r="SU26">
        <v>0.28812500000000002</v>
      </c>
      <c r="SV26">
        <v>5.3635469999999996</v>
      </c>
      <c r="SW26">
        <v>12.5174</v>
      </c>
      <c r="SX26">
        <v>18.864889999999999</v>
      </c>
      <c r="SY26">
        <v>34.561810000000001</v>
      </c>
      <c r="SZ26">
        <v>0.22389400000000001</v>
      </c>
      <c r="TA26">
        <v>4.6343420000000002</v>
      </c>
      <c r="TB26">
        <v>11.600529999999999</v>
      </c>
      <c r="TC26">
        <v>18.10305</v>
      </c>
      <c r="TD26">
        <v>26181.95</v>
      </c>
      <c r="TE26">
        <v>830.59630000000004</v>
      </c>
      <c r="TF26">
        <v>512.85760000000005</v>
      </c>
      <c r="TG26">
        <v>222.33789999999999</v>
      </c>
      <c r="TH26">
        <v>53.218060000000001</v>
      </c>
      <c r="TI26">
        <v>107.2633</v>
      </c>
      <c r="TJ26">
        <v>90.119659999999996</v>
      </c>
      <c r="TK26">
        <v>27.443280000000001</v>
      </c>
      <c r="TL26">
        <v>32.69905</v>
      </c>
      <c r="TM26">
        <v>174.11779999999999</v>
      </c>
      <c r="TN26">
        <v>43.531860000000002</v>
      </c>
      <c r="TO26">
        <v>28.126429999999999</v>
      </c>
      <c r="TP26">
        <v>2126.8470000000002</v>
      </c>
      <c r="TQ26">
        <v>2016.9059999999999</v>
      </c>
      <c r="TR26">
        <v>100.9037</v>
      </c>
      <c r="TS26">
        <v>178.4179</v>
      </c>
      <c r="TT26">
        <v>431.57560000000001</v>
      </c>
      <c r="TU26">
        <v>43.711320000000001</v>
      </c>
      <c r="TV26">
        <v>75.931700000000006</v>
      </c>
      <c r="TW26">
        <v>12488.65</v>
      </c>
      <c r="TX26">
        <v>6474.1589999999997</v>
      </c>
      <c r="TY26">
        <v>0.50784399999999996</v>
      </c>
      <c r="TZ26">
        <v>9.9824310000000001</v>
      </c>
      <c r="UA26">
        <v>5.1091930000000003</v>
      </c>
      <c r="UB26">
        <v>58.360660000000003</v>
      </c>
      <c r="UC26">
        <v>0.70618899999999996</v>
      </c>
      <c r="UD26">
        <v>2.348433</v>
      </c>
      <c r="UE26">
        <v>4.2864589999999998</v>
      </c>
      <c r="UF26">
        <v>1.606949</v>
      </c>
      <c r="UG26">
        <v>0.77469500000000002</v>
      </c>
      <c r="UH26">
        <v>10.266220000000001</v>
      </c>
      <c r="UI26">
        <v>5.0480229999999997</v>
      </c>
      <c r="UJ26">
        <v>14.946070000000001</v>
      </c>
      <c r="UK26">
        <v>5.6725079999999997</v>
      </c>
      <c r="UL26">
        <v>0.42486600000000002</v>
      </c>
      <c r="UM26">
        <v>0.47057399999999999</v>
      </c>
      <c r="UN26">
        <v>1.6733469999999999</v>
      </c>
      <c r="UO26">
        <v>0.35126200000000002</v>
      </c>
      <c r="UP26">
        <v>26430.51</v>
      </c>
      <c r="UQ26">
        <v>832.50289999999995</v>
      </c>
      <c r="UR26">
        <v>519.46680000000003</v>
      </c>
      <c r="US26">
        <v>215.7337</v>
      </c>
      <c r="UT26">
        <v>55.248860000000001</v>
      </c>
      <c r="UU26">
        <v>114.5342</v>
      </c>
      <c r="UV26">
        <v>94.242699999999999</v>
      </c>
      <c r="UW26">
        <v>27.798100000000002</v>
      </c>
      <c r="UX26">
        <v>32.894359999999999</v>
      </c>
      <c r="UY26">
        <v>180.88200000000001</v>
      </c>
      <c r="UZ26">
        <v>45.167270000000002</v>
      </c>
      <c r="VA26">
        <v>27.751899999999999</v>
      </c>
      <c r="VB26">
        <v>2137.0030000000002</v>
      </c>
      <c r="VC26">
        <v>2079.1709999999998</v>
      </c>
      <c r="VD26">
        <v>106.8818</v>
      </c>
      <c r="VE26">
        <v>189.00149999999999</v>
      </c>
      <c r="VF26">
        <v>430.51690000000002</v>
      </c>
      <c r="VG26">
        <v>39.927169999999997</v>
      </c>
      <c r="VH26">
        <v>78.786280000000005</v>
      </c>
      <c r="VI26">
        <v>12600.39</v>
      </c>
      <c r="VJ26">
        <v>6485.2510000000002</v>
      </c>
      <c r="VK26">
        <v>0.25370399999999999</v>
      </c>
      <c r="VL26">
        <v>9.0729629999999997</v>
      </c>
      <c r="VM26">
        <v>3.8399329999999998</v>
      </c>
      <c r="VN26">
        <v>39.937480000000001</v>
      </c>
      <c r="VO26">
        <v>3.8427999999999997E-2</v>
      </c>
      <c r="VP26">
        <v>2.3133880000000002</v>
      </c>
      <c r="VQ26">
        <v>4.9369999999999997E-2</v>
      </c>
      <c r="VR26">
        <v>19.945219999999999</v>
      </c>
      <c r="VS26">
        <v>23.16197</v>
      </c>
      <c r="VT26">
        <v>11.25737</v>
      </c>
      <c r="VU26">
        <v>4.2177879999999996</v>
      </c>
      <c r="VV26">
        <v>10.35627</v>
      </c>
      <c r="VW26">
        <v>6.6921359999999996</v>
      </c>
      <c r="VX26">
        <v>1.8591960000000001</v>
      </c>
      <c r="VY26">
        <v>0.61460499999999996</v>
      </c>
      <c r="VZ26">
        <v>1.6994560000000001</v>
      </c>
      <c r="WA26">
        <v>2.0501420000000001</v>
      </c>
      <c r="WB26">
        <v>9.3071000000000001E-2</v>
      </c>
      <c r="WC26">
        <v>8.2000000000000003E-2</v>
      </c>
      <c r="WD26">
        <v>-1.4801E-2</v>
      </c>
      <c r="WE26">
        <v>-1.1343000000000001E-2</v>
      </c>
      <c r="WF26">
        <v>0.60994599999999999</v>
      </c>
      <c r="WG26">
        <v>0.51342699999999997</v>
      </c>
      <c r="WH26">
        <v>-2.1054E-2</v>
      </c>
      <c r="WI26">
        <v>-1.2173E-2</v>
      </c>
      <c r="WJ26">
        <v>2441952</v>
      </c>
      <c r="WK26">
        <v>2473460</v>
      </c>
    </row>
    <row r="27" spans="1:609" x14ac:dyDescent="0.25">
      <c r="A27">
        <v>2028</v>
      </c>
      <c r="B27">
        <v>1.4341550000000001</v>
      </c>
      <c r="C27">
        <v>139.04499999999999</v>
      </c>
      <c r="D27">
        <v>1.928366</v>
      </c>
      <c r="E27">
        <v>6.8226930000000001</v>
      </c>
      <c r="F27">
        <v>-2.4223979999999998</v>
      </c>
      <c r="G27">
        <v>0.446463</v>
      </c>
      <c r="H27">
        <v>-1.2367060000000001</v>
      </c>
      <c r="I27">
        <v>1.0709850000000001</v>
      </c>
      <c r="J27">
        <v>6.6333760000000002</v>
      </c>
      <c r="K27">
        <v>-0.36806699999999998</v>
      </c>
      <c r="L27">
        <v>7.0273079999999997</v>
      </c>
      <c r="M27">
        <v>0.88171900000000003</v>
      </c>
      <c r="N27">
        <v>0</v>
      </c>
      <c r="O27">
        <v>-10.741300000000001</v>
      </c>
      <c r="P27">
        <v>-0.98700299999999996</v>
      </c>
      <c r="Q27">
        <v>-32.307600000000001</v>
      </c>
      <c r="R27">
        <v>64.500389999999996</v>
      </c>
      <c r="S27">
        <v>87.055059999999997</v>
      </c>
      <c r="T27">
        <v>273.7022</v>
      </c>
      <c r="U27">
        <v>100.72539999999999</v>
      </c>
      <c r="V27">
        <v>213.94489999999999</v>
      </c>
      <c r="W27">
        <v>2.1386970000000001</v>
      </c>
      <c r="X27">
        <v>53749.18</v>
      </c>
      <c r="Y27">
        <v>0.123614</v>
      </c>
      <c r="Z27">
        <v>0.11838700000000001</v>
      </c>
      <c r="AA27">
        <v>-0.82695700000000005</v>
      </c>
      <c r="AB27">
        <v>-1.0404409999999999</v>
      </c>
      <c r="AC27">
        <v>4.3327999999999998E-2</v>
      </c>
      <c r="AD27">
        <v>56874.64</v>
      </c>
      <c r="AE27">
        <v>135463.9</v>
      </c>
      <c r="AF27">
        <v>170422.39999999999</v>
      </c>
      <c r="AG27">
        <v>-9588.9789999999994</v>
      </c>
      <c r="AH27">
        <v>149743</v>
      </c>
      <c r="AI27" s="21">
        <v>-8.7899999999999995E-5</v>
      </c>
      <c r="AJ27">
        <v>151.00579999999999</v>
      </c>
      <c r="AK27">
        <v>600.2835</v>
      </c>
      <c r="AL27">
        <v>177.39750000000001</v>
      </c>
      <c r="AM27">
        <v>87.789320000000004</v>
      </c>
      <c r="AN27">
        <v>348.98309999999998</v>
      </c>
      <c r="AO27">
        <v>103.13249999999999</v>
      </c>
      <c r="AP27">
        <v>586.03200000000004</v>
      </c>
      <c r="AQ27">
        <v>340.69779999999997</v>
      </c>
      <c r="AR27">
        <v>646.45339999999999</v>
      </c>
      <c r="AS27">
        <v>545.16340000000002</v>
      </c>
      <c r="AT27">
        <v>1186.0340000000001</v>
      </c>
      <c r="AU27">
        <v>490.75310000000002</v>
      </c>
      <c r="AV27">
        <v>167.35239999999999</v>
      </c>
      <c r="AW27">
        <v>1.5067200000000001</v>
      </c>
      <c r="AX27">
        <v>2.2045119999999998</v>
      </c>
      <c r="AY27">
        <v>2.3209379999999999</v>
      </c>
      <c r="AZ27">
        <v>-3.8760569999999999</v>
      </c>
      <c r="BA27">
        <v>4.4796899999999997</v>
      </c>
      <c r="BB27">
        <v>7.0433510000000004</v>
      </c>
      <c r="BC27">
        <v>4.2331329999999996</v>
      </c>
      <c r="BD27">
        <v>10.62078</v>
      </c>
      <c r="BE27">
        <v>-0.32958700000000002</v>
      </c>
      <c r="BF27">
        <v>3.1838679999999999</v>
      </c>
      <c r="BG27">
        <v>6.2001920000000004</v>
      </c>
      <c r="BH27">
        <v>-0.13470399999999999</v>
      </c>
      <c r="BI27">
        <v>0.767177</v>
      </c>
      <c r="BJ27">
        <v>3.7817249999999998</v>
      </c>
      <c r="BK27">
        <v>8.4798050000000007</v>
      </c>
      <c r="BL27">
        <v>8.7017089999999993</v>
      </c>
      <c r="BM27">
        <v>1.166323</v>
      </c>
      <c r="BN27">
        <v>-8.5827899999999993</v>
      </c>
      <c r="BO27">
        <v>3.4796</v>
      </c>
      <c r="BP27">
        <v>1.2065410000000001</v>
      </c>
      <c r="BQ27">
        <v>0.37526399999999999</v>
      </c>
      <c r="BR27">
        <v>-65.865170000000006</v>
      </c>
      <c r="BS27">
        <v>-14.969659999999999</v>
      </c>
      <c r="BT27">
        <v>-242.36099999999999</v>
      </c>
      <c r="BU27">
        <v>-36.379460000000002</v>
      </c>
      <c r="BV27">
        <v>-95.98845</v>
      </c>
      <c r="BW27">
        <v>-3.5507749999999998</v>
      </c>
      <c r="BX27">
        <v>-97.135990000000007</v>
      </c>
      <c r="BY27">
        <v>1080.854</v>
      </c>
      <c r="BZ27">
        <v>2917.5</v>
      </c>
      <c r="CA27">
        <v>-5.889151</v>
      </c>
      <c r="CB27">
        <v>0.73197500000000004</v>
      </c>
      <c r="CC27">
        <v>-45.829940000000001</v>
      </c>
      <c r="CD27">
        <v>16.721620000000001</v>
      </c>
      <c r="CE27">
        <v>397.1198</v>
      </c>
      <c r="CF27">
        <v>31.637519999999999</v>
      </c>
      <c r="CG27">
        <v>4.8393059999999997</v>
      </c>
      <c r="CH27">
        <v>529.34580000000005</v>
      </c>
      <c r="CI27">
        <v>6.9177960000000001</v>
      </c>
      <c r="CJ27">
        <v>7.4324130000000004</v>
      </c>
      <c r="CK27">
        <v>-3.8558970000000001</v>
      </c>
      <c r="CL27">
        <v>10.73263</v>
      </c>
      <c r="CM27">
        <v>16.373860000000001</v>
      </c>
      <c r="CN27">
        <v>5.6081560000000001</v>
      </c>
      <c r="CO27">
        <v>31.702290000000001</v>
      </c>
      <c r="CP27">
        <v>1.3851979999999999</v>
      </c>
      <c r="CQ27">
        <v>-0.50601600000000002</v>
      </c>
      <c r="CR27">
        <v>26.735910000000001</v>
      </c>
      <c r="CS27">
        <v>4.5523210000000001</v>
      </c>
      <c r="CT27">
        <v>2.6975289999999998</v>
      </c>
      <c r="CU27">
        <v>4.8601349999999996</v>
      </c>
      <c r="CV27">
        <v>10.95101</v>
      </c>
      <c r="CW27">
        <v>12.394349999999999</v>
      </c>
      <c r="CX27">
        <v>14.92146</v>
      </c>
      <c r="CY27">
        <v>7.919937</v>
      </c>
      <c r="CZ27">
        <v>23.840789999999998</v>
      </c>
      <c r="DA27">
        <v>2.0434450000000002</v>
      </c>
      <c r="DB27">
        <v>0.90199099999999999</v>
      </c>
      <c r="DC27">
        <v>-61.914050000000003</v>
      </c>
      <c r="DD27">
        <v>-14.42445</v>
      </c>
      <c r="DE27">
        <v>-16.414480000000001</v>
      </c>
      <c r="DF27">
        <v>-38.652540000000002</v>
      </c>
      <c r="DG27">
        <v>-97.995810000000006</v>
      </c>
      <c r="DH27">
        <v>-2.788681</v>
      </c>
      <c r="DI27">
        <v>-99.542940000000002</v>
      </c>
      <c r="DJ27">
        <v>1885.143</v>
      </c>
      <c r="DK27">
        <v>5071.3490000000002</v>
      </c>
      <c r="DL27">
        <v>7.5059490000000002</v>
      </c>
      <c r="DM27">
        <v>-18.507470000000001</v>
      </c>
      <c r="DN27">
        <v>-41.200389999999999</v>
      </c>
      <c r="DO27">
        <v>15.926780000000001</v>
      </c>
      <c r="DP27">
        <v>497.03210000000001</v>
      </c>
      <c r="DQ27">
        <v>35.821280000000002</v>
      </c>
      <c r="DR27">
        <v>0.160944</v>
      </c>
      <c r="DS27">
        <v>731.37860000000001</v>
      </c>
      <c r="DT27">
        <v>2.6380000000000001E-2</v>
      </c>
      <c r="DU27">
        <v>2.54731</v>
      </c>
      <c r="DV27">
        <v>-15.139989999999999</v>
      </c>
      <c r="DW27">
        <v>4.1430939999999996</v>
      </c>
      <c r="DX27">
        <v>3.2195619999999998</v>
      </c>
      <c r="DY27">
        <v>3.587723</v>
      </c>
      <c r="DZ27">
        <v>1.4144289999999999</v>
      </c>
      <c r="EA27">
        <v>2.7483170000000001</v>
      </c>
      <c r="EB27">
        <v>5.5617340000000004</v>
      </c>
      <c r="EC27">
        <v>0</v>
      </c>
      <c r="ED27">
        <v>3.6510090000000002</v>
      </c>
      <c r="EE27">
        <v>3.3325619999999998</v>
      </c>
      <c r="EF27">
        <v>4.6765359999999996</v>
      </c>
      <c r="EG27">
        <v>7.6922189999999997</v>
      </c>
      <c r="EH27">
        <v>13.40925</v>
      </c>
      <c r="EI27">
        <v>-2.109988</v>
      </c>
      <c r="EJ27">
        <v>-0.234932</v>
      </c>
      <c r="EK27">
        <v>-4.4488950000000003</v>
      </c>
      <c r="EL27">
        <v>2.921233</v>
      </c>
      <c r="EM27">
        <v>2.9833539999999998</v>
      </c>
      <c r="EN27">
        <v>-23.685960000000001</v>
      </c>
      <c r="EO27">
        <v>-14.086779999999999</v>
      </c>
      <c r="EP27">
        <v>-4.96746</v>
      </c>
      <c r="EQ27">
        <v>-4.2149789999999996</v>
      </c>
      <c r="ER27">
        <v>7.8684659999999997</v>
      </c>
      <c r="ES27">
        <v>73.559359999999998</v>
      </c>
      <c r="ET27">
        <v>2.0926670000000001</v>
      </c>
      <c r="EU27">
        <v>34.951129999999999</v>
      </c>
      <c r="EV27">
        <v>0.55926200000000004</v>
      </c>
      <c r="EW27">
        <v>2.0432440000000001</v>
      </c>
      <c r="EX27">
        <v>2.5803569999999998</v>
      </c>
      <c r="EY27">
        <v>0.81472999999999995</v>
      </c>
      <c r="EZ27">
        <v>0.107976</v>
      </c>
      <c r="FA27">
        <v>5.5067909999999998</v>
      </c>
      <c r="FB27">
        <v>1.766885</v>
      </c>
      <c r="FC27">
        <v>34.274909999999998</v>
      </c>
      <c r="FD27">
        <v>9.3337649999999996</v>
      </c>
      <c r="FE27">
        <v>0.56372199999999995</v>
      </c>
      <c r="FF27">
        <v>0.86868699999999999</v>
      </c>
      <c r="FG27">
        <v>1.561788</v>
      </c>
      <c r="FH27">
        <v>0.35117100000000001</v>
      </c>
      <c r="FI27">
        <v>5.008642</v>
      </c>
      <c r="FJ27">
        <v>62.320239999999998</v>
      </c>
      <c r="FK27">
        <v>2.0145469999999999</v>
      </c>
      <c r="FL27">
        <v>22.314129999999999</v>
      </c>
      <c r="FM27">
        <v>4.6025999999999997E-2</v>
      </c>
      <c r="FN27">
        <v>1.9716480000000001</v>
      </c>
      <c r="FO27">
        <v>6.8322999999999995E-2</v>
      </c>
      <c r="FP27">
        <v>9.6346640000000008</v>
      </c>
      <c r="FQ27">
        <v>3.265946</v>
      </c>
      <c r="FR27">
        <v>5.1887699999999999</v>
      </c>
      <c r="FS27">
        <v>1.7704569999999999</v>
      </c>
      <c r="FT27">
        <v>22.89602</v>
      </c>
      <c r="FU27">
        <v>11.81771</v>
      </c>
      <c r="FV27">
        <v>3.045966</v>
      </c>
      <c r="FW27">
        <v>1.242639</v>
      </c>
      <c r="FX27">
        <v>1.765064</v>
      </c>
      <c r="FY27">
        <v>2.4654889999999998</v>
      </c>
      <c r="FZ27">
        <v>5.6524330000000003</v>
      </c>
      <c r="GA27">
        <v>57.147260000000003</v>
      </c>
      <c r="GB27">
        <v>2.0926670000000001</v>
      </c>
      <c r="GC27">
        <v>31.009840000000001</v>
      </c>
      <c r="GD27">
        <v>0.49619600000000003</v>
      </c>
      <c r="GE27">
        <v>1.8128359999999999</v>
      </c>
      <c r="GF27">
        <v>2.2893810000000001</v>
      </c>
      <c r="GG27">
        <v>0.72285699999999997</v>
      </c>
      <c r="GH27">
        <v>9.5799999999999996E-2</v>
      </c>
      <c r="GI27">
        <v>4.885815</v>
      </c>
      <c r="GJ27">
        <v>1.5676410000000001</v>
      </c>
      <c r="GK27">
        <v>32.33137</v>
      </c>
      <c r="GL27">
        <v>9.3337649999999996</v>
      </c>
      <c r="GM27">
        <v>0.56372199999999995</v>
      </c>
      <c r="GN27">
        <v>0.86868699999999999</v>
      </c>
      <c r="GO27">
        <v>1.561788</v>
      </c>
      <c r="GP27">
        <v>0.35117100000000001</v>
      </c>
      <c r="GQ27">
        <v>2.8457870000000001</v>
      </c>
      <c r="GR27">
        <v>46.43544</v>
      </c>
      <c r="GS27">
        <v>2.0145469999999999</v>
      </c>
      <c r="GT27">
        <v>19.56645</v>
      </c>
      <c r="GU27">
        <v>4.0358999999999999E-2</v>
      </c>
      <c r="GV27">
        <v>1.7288669999999999</v>
      </c>
      <c r="GW27">
        <v>5.9909999999999998E-2</v>
      </c>
      <c r="GX27">
        <v>8.4482890000000008</v>
      </c>
      <c r="GY27">
        <v>2.8637899999999998</v>
      </c>
      <c r="GZ27">
        <v>4.5498450000000004</v>
      </c>
      <c r="HA27">
        <v>1.5524500000000001</v>
      </c>
      <c r="HB27">
        <v>21.01492</v>
      </c>
      <c r="HC27">
        <v>11.81771</v>
      </c>
      <c r="HD27">
        <v>3.045966</v>
      </c>
      <c r="HE27">
        <v>1.242639</v>
      </c>
      <c r="HF27">
        <v>1.765064</v>
      </c>
      <c r="HG27">
        <v>2.4654889999999998</v>
      </c>
      <c r="HH27">
        <v>5.7543800000000003</v>
      </c>
      <c r="HI27">
        <v>61.424370000000003</v>
      </c>
      <c r="HJ27">
        <v>2.0926670000000001</v>
      </c>
      <c r="HK27">
        <v>126.1756</v>
      </c>
      <c r="HL27">
        <v>1.2080150000000001</v>
      </c>
      <c r="HM27">
        <v>4.4134399999999996</v>
      </c>
      <c r="HN27">
        <v>5.5736119999999998</v>
      </c>
      <c r="HO27">
        <v>0.88078400000000001</v>
      </c>
      <c r="HP27">
        <v>0.11673</v>
      </c>
      <c r="HQ27">
        <v>5.9532499999999997</v>
      </c>
      <c r="HR27">
        <v>5.1644360000000002</v>
      </c>
      <c r="HS27">
        <v>32.553510000000003</v>
      </c>
      <c r="HT27">
        <v>9.4733630000000009</v>
      </c>
      <c r="HU27">
        <v>0.57215400000000005</v>
      </c>
      <c r="HV27">
        <v>0.88167899999999999</v>
      </c>
      <c r="HW27">
        <v>1.5851470000000001</v>
      </c>
      <c r="HX27">
        <v>0.35642400000000002</v>
      </c>
      <c r="HY27">
        <v>2.882428</v>
      </c>
      <c r="HZ27">
        <v>49.850700000000003</v>
      </c>
      <c r="IA27">
        <v>2.0145469999999999</v>
      </c>
      <c r="IB27">
        <v>74.086939999999998</v>
      </c>
      <c r="IC27">
        <v>4.6025999999999997E-2</v>
      </c>
      <c r="ID27">
        <v>4.0765799999999999</v>
      </c>
      <c r="IE27">
        <v>6.8322999999999995E-2</v>
      </c>
      <c r="IF27">
        <v>10.35689</v>
      </c>
      <c r="IG27">
        <v>3.5107659999999998</v>
      </c>
      <c r="IH27">
        <v>5.5777270000000003</v>
      </c>
      <c r="II27">
        <v>5.4863549999999996</v>
      </c>
      <c r="IJ27">
        <v>21.32489</v>
      </c>
      <c r="IK27">
        <v>12.277950000000001</v>
      </c>
      <c r="IL27">
        <v>3.0957029999999999</v>
      </c>
      <c r="IM27">
        <v>1.319509</v>
      </c>
      <c r="IN27">
        <v>1.8711310000000001</v>
      </c>
      <c r="IO27">
        <v>2.5137830000000001</v>
      </c>
      <c r="IP27">
        <v>4.4886280000000003</v>
      </c>
      <c r="IQ27">
        <v>5.3857819999999998</v>
      </c>
      <c r="IR27">
        <v>0.67397899999999999</v>
      </c>
      <c r="IS27">
        <v>1.8085640000000001</v>
      </c>
      <c r="IT27">
        <v>4.0364930000000001</v>
      </c>
      <c r="IU27">
        <v>4.2342079999999997</v>
      </c>
      <c r="IV27">
        <v>5.0859030000000001</v>
      </c>
      <c r="IW27">
        <v>6.2403370000000002</v>
      </c>
      <c r="IX27">
        <v>0.81295499999999998</v>
      </c>
      <c r="IY27">
        <v>6.6850449999999997</v>
      </c>
      <c r="IZ27">
        <v>1.8122510000000001</v>
      </c>
      <c r="JA27">
        <v>8.3369169999999997</v>
      </c>
      <c r="JB27">
        <v>0.405806</v>
      </c>
      <c r="JC27">
        <v>1.341566</v>
      </c>
      <c r="JD27">
        <v>0.84329100000000001</v>
      </c>
      <c r="JE27">
        <v>18.282769999999999</v>
      </c>
      <c r="JF27">
        <v>0.34933999999999998</v>
      </c>
      <c r="JG27">
        <v>1.8128820000000001</v>
      </c>
      <c r="JH27">
        <v>19.720580000000002</v>
      </c>
      <c r="JI27">
        <v>6.5740629999999998</v>
      </c>
      <c r="JJ27">
        <v>17.09759</v>
      </c>
      <c r="JK27">
        <v>36.754280000000001</v>
      </c>
      <c r="JL27">
        <v>3.5605410000000002</v>
      </c>
      <c r="JM27">
        <v>4.694801</v>
      </c>
      <c r="JN27">
        <v>0.60197599999999996</v>
      </c>
      <c r="JO27">
        <v>1.458931</v>
      </c>
      <c r="JP27">
        <v>3.1105119999999999</v>
      </c>
      <c r="JQ27">
        <v>3.6136309999999998</v>
      </c>
      <c r="JR27">
        <v>4.1066029999999998</v>
      </c>
      <c r="JS27">
        <v>5.6741390000000003</v>
      </c>
      <c r="JT27">
        <v>0.76215200000000005</v>
      </c>
      <c r="JU27">
        <v>4.0170519999999996</v>
      </c>
      <c r="JV27">
        <v>1.5075179999999999</v>
      </c>
      <c r="JW27">
        <v>7.3187819999999997</v>
      </c>
      <c r="JX27">
        <v>0.30790200000000001</v>
      </c>
      <c r="JY27">
        <v>1.2613049999999999</v>
      </c>
      <c r="JZ27">
        <v>0.82749799999999996</v>
      </c>
      <c r="KA27">
        <v>14.08746</v>
      </c>
      <c r="KB27">
        <v>0.18266299999999999</v>
      </c>
      <c r="KC27">
        <v>1.09751</v>
      </c>
      <c r="KD27">
        <v>18.076979999999999</v>
      </c>
      <c r="KE27">
        <v>5.8943190000000003</v>
      </c>
      <c r="KF27">
        <v>15.28355</v>
      </c>
      <c r="KG27">
        <v>34.011699999999998</v>
      </c>
      <c r="KH27">
        <v>7385.1540000000005</v>
      </c>
      <c r="KI27">
        <v>10150.709999999999</v>
      </c>
      <c r="KJ27">
        <v>6474.8519999999999</v>
      </c>
      <c r="KK27">
        <v>2946.2930000000001</v>
      </c>
      <c r="KL27">
        <v>3063.422</v>
      </c>
      <c r="KM27">
        <v>997.72410000000002</v>
      </c>
      <c r="KN27">
        <v>1053.2819999999999</v>
      </c>
      <c r="KO27">
        <v>0</v>
      </c>
      <c r="KP27">
        <v>29195.119999999999</v>
      </c>
      <c r="KQ27">
        <v>2876.317</v>
      </c>
      <c r="KR27">
        <v>0</v>
      </c>
      <c r="KS27">
        <v>8104.5029999999997</v>
      </c>
      <c r="KT27">
        <v>8751.8259999999991</v>
      </c>
      <c r="KU27">
        <v>6018.48</v>
      </c>
      <c r="KV27">
        <v>3236.5149999999999</v>
      </c>
      <c r="KW27">
        <v>2902.7449999999999</v>
      </c>
      <c r="KX27">
        <v>914.14940000000001</v>
      </c>
      <c r="KY27">
        <v>552.21749999999997</v>
      </c>
      <c r="KZ27">
        <v>0</v>
      </c>
      <c r="LA27">
        <v>25651.19</v>
      </c>
      <c r="LB27">
        <v>4829.24</v>
      </c>
      <c r="LC27">
        <v>0</v>
      </c>
      <c r="LD27">
        <v>89197377</v>
      </c>
      <c r="LE27" s="21">
        <v>277000000</v>
      </c>
      <c r="LF27" s="21">
        <v>731000000</v>
      </c>
      <c r="LG27" s="21">
        <v>672000000</v>
      </c>
      <c r="LH27" s="21">
        <v>586000000</v>
      </c>
      <c r="LI27" s="21">
        <v>292000000</v>
      </c>
      <c r="LJ27" s="21">
        <v>144000000</v>
      </c>
      <c r="LK27" s="21">
        <v>2.6900000000000001E-6</v>
      </c>
      <c r="LL27" s="21">
        <v>5.1399999999999999E-6</v>
      </c>
      <c r="LM27" s="21">
        <v>9.4800000000000007E-6</v>
      </c>
      <c r="LN27" s="21">
        <v>1.9700000000000001E-5</v>
      </c>
      <c r="LO27" s="21">
        <v>2.94E-5</v>
      </c>
      <c r="LP27" s="21">
        <v>4.1900000000000002E-5</v>
      </c>
      <c r="LQ27" s="21">
        <v>6.1400000000000002E-5</v>
      </c>
      <c r="LR27" s="21">
        <v>130000000</v>
      </c>
      <c r="LS27" s="21">
        <v>321000000</v>
      </c>
      <c r="LT27" s="21">
        <v>740000000</v>
      </c>
      <c r="LU27" s="21">
        <v>645000000</v>
      </c>
      <c r="LV27" s="21">
        <v>552000000</v>
      </c>
      <c r="LW27" s="21">
        <v>270000000</v>
      </c>
      <c r="LX27" s="21">
        <v>132000000</v>
      </c>
      <c r="LY27" s="21">
        <v>3.67E-6</v>
      </c>
      <c r="LZ27" s="21">
        <v>6.9399999999999996E-6</v>
      </c>
      <c r="MA27" s="21">
        <v>1.27E-5</v>
      </c>
      <c r="MB27" s="21">
        <v>2.6599999999999999E-5</v>
      </c>
      <c r="MC27" s="21">
        <v>3.9499999999999998E-5</v>
      </c>
      <c r="MD27" s="21">
        <v>5.6700000000000003E-5</v>
      </c>
      <c r="ME27" s="21">
        <v>8.0799999999999999E-5</v>
      </c>
      <c r="MF27">
        <v>0.34679700000000002</v>
      </c>
      <c r="MG27">
        <v>0.36160799999999998</v>
      </c>
      <c r="MH27">
        <v>0.208894</v>
      </c>
      <c r="MI27">
        <v>7.3668999999999998E-2</v>
      </c>
      <c r="MJ27">
        <v>8.9490000000000004E-3</v>
      </c>
      <c r="MK27" s="21">
        <v>1.0499999999999999E-5</v>
      </c>
      <c r="ML27" s="21">
        <v>7.36E-5</v>
      </c>
      <c r="MM27">
        <v>0.59396899999999997</v>
      </c>
      <c r="MN27">
        <v>0.599522</v>
      </c>
      <c r="MO27">
        <v>0.349271</v>
      </c>
      <c r="MP27">
        <v>0.12751499999999999</v>
      </c>
      <c r="MQ27">
        <v>1.3483999999999999E-2</v>
      </c>
      <c r="MR27">
        <v>-0.107818</v>
      </c>
      <c r="MS27">
        <v>-0.57594199999999995</v>
      </c>
      <c r="MT27">
        <v>0.41419600000000001</v>
      </c>
      <c r="MU27">
        <v>0.29743700000000001</v>
      </c>
      <c r="MV27">
        <v>0.19288</v>
      </c>
      <c r="MW27">
        <v>9.5050999999999997E-2</v>
      </c>
      <c r="MX27">
        <v>4.2999999999999999E-4</v>
      </c>
      <c r="MY27" s="21">
        <v>9.1500000000000003E-7</v>
      </c>
      <c r="MZ27" s="21">
        <v>5.0900000000000004E-6</v>
      </c>
      <c r="NA27">
        <v>1.7714449999999999</v>
      </c>
      <c r="NB27">
        <v>1.2158500000000001</v>
      </c>
      <c r="NC27">
        <v>0.79956700000000003</v>
      </c>
      <c r="ND27">
        <v>0.408049</v>
      </c>
      <c r="NE27">
        <v>-1.0272999999999999E-2</v>
      </c>
      <c r="NF27">
        <v>-0.50012400000000001</v>
      </c>
      <c r="NG27">
        <v>-2.6845140000000001</v>
      </c>
      <c r="NH27">
        <v>6.9769999999999997E-3</v>
      </c>
      <c r="NI27">
        <v>7.1060000000000003E-3</v>
      </c>
      <c r="NJ27">
        <v>8.4989999999999996E-3</v>
      </c>
      <c r="NK27">
        <v>2.8629999999999999E-2</v>
      </c>
      <c r="NL27">
        <v>3.3411999999999997E-2</v>
      </c>
      <c r="NM27">
        <v>8.6016999999999996E-2</v>
      </c>
      <c r="NN27">
        <v>6.9769999999999997E-3</v>
      </c>
      <c r="NO27">
        <v>7.1060000000000003E-3</v>
      </c>
      <c r="NP27">
        <v>8.4989999999999996E-3</v>
      </c>
      <c r="NQ27">
        <v>2.8629999999999999E-2</v>
      </c>
      <c r="NR27">
        <v>3.3411999999999997E-2</v>
      </c>
      <c r="NS27">
        <v>8.6016999999999996E-2</v>
      </c>
      <c r="NT27">
        <v>1.7734E-2</v>
      </c>
      <c r="NU27">
        <v>1.8057E-2</v>
      </c>
      <c r="NV27">
        <v>2.0930000000000001E-2</v>
      </c>
      <c r="NW27">
        <v>4.1045999999999999E-2</v>
      </c>
      <c r="NX27">
        <v>4.6549E-2</v>
      </c>
      <c r="NY27">
        <v>9.7421999999999995E-2</v>
      </c>
      <c r="NZ27">
        <v>1.7734E-2</v>
      </c>
      <c r="OA27">
        <v>1.8057E-2</v>
      </c>
      <c r="OB27">
        <v>2.0930000000000001E-2</v>
      </c>
      <c r="OC27">
        <v>4.1045999999999999E-2</v>
      </c>
      <c r="OD27">
        <v>4.6549E-2</v>
      </c>
      <c r="OE27">
        <v>9.7421999999999995E-2</v>
      </c>
      <c r="OF27">
        <v>47.322470000000003</v>
      </c>
      <c r="OG27">
        <v>30192.37</v>
      </c>
      <c r="OH27">
        <v>18443.099999999999</v>
      </c>
      <c r="OI27">
        <v>8126.5770000000002</v>
      </c>
      <c r="OJ27">
        <v>36.113689999999998</v>
      </c>
      <c r="OK27">
        <v>25939.24</v>
      </c>
      <c r="OL27">
        <v>17526.95</v>
      </c>
      <c r="OM27">
        <v>7784.0439999999999</v>
      </c>
      <c r="ON27">
        <v>1542841</v>
      </c>
      <c r="OO27">
        <v>1572450</v>
      </c>
      <c r="OP27">
        <v>11388.33</v>
      </c>
      <c r="OQ27">
        <v>6417.1610000000001</v>
      </c>
      <c r="OR27">
        <v>5345.0829999999996</v>
      </c>
      <c r="OS27">
        <v>525.52070000000003</v>
      </c>
      <c r="OT27">
        <v>1627.6130000000001</v>
      </c>
      <c r="OU27">
        <v>1310.7560000000001</v>
      </c>
      <c r="OV27">
        <v>337.26209999999998</v>
      </c>
      <c r="OW27">
        <v>1319.684</v>
      </c>
      <c r="OX27">
        <v>1381.41</v>
      </c>
      <c r="OY27">
        <v>1106.4290000000001</v>
      </c>
      <c r="OZ27">
        <v>641.03179999999998</v>
      </c>
      <c r="PA27">
        <v>20935.79</v>
      </c>
      <c r="PB27">
        <v>7351.49</v>
      </c>
      <c r="PC27">
        <v>1198.857</v>
      </c>
      <c r="PD27">
        <v>2128.8719999999998</v>
      </c>
      <c r="PE27">
        <v>6434.5690000000004</v>
      </c>
      <c r="PF27">
        <v>1386.9469999999999</v>
      </c>
      <c r="PG27">
        <v>2569.721</v>
      </c>
      <c r="PH27">
        <v>200607</v>
      </c>
      <c r="PI27">
        <v>85564.800000000003</v>
      </c>
      <c r="PJ27">
        <v>1.8273759999999999</v>
      </c>
      <c r="PK27">
        <v>556.32899999999995</v>
      </c>
      <c r="PL27">
        <v>109.96559999999999</v>
      </c>
      <c r="PM27">
        <v>1863.1289999999999</v>
      </c>
      <c r="PN27">
        <v>445.51589999999999</v>
      </c>
      <c r="PO27">
        <v>161.85</v>
      </c>
      <c r="PP27">
        <v>251.0411</v>
      </c>
      <c r="PQ27">
        <v>574.94439999999997</v>
      </c>
      <c r="PR27">
        <v>95.931060000000002</v>
      </c>
      <c r="PS27">
        <v>595.22069999999997</v>
      </c>
      <c r="PT27">
        <v>1287.9880000000001</v>
      </c>
      <c r="PU27">
        <v>459.07909999999998</v>
      </c>
      <c r="PV27">
        <v>827.8211</v>
      </c>
      <c r="PW27">
        <v>65.533230000000003</v>
      </c>
      <c r="PX27">
        <v>141.04750000000001</v>
      </c>
      <c r="PY27">
        <v>768.82460000000003</v>
      </c>
      <c r="PZ27">
        <v>138.59229999999999</v>
      </c>
      <c r="QA27">
        <v>367922.9</v>
      </c>
      <c r="QB27">
        <v>8773.0249999999996</v>
      </c>
      <c r="QC27">
        <v>80196.56</v>
      </c>
      <c r="QD27">
        <v>11274.94</v>
      </c>
      <c r="QE27">
        <v>13360.63</v>
      </c>
      <c r="QF27">
        <v>9152.1939999999995</v>
      </c>
      <c r="QG27">
        <v>3698.319</v>
      </c>
      <c r="QH27">
        <v>625.92999999999995</v>
      </c>
      <c r="QI27">
        <v>1.0382929999999999</v>
      </c>
      <c r="QJ27">
        <v>9.6623940000000008</v>
      </c>
      <c r="QK27">
        <v>12176.15</v>
      </c>
      <c r="QL27">
        <v>6894.1109999999999</v>
      </c>
      <c r="QM27">
        <v>5138.982</v>
      </c>
      <c r="QN27">
        <v>581.92290000000003</v>
      </c>
      <c r="QO27">
        <v>1894.116</v>
      </c>
      <c r="QP27">
        <v>1384.2660000000001</v>
      </c>
      <c r="QQ27">
        <v>444.18200000000002</v>
      </c>
      <c r="QR27">
        <v>1337.9639999999999</v>
      </c>
      <c r="QS27">
        <v>1374.42</v>
      </c>
      <c r="QT27">
        <v>1402.2429999999999</v>
      </c>
      <c r="QU27">
        <v>670.21360000000004</v>
      </c>
      <c r="QV27">
        <v>21500.54</v>
      </c>
      <c r="QW27">
        <v>7708.7820000000002</v>
      </c>
      <c r="QX27">
        <v>1330.144</v>
      </c>
      <c r="QY27">
        <v>2392.732</v>
      </c>
      <c r="QZ27">
        <v>7394.701</v>
      </c>
      <c r="RA27">
        <v>1496.7919999999999</v>
      </c>
      <c r="RB27">
        <v>3182.3629999999998</v>
      </c>
      <c r="RC27">
        <v>204706.3</v>
      </c>
      <c r="RD27">
        <v>86336.59</v>
      </c>
      <c r="RE27">
        <v>0.69597399999999998</v>
      </c>
      <c r="RF27">
        <v>476.08150000000001</v>
      </c>
      <c r="RG27">
        <v>91.915360000000007</v>
      </c>
      <c r="RH27">
        <v>1142.982</v>
      </c>
      <c r="RI27">
        <v>8.9289760000000005</v>
      </c>
      <c r="RJ27">
        <v>157.3365</v>
      </c>
      <c r="RK27">
        <v>1.1474059999999999</v>
      </c>
      <c r="RL27">
        <v>11413.47</v>
      </c>
      <c r="RM27">
        <v>4960.93</v>
      </c>
      <c r="RN27">
        <v>639.89760000000001</v>
      </c>
      <c r="RO27">
        <v>1049.614</v>
      </c>
      <c r="RP27">
        <v>269.93669999999997</v>
      </c>
      <c r="RQ27">
        <v>959.66629999999998</v>
      </c>
      <c r="RR27">
        <v>391.25439999999998</v>
      </c>
      <c r="RS27">
        <v>191.57249999999999</v>
      </c>
      <c r="RT27">
        <v>770.06200000000001</v>
      </c>
      <c r="RU27">
        <v>1152.2270000000001</v>
      </c>
      <c r="RV27">
        <v>393025.2</v>
      </c>
      <c r="RW27">
        <v>13042.36</v>
      </c>
      <c r="RX27">
        <v>77993.919999999998</v>
      </c>
      <c r="RY27">
        <v>10852.96</v>
      </c>
      <c r="RZ27">
        <v>8857.0310000000009</v>
      </c>
      <c r="SA27">
        <v>6810.6880000000001</v>
      </c>
      <c r="SB27">
        <v>3845.7379999999998</v>
      </c>
      <c r="SC27">
        <v>24.240670000000001</v>
      </c>
      <c r="SD27">
        <v>7.3268E-2</v>
      </c>
      <c r="SE27">
        <v>0.53858399999999995</v>
      </c>
      <c r="SF27">
        <v>33072.14</v>
      </c>
      <c r="SG27">
        <v>47.322470000000003</v>
      </c>
      <c r="SH27">
        <v>7322.509</v>
      </c>
      <c r="SI27">
        <v>17575.73</v>
      </c>
      <c r="SJ27">
        <v>8126.5770000000002</v>
      </c>
      <c r="SK27">
        <v>30081.84</v>
      </c>
      <c r="SL27">
        <v>36.113689999999998</v>
      </c>
      <c r="SM27">
        <v>6190.3249999999998</v>
      </c>
      <c r="SN27">
        <v>16071.36</v>
      </c>
      <c r="SO27">
        <v>7784.0439999999999</v>
      </c>
      <c r="SP27">
        <v>122215.3</v>
      </c>
      <c r="SQ27">
        <v>66696.11</v>
      </c>
      <c r="SR27">
        <v>128541.2</v>
      </c>
      <c r="SS27">
        <v>69555.34</v>
      </c>
      <c r="ST27">
        <v>36.754280000000001</v>
      </c>
      <c r="SU27">
        <v>0.285024</v>
      </c>
      <c r="SV27">
        <v>5.2702720000000003</v>
      </c>
      <c r="SW27">
        <v>12.54867</v>
      </c>
      <c r="SX27">
        <v>18.650320000000001</v>
      </c>
      <c r="SY27">
        <v>34.011699999999998</v>
      </c>
      <c r="SZ27">
        <v>0.21751300000000001</v>
      </c>
      <c r="TA27">
        <v>4.4553989999999999</v>
      </c>
      <c r="TB27">
        <v>11.47458</v>
      </c>
      <c r="TC27">
        <v>17.86421</v>
      </c>
      <c r="TD27">
        <v>26257.26</v>
      </c>
      <c r="TE27">
        <v>830.73209999999995</v>
      </c>
      <c r="TF27">
        <v>515.06790000000001</v>
      </c>
      <c r="TG27">
        <v>221.71090000000001</v>
      </c>
      <c r="TH27">
        <v>53.303890000000003</v>
      </c>
      <c r="TI27">
        <v>107.4534</v>
      </c>
      <c r="TJ27">
        <v>90.281379999999999</v>
      </c>
      <c r="TK27">
        <v>27.43927</v>
      </c>
      <c r="TL27">
        <v>32.617080000000001</v>
      </c>
      <c r="TM27">
        <v>174.2561</v>
      </c>
      <c r="TN27">
        <v>43.530119999999997</v>
      </c>
      <c r="TO27">
        <v>28.14706</v>
      </c>
      <c r="TP27">
        <v>2130.5970000000002</v>
      </c>
      <c r="TQ27">
        <v>2020.39</v>
      </c>
      <c r="TR27">
        <v>101.0391</v>
      </c>
      <c r="TS27">
        <v>179.16</v>
      </c>
      <c r="TT27">
        <v>431.5154</v>
      </c>
      <c r="TU27">
        <v>43.567520000000002</v>
      </c>
      <c r="TV27">
        <v>75.77525</v>
      </c>
      <c r="TW27">
        <v>12531.51</v>
      </c>
      <c r="TX27">
        <v>6497.4669999999996</v>
      </c>
      <c r="TY27">
        <v>0.50736300000000001</v>
      </c>
      <c r="TZ27">
        <v>9.8089019999999998</v>
      </c>
      <c r="UA27">
        <v>4.9902220000000002</v>
      </c>
      <c r="UB27">
        <v>58.192050000000002</v>
      </c>
      <c r="UC27">
        <v>0.704129</v>
      </c>
      <c r="UD27">
        <v>2.340786</v>
      </c>
      <c r="UE27">
        <v>4.2736200000000002</v>
      </c>
      <c r="UF27">
        <v>1.5992649999999999</v>
      </c>
      <c r="UG27">
        <v>0.77203299999999997</v>
      </c>
      <c r="UH27">
        <v>10.23236</v>
      </c>
      <c r="UI27">
        <v>5.0202799999999996</v>
      </c>
      <c r="UJ27">
        <v>14.77455</v>
      </c>
      <c r="UK27">
        <v>5.6022080000000001</v>
      </c>
      <c r="UL27">
        <v>0.41841499999999998</v>
      </c>
      <c r="UM27">
        <v>0.46426000000000001</v>
      </c>
      <c r="UN27">
        <v>1.647438</v>
      </c>
      <c r="UO27">
        <v>0.34671000000000002</v>
      </c>
      <c r="UP27">
        <v>26538.47</v>
      </c>
      <c r="UQ27">
        <v>833.04790000000003</v>
      </c>
      <c r="UR27">
        <v>522.3732</v>
      </c>
      <c r="US27">
        <v>214.01310000000001</v>
      </c>
      <c r="UT27">
        <v>55.553519999999999</v>
      </c>
      <c r="UU27">
        <v>115.7161</v>
      </c>
      <c r="UV27">
        <v>94.883290000000002</v>
      </c>
      <c r="UW27">
        <v>27.823889999999999</v>
      </c>
      <c r="UX27">
        <v>32.805999999999997</v>
      </c>
      <c r="UY27">
        <v>181.79480000000001</v>
      </c>
      <c r="UZ27">
        <v>45.315640000000002</v>
      </c>
      <c r="VA27">
        <v>27.712129999999998</v>
      </c>
      <c r="VB27">
        <v>2141.654</v>
      </c>
      <c r="VC27">
        <v>2090.9960000000001</v>
      </c>
      <c r="VD27">
        <v>108.0532</v>
      </c>
      <c r="VE27">
        <v>192.34270000000001</v>
      </c>
      <c r="VF27">
        <v>429.8304</v>
      </c>
      <c r="VG27">
        <v>39.407870000000003</v>
      </c>
      <c r="VH27">
        <v>78.984629999999996</v>
      </c>
      <c r="VI27">
        <v>12656.74</v>
      </c>
      <c r="VJ27">
        <v>6510.4390000000003</v>
      </c>
      <c r="VK27">
        <v>0.25297399999999998</v>
      </c>
      <c r="VL27">
        <v>8.7479209999999998</v>
      </c>
      <c r="VM27">
        <v>4.3605850000000004</v>
      </c>
      <c r="VN27">
        <v>37.98892</v>
      </c>
      <c r="VO27">
        <v>4.6491999999999999E-2</v>
      </c>
      <c r="VP27">
        <v>2.2859600000000002</v>
      </c>
      <c r="VQ27">
        <v>6.9163000000000002E-2</v>
      </c>
      <c r="VR27">
        <v>20.641120000000001</v>
      </c>
      <c r="VS27">
        <v>26.13083</v>
      </c>
      <c r="VT27">
        <v>10.424189999999999</v>
      </c>
      <c r="VU27">
        <v>4.7408239999999999</v>
      </c>
      <c r="VV27">
        <v>9.7275740000000006</v>
      </c>
      <c r="VW27">
        <v>6.7960010000000004</v>
      </c>
      <c r="VX27">
        <v>2.0898530000000002</v>
      </c>
      <c r="VY27">
        <v>0.63230699999999995</v>
      </c>
      <c r="VZ27">
        <v>1.744246</v>
      </c>
      <c r="WA27">
        <v>2.300799</v>
      </c>
      <c r="WB27">
        <v>9.3807000000000001E-2</v>
      </c>
      <c r="WC27">
        <v>8.1439999999999999E-2</v>
      </c>
      <c r="WD27">
        <v>-1.5409000000000001E-2</v>
      </c>
      <c r="WE27">
        <v>-1.1443E-2</v>
      </c>
      <c r="WF27">
        <v>0.60580500000000004</v>
      </c>
      <c r="WG27">
        <v>0.498392</v>
      </c>
      <c r="WH27">
        <v>-2.1731E-2</v>
      </c>
      <c r="WI27">
        <v>-1.1861E-2</v>
      </c>
      <c r="WJ27">
        <v>2477641</v>
      </c>
      <c r="WK27">
        <v>2513174</v>
      </c>
    </row>
    <row r="28" spans="1:609" x14ac:dyDescent="0.25">
      <c r="A28">
        <v>2029</v>
      </c>
      <c r="B28">
        <v>1.5920289999999999</v>
      </c>
      <c r="C28">
        <v>141.25800000000001</v>
      </c>
      <c r="D28">
        <v>2.1995360000000002</v>
      </c>
      <c r="E28">
        <v>7.6325770000000004</v>
      </c>
      <c r="F28">
        <v>-2.7882690000000001</v>
      </c>
      <c r="G28">
        <v>0.58203899999999997</v>
      </c>
      <c r="H28">
        <v>-1.3920360000000001</v>
      </c>
      <c r="I28">
        <v>1.2148829999999999</v>
      </c>
      <c r="J28">
        <v>7.556711</v>
      </c>
      <c r="K28">
        <v>-0.47604299999999999</v>
      </c>
      <c r="L28">
        <v>8.0711770000000005</v>
      </c>
      <c r="M28">
        <v>1.0041310000000001</v>
      </c>
      <c r="N28">
        <v>0</v>
      </c>
      <c r="O28">
        <v>-11.95313</v>
      </c>
      <c r="P28">
        <v>-1.1010200000000001</v>
      </c>
      <c r="Q28">
        <v>-35.237760000000002</v>
      </c>
      <c r="R28">
        <v>61.540190000000003</v>
      </c>
      <c r="S28">
        <v>93.303299999999993</v>
      </c>
      <c r="T28">
        <v>330.87889999999999</v>
      </c>
      <c r="U28">
        <v>109.94110000000001</v>
      </c>
      <c r="V28">
        <v>253.86879999999999</v>
      </c>
      <c r="W28">
        <v>2.3722349999999999</v>
      </c>
      <c r="X28">
        <v>60567.28</v>
      </c>
      <c r="Y28">
        <v>0.122173</v>
      </c>
      <c r="Z28">
        <v>7.8113000000000002E-2</v>
      </c>
      <c r="AA28">
        <v>-0.89766100000000004</v>
      </c>
      <c r="AB28">
        <v>-1.1704600000000001</v>
      </c>
      <c r="AC28">
        <v>4.3327999999999998E-2</v>
      </c>
      <c r="AD28">
        <v>66113.98</v>
      </c>
      <c r="AE28">
        <v>164508.20000000001</v>
      </c>
      <c r="AF28">
        <v>205211.9</v>
      </c>
      <c r="AG28">
        <v>-11107.86</v>
      </c>
      <c r="AH28">
        <v>178671.4</v>
      </c>
      <c r="AI28" s="21">
        <v>6.6500000000000004E-5</v>
      </c>
      <c r="AJ28">
        <v>168.2304</v>
      </c>
      <c r="AK28">
        <v>725.49379999999996</v>
      </c>
      <c r="AL28">
        <v>201.02189999999999</v>
      </c>
      <c r="AM28">
        <v>94.033900000000003</v>
      </c>
      <c r="AN28">
        <v>405.5215</v>
      </c>
      <c r="AO28">
        <v>112.3631</v>
      </c>
      <c r="AP28">
        <v>710.71780000000001</v>
      </c>
      <c r="AQ28">
        <v>397.26229999999998</v>
      </c>
      <c r="AR28">
        <v>730.42619999999999</v>
      </c>
      <c r="AS28">
        <v>588.58550000000002</v>
      </c>
      <c r="AT28">
        <v>1356.6869999999999</v>
      </c>
      <c r="AU28">
        <v>578.19309999999996</v>
      </c>
      <c r="AV28">
        <v>173.7689</v>
      </c>
      <c r="AW28">
        <v>1.671786</v>
      </c>
      <c r="AX28">
        <v>2.503031</v>
      </c>
      <c r="AY28">
        <v>2.5714700000000001</v>
      </c>
      <c r="AZ28">
        <v>-4.3546670000000001</v>
      </c>
      <c r="BA28">
        <v>4.8548390000000001</v>
      </c>
      <c r="BB28">
        <v>7.8190489999999997</v>
      </c>
      <c r="BC28">
        <v>4.6019389999999998</v>
      </c>
      <c r="BD28">
        <v>11.20046</v>
      </c>
      <c r="BE28">
        <v>-0.47819</v>
      </c>
      <c r="BF28">
        <v>3.5269249999999999</v>
      </c>
      <c r="BG28">
        <v>6.4610300000000001</v>
      </c>
      <c r="BH28">
        <v>-0.23456399999999999</v>
      </c>
      <c r="BI28">
        <v>0.82992999999999995</v>
      </c>
      <c r="BJ28">
        <v>4.2784000000000004</v>
      </c>
      <c r="BK28">
        <v>9.7431389999999993</v>
      </c>
      <c r="BL28">
        <v>10.44356</v>
      </c>
      <c r="BM28">
        <v>1.090425</v>
      </c>
      <c r="BN28">
        <v>-9.6936160000000005</v>
      </c>
      <c r="BO28">
        <v>3.48265</v>
      </c>
      <c r="BP28">
        <v>1.3719380000000001</v>
      </c>
      <c r="BQ28">
        <v>0.42532199999999998</v>
      </c>
      <c r="BR28">
        <v>-68.940460000000002</v>
      </c>
      <c r="BS28">
        <v>-17.743120000000001</v>
      </c>
      <c r="BT28">
        <v>-308.13929999999999</v>
      </c>
      <c r="BU28">
        <v>-39.28725</v>
      </c>
      <c r="BV28">
        <v>-94.275120000000001</v>
      </c>
      <c r="BW28">
        <v>-4.536098</v>
      </c>
      <c r="BX28">
        <v>-96.108919999999998</v>
      </c>
      <c r="BY28">
        <v>1102.424</v>
      </c>
      <c r="BZ28">
        <v>3155.6529999999998</v>
      </c>
      <c r="CA28">
        <v>-12.835750000000001</v>
      </c>
      <c r="CB28">
        <v>8.6670820000000006</v>
      </c>
      <c r="CC28">
        <v>-47.688650000000003</v>
      </c>
      <c r="CD28">
        <v>18.609850000000002</v>
      </c>
      <c r="CE28">
        <v>443.08600000000001</v>
      </c>
      <c r="CF28">
        <v>36.198610000000002</v>
      </c>
      <c r="CG28">
        <v>12.73513</v>
      </c>
      <c r="CH28">
        <v>583.08500000000004</v>
      </c>
      <c r="CI28">
        <v>8.3760580000000004</v>
      </c>
      <c r="CJ28">
        <v>8.4588380000000001</v>
      </c>
      <c r="CK28">
        <v>-4.4386979999999996</v>
      </c>
      <c r="CL28">
        <v>12.63185</v>
      </c>
      <c r="CM28">
        <v>19.870139999999999</v>
      </c>
      <c r="CN28">
        <v>6.7695910000000001</v>
      </c>
      <c r="CO28">
        <v>36.099080000000001</v>
      </c>
      <c r="CP28">
        <v>1.8978139999999999</v>
      </c>
      <c r="CQ28">
        <v>-0.51524000000000003</v>
      </c>
      <c r="CR28">
        <v>29.462700000000002</v>
      </c>
      <c r="CS28">
        <v>5.1561969999999997</v>
      </c>
      <c r="CT28">
        <v>3.0527899999999999</v>
      </c>
      <c r="CU28">
        <v>5.5149100000000004</v>
      </c>
      <c r="CV28">
        <v>12.961830000000001</v>
      </c>
      <c r="CW28">
        <v>15.338710000000001</v>
      </c>
      <c r="CX28">
        <v>19.221170000000001</v>
      </c>
      <c r="CY28">
        <v>11.96809</v>
      </c>
      <c r="CZ28">
        <v>31.49916</v>
      </c>
      <c r="DA28">
        <v>2.3249420000000001</v>
      </c>
      <c r="DB28">
        <v>1.0277639999999999</v>
      </c>
      <c r="DC28">
        <v>-62.657179999999997</v>
      </c>
      <c r="DD28">
        <v>-16.956379999999999</v>
      </c>
      <c r="DE28">
        <v>3.571539</v>
      </c>
      <c r="DF28">
        <v>-42.092559999999999</v>
      </c>
      <c r="DG28">
        <v>-97.878950000000003</v>
      </c>
      <c r="DH28">
        <v>-4.0394870000000003</v>
      </c>
      <c r="DI28">
        <v>-99.44708</v>
      </c>
      <c r="DJ28">
        <v>1960.421</v>
      </c>
      <c r="DK28">
        <v>5847.5839999999998</v>
      </c>
      <c r="DL28">
        <v>-1.530761</v>
      </c>
      <c r="DM28">
        <v>-10.11646</v>
      </c>
      <c r="DN28">
        <v>-45.158090000000001</v>
      </c>
      <c r="DO28">
        <v>18.567119999999999</v>
      </c>
      <c r="DP28">
        <v>581.06039999999996</v>
      </c>
      <c r="DQ28">
        <v>41.419339999999998</v>
      </c>
      <c r="DR28">
        <v>6.1208090000000004</v>
      </c>
      <c r="DS28">
        <v>855.61869999999999</v>
      </c>
      <c r="DT28">
        <v>2.9568000000000001E-2</v>
      </c>
      <c r="DU28">
        <v>2.8450440000000001</v>
      </c>
      <c r="DV28">
        <v>-17.490590000000001</v>
      </c>
      <c r="DW28">
        <v>4.5927309999999997</v>
      </c>
      <c r="DX28">
        <v>3.5354260000000002</v>
      </c>
      <c r="DY28">
        <v>3.9704630000000001</v>
      </c>
      <c r="DZ28">
        <v>1.6317109999999999</v>
      </c>
      <c r="EA28">
        <v>3.0532400000000002</v>
      </c>
      <c r="EB28">
        <v>6.1941009999999999</v>
      </c>
      <c r="EC28">
        <v>0</v>
      </c>
      <c r="ED28">
        <v>4.1212879999999998</v>
      </c>
      <c r="EE28">
        <v>3.7533970000000001</v>
      </c>
      <c r="EF28">
        <v>5.3250039999999998</v>
      </c>
      <c r="EG28">
        <v>9.2988780000000002</v>
      </c>
      <c r="EH28">
        <v>16.11224</v>
      </c>
      <c r="EI28">
        <v>-2.5458599999999998</v>
      </c>
      <c r="EJ28">
        <v>-0.34783500000000001</v>
      </c>
      <c r="EK28">
        <v>-4.9957269999999996</v>
      </c>
      <c r="EL28">
        <v>3.285301</v>
      </c>
      <c r="EM28">
        <v>3.3703059999999998</v>
      </c>
      <c r="EN28">
        <v>-25.16263</v>
      </c>
      <c r="EO28">
        <v>-15.43107</v>
      </c>
      <c r="EP28">
        <v>-6.1549209999999999</v>
      </c>
      <c r="EQ28">
        <v>-4.4077060000000001</v>
      </c>
      <c r="ER28">
        <v>7.980181</v>
      </c>
      <c r="ES28">
        <v>73.040949999999995</v>
      </c>
      <c r="ET28">
        <v>2.0717310000000002</v>
      </c>
      <c r="EU28">
        <v>35.252310000000001</v>
      </c>
      <c r="EV28">
        <v>0.56408100000000005</v>
      </c>
      <c r="EW28">
        <v>2.060851</v>
      </c>
      <c r="EX28">
        <v>2.602592</v>
      </c>
      <c r="EY28">
        <v>0.82175100000000001</v>
      </c>
      <c r="EZ28">
        <v>0.108907</v>
      </c>
      <c r="FA28">
        <v>5.5542449999999999</v>
      </c>
      <c r="FB28">
        <v>1.782111</v>
      </c>
      <c r="FC28">
        <v>34.18618</v>
      </c>
      <c r="FD28">
        <v>9.3063269999999996</v>
      </c>
      <c r="FE28">
        <v>0.56206500000000004</v>
      </c>
      <c r="FF28">
        <v>0.86613300000000004</v>
      </c>
      <c r="FG28">
        <v>1.5571969999999999</v>
      </c>
      <c r="FH28">
        <v>0.35013899999999998</v>
      </c>
      <c r="FI28">
        <v>4.9991329999999996</v>
      </c>
      <c r="FJ28">
        <v>59.886060000000001</v>
      </c>
      <c r="FK28">
        <v>2.5143879999999998</v>
      </c>
      <c r="FL28">
        <v>21.479469999999999</v>
      </c>
      <c r="FM28">
        <v>5.3707999999999999E-2</v>
      </c>
      <c r="FN28">
        <v>1.9692810000000001</v>
      </c>
      <c r="FO28">
        <v>9.5489000000000004E-2</v>
      </c>
      <c r="FP28">
        <v>9.9006830000000008</v>
      </c>
      <c r="FQ28">
        <v>3.5569890000000002</v>
      </c>
      <c r="FR28">
        <v>4.8478579999999996</v>
      </c>
      <c r="FS28">
        <v>1.929478</v>
      </c>
      <c r="FT28">
        <v>21.73311</v>
      </c>
      <c r="FU28">
        <v>12.0632</v>
      </c>
      <c r="FV28">
        <v>3.341831</v>
      </c>
      <c r="FW28">
        <v>1.2918160000000001</v>
      </c>
      <c r="FX28">
        <v>1.906576</v>
      </c>
      <c r="FY28">
        <v>2.689028</v>
      </c>
      <c r="FZ28">
        <v>5.740291</v>
      </c>
      <c r="GA28">
        <v>56.575510000000001</v>
      </c>
      <c r="GB28">
        <v>2.0717310000000002</v>
      </c>
      <c r="GC28">
        <v>31.311029999999999</v>
      </c>
      <c r="GD28">
        <v>0.50101600000000002</v>
      </c>
      <c r="GE28">
        <v>1.830443</v>
      </c>
      <c r="GF28">
        <v>2.311617</v>
      </c>
      <c r="GG28">
        <v>0.729877</v>
      </c>
      <c r="GH28">
        <v>9.6730999999999998E-2</v>
      </c>
      <c r="GI28">
        <v>4.933268</v>
      </c>
      <c r="GJ28">
        <v>1.582867</v>
      </c>
      <c r="GK28">
        <v>32.236319999999999</v>
      </c>
      <c r="GL28">
        <v>9.3063269999999996</v>
      </c>
      <c r="GM28">
        <v>0.56206500000000004</v>
      </c>
      <c r="GN28">
        <v>0.86613300000000004</v>
      </c>
      <c r="GO28">
        <v>1.5571969999999999</v>
      </c>
      <c r="GP28">
        <v>0.35013899999999998</v>
      </c>
      <c r="GQ28">
        <v>2.8184089999999999</v>
      </c>
      <c r="GR28">
        <v>44.028709999999997</v>
      </c>
      <c r="GS28">
        <v>2.5143879999999998</v>
      </c>
      <c r="GT28">
        <v>18.808800000000002</v>
      </c>
      <c r="GU28">
        <v>4.7030000000000002E-2</v>
      </c>
      <c r="GV28">
        <v>1.724429</v>
      </c>
      <c r="GW28">
        <v>8.3615999999999996E-2</v>
      </c>
      <c r="GX28">
        <v>8.6696740000000005</v>
      </c>
      <c r="GY28">
        <v>3.1147290000000001</v>
      </c>
      <c r="GZ28">
        <v>4.2450960000000002</v>
      </c>
      <c r="HA28">
        <v>1.689575</v>
      </c>
      <c r="HB28">
        <v>19.855260000000001</v>
      </c>
      <c r="HC28">
        <v>12.0632</v>
      </c>
      <c r="HD28">
        <v>3.341831</v>
      </c>
      <c r="HE28">
        <v>1.2918160000000001</v>
      </c>
      <c r="HF28">
        <v>1.906576</v>
      </c>
      <c r="HG28">
        <v>2.689028</v>
      </c>
      <c r="HH28">
        <v>5.8438239999999997</v>
      </c>
      <c r="HI28">
        <v>60.809829999999998</v>
      </c>
      <c r="HJ28">
        <v>2.0717310000000002</v>
      </c>
      <c r="HK28">
        <v>127.2629</v>
      </c>
      <c r="HL28">
        <v>1.218424</v>
      </c>
      <c r="HM28">
        <v>4.4514709999999997</v>
      </c>
      <c r="HN28">
        <v>5.6216410000000003</v>
      </c>
      <c r="HO28">
        <v>0.888374</v>
      </c>
      <c r="HP28">
        <v>0.11773599999999999</v>
      </c>
      <c r="HQ28">
        <v>6.0045510000000002</v>
      </c>
      <c r="HR28">
        <v>5.208939</v>
      </c>
      <c r="HS28">
        <v>32.457819999999998</v>
      </c>
      <c r="HT28">
        <v>9.4455139999999993</v>
      </c>
      <c r="HU28">
        <v>0.57047199999999998</v>
      </c>
      <c r="HV28">
        <v>0.87908699999999995</v>
      </c>
      <c r="HW28">
        <v>1.580487</v>
      </c>
      <c r="HX28">
        <v>0.35537600000000003</v>
      </c>
      <c r="HY28">
        <v>2.854698</v>
      </c>
      <c r="HZ28">
        <v>47.292009999999998</v>
      </c>
      <c r="IA28">
        <v>2.5143879999999998</v>
      </c>
      <c r="IB28">
        <v>70.867000000000004</v>
      </c>
      <c r="IC28">
        <v>5.3707999999999999E-2</v>
      </c>
      <c r="ID28">
        <v>4.0583130000000001</v>
      </c>
      <c r="IE28">
        <v>9.5489000000000004E-2</v>
      </c>
      <c r="IF28">
        <v>10.642849999999999</v>
      </c>
      <c r="IG28">
        <v>3.823626</v>
      </c>
      <c r="IH28">
        <v>5.2112600000000002</v>
      </c>
      <c r="II28">
        <v>6.0045679999999999</v>
      </c>
      <c r="IJ28">
        <v>20.165849999999999</v>
      </c>
      <c r="IK28">
        <v>12.56888</v>
      </c>
      <c r="IL28">
        <v>3.3967679999999998</v>
      </c>
      <c r="IM28">
        <v>1.380951</v>
      </c>
      <c r="IN28">
        <v>2.0340829999999999</v>
      </c>
      <c r="IO28">
        <v>2.742804</v>
      </c>
      <c r="IP28">
        <v>4.4736269999999996</v>
      </c>
      <c r="IQ28">
        <v>5.4241580000000003</v>
      </c>
      <c r="IR28">
        <v>0.66307499999999997</v>
      </c>
      <c r="IS28">
        <v>1.813604</v>
      </c>
      <c r="IT28">
        <v>4.0646139999999997</v>
      </c>
      <c r="IU28">
        <v>4.2626460000000002</v>
      </c>
      <c r="IV28">
        <v>5.1038639999999997</v>
      </c>
      <c r="IW28">
        <v>6.2604990000000003</v>
      </c>
      <c r="IX28">
        <v>0.82128100000000004</v>
      </c>
      <c r="IY28">
        <v>6.8027230000000003</v>
      </c>
      <c r="IZ28">
        <v>1.8271219999999999</v>
      </c>
      <c r="JA28">
        <v>8.4132739999999995</v>
      </c>
      <c r="JB28">
        <v>0.40953000000000001</v>
      </c>
      <c r="JC28">
        <v>1.3579779999999999</v>
      </c>
      <c r="JD28">
        <v>0.84116500000000005</v>
      </c>
      <c r="JE28">
        <v>18.213290000000001</v>
      </c>
      <c r="JF28">
        <v>0.34617300000000001</v>
      </c>
      <c r="JG28">
        <v>1.796897</v>
      </c>
      <c r="JH28">
        <v>19.793289999999999</v>
      </c>
      <c r="JI28">
        <v>6.6193879999999998</v>
      </c>
      <c r="JJ28">
        <v>16.793530000000001</v>
      </c>
      <c r="JK28">
        <v>36.460830000000001</v>
      </c>
      <c r="JL28">
        <v>3.4083049999999999</v>
      </c>
      <c r="JM28">
        <v>4.6787029999999996</v>
      </c>
      <c r="JN28">
        <v>0.584152</v>
      </c>
      <c r="JO28">
        <v>1.4384490000000001</v>
      </c>
      <c r="JP28">
        <v>3.0541320000000001</v>
      </c>
      <c r="JQ28">
        <v>3.595736</v>
      </c>
      <c r="JR28">
        <v>4.0490880000000002</v>
      </c>
      <c r="JS28">
        <v>5.6108789999999997</v>
      </c>
      <c r="JT28">
        <v>0.76300199999999996</v>
      </c>
      <c r="JU28">
        <v>3.9732810000000001</v>
      </c>
      <c r="JV28">
        <v>1.4816739999999999</v>
      </c>
      <c r="JW28">
        <v>7.3319099999999997</v>
      </c>
      <c r="JX28">
        <v>0.31082799999999999</v>
      </c>
      <c r="JY28">
        <v>1.2561789999999999</v>
      </c>
      <c r="JZ28">
        <v>0.82271300000000003</v>
      </c>
      <c r="KA28">
        <v>13.338660000000001</v>
      </c>
      <c r="KB28">
        <v>0.16320499999999999</v>
      </c>
      <c r="KC28">
        <v>0.99265899999999996</v>
      </c>
      <c r="KD28">
        <v>17.913540000000001</v>
      </c>
      <c r="KE28">
        <v>5.8402469999999997</v>
      </c>
      <c r="KF28">
        <v>14.8645</v>
      </c>
      <c r="KG28">
        <v>33.420319999999997</v>
      </c>
      <c r="KH28">
        <v>7667.7430000000004</v>
      </c>
      <c r="KI28">
        <v>10229.85</v>
      </c>
      <c r="KJ28">
        <v>6477.3509999999997</v>
      </c>
      <c r="KK28">
        <v>2901.8420000000001</v>
      </c>
      <c r="KL28">
        <v>2847.1280000000002</v>
      </c>
      <c r="KM28">
        <v>920.98869999999999</v>
      </c>
      <c r="KN28">
        <v>972.34879999999998</v>
      </c>
      <c r="KO28">
        <v>0</v>
      </c>
      <c r="KP28">
        <v>28920.81</v>
      </c>
      <c r="KQ28">
        <v>3096.444</v>
      </c>
      <c r="KR28">
        <v>0</v>
      </c>
      <c r="KS28">
        <v>8301.2790000000005</v>
      </c>
      <c r="KT28">
        <v>8644.0460000000003</v>
      </c>
      <c r="KU28">
        <v>5926.6949999999997</v>
      </c>
      <c r="KV28">
        <v>3176.1840000000002</v>
      </c>
      <c r="KW28">
        <v>2679.875</v>
      </c>
      <c r="KX28">
        <v>843.83109999999999</v>
      </c>
      <c r="KY28">
        <v>509.74419999999998</v>
      </c>
      <c r="KZ28">
        <v>0</v>
      </c>
      <c r="LA28">
        <v>24937.7</v>
      </c>
      <c r="LB28">
        <v>5143.9520000000002</v>
      </c>
      <c r="LC28">
        <v>0</v>
      </c>
      <c r="LD28">
        <v>94654603</v>
      </c>
      <c r="LE28" s="21">
        <v>286000000</v>
      </c>
      <c r="LF28" s="21">
        <v>745000000</v>
      </c>
      <c r="LG28" s="21">
        <v>677000000</v>
      </c>
      <c r="LH28" s="21">
        <v>580000000</v>
      </c>
      <c r="LI28" s="21">
        <v>286000000</v>
      </c>
      <c r="LJ28" s="21">
        <v>142000000</v>
      </c>
      <c r="LK28" s="21">
        <v>2.7700000000000002E-6</v>
      </c>
      <c r="LL28" s="21">
        <v>5.3000000000000001E-6</v>
      </c>
      <c r="LM28" s="21">
        <v>9.7799999999999995E-6</v>
      </c>
      <c r="LN28" s="21">
        <v>2.0400000000000001E-5</v>
      </c>
      <c r="LO28" s="21">
        <v>3.0499999999999999E-5</v>
      </c>
      <c r="LP28" s="21">
        <v>4.3600000000000003E-5</v>
      </c>
      <c r="LQ28" s="21">
        <v>6.3899999999999995E-5</v>
      </c>
      <c r="LR28" s="21">
        <v>143000000</v>
      </c>
      <c r="LS28" s="21">
        <v>337000000</v>
      </c>
      <c r="LT28" s="21">
        <v>754000000</v>
      </c>
      <c r="LU28" s="21">
        <v>645000000</v>
      </c>
      <c r="LV28" s="21">
        <v>541000000</v>
      </c>
      <c r="LW28" s="21">
        <v>261000000</v>
      </c>
      <c r="LX28" s="21">
        <v>129000000</v>
      </c>
      <c r="LY28" s="21">
        <v>3.9700000000000001E-6</v>
      </c>
      <c r="LZ28" s="21">
        <v>7.4900000000000003E-6</v>
      </c>
      <c r="MA28" s="21">
        <v>1.3699999999999999E-5</v>
      </c>
      <c r="MB28" s="21">
        <v>2.8799999999999999E-5</v>
      </c>
      <c r="MC28" s="21">
        <v>4.2799999999999997E-5</v>
      </c>
      <c r="MD28" s="21">
        <v>6.1500000000000004E-5</v>
      </c>
      <c r="ME28" s="21">
        <v>8.7100000000000003E-5</v>
      </c>
      <c r="MF28">
        <v>0.35256100000000001</v>
      </c>
      <c r="MG28">
        <v>0.35641200000000001</v>
      </c>
      <c r="MH28">
        <v>0.207457</v>
      </c>
      <c r="MI28">
        <v>7.5507000000000005E-2</v>
      </c>
      <c r="MJ28">
        <v>8.0210000000000004E-3</v>
      </c>
      <c r="MK28" s="21">
        <v>5.2299999999999999E-6</v>
      </c>
      <c r="ML28" s="21">
        <v>3.68E-5</v>
      </c>
      <c r="MM28">
        <v>0.63323499999999999</v>
      </c>
      <c r="MN28">
        <v>0.62067300000000003</v>
      </c>
      <c r="MO28">
        <v>0.36408299999999999</v>
      </c>
      <c r="MP28">
        <v>0.136684</v>
      </c>
      <c r="MQ28">
        <v>1.2537E-2</v>
      </c>
      <c r="MR28">
        <v>-0.121017</v>
      </c>
      <c r="MS28">
        <v>-0.64619400000000005</v>
      </c>
      <c r="MT28">
        <v>0.42150799999999999</v>
      </c>
      <c r="MU28">
        <v>0.29058400000000001</v>
      </c>
      <c r="MV28">
        <v>0.19075</v>
      </c>
      <c r="MW28">
        <v>9.6939999999999998E-2</v>
      </c>
      <c r="MX28">
        <v>2.1499999999999999E-4</v>
      </c>
      <c r="MY28" s="21">
        <v>4.58E-7</v>
      </c>
      <c r="MZ28" s="21">
        <v>2.5500000000000001E-6</v>
      </c>
      <c r="NA28">
        <v>2.0770559999999998</v>
      </c>
      <c r="NB28">
        <v>1.374288</v>
      </c>
      <c r="NC28">
        <v>0.91361300000000001</v>
      </c>
      <c r="ND28">
        <v>0.47869</v>
      </c>
      <c r="NE28">
        <v>-1.7430999999999999E-2</v>
      </c>
      <c r="NF28">
        <v>-0.60150999999999999</v>
      </c>
      <c r="NG28">
        <v>-3.2247059999999999</v>
      </c>
      <c r="NH28">
        <v>7.2230000000000003E-3</v>
      </c>
      <c r="NI28">
        <v>7.3749999999999996E-3</v>
      </c>
      <c r="NJ28">
        <v>8.7349999999999997E-3</v>
      </c>
      <c r="NK28">
        <v>2.9534999999999999E-2</v>
      </c>
      <c r="NL28">
        <v>3.4633999999999998E-2</v>
      </c>
      <c r="NM28">
        <v>8.77E-2</v>
      </c>
      <c r="NN28">
        <v>7.2230000000000003E-3</v>
      </c>
      <c r="NO28">
        <v>7.3749999999999996E-3</v>
      </c>
      <c r="NP28">
        <v>8.7349999999999997E-3</v>
      </c>
      <c r="NQ28">
        <v>2.9534999999999999E-2</v>
      </c>
      <c r="NR28">
        <v>3.4633999999999998E-2</v>
      </c>
      <c r="NS28">
        <v>8.77E-2</v>
      </c>
      <c r="NT28">
        <v>1.9574999999999999E-2</v>
      </c>
      <c r="NU28">
        <v>1.9951E-2</v>
      </c>
      <c r="NV28">
        <v>2.3047000000000002E-2</v>
      </c>
      <c r="NW28">
        <v>4.3636000000000001E-2</v>
      </c>
      <c r="NX28">
        <v>4.9480999999999997E-2</v>
      </c>
      <c r="NY28">
        <v>0.100399</v>
      </c>
      <c r="NZ28">
        <v>1.9574999999999999E-2</v>
      </c>
      <c r="OA28">
        <v>1.9951E-2</v>
      </c>
      <c r="OB28">
        <v>2.3047000000000002E-2</v>
      </c>
      <c r="OC28">
        <v>4.3636000000000001E-2</v>
      </c>
      <c r="OD28">
        <v>4.9480999999999997E-2</v>
      </c>
      <c r="OE28">
        <v>0.100399</v>
      </c>
      <c r="OF28">
        <v>46.758499999999998</v>
      </c>
      <c r="OG28">
        <v>29569.79</v>
      </c>
      <c r="OH28">
        <v>18553.400000000001</v>
      </c>
      <c r="OI28">
        <v>8028.0339999999997</v>
      </c>
      <c r="OJ28">
        <v>34.992829999999998</v>
      </c>
      <c r="OK28">
        <v>25006.86</v>
      </c>
      <c r="OL28">
        <v>17411.45</v>
      </c>
      <c r="OM28">
        <v>7674.1819999999998</v>
      </c>
      <c r="ON28">
        <v>1565225</v>
      </c>
      <c r="OO28">
        <v>1599762</v>
      </c>
      <c r="OP28">
        <v>11568.64</v>
      </c>
      <c r="OQ28">
        <v>6542.5730000000003</v>
      </c>
      <c r="OR28">
        <v>5389.2550000000001</v>
      </c>
      <c r="OS28">
        <v>533.64089999999999</v>
      </c>
      <c r="OT28">
        <v>1652.653</v>
      </c>
      <c r="OU28">
        <v>1330.133</v>
      </c>
      <c r="OV28">
        <v>343.39479999999998</v>
      </c>
      <c r="OW28">
        <v>1342.66</v>
      </c>
      <c r="OX28">
        <v>1399.212</v>
      </c>
      <c r="OY28">
        <v>1122.002</v>
      </c>
      <c r="OZ28">
        <v>650.48239999999998</v>
      </c>
      <c r="PA28">
        <v>21252.63</v>
      </c>
      <c r="PB28">
        <v>7465.4849999999997</v>
      </c>
      <c r="PC28">
        <v>1226.421</v>
      </c>
      <c r="PD28">
        <v>2170.502</v>
      </c>
      <c r="PE28">
        <v>6533.0119999999997</v>
      </c>
      <c r="PF28">
        <v>1400.5930000000001</v>
      </c>
      <c r="PG28">
        <v>2601.8980000000001</v>
      </c>
      <c r="PH28">
        <v>203972.8</v>
      </c>
      <c r="PI28">
        <v>86968.29</v>
      </c>
      <c r="PJ28">
        <v>1.8458699999999999</v>
      </c>
      <c r="PK28">
        <v>548.10609999999997</v>
      </c>
      <c r="PL28">
        <v>107.68170000000001</v>
      </c>
      <c r="PM28">
        <v>1937.422</v>
      </c>
      <c r="PN28">
        <v>446.1909</v>
      </c>
      <c r="PO28">
        <v>162.6037</v>
      </c>
      <c r="PP28">
        <v>251.5872</v>
      </c>
      <c r="PQ28">
        <v>578.2595</v>
      </c>
      <c r="PR28">
        <v>96.255250000000004</v>
      </c>
      <c r="PS28">
        <v>597.65800000000002</v>
      </c>
      <c r="PT28">
        <v>1292.492</v>
      </c>
      <c r="PU28">
        <v>454.7987</v>
      </c>
      <c r="PV28">
        <v>819.41150000000005</v>
      </c>
      <c r="PW28">
        <v>64.820800000000006</v>
      </c>
      <c r="PX28">
        <v>140.16079999999999</v>
      </c>
      <c r="PY28">
        <v>761.96860000000004</v>
      </c>
      <c r="PZ28">
        <v>137.3098</v>
      </c>
      <c r="QA28">
        <v>373864.8</v>
      </c>
      <c r="QB28">
        <v>8978.8209999999999</v>
      </c>
      <c r="QC28">
        <v>80517.539999999994</v>
      </c>
      <c r="QD28">
        <v>11337.84</v>
      </c>
      <c r="QE28">
        <v>13025.64</v>
      </c>
      <c r="QF28">
        <v>8990.5570000000007</v>
      </c>
      <c r="QG28">
        <v>3749.4070000000002</v>
      </c>
      <c r="QH28">
        <v>554.98109999999997</v>
      </c>
      <c r="QI28">
        <v>0.51350799999999996</v>
      </c>
      <c r="QJ28">
        <v>4.7787280000000001</v>
      </c>
      <c r="QK28">
        <v>12537.64</v>
      </c>
      <c r="QL28">
        <v>7095.9979999999996</v>
      </c>
      <c r="QM28">
        <v>5150.0429999999997</v>
      </c>
      <c r="QN28">
        <v>601.04960000000005</v>
      </c>
      <c r="QO28">
        <v>1981.038</v>
      </c>
      <c r="QP28">
        <v>1420.1769999999999</v>
      </c>
      <c r="QQ28">
        <v>467.3571</v>
      </c>
      <c r="QR28">
        <v>1368.1410000000001</v>
      </c>
      <c r="QS28">
        <v>1392.0029999999999</v>
      </c>
      <c r="QT28">
        <v>1452.5740000000001</v>
      </c>
      <c r="QU28">
        <v>684.02250000000004</v>
      </c>
      <c r="QV28">
        <v>21901.43</v>
      </c>
      <c r="QW28">
        <v>7877.2</v>
      </c>
      <c r="QX28">
        <v>1385.3869999999999</v>
      </c>
      <c r="QY28">
        <v>2503.4290000000001</v>
      </c>
      <c r="QZ28">
        <v>7788.7330000000002</v>
      </c>
      <c r="RA28">
        <v>1568.2170000000001</v>
      </c>
      <c r="RB28">
        <v>3421.4740000000002</v>
      </c>
      <c r="RC28">
        <v>208715</v>
      </c>
      <c r="RD28">
        <v>87862.11</v>
      </c>
      <c r="RE28">
        <v>0.68930000000000002</v>
      </c>
      <c r="RF28">
        <v>455.1671</v>
      </c>
      <c r="RG28">
        <v>111.52760000000001</v>
      </c>
      <c r="RH28">
        <v>1121.912</v>
      </c>
      <c r="RI28">
        <v>9.4639150000000001</v>
      </c>
      <c r="RJ28">
        <v>156.03540000000001</v>
      </c>
      <c r="RK28">
        <v>1.391065</v>
      </c>
      <c r="RL28">
        <v>11914.58</v>
      </c>
      <c r="RM28">
        <v>5724.8609999999999</v>
      </c>
      <c r="RN28">
        <v>588.50930000000005</v>
      </c>
      <c r="RO28">
        <v>1161.7370000000001</v>
      </c>
      <c r="RP28">
        <v>249.4203</v>
      </c>
      <c r="RQ28">
        <v>971.55259999999998</v>
      </c>
      <c r="RR28">
        <v>441.46879999999999</v>
      </c>
      <c r="RS28">
        <v>198.21449999999999</v>
      </c>
      <c r="RT28">
        <v>808.60720000000003</v>
      </c>
      <c r="RU28">
        <v>1312.1579999999999</v>
      </c>
      <c r="RV28">
        <v>402400.3</v>
      </c>
      <c r="RW28">
        <v>13823.71</v>
      </c>
      <c r="RX28">
        <v>78011.5</v>
      </c>
      <c r="RY28">
        <v>10531.84</v>
      </c>
      <c r="RZ28">
        <v>8251.2440000000006</v>
      </c>
      <c r="SA28">
        <v>6422.8040000000001</v>
      </c>
      <c r="SB28">
        <v>3740.0740000000001</v>
      </c>
      <c r="SC28">
        <v>11.55758</v>
      </c>
      <c r="SD28">
        <v>3.4932999999999999E-2</v>
      </c>
      <c r="SE28">
        <v>0.25679099999999999</v>
      </c>
      <c r="SF28">
        <v>32884.6</v>
      </c>
      <c r="SG28">
        <v>46.758499999999998</v>
      </c>
      <c r="SH28">
        <v>7190.1409999999996</v>
      </c>
      <c r="SI28">
        <v>17619.669999999998</v>
      </c>
      <c r="SJ28">
        <v>8028.0339999999997</v>
      </c>
      <c r="SK28">
        <v>29507.21</v>
      </c>
      <c r="SL28">
        <v>34.992829999999998</v>
      </c>
      <c r="SM28">
        <v>5937</v>
      </c>
      <c r="SN28">
        <v>15861.03</v>
      </c>
      <c r="SO28">
        <v>7674.1819999999998</v>
      </c>
      <c r="SP28">
        <v>123196.4</v>
      </c>
      <c r="SQ28">
        <v>66319.45</v>
      </c>
      <c r="SR28">
        <v>130504.4</v>
      </c>
      <c r="SS28">
        <v>70278.210000000006</v>
      </c>
      <c r="ST28">
        <v>36.460830000000001</v>
      </c>
      <c r="SU28">
        <v>0.28162700000000002</v>
      </c>
      <c r="SV28">
        <v>5.1750030000000002</v>
      </c>
      <c r="SW28">
        <v>12.58004</v>
      </c>
      <c r="SX28">
        <v>18.424160000000001</v>
      </c>
      <c r="SY28">
        <v>33.420319999999997</v>
      </c>
      <c r="SZ28">
        <v>0.210762</v>
      </c>
      <c r="TA28">
        <v>4.273072</v>
      </c>
      <c r="TB28">
        <v>11.32441</v>
      </c>
      <c r="TC28">
        <v>17.612079999999999</v>
      </c>
      <c r="TD28">
        <v>26323.86</v>
      </c>
      <c r="TE28">
        <v>830.5643</v>
      </c>
      <c r="TF28">
        <v>517.00649999999996</v>
      </c>
      <c r="TG28">
        <v>220.9589</v>
      </c>
      <c r="TH28">
        <v>53.358960000000003</v>
      </c>
      <c r="TI28">
        <v>107.59480000000001</v>
      </c>
      <c r="TJ28">
        <v>90.389619999999994</v>
      </c>
      <c r="TK28">
        <v>27.41741</v>
      </c>
      <c r="TL28">
        <v>32.509900000000002</v>
      </c>
      <c r="TM28">
        <v>174.29179999999999</v>
      </c>
      <c r="TN28">
        <v>43.498779999999996</v>
      </c>
      <c r="TO28">
        <v>28.15072</v>
      </c>
      <c r="TP28">
        <v>2133.203</v>
      </c>
      <c r="TQ28">
        <v>2023.133</v>
      </c>
      <c r="TR28">
        <v>101.1819</v>
      </c>
      <c r="TS28">
        <v>180.01519999999999</v>
      </c>
      <c r="TT28">
        <v>431.20609999999999</v>
      </c>
      <c r="TU28">
        <v>43.397620000000003</v>
      </c>
      <c r="TV28">
        <v>75.581000000000003</v>
      </c>
      <c r="TW28">
        <v>12568.85</v>
      </c>
      <c r="TX28">
        <v>6520.7280000000001</v>
      </c>
      <c r="TY28">
        <v>0.50685000000000002</v>
      </c>
      <c r="TZ28">
        <v>9.6331520000000008</v>
      </c>
      <c r="UA28">
        <v>4.8729110000000002</v>
      </c>
      <c r="UB28">
        <v>58.009079999999997</v>
      </c>
      <c r="UC28">
        <v>0.70189999999999997</v>
      </c>
      <c r="UD28">
        <v>2.332659</v>
      </c>
      <c r="UE28">
        <v>4.2597800000000001</v>
      </c>
      <c r="UF28">
        <v>1.5915299999999999</v>
      </c>
      <c r="UG28">
        <v>0.76922900000000005</v>
      </c>
      <c r="UH28">
        <v>10.19646</v>
      </c>
      <c r="UI28">
        <v>4.992794</v>
      </c>
      <c r="UJ28">
        <v>14.59403</v>
      </c>
      <c r="UK28">
        <v>5.5289830000000002</v>
      </c>
      <c r="UL28">
        <v>0.41187600000000002</v>
      </c>
      <c r="UM28">
        <v>0.45775199999999999</v>
      </c>
      <c r="UN28">
        <v>1.621237</v>
      </c>
      <c r="UO28">
        <v>0.34199600000000002</v>
      </c>
      <c r="UP28">
        <v>26643.67</v>
      </c>
      <c r="UQ28">
        <v>833.48299999999995</v>
      </c>
      <c r="UR28">
        <v>525.18799999999999</v>
      </c>
      <c r="US28">
        <v>212.1617</v>
      </c>
      <c r="UT28">
        <v>55.856099999999998</v>
      </c>
      <c r="UU28">
        <v>116.9893</v>
      </c>
      <c r="UV28">
        <v>95.534080000000003</v>
      </c>
      <c r="UW28">
        <v>27.837219999999999</v>
      </c>
      <c r="UX28">
        <v>32.693210000000001</v>
      </c>
      <c r="UY28">
        <v>182.72640000000001</v>
      </c>
      <c r="UZ28">
        <v>45.451340000000002</v>
      </c>
      <c r="VA28">
        <v>27.650110000000002</v>
      </c>
      <c r="VB28">
        <v>2145.2579999999998</v>
      </c>
      <c r="VC28">
        <v>2103.1779999999999</v>
      </c>
      <c r="VD28">
        <v>109.31789999999999</v>
      </c>
      <c r="VE28">
        <v>196.15639999999999</v>
      </c>
      <c r="VF28">
        <v>428.7362</v>
      </c>
      <c r="VG28">
        <v>38.849130000000002</v>
      </c>
      <c r="VH28">
        <v>79.203460000000007</v>
      </c>
      <c r="VI28">
        <v>12711.14</v>
      </c>
      <c r="VJ28">
        <v>6535.8919999999998</v>
      </c>
      <c r="VK28">
        <v>0.25253100000000001</v>
      </c>
      <c r="VL28">
        <v>8.3918359999999996</v>
      </c>
      <c r="VM28">
        <v>5.2329929999999996</v>
      </c>
      <c r="VN28">
        <v>36.087609999999998</v>
      </c>
      <c r="VO28">
        <v>5.5826000000000001E-2</v>
      </c>
      <c r="VP28">
        <v>2.2567689999999998</v>
      </c>
      <c r="VQ28">
        <v>9.9059999999999995E-2</v>
      </c>
      <c r="VR28">
        <v>21.11984</v>
      </c>
      <c r="VS28">
        <v>28.685970000000001</v>
      </c>
      <c r="VT28">
        <v>9.6192019999999996</v>
      </c>
      <c r="VU28">
        <v>5.24369</v>
      </c>
      <c r="VV28">
        <v>9.121124</v>
      </c>
      <c r="VW28">
        <v>6.880846</v>
      </c>
      <c r="VX28">
        <v>2.3039010000000002</v>
      </c>
      <c r="VY28">
        <v>0.65070300000000003</v>
      </c>
      <c r="VZ28">
        <v>1.830241</v>
      </c>
      <c r="WA28">
        <v>2.5280629999999999</v>
      </c>
      <c r="WB28">
        <v>9.4967999999999997E-2</v>
      </c>
      <c r="WC28">
        <v>8.1047999999999995E-2</v>
      </c>
      <c r="WD28">
        <v>-1.6056999999999998E-2</v>
      </c>
      <c r="WE28">
        <v>-1.1526E-2</v>
      </c>
      <c r="WF28">
        <v>0.60278799999999999</v>
      </c>
      <c r="WG28">
        <v>0.48325699999999999</v>
      </c>
      <c r="WH28">
        <v>-2.2589999999999999E-2</v>
      </c>
      <c r="WI28">
        <v>-1.1579000000000001E-2</v>
      </c>
      <c r="WJ28">
        <v>2513164</v>
      </c>
      <c r="WK28">
        <v>2553174</v>
      </c>
    </row>
    <row r="29" spans="1:609" x14ac:dyDescent="0.25">
      <c r="A29">
        <v>2030</v>
      </c>
      <c r="B29">
        <v>1.757061</v>
      </c>
      <c r="C29">
        <v>143.4873</v>
      </c>
      <c r="D29">
        <v>2.5120110000000002</v>
      </c>
      <c r="E29">
        <v>8.4634789999999995</v>
      </c>
      <c r="F29">
        <v>-3.2024149999999998</v>
      </c>
      <c r="G29">
        <v>0.75400400000000001</v>
      </c>
      <c r="H29">
        <v>-1.5679529999999999</v>
      </c>
      <c r="I29">
        <v>1.3758159999999999</v>
      </c>
      <c r="J29">
        <v>8.6325679999999991</v>
      </c>
      <c r="K29">
        <v>-0.58577599999999996</v>
      </c>
      <c r="L29">
        <v>9.2726609999999994</v>
      </c>
      <c r="M29">
        <v>1.144585</v>
      </c>
      <c r="N29">
        <v>0</v>
      </c>
      <c r="O29">
        <v>-13.29754</v>
      </c>
      <c r="P29">
        <v>-1.226872</v>
      </c>
      <c r="Q29">
        <v>-38.312600000000003</v>
      </c>
      <c r="R29">
        <v>58.437959999999997</v>
      </c>
      <c r="S29">
        <v>100</v>
      </c>
      <c r="T29">
        <v>400</v>
      </c>
      <c r="U29">
        <v>120</v>
      </c>
      <c r="V29">
        <v>301.0102</v>
      </c>
      <c r="W29">
        <v>2.6152350000000002</v>
      </c>
      <c r="X29">
        <v>67825.3</v>
      </c>
      <c r="Y29">
        <v>0.120628</v>
      </c>
      <c r="Z29">
        <v>3.5893000000000001E-2</v>
      </c>
      <c r="AA29">
        <v>-0.94921199999999994</v>
      </c>
      <c r="AB29">
        <v>-1.3103929999999999</v>
      </c>
      <c r="AC29">
        <v>4.3327999999999998E-2</v>
      </c>
      <c r="AD29">
        <v>76452.570000000007</v>
      </c>
      <c r="AE29">
        <v>199856.9</v>
      </c>
      <c r="AF29">
        <v>247166.6</v>
      </c>
      <c r="AG29">
        <v>-12635.04</v>
      </c>
      <c r="AH29">
        <v>212532.1</v>
      </c>
      <c r="AI29" s="21">
        <v>8.5000000000000006E-5</v>
      </c>
      <c r="AJ29">
        <v>187.6747</v>
      </c>
      <c r="AK29">
        <v>883.77120000000002</v>
      </c>
      <c r="AL29">
        <v>228.1173</v>
      </c>
      <c r="AM29">
        <v>100.71120000000001</v>
      </c>
      <c r="AN29">
        <v>474.25479999999999</v>
      </c>
      <c r="AO29">
        <v>122.41379999999999</v>
      </c>
      <c r="AP29">
        <v>867.34220000000005</v>
      </c>
      <c r="AQ29">
        <v>465.43860000000001</v>
      </c>
      <c r="AR29">
        <v>827.06240000000003</v>
      </c>
      <c r="AS29">
        <v>634.9932</v>
      </c>
      <c r="AT29">
        <v>1555.24</v>
      </c>
      <c r="AU29">
        <v>683.08789999999999</v>
      </c>
      <c r="AV29">
        <v>180.54069999999999</v>
      </c>
      <c r="AW29">
        <v>1.84273</v>
      </c>
      <c r="AX29">
        <v>2.814384</v>
      </c>
      <c r="AY29">
        <v>2.839575</v>
      </c>
      <c r="AZ29">
        <v>-4.8140780000000003</v>
      </c>
      <c r="BA29">
        <v>5.2370650000000003</v>
      </c>
      <c r="BB29">
        <v>8.6410490000000006</v>
      </c>
      <c r="BC29">
        <v>4.9734639999999999</v>
      </c>
      <c r="BD29">
        <v>11.789720000000001</v>
      </c>
      <c r="BE29">
        <v>-0.65941499999999997</v>
      </c>
      <c r="BF29">
        <v>3.8988179999999999</v>
      </c>
      <c r="BG29">
        <v>6.7140009999999997</v>
      </c>
      <c r="BH29">
        <v>-0.353715</v>
      </c>
      <c r="BI29">
        <v>0.88014499999999996</v>
      </c>
      <c r="BJ29">
        <v>4.823353</v>
      </c>
      <c r="BK29">
        <v>11.054679999999999</v>
      </c>
      <c r="BL29">
        <v>12.32596</v>
      </c>
      <c r="BM29">
        <v>0.90192899999999998</v>
      </c>
      <c r="BN29">
        <v>-10.952769999999999</v>
      </c>
      <c r="BO29">
        <v>3.345097</v>
      </c>
      <c r="BP29">
        <v>1.5538449999999999</v>
      </c>
      <c r="BQ29">
        <v>0.48096299999999997</v>
      </c>
      <c r="BR29">
        <v>-72.671599999999998</v>
      </c>
      <c r="BS29">
        <v>-20.83963</v>
      </c>
      <c r="BT29">
        <v>-365.82859999999999</v>
      </c>
      <c r="BU29">
        <v>-42.026769999999999</v>
      </c>
      <c r="BV29">
        <v>-92.427899999999994</v>
      </c>
      <c r="BW29">
        <v>-5.6362550000000002</v>
      </c>
      <c r="BX29">
        <v>-95.237799999999993</v>
      </c>
      <c r="BY29">
        <v>1109.97</v>
      </c>
      <c r="BZ29">
        <v>3339.2359999999999</v>
      </c>
      <c r="CA29">
        <v>-19.074960000000001</v>
      </c>
      <c r="CB29">
        <v>14.67231</v>
      </c>
      <c r="CC29">
        <v>-49.181339999999999</v>
      </c>
      <c r="CD29">
        <v>19.991810000000001</v>
      </c>
      <c r="CE29">
        <v>483.73970000000003</v>
      </c>
      <c r="CF29">
        <v>40.640970000000003</v>
      </c>
      <c r="CG29">
        <v>23.30602</v>
      </c>
      <c r="CH29">
        <v>628.95339999999999</v>
      </c>
      <c r="CI29">
        <v>10.11495</v>
      </c>
      <c r="CJ29">
        <v>9.6482460000000003</v>
      </c>
      <c r="CK29">
        <v>-5.0155989999999999</v>
      </c>
      <c r="CL29">
        <v>14.88496</v>
      </c>
      <c r="CM29">
        <v>24.106400000000001</v>
      </c>
      <c r="CN29">
        <v>8.1906920000000003</v>
      </c>
      <c r="CO29">
        <v>41.22954</v>
      </c>
      <c r="CP29">
        <v>2.5588639999999998</v>
      </c>
      <c r="CQ29">
        <v>-0.48204799999999998</v>
      </c>
      <c r="CR29">
        <v>32.469389999999997</v>
      </c>
      <c r="CS29">
        <v>5.8749440000000002</v>
      </c>
      <c r="CT29">
        <v>3.4551769999999999</v>
      </c>
      <c r="CU29">
        <v>6.2481030000000004</v>
      </c>
      <c r="CV29">
        <v>15.238479999999999</v>
      </c>
      <c r="CW29">
        <v>18.773520000000001</v>
      </c>
      <c r="CX29">
        <v>24.619250000000001</v>
      </c>
      <c r="CY29">
        <v>17.084579999999999</v>
      </c>
      <c r="CZ29">
        <v>41.220660000000002</v>
      </c>
      <c r="DA29">
        <v>2.6553620000000002</v>
      </c>
      <c r="DB29">
        <v>1.1779550000000001</v>
      </c>
      <c r="DC29">
        <v>-63.325839999999999</v>
      </c>
      <c r="DD29">
        <v>-19.895859999999999</v>
      </c>
      <c r="DE29">
        <v>32.42557</v>
      </c>
      <c r="DF29">
        <v>-45.382300000000001</v>
      </c>
      <c r="DG29">
        <v>-97.818939999999998</v>
      </c>
      <c r="DH29">
        <v>-5.4204559999999997</v>
      </c>
      <c r="DI29">
        <v>-99.378640000000004</v>
      </c>
      <c r="DJ29">
        <v>2006.6690000000001</v>
      </c>
      <c r="DK29">
        <v>6546.0649999999996</v>
      </c>
      <c r="DL29">
        <v>-10.06316</v>
      </c>
      <c r="DM29">
        <v>-2.64032</v>
      </c>
      <c r="DN29">
        <v>-48.937690000000003</v>
      </c>
      <c r="DO29">
        <v>20.812049999999999</v>
      </c>
      <c r="DP29">
        <v>662.72349999999994</v>
      </c>
      <c r="DQ29">
        <v>47.161819999999999</v>
      </c>
      <c r="DR29">
        <v>14.91343</v>
      </c>
      <c r="DS29">
        <v>976.3279</v>
      </c>
      <c r="DT29">
        <v>3.3052999999999999E-2</v>
      </c>
      <c r="DU29">
        <v>3.169346</v>
      </c>
      <c r="DV29">
        <v>-19.82451</v>
      </c>
      <c r="DW29">
        <v>5.0721759999999998</v>
      </c>
      <c r="DX29">
        <v>3.8709470000000001</v>
      </c>
      <c r="DY29">
        <v>4.3792600000000004</v>
      </c>
      <c r="DZ29">
        <v>1.8557509999999999</v>
      </c>
      <c r="EA29">
        <v>3.3900939999999999</v>
      </c>
      <c r="EB29">
        <v>6.8825700000000003</v>
      </c>
      <c r="EC29">
        <v>0</v>
      </c>
      <c r="ED29">
        <v>4.6416360000000001</v>
      </c>
      <c r="EE29">
        <v>4.2171950000000002</v>
      </c>
      <c r="EF29">
        <v>6.0717670000000004</v>
      </c>
      <c r="EG29">
        <v>11.03881</v>
      </c>
      <c r="EH29">
        <v>19.00346</v>
      </c>
      <c r="EI29">
        <v>-3.0369570000000001</v>
      </c>
      <c r="EJ29">
        <v>-0.47218700000000002</v>
      </c>
      <c r="EK29">
        <v>-5.56365</v>
      </c>
      <c r="EL29">
        <v>3.6822680000000001</v>
      </c>
      <c r="EM29">
        <v>3.7887599999999999</v>
      </c>
      <c r="EN29">
        <v>-26.730799999999999</v>
      </c>
      <c r="EO29">
        <v>-16.884869999999999</v>
      </c>
      <c r="EP29">
        <v>-7.546386</v>
      </c>
      <c r="EQ29">
        <v>-4.6427170000000002</v>
      </c>
      <c r="ER29">
        <v>8.0918369999999999</v>
      </c>
      <c r="ES29">
        <v>72.486220000000003</v>
      </c>
      <c r="ET29">
        <v>2.0498249999999998</v>
      </c>
      <c r="EU29">
        <v>35.548160000000003</v>
      </c>
      <c r="EV29">
        <v>0.56881499999999996</v>
      </c>
      <c r="EW29">
        <v>2.0781459999999998</v>
      </c>
      <c r="EX29">
        <v>2.6244339999999999</v>
      </c>
      <c r="EY29">
        <v>0.82864700000000002</v>
      </c>
      <c r="EZ29">
        <v>0.109821</v>
      </c>
      <c r="FA29">
        <v>5.6008570000000004</v>
      </c>
      <c r="FB29">
        <v>1.7970660000000001</v>
      </c>
      <c r="FC29">
        <v>34.075989999999997</v>
      </c>
      <c r="FD29">
        <v>9.2730309999999996</v>
      </c>
      <c r="FE29">
        <v>0.56005400000000005</v>
      </c>
      <c r="FF29">
        <v>0.863035</v>
      </c>
      <c r="FG29">
        <v>1.5516259999999999</v>
      </c>
      <c r="FH29">
        <v>0.34888599999999997</v>
      </c>
      <c r="FI29">
        <v>4.9862209999999996</v>
      </c>
      <c r="FJ29">
        <v>57.180320000000002</v>
      </c>
      <c r="FK29">
        <v>3.1639849999999998</v>
      </c>
      <c r="FL29">
        <v>20.676480000000002</v>
      </c>
      <c r="FM29">
        <v>6.0012999999999997E-2</v>
      </c>
      <c r="FN29">
        <v>1.963533</v>
      </c>
      <c r="FO29">
        <v>0.12002699999999999</v>
      </c>
      <c r="FP29">
        <v>10.049630000000001</v>
      </c>
      <c r="FQ29">
        <v>3.7906879999999998</v>
      </c>
      <c r="FR29">
        <v>4.5376260000000004</v>
      </c>
      <c r="FS29">
        <v>2.0559259999999999</v>
      </c>
      <c r="FT29">
        <v>20.61835</v>
      </c>
      <c r="FU29">
        <v>12.24709</v>
      </c>
      <c r="FV29">
        <v>3.6040909999999999</v>
      </c>
      <c r="FW29">
        <v>1.339178</v>
      </c>
      <c r="FX29">
        <v>2.0934710000000001</v>
      </c>
      <c r="FY29">
        <v>2.880887</v>
      </c>
      <c r="FZ29">
        <v>5.8288700000000002</v>
      </c>
      <c r="GA29">
        <v>55.977310000000003</v>
      </c>
      <c r="GB29">
        <v>2.0498249999999998</v>
      </c>
      <c r="GC29">
        <v>31.606870000000001</v>
      </c>
      <c r="GD29">
        <v>0.50575000000000003</v>
      </c>
      <c r="GE29">
        <v>1.847739</v>
      </c>
      <c r="GF29">
        <v>2.3334589999999999</v>
      </c>
      <c r="GG29">
        <v>0.73677400000000004</v>
      </c>
      <c r="GH29">
        <v>9.7644999999999996E-2</v>
      </c>
      <c r="GI29">
        <v>4.9798809999999998</v>
      </c>
      <c r="GJ29">
        <v>1.597823</v>
      </c>
      <c r="GK29">
        <v>32.120989999999999</v>
      </c>
      <c r="GL29">
        <v>9.2730309999999996</v>
      </c>
      <c r="GM29">
        <v>0.56005400000000005</v>
      </c>
      <c r="GN29">
        <v>0.863035</v>
      </c>
      <c r="GO29">
        <v>1.5516259999999999</v>
      </c>
      <c r="GP29">
        <v>0.34888599999999997</v>
      </c>
      <c r="GQ29">
        <v>2.7890950000000001</v>
      </c>
      <c r="GR29">
        <v>41.369340000000001</v>
      </c>
      <c r="GS29">
        <v>3.1639849999999998</v>
      </c>
      <c r="GT29">
        <v>18.07124</v>
      </c>
      <c r="GU29">
        <v>5.2451999999999999E-2</v>
      </c>
      <c r="GV29">
        <v>1.716127</v>
      </c>
      <c r="GW29">
        <v>0.104903</v>
      </c>
      <c r="GX29">
        <v>8.7833760000000005</v>
      </c>
      <c r="GY29">
        <v>3.3130609999999998</v>
      </c>
      <c r="GZ29">
        <v>3.9658850000000001</v>
      </c>
      <c r="HA29">
        <v>1.7968789999999999</v>
      </c>
      <c r="HB29">
        <v>18.745989999999999</v>
      </c>
      <c r="HC29">
        <v>12.24709</v>
      </c>
      <c r="HD29">
        <v>3.6040909999999999</v>
      </c>
      <c r="HE29">
        <v>1.339178</v>
      </c>
      <c r="HF29">
        <v>2.0934710000000001</v>
      </c>
      <c r="HG29">
        <v>2.880887</v>
      </c>
      <c r="HH29">
        <v>5.9340000000000002</v>
      </c>
      <c r="HI29">
        <v>60.166870000000003</v>
      </c>
      <c r="HJ29">
        <v>2.0498249999999998</v>
      </c>
      <c r="HK29">
        <v>128.33099999999999</v>
      </c>
      <c r="HL29">
        <v>1.22865</v>
      </c>
      <c r="HM29">
        <v>4.488829</v>
      </c>
      <c r="HN29">
        <v>5.6688190000000001</v>
      </c>
      <c r="HO29">
        <v>0.89582899999999999</v>
      </c>
      <c r="HP29">
        <v>0.118724</v>
      </c>
      <c r="HQ29">
        <v>6.0549419999999996</v>
      </c>
      <c r="HR29">
        <v>5.2526539999999997</v>
      </c>
      <c r="HS29">
        <v>32.34169</v>
      </c>
      <c r="HT29">
        <v>9.4117200000000008</v>
      </c>
      <c r="HU29">
        <v>0.56843100000000002</v>
      </c>
      <c r="HV29">
        <v>0.875942</v>
      </c>
      <c r="HW29">
        <v>1.574832</v>
      </c>
      <c r="HX29">
        <v>0.35410399999999997</v>
      </c>
      <c r="HY29">
        <v>2.8250069999999998</v>
      </c>
      <c r="HZ29">
        <v>44.483159999999998</v>
      </c>
      <c r="IA29">
        <v>3.1639849999999998</v>
      </c>
      <c r="IB29">
        <v>67.365849999999995</v>
      </c>
      <c r="IC29">
        <v>6.0012999999999997E-2</v>
      </c>
      <c r="ID29">
        <v>4.0200709999999997</v>
      </c>
      <c r="IE29">
        <v>0.12002699999999999</v>
      </c>
      <c r="IF29">
        <v>10.802960000000001</v>
      </c>
      <c r="IG29">
        <v>4.0748430000000004</v>
      </c>
      <c r="IH29">
        <v>4.8777720000000002</v>
      </c>
      <c r="II29">
        <v>6.4528119999999998</v>
      </c>
      <c r="IJ29">
        <v>19.075800000000001</v>
      </c>
      <c r="IK29">
        <v>12.84192</v>
      </c>
      <c r="IL29">
        <v>3.6641460000000001</v>
      </c>
      <c r="IM29">
        <v>1.4541379999999999</v>
      </c>
      <c r="IN29">
        <v>2.2668789999999999</v>
      </c>
      <c r="IO29">
        <v>2.940941</v>
      </c>
      <c r="IP29">
        <v>4.4542729999999997</v>
      </c>
      <c r="IQ29">
        <v>5.459047</v>
      </c>
      <c r="IR29">
        <v>0.652034</v>
      </c>
      <c r="IS29">
        <v>1.8175680000000001</v>
      </c>
      <c r="IT29">
        <v>4.090681</v>
      </c>
      <c r="IU29">
        <v>4.2889999999999997</v>
      </c>
      <c r="IV29">
        <v>5.1188549999999999</v>
      </c>
      <c r="IW29">
        <v>6.2751749999999999</v>
      </c>
      <c r="IX29">
        <v>0.82925000000000004</v>
      </c>
      <c r="IY29">
        <v>6.9200419999999996</v>
      </c>
      <c r="IZ29">
        <v>1.841113</v>
      </c>
      <c r="JA29">
        <v>8.4860889999999998</v>
      </c>
      <c r="JB29">
        <v>0.41309800000000002</v>
      </c>
      <c r="JC29">
        <v>1.3746799999999999</v>
      </c>
      <c r="JD29">
        <v>0.83903899999999998</v>
      </c>
      <c r="JE29">
        <v>18.125610000000002</v>
      </c>
      <c r="JF29">
        <v>0.34267199999999998</v>
      </c>
      <c r="JG29">
        <v>1.779228</v>
      </c>
      <c r="JH29">
        <v>19.852820000000001</v>
      </c>
      <c r="JI29">
        <v>6.6632429999999996</v>
      </c>
      <c r="JJ29">
        <v>16.499269999999999</v>
      </c>
      <c r="JK29">
        <v>36.156790000000001</v>
      </c>
      <c r="JL29">
        <v>3.2400370000000001</v>
      </c>
      <c r="JM29">
        <v>4.6540229999999996</v>
      </c>
      <c r="JN29">
        <v>0.56591000000000002</v>
      </c>
      <c r="JO29">
        <v>1.415419</v>
      </c>
      <c r="JP29">
        <v>2.9900229999999999</v>
      </c>
      <c r="JQ29">
        <v>3.5716969999999999</v>
      </c>
      <c r="JR29">
        <v>3.980925</v>
      </c>
      <c r="JS29">
        <v>5.5321410000000002</v>
      </c>
      <c r="JT29">
        <v>0.76240600000000003</v>
      </c>
      <c r="JU29">
        <v>3.9175819999999999</v>
      </c>
      <c r="JV29">
        <v>1.4493959999999999</v>
      </c>
      <c r="JW29">
        <v>7.3351290000000002</v>
      </c>
      <c r="JX29">
        <v>0.31408999999999998</v>
      </c>
      <c r="JY29">
        <v>1.2449539999999999</v>
      </c>
      <c r="JZ29">
        <v>0.81652000000000002</v>
      </c>
      <c r="KA29">
        <v>12.52294</v>
      </c>
      <c r="KB29">
        <v>0.14399100000000001</v>
      </c>
      <c r="KC29">
        <v>0.88588999999999996</v>
      </c>
      <c r="KD29">
        <v>17.700209999999998</v>
      </c>
      <c r="KE29">
        <v>5.7680020000000001</v>
      </c>
      <c r="KF29">
        <v>14.44004</v>
      </c>
      <c r="KG29">
        <v>32.785730000000001</v>
      </c>
      <c r="KH29">
        <v>7934.5169999999998</v>
      </c>
      <c r="KI29">
        <v>10283.629999999999</v>
      </c>
      <c r="KJ29">
        <v>6471.8639999999996</v>
      </c>
      <c r="KK29">
        <v>2863.143</v>
      </c>
      <c r="KL29">
        <v>2645.1080000000002</v>
      </c>
      <c r="KM29">
        <v>850.14970000000005</v>
      </c>
      <c r="KN29">
        <v>897.59670000000006</v>
      </c>
      <c r="KO29">
        <v>0</v>
      </c>
      <c r="KP29">
        <v>28628.21</v>
      </c>
      <c r="KQ29">
        <v>3317.806</v>
      </c>
      <c r="KR29">
        <v>0</v>
      </c>
      <c r="KS29">
        <v>8461.2839999999997</v>
      </c>
      <c r="KT29">
        <v>8509.8580000000002</v>
      </c>
      <c r="KU29">
        <v>5823.0209999999997</v>
      </c>
      <c r="KV29">
        <v>3115.6930000000002</v>
      </c>
      <c r="KW29">
        <v>2473.931</v>
      </c>
      <c r="KX29">
        <v>778.92139999999995</v>
      </c>
      <c r="KY29">
        <v>470.53550000000001</v>
      </c>
      <c r="KZ29">
        <v>0</v>
      </c>
      <c r="LA29">
        <v>24188.93</v>
      </c>
      <c r="LB29">
        <v>5444.317</v>
      </c>
      <c r="LC29">
        <v>0</v>
      </c>
      <c r="LD29" s="21">
        <v>100000000</v>
      </c>
      <c r="LE29" s="21">
        <v>296000000</v>
      </c>
      <c r="LF29" s="21">
        <v>758000000</v>
      </c>
      <c r="LG29" s="21">
        <v>682000000</v>
      </c>
      <c r="LH29" s="21">
        <v>573000000</v>
      </c>
      <c r="LI29" s="21">
        <v>280000000</v>
      </c>
      <c r="LJ29" s="21">
        <v>140000000</v>
      </c>
      <c r="LK29" s="21">
        <v>2.8499999999999998E-6</v>
      </c>
      <c r="LL29" s="21">
        <v>5.4600000000000002E-6</v>
      </c>
      <c r="LM29" s="21">
        <v>1.01E-5</v>
      </c>
      <c r="LN29" s="21">
        <v>2.1100000000000001E-5</v>
      </c>
      <c r="LO29" s="21">
        <v>3.1600000000000002E-5</v>
      </c>
      <c r="LP29" s="21">
        <v>4.5399999999999999E-5</v>
      </c>
      <c r="LQ29" s="21">
        <v>6.6600000000000006E-5</v>
      </c>
      <c r="LR29" s="21">
        <v>158000000</v>
      </c>
      <c r="LS29" s="21">
        <v>354000000</v>
      </c>
      <c r="LT29" s="21">
        <v>766000000</v>
      </c>
      <c r="LU29" s="21">
        <v>644000000</v>
      </c>
      <c r="LV29" s="21">
        <v>530000000</v>
      </c>
      <c r="LW29" s="21">
        <v>252000000</v>
      </c>
      <c r="LX29" s="21">
        <v>126000000</v>
      </c>
      <c r="LY29" s="21">
        <v>4.3200000000000001E-6</v>
      </c>
      <c r="LZ29" s="21">
        <v>8.1499999999999999E-6</v>
      </c>
      <c r="MA29" s="21">
        <v>1.49E-5</v>
      </c>
      <c r="MB29" s="21">
        <v>3.1300000000000002E-5</v>
      </c>
      <c r="MC29" s="21">
        <v>4.6600000000000001E-5</v>
      </c>
      <c r="MD29" s="21">
        <v>6.69E-5</v>
      </c>
      <c r="ME29" s="21">
        <v>9.4300000000000002E-5</v>
      </c>
      <c r="MF29">
        <v>0.35816700000000001</v>
      </c>
      <c r="MG29">
        <v>0.351516</v>
      </c>
      <c r="MH29">
        <v>0.206041</v>
      </c>
      <c r="MI29">
        <v>7.7151999999999998E-2</v>
      </c>
      <c r="MJ29">
        <v>7.1040000000000001E-3</v>
      </c>
      <c r="MK29" s="21">
        <v>2.61E-6</v>
      </c>
      <c r="ML29" s="21">
        <v>1.84E-5</v>
      </c>
      <c r="MM29">
        <v>0.67427700000000002</v>
      </c>
      <c r="MN29">
        <v>0.64248099999999997</v>
      </c>
      <c r="MO29">
        <v>0.37928299999999998</v>
      </c>
      <c r="MP29">
        <v>0.14605699999999999</v>
      </c>
      <c r="MQ29">
        <v>1.1464999999999999E-2</v>
      </c>
      <c r="MR29">
        <v>-0.134738</v>
      </c>
      <c r="MS29">
        <v>-0.71882599999999996</v>
      </c>
      <c r="MT29">
        <v>0.42805599999999999</v>
      </c>
      <c r="MU29">
        <v>0.284493</v>
      </c>
      <c r="MV29">
        <v>0.188804</v>
      </c>
      <c r="MW29">
        <v>9.8539000000000002E-2</v>
      </c>
      <c r="MX29">
        <v>1.08E-4</v>
      </c>
      <c r="MY29" s="21">
        <v>2.29E-7</v>
      </c>
      <c r="MZ29" s="21">
        <v>1.2699999999999999E-6</v>
      </c>
      <c r="NA29">
        <v>2.4308999999999998</v>
      </c>
      <c r="NB29">
        <v>1.5572079999999999</v>
      </c>
      <c r="NC29">
        <v>1.045161</v>
      </c>
      <c r="ND29">
        <v>0.56011</v>
      </c>
      <c r="NE29">
        <v>-2.5863000000000001E-2</v>
      </c>
      <c r="NF29">
        <v>-0.71876799999999996</v>
      </c>
      <c r="NG29">
        <v>-3.8487490000000002</v>
      </c>
      <c r="NH29">
        <v>7.4700000000000001E-3</v>
      </c>
      <c r="NI29">
        <v>7.6449999999999999E-3</v>
      </c>
      <c r="NJ29">
        <v>9.0200000000000002E-3</v>
      </c>
      <c r="NK29">
        <v>3.0380000000000001E-2</v>
      </c>
      <c r="NL29">
        <v>3.5767E-2</v>
      </c>
      <c r="NM29">
        <v>8.9154999999999998E-2</v>
      </c>
      <c r="NN29">
        <v>7.4700000000000001E-3</v>
      </c>
      <c r="NO29">
        <v>7.6449999999999999E-3</v>
      </c>
      <c r="NP29">
        <v>9.0200000000000002E-3</v>
      </c>
      <c r="NQ29">
        <v>3.0380000000000001E-2</v>
      </c>
      <c r="NR29">
        <v>3.5767E-2</v>
      </c>
      <c r="NS29">
        <v>8.9154999999999998E-2</v>
      </c>
      <c r="NT29">
        <v>2.1704999999999999E-2</v>
      </c>
      <c r="NU29">
        <v>2.214E-2</v>
      </c>
      <c r="NV29">
        <v>2.5551000000000001E-2</v>
      </c>
      <c r="NW29">
        <v>4.6420000000000003E-2</v>
      </c>
      <c r="NX29">
        <v>5.2551E-2</v>
      </c>
      <c r="NY29">
        <v>0.103342</v>
      </c>
      <c r="NZ29">
        <v>2.1704999999999999E-2</v>
      </c>
      <c r="OA29">
        <v>2.214E-2</v>
      </c>
      <c r="OB29">
        <v>2.5551000000000001E-2</v>
      </c>
      <c r="OC29">
        <v>4.6420000000000003E-2</v>
      </c>
      <c r="OD29">
        <v>5.2551E-2</v>
      </c>
      <c r="OE29">
        <v>0.103342</v>
      </c>
      <c r="OF29">
        <v>46.156289999999998</v>
      </c>
      <c r="OG29">
        <v>28958.51</v>
      </c>
      <c r="OH29">
        <v>18664.3</v>
      </c>
      <c r="OI29">
        <v>7925.5129999999999</v>
      </c>
      <c r="OJ29">
        <v>33.818339999999999</v>
      </c>
      <c r="OK29">
        <v>24068.9</v>
      </c>
      <c r="OL29">
        <v>17255.82</v>
      </c>
      <c r="OM29">
        <v>7557.5540000000001</v>
      </c>
      <c r="ON29">
        <v>1587709</v>
      </c>
      <c r="OO29">
        <v>1627735</v>
      </c>
      <c r="OP29">
        <v>11752.64</v>
      </c>
      <c r="OQ29">
        <v>6668.4960000000001</v>
      </c>
      <c r="OR29">
        <v>5430.482</v>
      </c>
      <c r="OS29">
        <v>541.6463</v>
      </c>
      <c r="OT29">
        <v>1677.6849999999999</v>
      </c>
      <c r="OU29">
        <v>1349.09</v>
      </c>
      <c r="OV29">
        <v>349.5677</v>
      </c>
      <c r="OW29">
        <v>1366.13</v>
      </c>
      <c r="OX29">
        <v>1416.4459999999999</v>
      </c>
      <c r="OY29">
        <v>1137.28</v>
      </c>
      <c r="OZ29">
        <v>659.71</v>
      </c>
      <c r="PA29">
        <v>21564.83</v>
      </c>
      <c r="PB29">
        <v>7580.3959999999997</v>
      </c>
      <c r="PC29">
        <v>1256.1690000000001</v>
      </c>
      <c r="PD29">
        <v>2215.4270000000001</v>
      </c>
      <c r="PE29">
        <v>6632.51</v>
      </c>
      <c r="PF29">
        <v>1413.8579999999999</v>
      </c>
      <c r="PG29">
        <v>2634.201</v>
      </c>
      <c r="PH29">
        <v>207326.7</v>
      </c>
      <c r="PI29">
        <v>88387.36</v>
      </c>
      <c r="PJ29">
        <v>1.8647860000000001</v>
      </c>
      <c r="PK29">
        <v>539.58259999999996</v>
      </c>
      <c r="PL29">
        <v>105.21210000000001</v>
      </c>
      <c r="PM29">
        <v>2015.646</v>
      </c>
      <c r="PN29">
        <v>446.99630000000002</v>
      </c>
      <c r="PO29">
        <v>163.32060000000001</v>
      </c>
      <c r="PP29">
        <v>252.12029999999999</v>
      </c>
      <c r="PQ29">
        <v>581.00080000000003</v>
      </c>
      <c r="PR29">
        <v>96.569239999999994</v>
      </c>
      <c r="PS29">
        <v>599.94669999999996</v>
      </c>
      <c r="PT29">
        <v>1295.4059999999999</v>
      </c>
      <c r="PU29">
        <v>450.2251</v>
      </c>
      <c r="PV29">
        <v>810.38829999999996</v>
      </c>
      <c r="PW29">
        <v>63.975740000000002</v>
      </c>
      <c r="PX29">
        <v>139.096</v>
      </c>
      <c r="PY29">
        <v>753.55370000000005</v>
      </c>
      <c r="PZ29">
        <v>135.88900000000001</v>
      </c>
      <c r="QA29">
        <v>379811.5</v>
      </c>
      <c r="QB29">
        <v>9164.4120000000003</v>
      </c>
      <c r="QC29">
        <v>80841.88</v>
      </c>
      <c r="QD29">
        <v>11382.06</v>
      </c>
      <c r="QE29">
        <v>12694.93</v>
      </c>
      <c r="QF29">
        <v>8823.6679999999997</v>
      </c>
      <c r="QG29">
        <v>3785.8620000000001</v>
      </c>
      <c r="QH29">
        <v>485.66890000000001</v>
      </c>
      <c r="QI29">
        <v>0.25372099999999997</v>
      </c>
      <c r="QJ29">
        <v>2.3611369999999998</v>
      </c>
      <c r="QK29">
        <v>12941.42</v>
      </c>
      <c r="QL29">
        <v>7311.8890000000001</v>
      </c>
      <c r="QM29">
        <v>5158.1109999999999</v>
      </c>
      <c r="QN29">
        <v>622.27009999999996</v>
      </c>
      <c r="QO29">
        <v>2082.1149999999998</v>
      </c>
      <c r="QP29">
        <v>1459.59</v>
      </c>
      <c r="QQ29">
        <v>493.69279999999998</v>
      </c>
      <c r="QR29">
        <v>1401.087</v>
      </c>
      <c r="QS29">
        <v>1409.6179999999999</v>
      </c>
      <c r="QT29">
        <v>1506.548</v>
      </c>
      <c r="QU29">
        <v>698.46759999999995</v>
      </c>
      <c r="QV29">
        <v>22309.94</v>
      </c>
      <c r="QW29">
        <v>8054.027</v>
      </c>
      <c r="QX29">
        <v>1447.59</v>
      </c>
      <c r="QY29">
        <v>2631.3409999999999</v>
      </c>
      <c r="QZ29">
        <v>8265.3850000000002</v>
      </c>
      <c r="RA29">
        <v>1655.4090000000001</v>
      </c>
      <c r="RB29">
        <v>3720.0360000000001</v>
      </c>
      <c r="RC29">
        <v>212832</v>
      </c>
      <c r="RD29">
        <v>89428.53</v>
      </c>
      <c r="RE29">
        <v>0.68389500000000003</v>
      </c>
      <c r="RF29">
        <v>432.22800000000001</v>
      </c>
      <c r="RG29">
        <v>139.3278</v>
      </c>
      <c r="RH29">
        <v>1100.8989999999999</v>
      </c>
      <c r="RI29">
        <v>9.7492680000000007</v>
      </c>
      <c r="RJ29">
        <v>154.46789999999999</v>
      </c>
      <c r="RK29">
        <v>1.5665770000000001</v>
      </c>
      <c r="RL29">
        <v>12239.77</v>
      </c>
      <c r="RM29">
        <v>6418.0550000000003</v>
      </c>
      <c r="RN29">
        <v>539.57309999999995</v>
      </c>
      <c r="RO29">
        <v>1261.203</v>
      </c>
      <c r="RP29">
        <v>229.89529999999999</v>
      </c>
      <c r="RQ29">
        <v>979.04669999999999</v>
      </c>
      <c r="RR29">
        <v>487.95800000000003</v>
      </c>
      <c r="RS29">
        <v>204.6961</v>
      </c>
      <c r="RT29">
        <v>865.93439999999998</v>
      </c>
      <c r="RU29">
        <v>1462.6110000000001</v>
      </c>
      <c r="RV29">
        <v>411956.7</v>
      </c>
      <c r="RW29">
        <v>14682.07</v>
      </c>
      <c r="RX29">
        <v>78003.14</v>
      </c>
      <c r="RY29">
        <v>10172.469999999999</v>
      </c>
      <c r="RZ29">
        <v>7683.2969999999996</v>
      </c>
      <c r="SA29">
        <v>6046.4070000000002</v>
      </c>
      <c r="SB29">
        <v>3615.88</v>
      </c>
      <c r="SC29">
        <v>5.4963980000000001</v>
      </c>
      <c r="SD29">
        <v>1.6612999999999999E-2</v>
      </c>
      <c r="SE29">
        <v>0.122117</v>
      </c>
      <c r="SF29">
        <v>32691.34</v>
      </c>
      <c r="SG29">
        <v>46.156289999999998</v>
      </c>
      <c r="SH29">
        <v>7055.8339999999998</v>
      </c>
      <c r="SI29">
        <v>17663.830000000002</v>
      </c>
      <c r="SJ29">
        <v>7925.5129999999999</v>
      </c>
      <c r="SK29">
        <v>28887.45</v>
      </c>
      <c r="SL29">
        <v>33.818339999999999</v>
      </c>
      <c r="SM29">
        <v>5681.1880000000001</v>
      </c>
      <c r="SN29">
        <v>15614.88</v>
      </c>
      <c r="SO29">
        <v>7557.5540000000001</v>
      </c>
      <c r="SP29">
        <v>124151.7</v>
      </c>
      <c r="SQ29">
        <v>65966.28</v>
      </c>
      <c r="SR29">
        <v>132612.70000000001</v>
      </c>
      <c r="SS29">
        <v>71218.990000000005</v>
      </c>
      <c r="ST29">
        <v>36.156790000000001</v>
      </c>
      <c r="SU29">
        <v>0.27800000000000002</v>
      </c>
      <c r="SV29">
        <v>5.0783370000000003</v>
      </c>
      <c r="SW29">
        <v>12.61157</v>
      </c>
      <c r="SX29">
        <v>18.188880000000001</v>
      </c>
      <c r="SY29">
        <v>32.785730000000001</v>
      </c>
      <c r="SZ29">
        <v>0.20368800000000001</v>
      </c>
      <c r="TA29">
        <v>4.0889550000000003</v>
      </c>
      <c r="TB29">
        <v>11.148669999999999</v>
      </c>
      <c r="TC29">
        <v>17.34442</v>
      </c>
      <c r="TD29">
        <v>26383.89</v>
      </c>
      <c r="TE29">
        <v>830.16340000000002</v>
      </c>
      <c r="TF29">
        <v>518.73090000000002</v>
      </c>
      <c r="TG29">
        <v>220.10249999999999</v>
      </c>
      <c r="TH29">
        <v>53.389870000000002</v>
      </c>
      <c r="TI29">
        <v>107.7003</v>
      </c>
      <c r="TJ29">
        <v>90.455470000000005</v>
      </c>
      <c r="TK29">
        <v>27.381399999999999</v>
      </c>
      <c r="TL29">
        <v>32.3827</v>
      </c>
      <c r="TM29">
        <v>174.24639999999999</v>
      </c>
      <c r="TN29">
        <v>43.443600000000004</v>
      </c>
      <c r="TO29">
        <v>28.14087</v>
      </c>
      <c r="TP29">
        <v>2134.9029999999998</v>
      </c>
      <c r="TQ29">
        <v>2025.3610000000001</v>
      </c>
      <c r="TR29">
        <v>101.3404</v>
      </c>
      <c r="TS29">
        <v>180.9922</v>
      </c>
      <c r="TT29">
        <v>430.70420000000001</v>
      </c>
      <c r="TU29">
        <v>43.208129999999997</v>
      </c>
      <c r="TV29">
        <v>75.358080000000001</v>
      </c>
      <c r="TW29">
        <v>12601.9</v>
      </c>
      <c r="TX29">
        <v>6544.0619999999999</v>
      </c>
      <c r="TY29">
        <v>0.50631199999999998</v>
      </c>
      <c r="TZ29">
        <v>9.455883</v>
      </c>
      <c r="UA29">
        <v>4.7573100000000004</v>
      </c>
      <c r="UB29">
        <v>57.812339999999999</v>
      </c>
      <c r="UC29">
        <v>0.69952099999999995</v>
      </c>
      <c r="UD29">
        <v>2.324074</v>
      </c>
      <c r="UE29">
        <v>4.2449979999999998</v>
      </c>
      <c r="UF29">
        <v>1.583755</v>
      </c>
      <c r="UG29">
        <v>0.76630100000000001</v>
      </c>
      <c r="UH29">
        <v>10.158670000000001</v>
      </c>
      <c r="UI29">
        <v>4.9655469999999999</v>
      </c>
      <c r="UJ29">
        <v>14.406040000000001</v>
      </c>
      <c r="UK29">
        <v>5.4534520000000004</v>
      </c>
      <c r="UL29">
        <v>0.405279</v>
      </c>
      <c r="UM29">
        <v>0.451098</v>
      </c>
      <c r="UN29">
        <v>1.5948720000000001</v>
      </c>
      <c r="UO29">
        <v>0.33715899999999999</v>
      </c>
      <c r="UP29">
        <v>26746.880000000001</v>
      </c>
      <c r="UQ29">
        <v>833.83299999999997</v>
      </c>
      <c r="UR29">
        <v>527.93219999999997</v>
      </c>
      <c r="US29">
        <v>210.2276</v>
      </c>
      <c r="UT29">
        <v>56.161389999999997</v>
      </c>
      <c r="UU29">
        <v>118.3742</v>
      </c>
      <c r="UV29">
        <v>96.204949999999997</v>
      </c>
      <c r="UW29">
        <v>27.839870000000001</v>
      </c>
      <c r="UX29">
        <v>32.559480000000001</v>
      </c>
      <c r="UY29">
        <v>183.69739999999999</v>
      </c>
      <c r="UZ29">
        <v>45.578650000000003</v>
      </c>
      <c r="VA29">
        <v>27.567360000000001</v>
      </c>
      <c r="VB29">
        <v>2147.87</v>
      </c>
      <c r="VC29">
        <v>2115.9140000000002</v>
      </c>
      <c r="VD29">
        <v>110.6585</v>
      </c>
      <c r="VE29">
        <v>200.4308</v>
      </c>
      <c r="VF29">
        <v>427.19929999999999</v>
      </c>
      <c r="VG29">
        <v>38.253959999999999</v>
      </c>
      <c r="VH29">
        <v>79.448059999999998</v>
      </c>
      <c r="VI29">
        <v>12764.07</v>
      </c>
      <c r="VJ29">
        <v>6561.6549999999997</v>
      </c>
      <c r="VK29">
        <v>0.25202200000000002</v>
      </c>
      <c r="VL29">
        <v>8.0065880000000007</v>
      </c>
      <c r="VM29">
        <v>6.4904929999999998</v>
      </c>
      <c r="VN29">
        <v>34.266030000000001</v>
      </c>
      <c r="VO29">
        <v>6.5199999999999994E-2</v>
      </c>
      <c r="VP29">
        <v>2.2252640000000001</v>
      </c>
      <c r="VQ29">
        <v>0.135439</v>
      </c>
      <c r="VR29">
        <v>21.359649999999998</v>
      </c>
      <c r="VS29">
        <v>30.716010000000001</v>
      </c>
      <c r="VT29">
        <v>8.8739790000000003</v>
      </c>
      <c r="VU29">
        <v>5.6835300000000002</v>
      </c>
      <c r="VV29">
        <v>8.5463989999999992</v>
      </c>
      <c r="VW29">
        <v>6.939559</v>
      </c>
      <c r="VX29">
        <v>2.4927139999999999</v>
      </c>
      <c r="VY29">
        <v>0.66905700000000001</v>
      </c>
      <c r="VZ29">
        <v>1.9601820000000001</v>
      </c>
      <c r="WA29">
        <v>2.7231709999999998</v>
      </c>
      <c r="WB29">
        <v>9.6467999999999998E-2</v>
      </c>
      <c r="WC29">
        <v>8.0789E-2</v>
      </c>
      <c r="WD29">
        <v>-1.6747999999999999E-2</v>
      </c>
      <c r="WE29">
        <v>-1.1591000000000001E-2</v>
      </c>
      <c r="WF29">
        <v>0.601047</v>
      </c>
      <c r="WG29">
        <v>0.46807100000000001</v>
      </c>
      <c r="WH29">
        <v>-2.3599999999999999E-2</v>
      </c>
      <c r="WI29">
        <v>-1.1331000000000001E-2</v>
      </c>
      <c r="WJ29">
        <v>2548687</v>
      </c>
      <c r="WK29">
        <v>2593469</v>
      </c>
    </row>
    <row r="30" spans="1:609" x14ac:dyDescent="0.25">
      <c r="A30">
        <v>2031</v>
      </c>
      <c r="B30">
        <v>1.953268</v>
      </c>
      <c r="C30">
        <v>145.74</v>
      </c>
      <c r="D30">
        <v>3.1755819999999999</v>
      </c>
      <c r="E30">
        <v>9.2602119999999992</v>
      </c>
      <c r="F30">
        <v>-3.675265</v>
      </c>
      <c r="G30">
        <v>1.554252</v>
      </c>
      <c r="H30">
        <v>-1.7432829999999999</v>
      </c>
      <c r="I30">
        <v>1.533002</v>
      </c>
      <c r="J30">
        <v>9.964359</v>
      </c>
      <c r="K30">
        <v>-0.35256599999999999</v>
      </c>
      <c r="L30">
        <v>10.353429999999999</v>
      </c>
      <c r="M30">
        <v>1.0157419999999999</v>
      </c>
      <c r="N30">
        <v>0</v>
      </c>
      <c r="O30">
        <v>-14.73301</v>
      </c>
      <c r="P30">
        <v>-1.361388</v>
      </c>
      <c r="Q30">
        <v>-41.075629999999997</v>
      </c>
      <c r="R30">
        <v>55.568069999999999</v>
      </c>
      <c r="S30">
        <v>100</v>
      </c>
      <c r="T30">
        <v>422.58690000000001</v>
      </c>
      <c r="U30">
        <v>124.48560000000001</v>
      </c>
      <c r="V30">
        <v>315.41140000000001</v>
      </c>
      <c r="W30">
        <v>2.5420229999999999</v>
      </c>
      <c r="X30">
        <v>66961.56</v>
      </c>
      <c r="Y30">
        <v>0.12088</v>
      </c>
      <c r="Z30">
        <v>5.4044000000000002E-2</v>
      </c>
      <c r="AA30">
        <v>-0.59501400000000004</v>
      </c>
      <c r="AB30">
        <v>-1.316308</v>
      </c>
      <c r="AC30">
        <v>4.3327999999999998E-2</v>
      </c>
      <c r="AD30">
        <v>78189.33</v>
      </c>
      <c r="AE30">
        <v>239865.3</v>
      </c>
      <c r="AF30">
        <v>294833.2</v>
      </c>
      <c r="AG30">
        <v>-7302.93</v>
      </c>
      <c r="AH30">
        <v>232981.7</v>
      </c>
      <c r="AI30">
        <v>-3.656E-3</v>
      </c>
      <c r="AJ30">
        <v>194.6405</v>
      </c>
      <c r="AK30">
        <v>988.77610000000004</v>
      </c>
      <c r="AL30">
        <v>245.33160000000001</v>
      </c>
      <c r="AM30">
        <v>100.2864</v>
      </c>
      <c r="AN30">
        <v>509.45620000000002</v>
      </c>
      <c r="AO30">
        <v>126.4045</v>
      </c>
      <c r="AP30">
        <v>964.94039999999995</v>
      </c>
      <c r="AQ30">
        <v>497.17500000000001</v>
      </c>
      <c r="AR30">
        <v>851.09659999999997</v>
      </c>
      <c r="AS30">
        <v>636.59130000000005</v>
      </c>
      <c r="AT30">
        <v>1628.1510000000001</v>
      </c>
      <c r="AU30">
        <v>706.15</v>
      </c>
      <c r="AV30">
        <v>177.9547</v>
      </c>
      <c r="AW30">
        <v>2.0098530000000001</v>
      </c>
      <c r="AX30">
        <v>2.948089</v>
      </c>
      <c r="AY30">
        <v>2.8817970000000002</v>
      </c>
      <c r="AZ30">
        <v>-1.056996</v>
      </c>
      <c r="BA30">
        <v>5.5374470000000002</v>
      </c>
      <c r="BB30">
        <v>9.2881180000000008</v>
      </c>
      <c r="BC30">
        <v>5.1288980000000004</v>
      </c>
      <c r="BD30">
        <v>12.091430000000001</v>
      </c>
      <c r="BE30">
        <v>-0.89792099999999997</v>
      </c>
      <c r="BF30">
        <v>4.390231</v>
      </c>
      <c r="BG30">
        <v>7.1410710000000002</v>
      </c>
      <c r="BH30">
        <v>-0.48712</v>
      </c>
      <c r="BI30">
        <v>0.95594299999999999</v>
      </c>
      <c r="BJ30">
        <v>5.2927160000000004</v>
      </c>
      <c r="BK30">
        <v>11.50563</v>
      </c>
      <c r="BL30">
        <v>12.384650000000001</v>
      </c>
      <c r="BM30">
        <v>0.77215</v>
      </c>
      <c r="BN30">
        <v>-11.98311</v>
      </c>
      <c r="BO30">
        <v>3.0154179999999999</v>
      </c>
      <c r="BP30">
        <v>1.71306</v>
      </c>
      <c r="BQ30">
        <v>0.521671</v>
      </c>
      <c r="BR30">
        <v>-75.509339999999995</v>
      </c>
      <c r="BS30">
        <v>-21.692350000000001</v>
      </c>
      <c r="BT30">
        <v>-431.35419999999999</v>
      </c>
      <c r="BU30">
        <v>-44.080390000000001</v>
      </c>
      <c r="BV30">
        <v>-90.840239999999994</v>
      </c>
      <c r="BW30">
        <v>-6.022354</v>
      </c>
      <c r="BX30">
        <v>-94.605069999999998</v>
      </c>
      <c r="BY30">
        <v>1112.27</v>
      </c>
      <c r="BZ30">
        <v>3488.56</v>
      </c>
      <c r="CA30">
        <v>-23.828749999999999</v>
      </c>
      <c r="CB30">
        <v>19.230229999999999</v>
      </c>
      <c r="CC30">
        <v>-49.743969999999997</v>
      </c>
      <c r="CD30">
        <v>21.003799999999998</v>
      </c>
      <c r="CE30">
        <v>519.02829999999994</v>
      </c>
      <c r="CF30">
        <v>45.123350000000002</v>
      </c>
      <c r="CG30">
        <v>36.875190000000003</v>
      </c>
      <c r="CH30">
        <v>667.00189999999998</v>
      </c>
      <c r="CI30">
        <v>11.702809999999999</v>
      </c>
      <c r="CJ30">
        <v>10.6753</v>
      </c>
      <c r="CK30">
        <v>-3.6657860000000002</v>
      </c>
      <c r="CL30">
        <v>17.019629999999999</v>
      </c>
      <c r="CM30">
        <v>28.16405</v>
      </c>
      <c r="CN30">
        <v>9.4588970000000003</v>
      </c>
      <c r="CO30">
        <v>45.887729999999998</v>
      </c>
      <c r="CP30">
        <v>3.2042480000000002</v>
      </c>
      <c r="CQ30">
        <v>-0.254882</v>
      </c>
      <c r="CR30">
        <v>35.309899999999999</v>
      </c>
      <c r="CS30">
        <v>6.5320790000000004</v>
      </c>
      <c r="CT30">
        <v>3.867521</v>
      </c>
      <c r="CU30">
        <v>7.0072429999999999</v>
      </c>
      <c r="CV30">
        <v>16.99868</v>
      </c>
      <c r="CW30">
        <v>21.048249999999999</v>
      </c>
      <c r="CX30">
        <v>29.854420000000001</v>
      </c>
      <c r="CY30">
        <v>21.86458</v>
      </c>
      <c r="CZ30">
        <v>50.640650000000001</v>
      </c>
      <c r="DA30">
        <v>2.9942989999999998</v>
      </c>
      <c r="DB30">
        <v>1.332578</v>
      </c>
      <c r="DC30">
        <v>-63.828180000000003</v>
      </c>
      <c r="DD30">
        <v>-22.59036</v>
      </c>
      <c r="DE30">
        <v>73.316850000000002</v>
      </c>
      <c r="DF30">
        <v>-48.202910000000003</v>
      </c>
      <c r="DG30">
        <v>-97.823080000000004</v>
      </c>
      <c r="DH30">
        <v>-6.458545</v>
      </c>
      <c r="DI30">
        <v>-99.35</v>
      </c>
      <c r="DJ30">
        <v>2032.777</v>
      </c>
      <c r="DK30">
        <v>7169.1670000000004</v>
      </c>
      <c r="DL30">
        <v>-17.314869999999999</v>
      </c>
      <c r="DM30">
        <v>3.8984260000000002</v>
      </c>
      <c r="DN30">
        <v>-52.425370000000001</v>
      </c>
      <c r="DO30">
        <v>22.748819999999998</v>
      </c>
      <c r="DP30">
        <v>740.59870000000001</v>
      </c>
      <c r="DQ30">
        <v>53.173650000000002</v>
      </c>
      <c r="DR30">
        <v>27.006049999999998</v>
      </c>
      <c r="DS30">
        <v>1090.607</v>
      </c>
      <c r="DT30">
        <v>3.3918999999999998E-2</v>
      </c>
      <c r="DU30">
        <v>3.2745090000000001</v>
      </c>
      <c r="DV30">
        <v>-7.4602550000000001</v>
      </c>
      <c r="DW30">
        <v>5.2369019999999997</v>
      </c>
      <c r="DX30">
        <v>3.9503400000000002</v>
      </c>
      <c r="DY30">
        <v>4.5247460000000004</v>
      </c>
      <c r="DZ30">
        <v>1.872384</v>
      </c>
      <c r="EA30">
        <v>3.5464509999999998</v>
      </c>
      <c r="EB30">
        <v>7.2510709999999996</v>
      </c>
      <c r="EC30">
        <v>0</v>
      </c>
      <c r="ED30">
        <v>4.9508470000000004</v>
      </c>
      <c r="EE30">
        <v>4.453856</v>
      </c>
      <c r="EF30">
        <v>6.6817890000000002</v>
      </c>
      <c r="EG30">
        <v>11.05472</v>
      </c>
      <c r="EH30">
        <v>18.892610000000001</v>
      </c>
      <c r="EI30">
        <v>-3.5979109999999999</v>
      </c>
      <c r="EJ30">
        <v>-0.71074599999999999</v>
      </c>
      <c r="EK30">
        <v>-5.6120739999999998</v>
      </c>
      <c r="EL30">
        <v>3.8297340000000002</v>
      </c>
      <c r="EM30">
        <v>3.9411870000000002</v>
      </c>
      <c r="EN30">
        <v>-27.74023</v>
      </c>
      <c r="EO30">
        <v>-17.53922</v>
      </c>
      <c r="EP30">
        <v>-7.9935219999999996</v>
      </c>
      <c r="EQ30">
        <v>-5.1808329999999998</v>
      </c>
      <c r="ER30">
        <v>8.1687329999999996</v>
      </c>
      <c r="ES30">
        <v>71.773970000000006</v>
      </c>
      <c r="ET30">
        <v>2.0250530000000002</v>
      </c>
      <c r="EU30">
        <v>35.958849999999998</v>
      </c>
      <c r="EV30">
        <v>0.57538699999999998</v>
      </c>
      <c r="EW30">
        <v>2.1021550000000002</v>
      </c>
      <c r="EX30">
        <v>2.6547540000000001</v>
      </c>
      <c r="EY30">
        <v>0.83822099999999999</v>
      </c>
      <c r="EZ30">
        <v>0.11108899999999999</v>
      </c>
      <c r="FA30">
        <v>5.6655639999999998</v>
      </c>
      <c r="FB30">
        <v>1.817828</v>
      </c>
      <c r="FC30">
        <v>33.872779999999999</v>
      </c>
      <c r="FD30">
        <v>9.2155900000000006</v>
      </c>
      <c r="FE30">
        <v>0.556585</v>
      </c>
      <c r="FF30">
        <v>0.85768900000000003</v>
      </c>
      <c r="FG30">
        <v>1.5420149999999999</v>
      </c>
      <c r="FH30">
        <v>0.34672500000000001</v>
      </c>
      <c r="FI30">
        <v>4.981554</v>
      </c>
      <c r="FJ30">
        <v>54.617730000000002</v>
      </c>
      <c r="FK30">
        <v>3.9921160000000002</v>
      </c>
      <c r="FL30">
        <v>20.126449999999998</v>
      </c>
      <c r="FM30">
        <v>6.4818000000000001E-2</v>
      </c>
      <c r="FN30">
        <v>1.974113</v>
      </c>
      <c r="FO30">
        <v>0.139429</v>
      </c>
      <c r="FP30">
        <v>10.17774</v>
      </c>
      <c r="FQ30">
        <v>3.9980760000000002</v>
      </c>
      <c r="FR30">
        <v>4.3145860000000003</v>
      </c>
      <c r="FS30">
        <v>2.162779</v>
      </c>
      <c r="FT30">
        <v>19.543780000000002</v>
      </c>
      <c r="FU30">
        <v>12.343159999999999</v>
      </c>
      <c r="FV30">
        <v>3.8194219999999999</v>
      </c>
      <c r="FW30">
        <v>1.38168</v>
      </c>
      <c r="FX30">
        <v>2.3238240000000001</v>
      </c>
      <c r="FY30">
        <v>3.0306679999999999</v>
      </c>
      <c r="FZ30">
        <v>5.8915899999999999</v>
      </c>
      <c r="GA30">
        <v>55.300829999999998</v>
      </c>
      <c r="GB30">
        <v>2.0250530000000002</v>
      </c>
      <c r="GC30">
        <v>32.017560000000003</v>
      </c>
      <c r="GD30">
        <v>0.51232100000000003</v>
      </c>
      <c r="GE30">
        <v>1.871748</v>
      </c>
      <c r="GF30">
        <v>2.3637790000000001</v>
      </c>
      <c r="GG30">
        <v>0.74634699999999998</v>
      </c>
      <c r="GH30">
        <v>9.8913000000000001E-2</v>
      </c>
      <c r="GI30">
        <v>5.0445880000000001</v>
      </c>
      <c r="GJ30">
        <v>1.618584</v>
      </c>
      <c r="GK30">
        <v>31.92202</v>
      </c>
      <c r="GL30">
        <v>9.2155900000000006</v>
      </c>
      <c r="GM30">
        <v>0.556585</v>
      </c>
      <c r="GN30">
        <v>0.85768900000000003</v>
      </c>
      <c r="GO30">
        <v>1.5420149999999999</v>
      </c>
      <c r="GP30">
        <v>0.34672500000000001</v>
      </c>
      <c r="GQ30">
        <v>2.7731819999999998</v>
      </c>
      <c r="GR30">
        <v>38.92718</v>
      </c>
      <c r="GS30">
        <v>3.9921160000000002</v>
      </c>
      <c r="GT30">
        <v>17.573039999999999</v>
      </c>
      <c r="GU30">
        <v>5.6594999999999999E-2</v>
      </c>
      <c r="GV30">
        <v>1.7236610000000001</v>
      </c>
      <c r="GW30">
        <v>0.12174</v>
      </c>
      <c r="GX30">
        <v>8.8865049999999997</v>
      </c>
      <c r="GY30">
        <v>3.490847</v>
      </c>
      <c r="GZ30">
        <v>3.7672020000000002</v>
      </c>
      <c r="HA30">
        <v>1.8883920000000001</v>
      </c>
      <c r="HB30">
        <v>17.685690000000001</v>
      </c>
      <c r="HC30">
        <v>12.343159999999999</v>
      </c>
      <c r="HD30">
        <v>3.8194219999999999</v>
      </c>
      <c r="HE30">
        <v>1.38168</v>
      </c>
      <c r="HF30">
        <v>2.3238240000000001</v>
      </c>
      <c r="HG30">
        <v>3.0306679999999999</v>
      </c>
      <c r="HH30">
        <v>5.9978509999999998</v>
      </c>
      <c r="HI30">
        <v>59.439749999999997</v>
      </c>
      <c r="HJ30">
        <v>2.0250530000000002</v>
      </c>
      <c r="HK30">
        <v>129.81360000000001</v>
      </c>
      <c r="HL30">
        <v>1.2428440000000001</v>
      </c>
      <c r="HM30">
        <v>4.5406890000000004</v>
      </c>
      <c r="HN30">
        <v>5.7343120000000001</v>
      </c>
      <c r="HO30">
        <v>0.90617899999999996</v>
      </c>
      <c r="HP30">
        <v>0.12009599999999999</v>
      </c>
      <c r="HQ30">
        <v>6.1248959999999997</v>
      </c>
      <c r="HR30">
        <v>5.3133379999999999</v>
      </c>
      <c r="HS30">
        <v>32.141350000000003</v>
      </c>
      <c r="HT30">
        <v>9.3534190000000006</v>
      </c>
      <c r="HU30">
        <v>0.56490899999999999</v>
      </c>
      <c r="HV30">
        <v>0.87051599999999996</v>
      </c>
      <c r="HW30">
        <v>1.5650770000000001</v>
      </c>
      <c r="HX30">
        <v>0.35191099999999997</v>
      </c>
      <c r="HY30">
        <v>2.8088880000000001</v>
      </c>
      <c r="HZ30">
        <v>41.857390000000002</v>
      </c>
      <c r="IA30">
        <v>3.8921160000000001</v>
      </c>
      <c r="IB30">
        <v>65.573899999999995</v>
      </c>
      <c r="IC30">
        <v>6.4875000000000002E-2</v>
      </c>
      <c r="ID30">
        <v>4.0224510000000002</v>
      </c>
      <c r="IE30">
        <v>0.13955300000000001</v>
      </c>
      <c r="IF30">
        <v>11.029450000000001</v>
      </c>
      <c r="IG30">
        <v>4.3013180000000002</v>
      </c>
      <c r="IH30">
        <v>4.6418350000000004</v>
      </c>
      <c r="II30">
        <v>6.8428779999999998</v>
      </c>
      <c r="IJ30">
        <v>17.922720000000002</v>
      </c>
      <c r="IK30">
        <v>12.776070000000001</v>
      </c>
      <c r="IL30">
        <v>3.9100039999999998</v>
      </c>
      <c r="IM30">
        <v>1.4648000000000001</v>
      </c>
      <c r="IN30">
        <v>2.458974</v>
      </c>
      <c r="IO30">
        <v>3.0783670000000001</v>
      </c>
      <c r="IP30">
        <v>4.4376660000000001</v>
      </c>
      <c r="IQ30">
        <v>5.5007299999999999</v>
      </c>
      <c r="IR30">
        <v>0.64210699999999998</v>
      </c>
      <c r="IS30">
        <v>1.817229</v>
      </c>
      <c r="IT30">
        <v>4.1127919999999998</v>
      </c>
      <c r="IU30">
        <v>4.305739</v>
      </c>
      <c r="IV30">
        <v>5.1188120000000001</v>
      </c>
      <c r="IW30">
        <v>6.2636419999999999</v>
      </c>
      <c r="IX30">
        <v>0.83623199999999998</v>
      </c>
      <c r="IY30">
        <v>7.0160770000000001</v>
      </c>
      <c r="IZ30">
        <v>1.855173</v>
      </c>
      <c r="JA30">
        <v>8.5448350000000008</v>
      </c>
      <c r="JB30">
        <v>0.41625299999999998</v>
      </c>
      <c r="JC30">
        <v>1.3977740000000001</v>
      </c>
      <c r="JD30">
        <v>0.83697699999999997</v>
      </c>
      <c r="JE30">
        <v>18.010269999999998</v>
      </c>
      <c r="JF30">
        <v>0.33879900000000002</v>
      </c>
      <c r="JG30">
        <v>1.759663</v>
      </c>
      <c r="JH30">
        <v>19.96077</v>
      </c>
      <c r="JI30">
        <v>6.7290330000000003</v>
      </c>
      <c r="JJ30">
        <v>16.207080000000001</v>
      </c>
      <c r="JK30">
        <v>35.824280000000002</v>
      </c>
      <c r="JL30">
        <v>3.100714</v>
      </c>
      <c r="JM30">
        <v>4.6421939999999999</v>
      </c>
      <c r="JN30">
        <v>0.56403700000000001</v>
      </c>
      <c r="JO30">
        <v>1.3978999999999999</v>
      </c>
      <c r="JP30">
        <v>2.946313</v>
      </c>
      <c r="JQ30">
        <v>3.5505529999999998</v>
      </c>
      <c r="JR30">
        <v>3.9158620000000002</v>
      </c>
      <c r="JS30">
        <v>5.4370409999999998</v>
      </c>
      <c r="JT30">
        <v>0.76339100000000004</v>
      </c>
      <c r="JU30">
        <v>3.881122</v>
      </c>
      <c r="JV30">
        <v>1.4200630000000001</v>
      </c>
      <c r="JW30">
        <v>7.343788</v>
      </c>
      <c r="JX30">
        <v>0.31875799999999999</v>
      </c>
      <c r="JY30">
        <v>1.2353769999999999</v>
      </c>
      <c r="JZ30">
        <v>0.80209600000000003</v>
      </c>
      <c r="KA30">
        <v>11.86988</v>
      </c>
      <c r="KB30">
        <v>0.129694</v>
      </c>
      <c r="KC30">
        <v>0.80503599999999997</v>
      </c>
      <c r="KD30">
        <v>17.545190000000002</v>
      </c>
      <c r="KE30">
        <v>5.7245920000000003</v>
      </c>
      <c r="KF30">
        <v>14.15681</v>
      </c>
      <c r="KG30">
        <v>32.234499999999997</v>
      </c>
      <c r="KH30">
        <v>8185.5720000000001</v>
      </c>
      <c r="KI30">
        <v>10308.870000000001</v>
      </c>
      <c r="KJ30">
        <v>6454.9160000000002</v>
      </c>
      <c r="KK30">
        <v>2827.1379999999999</v>
      </c>
      <c r="KL30">
        <v>2455.2689999999998</v>
      </c>
      <c r="KM30">
        <v>784.75660000000005</v>
      </c>
      <c r="KN30">
        <v>828.57249999999999</v>
      </c>
      <c r="KO30">
        <v>0</v>
      </c>
      <c r="KP30">
        <v>28305.5</v>
      </c>
      <c r="KQ30">
        <v>3539.5920000000001</v>
      </c>
      <c r="KR30">
        <v>0</v>
      </c>
      <c r="KS30">
        <v>8742.8909999999996</v>
      </c>
      <c r="KT30">
        <v>8459.6839999999993</v>
      </c>
      <c r="KU30">
        <v>5777.5510000000004</v>
      </c>
      <c r="KV30">
        <v>3088.09</v>
      </c>
      <c r="KW30">
        <v>2283.7449999999999</v>
      </c>
      <c r="KX30">
        <v>719.00459999999998</v>
      </c>
      <c r="KY30">
        <v>434.34179999999998</v>
      </c>
      <c r="KZ30">
        <v>0</v>
      </c>
      <c r="LA30">
        <v>23673.360000000001</v>
      </c>
      <c r="LB30">
        <v>5831.9459999999999</v>
      </c>
      <c r="LC30">
        <v>0</v>
      </c>
      <c r="LD30" s="21">
        <v>106000000</v>
      </c>
      <c r="LE30" s="21">
        <v>305000000</v>
      </c>
      <c r="LF30" s="21">
        <v>772000000</v>
      </c>
      <c r="LG30" s="21">
        <v>688000000</v>
      </c>
      <c r="LH30" s="21">
        <v>567000000</v>
      </c>
      <c r="LI30" s="21">
        <v>274000000</v>
      </c>
      <c r="LJ30" s="21">
        <v>138000000</v>
      </c>
      <c r="LK30" s="21">
        <v>2.8200000000000001E-6</v>
      </c>
      <c r="LL30" s="21">
        <v>5.4399999999999996E-6</v>
      </c>
      <c r="LM30" s="21">
        <v>1.01E-5</v>
      </c>
      <c r="LN30" s="21">
        <v>2.12E-5</v>
      </c>
      <c r="LO30" s="21">
        <v>3.2299999999999999E-5</v>
      </c>
      <c r="LP30" s="21">
        <v>4.6799999999999999E-5</v>
      </c>
      <c r="LQ30" s="21">
        <v>6.8899999999999994E-5</v>
      </c>
      <c r="LR30" s="21">
        <v>175000000</v>
      </c>
      <c r="LS30" s="21">
        <v>372000000</v>
      </c>
      <c r="LT30" s="21">
        <v>778000000</v>
      </c>
      <c r="LU30" s="21">
        <v>642000000</v>
      </c>
      <c r="LV30" s="21">
        <v>518000000</v>
      </c>
      <c r="LW30" s="21">
        <v>243000000</v>
      </c>
      <c r="LX30" s="21">
        <v>122000000</v>
      </c>
      <c r="LY30" s="21">
        <v>4.5000000000000001E-6</v>
      </c>
      <c r="LZ30" s="21">
        <v>8.49E-6</v>
      </c>
      <c r="MA30" s="21">
        <v>1.5500000000000001E-5</v>
      </c>
      <c r="MB30" s="21">
        <v>3.2700000000000002E-5</v>
      </c>
      <c r="MC30" s="21">
        <v>4.88E-5</v>
      </c>
      <c r="MD30" s="21">
        <v>7.0400000000000004E-5</v>
      </c>
      <c r="ME30" s="21">
        <v>9.8999999999999994E-5</v>
      </c>
      <c r="MF30">
        <v>0.36554900000000001</v>
      </c>
      <c r="MG30">
        <v>0.34640100000000001</v>
      </c>
      <c r="MH30">
        <v>0.204072</v>
      </c>
      <c r="MI30">
        <v>7.8184000000000003E-2</v>
      </c>
      <c r="MJ30">
        <v>5.7850000000000002E-3</v>
      </c>
      <c r="MK30" s="21">
        <v>1.31E-6</v>
      </c>
      <c r="ML30" s="21">
        <v>9.2E-6</v>
      </c>
      <c r="MM30">
        <v>0.72641500000000003</v>
      </c>
      <c r="MN30">
        <v>0.664775</v>
      </c>
      <c r="MO30">
        <v>0.39366699999999999</v>
      </c>
      <c r="MP30">
        <v>0.15429899999999999</v>
      </c>
      <c r="MQ30">
        <v>8.6990000000000001E-3</v>
      </c>
      <c r="MR30">
        <v>-0.150838</v>
      </c>
      <c r="MS30">
        <v>-0.79701699999999998</v>
      </c>
      <c r="MT30">
        <v>0.43339800000000001</v>
      </c>
      <c r="MU30">
        <v>0.28092899999999998</v>
      </c>
      <c r="MV30">
        <v>0.187054</v>
      </c>
      <c r="MW30">
        <v>9.8563999999999999E-2</v>
      </c>
      <c r="MX30" s="21">
        <v>5.3699999999999997E-5</v>
      </c>
      <c r="MY30" s="21">
        <v>1.14E-7</v>
      </c>
      <c r="MZ30" s="21">
        <v>6.3600000000000003E-7</v>
      </c>
      <c r="NA30">
        <v>2.427556</v>
      </c>
      <c r="NB30">
        <v>1.5346580000000001</v>
      </c>
      <c r="NC30">
        <v>1.0252920000000001</v>
      </c>
      <c r="ND30">
        <v>0.54549700000000001</v>
      </c>
      <c r="NE30">
        <v>-3.1054999999999999E-2</v>
      </c>
      <c r="NF30">
        <v>-0.71255000000000002</v>
      </c>
      <c r="NG30">
        <v>-3.7893970000000001</v>
      </c>
      <c r="NH30">
        <v>7.4929999999999997E-3</v>
      </c>
      <c r="NI30">
        <v>7.6940000000000003E-3</v>
      </c>
      <c r="NJ30">
        <v>9.136E-3</v>
      </c>
      <c r="NK30">
        <v>3.1085000000000002E-2</v>
      </c>
      <c r="NL30">
        <v>3.6799999999999999E-2</v>
      </c>
      <c r="NM30">
        <v>9.0422000000000002E-2</v>
      </c>
      <c r="NN30">
        <v>7.4929999999999997E-3</v>
      </c>
      <c r="NO30">
        <v>7.6940000000000003E-3</v>
      </c>
      <c r="NP30">
        <v>9.136E-3</v>
      </c>
      <c r="NQ30">
        <v>3.1085000000000002E-2</v>
      </c>
      <c r="NR30">
        <v>3.6799999999999999E-2</v>
      </c>
      <c r="NS30">
        <v>9.0422000000000002E-2</v>
      </c>
      <c r="NT30">
        <v>2.3775999999999999E-2</v>
      </c>
      <c r="NU30">
        <v>2.427E-2</v>
      </c>
      <c r="NV30">
        <v>2.8028999999999998E-2</v>
      </c>
      <c r="NW30">
        <v>4.9065999999999999E-2</v>
      </c>
      <c r="NX30">
        <v>5.5439000000000002E-2</v>
      </c>
      <c r="NY30">
        <v>0.106029</v>
      </c>
      <c r="NZ30">
        <v>2.3775999999999999E-2</v>
      </c>
      <c r="OA30">
        <v>2.427E-2</v>
      </c>
      <c r="OB30">
        <v>2.8028999999999998E-2</v>
      </c>
      <c r="OC30">
        <v>4.9065999999999999E-2</v>
      </c>
      <c r="OD30">
        <v>5.5439000000000002E-2</v>
      </c>
      <c r="OE30">
        <v>0.106029</v>
      </c>
      <c r="OF30">
        <v>45.526910000000001</v>
      </c>
      <c r="OG30">
        <v>28336.5</v>
      </c>
      <c r="OH30">
        <v>18802.39</v>
      </c>
      <c r="OI30">
        <v>7806.4650000000001</v>
      </c>
      <c r="OJ30">
        <v>32.897640000000003</v>
      </c>
      <c r="OK30">
        <v>23366.5</v>
      </c>
      <c r="OL30">
        <v>17299.419999999998</v>
      </c>
      <c r="OM30">
        <v>7402.0259999999998</v>
      </c>
      <c r="ON30">
        <v>1613033</v>
      </c>
      <c r="OO30">
        <v>1658003</v>
      </c>
      <c r="OP30">
        <v>11943.14</v>
      </c>
      <c r="OQ30">
        <v>6795.3509999999997</v>
      </c>
      <c r="OR30">
        <v>5466.7219999999998</v>
      </c>
      <c r="OS30">
        <v>548.56119999999999</v>
      </c>
      <c r="OT30">
        <v>1701.473</v>
      </c>
      <c r="OU30">
        <v>1364.9290000000001</v>
      </c>
      <c r="OV30">
        <v>354.62400000000002</v>
      </c>
      <c r="OW30">
        <v>1386.229</v>
      </c>
      <c r="OX30">
        <v>1430.913</v>
      </c>
      <c r="OY30">
        <v>1148.3810000000001</v>
      </c>
      <c r="OZ30">
        <v>665.95309999999995</v>
      </c>
      <c r="PA30">
        <v>21833.99</v>
      </c>
      <c r="PB30">
        <v>7696.4129999999996</v>
      </c>
      <c r="PC30">
        <v>1288.856</v>
      </c>
      <c r="PD30">
        <v>2264.9450000000002</v>
      </c>
      <c r="PE30">
        <v>6732.9459999999999</v>
      </c>
      <c r="PF30">
        <v>1426.9690000000001</v>
      </c>
      <c r="PG30">
        <v>2667.2910000000002</v>
      </c>
      <c r="PH30">
        <v>210679.6</v>
      </c>
      <c r="PI30">
        <v>89820.94</v>
      </c>
      <c r="PJ30">
        <v>1.882522</v>
      </c>
      <c r="PK30">
        <v>530.46119999999996</v>
      </c>
      <c r="PL30">
        <v>102.58329999999999</v>
      </c>
      <c r="PM30">
        <v>2102.7840000000001</v>
      </c>
      <c r="PN30">
        <v>449.03530000000001</v>
      </c>
      <c r="PO30">
        <v>164.40880000000001</v>
      </c>
      <c r="PP30">
        <v>253.27109999999999</v>
      </c>
      <c r="PQ30">
        <v>584.64790000000005</v>
      </c>
      <c r="PR30">
        <v>97.117559999999997</v>
      </c>
      <c r="PS30">
        <v>603.60410000000002</v>
      </c>
      <c r="PT30">
        <v>1300.0940000000001</v>
      </c>
      <c r="PU30">
        <v>444.89839999999998</v>
      </c>
      <c r="PV30">
        <v>800.03189999999995</v>
      </c>
      <c r="PW30">
        <v>62.953569999999999</v>
      </c>
      <c r="PX30">
        <v>137.73310000000001</v>
      </c>
      <c r="PY30">
        <v>743.02940000000001</v>
      </c>
      <c r="PZ30">
        <v>134.2097</v>
      </c>
      <c r="QA30">
        <v>385730.9</v>
      </c>
      <c r="QB30">
        <v>9281.8009999999995</v>
      </c>
      <c r="QC30">
        <v>81277.62</v>
      </c>
      <c r="QD30">
        <v>11425.65</v>
      </c>
      <c r="QE30">
        <v>12304.51</v>
      </c>
      <c r="QF30">
        <v>8595.6620000000003</v>
      </c>
      <c r="QG30">
        <v>3773.3910000000001</v>
      </c>
      <c r="QH30">
        <v>389.00200000000001</v>
      </c>
      <c r="QI30">
        <v>0.124775</v>
      </c>
      <c r="QJ30">
        <v>1.1611579999999999</v>
      </c>
      <c r="QK30">
        <v>13340.82</v>
      </c>
      <c r="QL30">
        <v>7520.7740000000003</v>
      </c>
      <c r="QM30">
        <v>5266.3239999999996</v>
      </c>
      <c r="QN30">
        <v>641.92430000000002</v>
      </c>
      <c r="QO30">
        <v>2180.6770000000001</v>
      </c>
      <c r="QP30">
        <v>1494.0360000000001</v>
      </c>
      <c r="QQ30">
        <v>517.35289999999998</v>
      </c>
      <c r="QR30">
        <v>1430.6469999999999</v>
      </c>
      <c r="QS30">
        <v>1427.2660000000001</v>
      </c>
      <c r="QT30">
        <v>1553.873</v>
      </c>
      <c r="QU30">
        <v>709.45360000000005</v>
      </c>
      <c r="QV30">
        <v>22678.42</v>
      </c>
      <c r="QW30">
        <v>8235.7189999999991</v>
      </c>
      <c r="QX30">
        <v>1507.9449999999999</v>
      </c>
      <c r="QY30">
        <v>2741.6759999999999</v>
      </c>
      <c r="QZ30">
        <v>8743.0280000000002</v>
      </c>
      <c r="RA30">
        <v>1738.97</v>
      </c>
      <c r="RB30">
        <v>4018.0250000000001</v>
      </c>
      <c r="RC30">
        <v>216987.9</v>
      </c>
      <c r="RD30">
        <v>91017.87</v>
      </c>
      <c r="RE30">
        <v>0.68094200000000005</v>
      </c>
      <c r="RF30">
        <v>410.62810000000002</v>
      </c>
      <c r="RG30">
        <v>177.79419999999999</v>
      </c>
      <c r="RH30">
        <v>1089.181</v>
      </c>
      <c r="RI30">
        <v>9.7751319999999993</v>
      </c>
      <c r="RJ30">
        <v>153.79040000000001</v>
      </c>
      <c r="RK30">
        <v>1.6462559999999999</v>
      </c>
      <c r="RL30">
        <v>12469.23</v>
      </c>
      <c r="RM30">
        <v>7059.6379999999999</v>
      </c>
      <c r="RN30">
        <v>499.09089999999998</v>
      </c>
      <c r="RO30">
        <v>1350.777</v>
      </c>
      <c r="RP30">
        <v>211.65870000000001</v>
      </c>
      <c r="RQ30">
        <v>982.02980000000002</v>
      </c>
      <c r="RR30">
        <v>529.18690000000004</v>
      </c>
      <c r="RS30">
        <v>210.9708</v>
      </c>
      <c r="RT30">
        <v>943.69230000000005</v>
      </c>
      <c r="RU30">
        <v>1597.91</v>
      </c>
      <c r="RV30">
        <v>421450.4</v>
      </c>
      <c r="RW30">
        <v>15546.33</v>
      </c>
      <c r="RX30">
        <v>78325.490000000005</v>
      </c>
      <c r="RY30">
        <v>11849.7</v>
      </c>
      <c r="RZ30">
        <v>8729.0339999999997</v>
      </c>
      <c r="SA30">
        <v>6892.0529999999999</v>
      </c>
      <c r="SB30">
        <v>4161.2139999999999</v>
      </c>
      <c r="SC30">
        <v>3.1615150000000001</v>
      </c>
      <c r="SD30">
        <v>9.5569999999999995E-3</v>
      </c>
      <c r="SE30">
        <v>7.0249000000000006E-2</v>
      </c>
      <c r="SF30">
        <v>32495.119999999999</v>
      </c>
      <c r="SG30">
        <v>45.526910000000001</v>
      </c>
      <c r="SH30">
        <v>6908.0510000000004</v>
      </c>
      <c r="SI30">
        <v>17735.080000000002</v>
      </c>
      <c r="SJ30">
        <v>7806.4650000000001</v>
      </c>
      <c r="SK30">
        <v>28468.16</v>
      </c>
      <c r="SL30">
        <v>32.897640000000003</v>
      </c>
      <c r="SM30">
        <v>5491.5559999999996</v>
      </c>
      <c r="SN30">
        <v>15541.68</v>
      </c>
      <c r="SO30">
        <v>7402.0259999999998</v>
      </c>
      <c r="SP30">
        <v>124600.8</v>
      </c>
      <c r="SQ30">
        <v>65513.81</v>
      </c>
      <c r="SR30">
        <v>133374</v>
      </c>
      <c r="SS30">
        <v>74264.03</v>
      </c>
      <c r="ST30">
        <v>35.824280000000002</v>
      </c>
      <c r="SU30">
        <v>0.27420899999999998</v>
      </c>
      <c r="SV30">
        <v>4.9719720000000001</v>
      </c>
      <c r="SW30">
        <v>12.66244</v>
      </c>
      <c r="SX30">
        <v>17.915669999999999</v>
      </c>
      <c r="SY30">
        <v>32.234499999999997</v>
      </c>
      <c r="SZ30">
        <v>0.19814300000000001</v>
      </c>
      <c r="TA30">
        <v>3.9524699999999999</v>
      </c>
      <c r="TB30">
        <v>11.096399999999999</v>
      </c>
      <c r="TC30">
        <v>16.987490000000001</v>
      </c>
      <c r="TD30">
        <v>26434.86</v>
      </c>
      <c r="TE30">
        <v>829.60519999999997</v>
      </c>
      <c r="TF30">
        <v>520.41340000000002</v>
      </c>
      <c r="TG30">
        <v>219.06469999999999</v>
      </c>
      <c r="TH30">
        <v>53.32958</v>
      </c>
      <c r="TI30">
        <v>107.7105</v>
      </c>
      <c r="TJ30">
        <v>90.347380000000001</v>
      </c>
      <c r="TK30">
        <v>27.276720000000001</v>
      </c>
      <c r="TL30">
        <v>32.155270000000002</v>
      </c>
      <c r="TM30">
        <v>173.90459999999999</v>
      </c>
      <c r="TN30">
        <v>43.268790000000003</v>
      </c>
      <c r="TO30">
        <v>28.04618</v>
      </c>
      <c r="TP30">
        <v>2132.9720000000002</v>
      </c>
      <c r="TQ30">
        <v>2026.9760000000001</v>
      </c>
      <c r="TR30">
        <v>101.5634</v>
      </c>
      <c r="TS30">
        <v>182.13929999999999</v>
      </c>
      <c r="TT30">
        <v>429.94110000000001</v>
      </c>
      <c r="TU30">
        <v>43.001089999999998</v>
      </c>
      <c r="TV30">
        <v>75.109539999999996</v>
      </c>
      <c r="TW30">
        <v>12631.51</v>
      </c>
      <c r="TX30">
        <v>6567.4049999999997</v>
      </c>
      <c r="TY30">
        <v>0.50512199999999996</v>
      </c>
      <c r="TZ30">
        <v>9.2731279999999998</v>
      </c>
      <c r="UA30">
        <v>4.6428710000000004</v>
      </c>
      <c r="UB30">
        <v>57.708710000000004</v>
      </c>
      <c r="UC30">
        <v>0.69821500000000003</v>
      </c>
      <c r="UD30">
        <v>2.3192680000000001</v>
      </c>
      <c r="UE30">
        <v>4.2369810000000001</v>
      </c>
      <c r="UF30">
        <v>1.57864</v>
      </c>
      <c r="UG30">
        <v>0.76457399999999998</v>
      </c>
      <c r="UH30">
        <v>10.137169999999999</v>
      </c>
      <c r="UI30">
        <v>4.9470130000000001</v>
      </c>
      <c r="UJ30">
        <v>14.1999</v>
      </c>
      <c r="UK30">
        <v>5.371283</v>
      </c>
      <c r="UL30">
        <v>0.39830599999999999</v>
      </c>
      <c r="UM30">
        <v>0.44392300000000001</v>
      </c>
      <c r="UN30">
        <v>1.566986</v>
      </c>
      <c r="UO30">
        <v>0.33191599999999999</v>
      </c>
      <c r="UP30">
        <v>26840.11</v>
      </c>
      <c r="UQ30">
        <v>833.61959999999999</v>
      </c>
      <c r="UR30">
        <v>530.2346</v>
      </c>
      <c r="US30">
        <v>211.2996</v>
      </c>
      <c r="UT30">
        <v>56.332500000000003</v>
      </c>
      <c r="UU30">
        <v>119.5261</v>
      </c>
      <c r="UV30">
        <v>96.540760000000006</v>
      </c>
      <c r="UW30">
        <v>27.744479999999999</v>
      </c>
      <c r="UX30">
        <v>32.28951</v>
      </c>
      <c r="UY30">
        <v>184.35939999999999</v>
      </c>
      <c r="UZ30">
        <v>45.558950000000003</v>
      </c>
      <c r="VA30">
        <v>27.393519999999999</v>
      </c>
      <c r="VB30">
        <v>2146.91</v>
      </c>
      <c r="VC30">
        <v>2127.8560000000002</v>
      </c>
      <c r="VD30">
        <v>111.676</v>
      </c>
      <c r="VE30">
        <v>203.4297</v>
      </c>
      <c r="VF30">
        <v>425.46890000000002</v>
      </c>
      <c r="VG30">
        <v>37.670029999999997</v>
      </c>
      <c r="VH30">
        <v>79.508210000000005</v>
      </c>
      <c r="VI30">
        <v>12813.25</v>
      </c>
      <c r="VJ30">
        <v>6586.8379999999997</v>
      </c>
      <c r="VK30">
        <v>0.25154500000000002</v>
      </c>
      <c r="VL30">
        <v>7.637537</v>
      </c>
      <c r="VM30">
        <v>8.2057710000000004</v>
      </c>
      <c r="VN30">
        <v>32.738799999999998</v>
      </c>
      <c r="VO30">
        <v>7.3535000000000003E-2</v>
      </c>
      <c r="VP30">
        <v>2.203198</v>
      </c>
      <c r="VQ30">
        <v>0.17279600000000001</v>
      </c>
      <c r="VR30">
        <v>21.434280000000001</v>
      </c>
      <c r="VS30">
        <v>32.289709999999999</v>
      </c>
      <c r="VT30">
        <v>8.2528020000000009</v>
      </c>
      <c r="VU30">
        <v>6.0472979999999996</v>
      </c>
      <c r="VV30">
        <v>8.0095790000000004</v>
      </c>
      <c r="VW30">
        <v>6.95268</v>
      </c>
      <c r="VX30">
        <v>2.6458200000000001</v>
      </c>
      <c r="VY30">
        <v>0.68511500000000003</v>
      </c>
      <c r="VZ30">
        <v>2.1308400000000001</v>
      </c>
      <c r="WA30">
        <v>2.8733430000000002</v>
      </c>
      <c r="WB30">
        <v>9.8382999999999998E-2</v>
      </c>
      <c r="WC30">
        <v>8.0950999999999995E-2</v>
      </c>
      <c r="WD30">
        <v>-1.6357E-2</v>
      </c>
      <c r="WE30">
        <v>-1.2055E-2</v>
      </c>
      <c r="WF30">
        <v>0.60054300000000005</v>
      </c>
      <c r="WG30">
        <v>0.45321299999999998</v>
      </c>
      <c r="WH30">
        <v>-2.4355999999999999E-2</v>
      </c>
      <c r="WI30">
        <v>-1.0743000000000001E-2</v>
      </c>
      <c r="WJ30">
        <v>2583716</v>
      </c>
      <c r="WK30">
        <v>2634183</v>
      </c>
    </row>
    <row r="31" spans="1:609" x14ac:dyDescent="0.25">
      <c r="A31">
        <v>2032</v>
      </c>
      <c r="B31">
        <v>1.994802</v>
      </c>
      <c r="C31">
        <v>147.7578</v>
      </c>
      <c r="D31">
        <v>3.4281199999999998</v>
      </c>
      <c r="E31">
        <v>9.9365480000000002</v>
      </c>
      <c r="F31">
        <v>-4.1990939999999997</v>
      </c>
      <c r="G31">
        <v>1.902677</v>
      </c>
      <c r="H31">
        <v>-1.8680509999999999</v>
      </c>
      <c r="I31">
        <v>1.6374249999999999</v>
      </c>
      <c r="J31">
        <v>11.41375</v>
      </c>
      <c r="K31">
        <v>-0.13535</v>
      </c>
      <c r="L31">
        <v>11.56475</v>
      </c>
      <c r="M31">
        <v>1.1263270000000001</v>
      </c>
      <c r="N31">
        <v>0</v>
      </c>
      <c r="O31">
        <v>-16.1981</v>
      </c>
      <c r="P31">
        <v>-1.4638709999999999</v>
      </c>
      <c r="Q31">
        <v>-43.69361</v>
      </c>
      <c r="R31">
        <v>52.809429999999999</v>
      </c>
      <c r="S31">
        <v>100</v>
      </c>
      <c r="T31">
        <v>446.44929999999999</v>
      </c>
      <c r="U31">
        <v>129.13890000000001</v>
      </c>
      <c r="V31">
        <v>330.06259999999997</v>
      </c>
      <c r="W31">
        <v>2.471149</v>
      </c>
      <c r="X31">
        <v>65995.88</v>
      </c>
      <c r="Y31">
        <v>0.121193</v>
      </c>
      <c r="Z31">
        <v>6.9156999999999996E-2</v>
      </c>
      <c r="AA31">
        <v>-0.176784</v>
      </c>
      <c r="AB31">
        <v>-1.3085929999999999</v>
      </c>
      <c r="AC31">
        <v>4.3327999999999998E-2</v>
      </c>
      <c r="AD31">
        <v>79990.850000000006</v>
      </c>
      <c r="AE31">
        <v>285174.59999999998</v>
      </c>
      <c r="AF31">
        <v>346587.4</v>
      </c>
      <c r="AG31">
        <v>-790.94910000000004</v>
      </c>
      <c r="AH31">
        <v>253140.6</v>
      </c>
      <c r="AI31">
        <v>-3.7810000000000001E-3</v>
      </c>
      <c r="AJ31">
        <v>201.90780000000001</v>
      </c>
      <c r="AK31">
        <v>1109.6410000000001</v>
      </c>
      <c r="AL31">
        <v>263.89440000000002</v>
      </c>
      <c r="AM31">
        <v>99.885270000000006</v>
      </c>
      <c r="AN31">
        <v>548.94780000000003</v>
      </c>
      <c r="AO31">
        <v>130.5505</v>
      </c>
      <c r="AP31">
        <v>1075.405</v>
      </c>
      <c r="AQ31">
        <v>532.01089999999999</v>
      </c>
      <c r="AR31">
        <v>875.81659999999999</v>
      </c>
      <c r="AS31">
        <v>637.31659999999999</v>
      </c>
      <c r="AT31">
        <v>1700.7249999999999</v>
      </c>
      <c r="AU31">
        <v>730.83780000000002</v>
      </c>
      <c r="AV31">
        <v>176.0574</v>
      </c>
      <c r="AW31">
        <v>2.051545</v>
      </c>
      <c r="AX31">
        <v>2.9991370000000002</v>
      </c>
      <c r="AY31">
        <v>2.976083</v>
      </c>
      <c r="AZ31">
        <v>-2.2291249999999998</v>
      </c>
      <c r="BA31">
        <v>5.5039559999999996</v>
      </c>
      <c r="BB31">
        <v>9.6500719999999998</v>
      </c>
      <c r="BC31">
        <v>5.0810719999999998</v>
      </c>
      <c r="BD31">
        <v>11.957100000000001</v>
      </c>
      <c r="BE31">
        <v>-1.290775</v>
      </c>
      <c r="BF31">
        <v>4.451441</v>
      </c>
      <c r="BG31">
        <v>7.0595739999999996</v>
      </c>
      <c r="BH31">
        <v>-0.76685199999999998</v>
      </c>
      <c r="BI31">
        <v>0.88055899999999998</v>
      </c>
      <c r="BJ31">
        <v>5.6231</v>
      </c>
      <c r="BK31">
        <v>11.58938</v>
      </c>
      <c r="BL31">
        <v>12.321400000000001</v>
      </c>
      <c r="BM31">
        <v>0.320164</v>
      </c>
      <c r="BN31">
        <v>-13.124840000000001</v>
      </c>
      <c r="BO31">
        <v>2.2973080000000001</v>
      </c>
      <c r="BP31">
        <v>1.79393</v>
      </c>
      <c r="BQ31">
        <v>0.55099100000000001</v>
      </c>
      <c r="BR31">
        <v>-78.818820000000002</v>
      </c>
      <c r="BS31">
        <v>-23.844180000000001</v>
      </c>
      <c r="BT31">
        <v>-449.98849999999999</v>
      </c>
      <c r="BU31">
        <v>-45.812289999999997</v>
      </c>
      <c r="BV31">
        <v>-89.606610000000003</v>
      </c>
      <c r="BW31">
        <v>-6.2953960000000002</v>
      </c>
      <c r="BX31">
        <v>-94.205920000000006</v>
      </c>
      <c r="BY31">
        <v>1105.538</v>
      </c>
      <c r="BZ31">
        <v>3593.7240000000002</v>
      </c>
      <c r="CA31">
        <v>-27.534569999999999</v>
      </c>
      <c r="CB31">
        <v>22.037590000000002</v>
      </c>
      <c r="CC31">
        <v>-50.560040000000001</v>
      </c>
      <c r="CD31">
        <v>21.545400000000001</v>
      </c>
      <c r="CE31">
        <v>548.60559999999998</v>
      </c>
      <c r="CF31">
        <v>49.474379999999996</v>
      </c>
      <c r="CG31">
        <v>53.012599999999999</v>
      </c>
      <c r="CH31">
        <v>696.95100000000002</v>
      </c>
      <c r="CI31">
        <v>13.176410000000001</v>
      </c>
      <c r="CJ31">
        <v>11.633279999999999</v>
      </c>
      <c r="CK31">
        <v>-3.1859359999999999</v>
      </c>
      <c r="CL31">
        <v>18.911639999999998</v>
      </c>
      <c r="CM31">
        <v>31.976310000000002</v>
      </c>
      <c r="CN31">
        <v>10.590199999999999</v>
      </c>
      <c r="CO31">
        <v>50.09198</v>
      </c>
      <c r="CP31">
        <v>3.8101600000000002</v>
      </c>
      <c r="CQ31">
        <v>-9.7390000000000004E-2</v>
      </c>
      <c r="CR31">
        <v>37.75065</v>
      </c>
      <c r="CS31">
        <v>7.0775220000000001</v>
      </c>
      <c r="CT31">
        <v>4.2009230000000004</v>
      </c>
      <c r="CU31">
        <v>7.7092840000000002</v>
      </c>
      <c r="CV31">
        <v>18.33746</v>
      </c>
      <c r="CW31">
        <v>22.797329999999999</v>
      </c>
      <c r="CX31">
        <v>34.772329999999997</v>
      </c>
      <c r="CY31">
        <v>26.29918</v>
      </c>
      <c r="CZ31">
        <v>59.604979999999998</v>
      </c>
      <c r="DA31">
        <v>3.292395</v>
      </c>
      <c r="DB31">
        <v>1.487544</v>
      </c>
      <c r="DC31">
        <v>-64.25067</v>
      </c>
      <c r="DD31">
        <v>-25.3093</v>
      </c>
      <c r="DE31">
        <v>127.5737</v>
      </c>
      <c r="DF31">
        <v>-50.618429999999996</v>
      </c>
      <c r="DG31">
        <v>-97.887289999999993</v>
      </c>
      <c r="DH31">
        <v>-7.2535990000000004</v>
      </c>
      <c r="DI31">
        <v>-99.357650000000007</v>
      </c>
      <c r="DJ31">
        <v>2037.3140000000001</v>
      </c>
      <c r="DK31">
        <v>7693.8429999999998</v>
      </c>
      <c r="DL31">
        <v>-23.36666</v>
      </c>
      <c r="DM31">
        <v>9.2120660000000001</v>
      </c>
      <c r="DN31">
        <v>-55.636200000000002</v>
      </c>
      <c r="DO31">
        <v>24.284739999999999</v>
      </c>
      <c r="DP31">
        <v>812.77949999999998</v>
      </c>
      <c r="DQ31">
        <v>59.33943</v>
      </c>
      <c r="DR31">
        <v>42.455959999999997</v>
      </c>
      <c r="DS31">
        <v>1195.105</v>
      </c>
      <c r="DT31">
        <v>3.6221999999999997E-2</v>
      </c>
      <c r="DU31">
        <v>3.4615179999999999</v>
      </c>
      <c r="DV31">
        <v>-6.5166029999999999</v>
      </c>
      <c r="DW31">
        <v>5.4128790000000002</v>
      </c>
      <c r="DX31">
        <v>4.0908429999999996</v>
      </c>
      <c r="DY31">
        <v>4.7220690000000003</v>
      </c>
      <c r="DZ31">
        <v>1.9968619999999999</v>
      </c>
      <c r="EA31">
        <v>3.832951</v>
      </c>
      <c r="EB31">
        <v>7.6299609999999998</v>
      </c>
      <c r="EC31">
        <v>0</v>
      </c>
      <c r="ED31">
        <v>5.3556090000000003</v>
      </c>
      <c r="EE31">
        <v>4.768974</v>
      </c>
      <c r="EF31">
        <v>7.0608120000000003</v>
      </c>
      <c r="EG31">
        <v>10.93643</v>
      </c>
      <c r="EH31">
        <v>18.545359999999999</v>
      </c>
      <c r="EI31">
        <v>-3.9190710000000002</v>
      </c>
      <c r="EJ31">
        <v>-0.75819599999999998</v>
      </c>
      <c r="EK31">
        <v>-5.6247129999999999</v>
      </c>
      <c r="EL31">
        <v>4.0292570000000003</v>
      </c>
      <c r="EM31">
        <v>4.128647</v>
      </c>
      <c r="EN31">
        <v>-28.774629999999998</v>
      </c>
      <c r="EO31">
        <v>-18.160170000000001</v>
      </c>
      <c r="EP31">
        <v>-8.5436250000000005</v>
      </c>
      <c r="EQ31">
        <v>-5.8165740000000001</v>
      </c>
      <c r="ER31">
        <v>8.2223950000000006</v>
      </c>
      <c r="ES31">
        <v>70.952569999999994</v>
      </c>
      <c r="ET31">
        <v>1.9984729999999999</v>
      </c>
      <c r="EU31">
        <v>36.388339999999999</v>
      </c>
      <c r="EV31">
        <v>0.58225899999999997</v>
      </c>
      <c r="EW31">
        <v>2.1272639999999998</v>
      </c>
      <c r="EX31">
        <v>2.6864629999999998</v>
      </c>
      <c r="EY31">
        <v>0.84823300000000001</v>
      </c>
      <c r="EZ31">
        <v>0.112416</v>
      </c>
      <c r="FA31">
        <v>5.7332349999999996</v>
      </c>
      <c r="FB31">
        <v>1.8395410000000001</v>
      </c>
      <c r="FC31">
        <v>33.633270000000003</v>
      </c>
      <c r="FD31">
        <v>9.1497109999999999</v>
      </c>
      <c r="FE31">
        <v>0.55260600000000004</v>
      </c>
      <c r="FF31">
        <v>0.85155700000000001</v>
      </c>
      <c r="FG31">
        <v>1.530991</v>
      </c>
      <c r="FH31">
        <v>0.34424700000000003</v>
      </c>
      <c r="FI31">
        <v>4.97011</v>
      </c>
      <c r="FJ31">
        <v>52.0274</v>
      </c>
      <c r="FK31">
        <v>4.9565299999999999</v>
      </c>
      <c r="FL31">
        <v>19.699560000000002</v>
      </c>
      <c r="FM31">
        <v>6.7842E-2</v>
      </c>
      <c r="FN31">
        <v>1.9893540000000001</v>
      </c>
      <c r="FO31">
        <v>0.15296699999999999</v>
      </c>
      <c r="FP31">
        <v>10.23488</v>
      </c>
      <c r="FQ31">
        <v>4.1614659999999999</v>
      </c>
      <c r="FR31">
        <v>4.1483280000000002</v>
      </c>
      <c r="FS31">
        <v>2.2402730000000002</v>
      </c>
      <c r="FT31">
        <v>18.5442</v>
      </c>
      <c r="FU31">
        <v>12.37392</v>
      </c>
      <c r="FV31">
        <v>3.993992</v>
      </c>
      <c r="FW31">
        <v>1.4210309999999999</v>
      </c>
      <c r="FX31">
        <v>2.5945260000000001</v>
      </c>
      <c r="FY31">
        <v>3.1439710000000001</v>
      </c>
      <c r="FZ31">
        <v>5.9378320000000002</v>
      </c>
      <c r="GA31">
        <v>54.57497</v>
      </c>
      <c r="GB31">
        <v>1.9984729999999999</v>
      </c>
      <c r="GC31">
        <v>32.44706</v>
      </c>
      <c r="GD31">
        <v>0.51919400000000004</v>
      </c>
      <c r="GE31">
        <v>1.8968560000000001</v>
      </c>
      <c r="GF31">
        <v>2.3954879999999998</v>
      </c>
      <c r="GG31">
        <v>0.756359</v>
      </c>
      <c r="GH31">
        <v>0.10024</v>
      </c>
      <c r="GI31">
        <v>5.1122579999999997</v>
      </c>
      <c r="GJ31">
        <v>1.6402969999999999</v>
      </c>
      <c r="GK31">
        <v>31.693819999999999</v>
      </c>
      <c r="GL31">
        <v>9.1497109999999999</v>
      </c>
      <c r="GM31">
        <v>0.55260600000000004</v>
      </c>
      <c r="GN31">
        <v>0.85155700000000001</v>
      </c>
      <c r="GO31">
        <v>1.530991</v>
      </c>
      <c r="GP31">
        <v>0.34424700000000003</v>
      </c>
      <c r="GQ31">
        <v>2.7611150000000002</v>
      </c>
      <c r="GR31">
        <v>36.518430000000002</v>
      </c>
      <c r="GS31">
        <v>4.9565299999999999</v>
      </c>
      <c r="GT31">
        <v>17.184899999999999</v>
      </c>
      <c r="GU31">
        <v>5.9181999999999998E-2</v>
      </c>
      <c r="GV31">
        <v>1.735412</v>
      </c>
      <c r="GW31">
        <v>0.133441</v>
      </c>
      <c r="GX31">
        <v>8.9283889999999992</v>
      </c>
      <c r="GY31">
        <v>3.6302530000000002</v>
      </c>
      <c r="GZ31">
        <v>3.6187909999999999</v>
      </c>
      <c r="HA31">
        <v>1.9543010000000001</v>
      </c>
      <c r="HB31">
        <v>16.707609999999999</v>
      </c>
      <c r="HC31">
        <v>12.37392</v>
      </c>
      <c r="HD31">
        <v>3.993992</v>
      </c>
      <c r="HE31">
        <v>1.4210309999999999</v>
      </c>
      <c r="HF31">
        <v>2.5945260000000001</v>
      </c>
      <c r="HG31">
        <v>3.1439710000000001</v>
      </c>
      <c r="HH31">
        <v>6.0449270000000004</v>
      </c>
      <c r="HI31">
        <v>58.659570000000002</v>
      </c>
      <c r="HJ31">
        <v>1.9984729999999999</v>
      </c>
      <c r="HK31">
        <v>131.36410000000001</v>
      </c>
      <c r="HL31">
        <v>1.2576890000000001</v>
      </c>
      <c r="HM31">
        <v>4.5949239999999998</v>
      </c>
      <c r="HN31">
        <v>5.8028029999999999</v>
      </c>
      <c r="HO31">
        <v>0.91700199999999998</v>
      </c>
      <c r="HP31">
        <v>0.12153</v>
      </c>
      <c r="HQ31">
        <v>6.1980519999999997</v>
      </c>
      <c r="HR31">
        <v>5.3768010000000004</v>
      </c>
      <c r="HS31">
        <v>31.911580000000001</v>
      </c>
      <c r="HT31">
        <v>9.2865549999999999</v>
      </c>
      <c r="HU31">
        <v>0.56087100000000001</v>
      </c>
      <c r="HV31">
        <v>0.86429299999999998</v>
      </c>
      <c r="HW31">
        <v>1.5538890000000001</v>
      </c>
      <c r="HX31">
        <v>0.34939500000000001</v>
      </c>
      <c r="HY31">
        <v>2.7966660000000001</v>
      </c>
      <c r="HZ31">
        <v>39.267510000000001</v>
      </c>
      <c r="IA31">
        <v>4.5912480000000002</v>
      </c>
      <c r="IB31">
        <v>64.183160000000001</v>
      </c>
      <c r="IC31">
        <v>6.7895999999999998E-2</v>
      </c>
      <c r="ID31">
        <v>4.0342710000000004</v>
      </c>
      <c r="IE31">
        <v>0.153087</v>
      </c>
      <c r="IF31">
        <v>11.170249999999999</v>
      </c>
      <c r="IG31">
        <v>4.4766810000000001</v>
      </c>
      <c r="IH31">
        <v>4.4625469999999998</v>
      </c>
      <c r="II31">
        <v>7.1454129999999996</v>
      </c>
      <c r="IJ31">
        <v>16.87818</v>
      </c>
      <c r="IK31">
        <v>12.68732</v>
      </c>
      <c r="IL31">
        <v>4.2801039999999997</v>
      </c>
      <c r="IM31">
        <v>1.4809410000000001</v>
      </c>
      <c r="IN31">
        <v>2.7004709999999998</v>
      </c>
      <c r="IO31">
        <v>3.18133</v>
      </c>
      <c r="IP31">
        <v>4.4183050000000001</v>
      </c>
      <c r="IQ31">
        <v>5.5437570000000003</v>
      </c>
      <c r="IR31">
        <v>0.63315600000000005</v>
      </c>
      <c r="IS31">
        <v>1.813342</v>
      </c>
      <c r="IT31">
        <v>4.1295549999999999</v>
      </c>
      <c r="IU31">
        <v>4.3140679999999998</v>
      </c>
      <c r="IV31">
        <v>5.1049030000000002</v>
      </c>
      <c r="IW31">
        <v>6.2280069999999998</v>
      </c>
      <c r="IX31">
        <v>0.84202399999999999</v>
      </c>
      <c r="IY31">
        <v>7.0934569999999999</v>
      </c>
      <c r="IZ31">
        <v>1.866001</v>
      </c>
      <c r="JA31">
        <v>8.5890579999999996</v>
      </c>
      <c r="JB31">
        <v>0.41896600000000001</v>
      </c>
      <c r="JC31">
        <v>1.423959</v>
      </c>
      <c r="JD31">
        <v>0.83484100000000006</v>
      </c>
      <c r="JE31">
        <v>17.871020000000001</v>
      </c>
      <c r="JF31">
        <v>0.334621</v>
      </c>
      <c r="JG31">
        <v>1.7384269999999999</v>
      </c>
      <c r="JH31">
        <v>20.077279999999998</v>
      </c>
      <c r="JI31">
        <v>6.8029999999999999</v>
      </c>
      <c r="JJ31">
        <v>15.91907</v>
      </c>
      <c r="JK31">
        <v>35.50515</v>
      </c>
      <c r="JL31">
        <v>2.9846910000000002</v>
      </c>
      <c r="JM31">
        <v>4.644056</v>
      </c>
      <c r="JN31">
        <v>0.55306699999999998</v>
      </c>
      <c r="JO31">
        <v>1.381645</v>
      </c>
      <c r="JP31">
        <v>2.9142239999999999</v>
      </c>
      <c r="JQ31">
        <v>3.5294210000000001</v>
      </c>
      <c r="JR31">
        <v>3.8496760000000001</v>
      </c>
      <c r="JS31">
        <v>5.3267670000000003</v>
      </c>
      <c r="JT31">
        <v>0.76294600000000001</v>
      </c>
      <c r="JU31">
        <v>3.8463560000000001</v>
      </c>
      <c r="JV31">
        <v>1.3912439999999999</v>
      </c>
      <c r="JW31">
        <v>7.3462860000000001</v>
      </c>
      <c r="JX31">
        <v>0.32392399999999999</v>
      </c>
      <c r="JY31">
        <v>1.2278819999999999</v>
      </c>
      <c r="JZ31">
        <v>0.78822599999999998</v>
      </c>
      <c r="KA31">
        <v>11.317220000000001</v>
      </c>
      <c r="KB31">
        <v>0.118767</v>
      </c>
      <c r="KC31">
        <v>0.74190699999999998</v>
      </c>
      <c r="KD31">
        <v>17.412189999999999</v>
      </c>
      <c r="KE31">
        <v>5.6993330000000002</v>
      </c>
      <c r="KF31">
        <v>13.88686</v>
      </c>
      <c r="KG31">
        <v>31.6691</v>
      </c>
      <c r="KH31">
        <v>8423.143</v>
      </c>
      <c r="KI31">
        <v>10310.34</v>
      </c>
      <c r="KJ31">
        <v>6428.61</v>
      </c>
      <c r="KK31">
        <v>2793.6660000000002</v>
      </c>
      <c r="KL31">
        <v>2276.826</v>
      </c>
      <c r="KM31">
        <v>724.3922</v>
      </c>
      <c r="KN31">
        <v>764.84690000000001</v>
      </c>
      <c r="KO31">
        <v>0</v>
      </c>
      <c r="KP31">
        <v>27959.71</v>
      </c>
      <c r="KQ31">
        <v>3762.1109999999999</v>
      </c>
      <c r="KR31">
        <v>0</v>
      </c>
      <c r="KS31">
        <v>9009.8019999999997</v>
      </c>
      <c r="KT31">
        <v>8407.0290000000005</v>
      </c>
      <c r="KU31">
        <v>5731.3</v>
      </c>
      <c r="KV31">
        <v>3060.7649999999999</v>
      </c>
      <c r="KW31">
        <v>2108.13</v>
      </c>
      <c r="KX31">
        <v>663.69669999999996</v>
      </c>
      <c r="KY31">
        <v>400.9316</v>
      </c>
      <c r="KZ31">
        <v>0</v>
      </c>
      <c r="LA31">
        <v>23158.73</v>
      </c>
      <c r="LB31">
        <v>6222.924</v>
      </c>
      <c r="LC31">
        <v>0</v>
      </c>
      <c r="LD31" s="21">
        <v>111000000</v>
      </c>
      <c r="LE31" s="21">
        <v>314000000</v>
      </c>
      <c r="LF31" s="21">
        <v>785000000</v>
      </c>
      <c r="LG31" s="21">
        <v>694000000</v>
      </c>
      <c r="LH31" s="21">
        <v>561000000</v>
      </c>
      <c r="LI31" s="21">
        <v>268000000</v>
      </c>
      <c r="LJ31" s="21">
        <v>136000000</v>
      </c>
      <c r="LK31" s="21">
        <v>2.83E-6</v>
      </c>
      <c r="LL31" s="21">
        <v>5.48E-6</v>
      </c>
      <c r="LM31" s="21">
        <v>1.0200000000000001E-5</v>
      </c>
      <c r="LN31" s="21">
        <v>2.1500000000000001E-5</v>
      </c>
      <c r="LO31" s="21">
        <v>3.3099999999999998E-5</v>
      </c>
      <c r="LP31" s="21">
        <v>4.8399999999999997E-5</v>
      </c>
      <c r="LQ31" s="21">
        <v>7.1400000000000001E-5</v>
      </c>
      <c r="LR31" s="21">
        <v>192000000</v>
      </c>
      <c r="LS31" s="21">
        <v>390000000</v>
      </c>
      <c r="LT31" s="21">
        <v>790000000</v>
      </c>
      <c r="LU31" s="21">
        <v>640000000</v>
      </c>
      <c r="LV31" s="21">
        <v>506000000</v>
      </c>
      <c r="LW31" s="21">
        <v>234000000</v>
      </c>
      <c r="LX31" s="21">
        <v>118000000</v>
      </c>
      <c r="LY31" s="21">
        <v>4.6999999999999999E-6</v>
      </c>
      <c r="LZ31" s="21">
        <v>8.8699999999999998E-6</v>
      </c>
      <c r="MA31" s="21">
        <v>1.63E-5</v>
      </c>
      <c r="MB31" s="21">
        <v>3.4199999999999998E-5</v>
      </c>
      <c r="MC31" s="21">
        <v>5.1199999999999998E-5</v>
      </c>
      <c r="MD31" s="21">
        <v>7.4099999999999999E-5</v>
      </c>
      <c r="ME31">
        <v>1.0399999999999999E-4</v>
      </c>
      <c r="MF31">
        <v>0.37278499999999998</v>
      </c>
      <c r="MG31">
        <v>0.34150599999999998</v>
      </c>
      <c r="MH31">
        <v>0.20213</v>
      </c>
      <c r="MI31">
        <v>7.9093999999999998E-2</v>
      </c>
      <c r="MJ31">
        <v>4.4809999999999997E-3</v>
      </c>
      <c r="MK31" s="21">
        <v>6.5300000000000004E-7</v>
      </c>
      <c r="ML31" s="21">
        <v>4.6E-6</v>
      </c>
      <c r="MM31">
        <v>0.77721899999999999</v>
      </c>
      <c r="MN31">
        <v>0.68843799999999999</v>
      </c>
      <c r="MO31">
        <v>0.40942400000000001</v>
      </c>
      <c r="MP31">
        <v>0.16362499999999999</v>
      </c>
      <c r="MQ31">
        <v>6.4970000000000002E-3</v>
      </c>
      <c r="MR31">
        <v>-0.16700300000000001</v>
      </c>
      <c r="MS31">
        <v>-0.87820100000000001</v>
      </c>
      <c r="MT31">
        <v>0.43776599999999999</v>
      </c>
      <c r="MU31">
        <v>0.27870200000000001</v>
      </c>
      <c r="MV31">
        <v>0.18554399999999999</v>
      </c>
      <c r="MW31">
        <v>9.7960000000000005E-2</v>
      </c>
      <c r="MX31" s="21">
        <v>2.69E-5</v>
      </c>
      <c r="MY31" s="21">
        <v>5.7200000000000003E-8</v>
      </c>
      <c r="MZ31" s="21">
        <v>3.1800000000000002E-7</v>
      </c>
      <c r="NA31">
        <v>2.429243</v>
      </c>
      <c r="NB31">
        <v>1.51905</v>
      </c>
      <c r="NC31">
        <v>1.0111509999999999</v>
      </c>
      <c r="ND31">
        <v>0.53490700000000002</v>
      </c>
      <c r="NE31">
        <v>-3.5279999999999999E-2</v>
      </c>
      <c r="NF31">
        <v>-0.70906400000000003</v>
      </c>
      <c r="NG31">
        <v>-3.7500079999999998</v>
      </c>
      <c r="NH31">
        <v>6.8380000000000003E-3</v>
      </c>
      <c r="NI31">
        <v>7.0759999999999998E-3</v>
      </c>
      <c r="NJ31">
        <v>8.6569999999999998E-3</v>
      </c>
      <c r="NK31">
        <v>3.1438000000000001E-2</v>
      </c>
      <c r="NL31">
        <v>3.7649000000000002E-2</v>
      </c>
      <c r="NM31">
        <v>9.1465000000000005E-2</v>
      </c>
      <c r="NN31">
        <v>6.8380000000000003E-3</v>
      </c>
      <c r="NO31">
        <v>7.0759999999999998E-3</v>
      </c>
      <c r="NP31">
        <v>8.6569999999999998E-3</v>
      </c>
      <c r="NQ31">
        <v>3.1438000000000001E-2</v>
      </c>
      <c r="NR31">
        <v>3.7649000000000002E-2</v>
      </c>
      <c r="NS31">
        <v>9.1465000000000005E-2</v>
      </c>
      <c r="NT31">
        <v>2.477E-2</v>
      </c>
      <c r="NU31">
        <v>2.5295000000000002E-2</v>
      </c>
      <c r="NV31">
        <v>2.9243000000000002E-2</v>
      </c>
      <c r="NW31">
        <v>5.0519000000000001E-2</v>
      </c>
      <c r="NX31">
        <v>5.7105000000000003E-2</v>
      </c>
      <c r="NY31">
        <v>0.107624</v>
      </c>
      <c r="NZ31">
        <v>2.477E-2</v>
      </c>
      <c r="OA31">
        <v>2.5295000000000002E-2</v>
      </c>
      <c r="OB31">
        <v>2.9243000000000002E-2</v>
      </c>
      <c r="OC31">
        <v>5.0519000000000001E-2</v>
      </c>
      <c r="OD31">
        <v>5.7105000000000003E-2</v>
      </c>
      <c r="OE31">
        <v>0.107624</v>
      </c>
      <c r="OF31">
        <v>44.885809999999999</v>
      </c>
      <c r="OG31">
        <v>27725.3</v>
      </c>
      <c r="OH31">
        <v>18937.16</v>
      </c>
      <c r="OI31">
        <v>7692.741</v>
      </c>
      <c r="OJ31">
        <v>31.970089999999999</v>
      </c>
      <c r="OK31">
        <v>22690.34</v>
      </c>
      <c r="OL31">
        <v>17319.240000000002</v>
      </c>
      <c r="OM31">
        <v>7245.2870000000003</v>
      </c>
      <c r="ON31">
        <v>1638725</v>
      </c>
      <c r="OO31">
        <v>1688312</v>
      </c>
      <c r="OP31">
        <v>12142.81</v>
      </c>
      <c r="OQ31">
        <v>6925.5460000000003</v>
      </c>
      <c r="OR31">
        <v>5503.3370000000004</v>
      </c>
      <c r="OS31">
        <v>554.47029999999995</v>
      </c>
      <c r="OT31">
        <v>1723.943</v>
      </c>
      <c r="OU31">
        <v>1377.75</v>
      </c>
      <c r="OV31">
        <v>358.79059999999998</v>
      </c>
      <c r="OW31">
        <v>1403.13</v>
      </c>
      <c r="OX31">
        <v>1442.71</v>
      </c>
      <c r="OY31">
        <v>1155.8399999999999</v>
      </c>
      <c r="OZ31">
        <v>669.70780000000002</v>
      </c>
      <c r="PA31">
        <v>22061.08</v>
      </c>
      <c r="PB31">
        <v>7811.7309999999998</v>
      </c>
      <c r="PC31">
        <v>1324.6479999999999</v>
      </c>
      <c r="PD31">
        <v>2319.181</v>
      </c>
      <c r="PE31">
        <v>6835.585</v>
      </c>
      <c r="PF31">
        <v>1440.2940000000001</v>
      </c>
      <c r="PG31">
        <v>2701.7669999999998</v>
      </c>
      <c r="PH31">
        <v>214035.7</v>
      </c>
      <c r="PI31">
        <v>91273.31</v>
      </c>
      <c r="PJ31">
        <v>1.8989050000000001</v>
      </c>
      <c r="PK31">
        <v>520.79930000000002</v>
      </c>
      <c r="PL31">
        <v>99.832660000000004</v>
      </c>
      <c r="PM31">
        <v>2190.2370000000001</v>
      </c>
      <c r="PN31">
        <v>451.87700000000001</v>
      </c>
      <c r="PO31">
        <v>165.71379999999999</v>
      </c>
      <c r="PP31">
        <v>254.79759999999999</v>
      </c>
      <c r="PQ31">
        <v>588.7097</v>
      </c>
      <c r="PR31">
        <v>97.780439999999999</v>
      </c>
      <c r="PS31">
        <v>607.56269999999995</v>
      </c>
      <c r="PT31">
        <v>1305.3040000000001</v>
      </c>
      <c r="PU31">
        <v>439.04309999999998</v>
      </c>
      <c r="PV31">
        <v>788.79139999999995</v>
      </c>
      <c r="PW31">
        <v>61.801340000000003</v>
      </c>
      <c r="PX31">
        <v>136.1542</v>
      </c>
      <c r="PY31">
        <v>730.94209999999998</v>
      </c>
      <c r="PZ31">
        <v>132.35079999999999</v>
      </c>
      <c r="QA31">
        <v>391634.9</v>
      </c>
      <c r="QB31">
        <v>9176.9269999999997</v>
      </c>
      <c r="QC31">
        <v>81682.63</v>
      </c>
      <c r="QD31">
        <v>11480.52</v>
      </c>
      <c r="QE31">
        <v>11952.32</v>
      </c>
      <c r="QF31">
        <v>8388.6990000000005</v>
      </c>
      <c r="QG31">
        <v>3761.2080000000001</v>
      </c>
      <c r="QH31">
        <v>296.8809</v>
      </c>
      <c r="QI31">
        <v>6.1469999999999997E-2</v>
      </c>
      <c r="QJ31">
        <v>0.572044</v>
      </c>
      <c r="QK31">
        <v>13742.8</v>
      </c>
      <c r="QL31">
        <v>7731.2150000000001</v>
      </c>
      <c r="QM31">
        <v>5328.0039999999999</v>
      </c>
      <c r="QN31">
        <v>659.3297</v>
      </c>
      <c r="QO31">
        <v>2275.1959999999999</v>
      </c>
      <c r="QP31">
        <v>1523.6569999999999</v>
      </c>
      <c r="QQ31">
        <v>538.51589999999999</v>
      </c>
      <c r="QR31">
        <v>1456.5920000000001</v>
      </c>
      <c r="QS31">
        <v>1441.3050000000001</v>
      </c>
      <c r="QT31">
        <v>1592.1769999999999</v>
      </c>
      <c r="QU31">
        <v>717.10659999999996</v>
      </c>
      <c r="QV31">
        <v>22987.85</v>
      </c>
      <c r="QW31">
        <v>8413.9590000000007</v>
      </c>
      <c r="QX31">
        <v>1567.5540000000001</v>
      </c>
      <c r="QY31">
        <v>2847.8919999999998</v>
      </c>
      <c r="QZ31">
        <v>9212.4760000000006</v>
      </c>
      <c r="RA31">
        <v>1819.079</v>
      </c>
      <c r="RB31">
        <v>4312.1559999999999</v>
      </c>
      <c r="RC31">
        <v>221082.6</v>
      </c>
      <c r="RD31">
        <v>92631.039999999994</v>
      </c>
      <c r="RE31">
        <v>0.67884599999999995</v>
      </c>
      <c r="RF31">
        <v>388.98860000000002</v>
      </c>
      <c r="RG31">
        <v>227.19280000000001</v>
      </c>
      <c r="RH31">
        <v>1081.5730000000001</v>
      </c>
      <c r="RI31">
        <v>9.5468720000000005</v>
      </c>
      <c r="RJ31">
        <v>153.6936</v>
      </c>
      <c r="RK31">
        <v>1.6366860000000001</v>
      </c>
      <c r="RL31">
        <v>12582.58</v>
      </c>
      <c r="RM31">
        <v>7620.8540000000003</v>
      </c>
      <c r="RN31">
        <v>465.59559999999999</v>
      </c>
      <c r="RO31">
        <v>1425.549</v>
      </c>
      <c r="RP31">
        <v>194.77619999999999</v>
      </c>
      <c r="RQ31">
        <v>980.34730000000002</v>
      </c>
      <c r="RR31">
        <v>564.10990000000004</v>
      </c>
      <c r="RS31">
        <v>216.94730000000001</v>
      </c>
      <c r="RT31">
        <v>1041.271</v>
      </c>
      <c r="RU31">
        <v>1714.0809999999999</v>
      </c>
      <c r="RV31">
        <v>430549.9</v>
      </c>
      <c r="RW31">
        <v>15921.02</v>
      </c>
      <c r="RX31">
        <v>78627.740000000005</v>
      </c>
      <c r="RY31">
        <v>11886.09</v>
      </c>
      <c r="RZ31">
        <v>8599.768</v>
      </c>
      <c r="SA31">
        <v>6788.9979999999996</v>
      </c>
      <c r="SB31">
        <v>4107.0140000000001</v>
      </c>
      <c r="SC31">
        <v>1.569536</v>
      </c>
      <c r="SD31">
        <v>4.7450000000000001E-3</v>
      </c>
      <c r="SE31">
        <v>3.4881000000000002E-2</v>
      </c>
      <c r="SF31">
        <v>32305.87</v>
      </c>
      <c r="SG31">
        <v>44.885809999999999</v>
      </c>
      <c r="SH31">
        <v>6765.4769999999999</v>
      </c>
      <c r="SI31">
        <v>17802.77</v>
      </c>
      <c r="SJ31">
        <v>7692.741</v>
      </c>
      <c r="SK31">
        <v>28031.68</v>
      </c>
      <c r="SL31">
        <v>31.970089999999999</v>
      </c>
      <c r="SM31">
        <v>5310.7330000000002</v>
      </c>
      <c r="SN31">
        <v>15443.69</v>
      </c>
      <c r="SO31">
        <v>7245.2870000000003</v>
      </c>
      <c r="SP31">
        <v>125268.8</v>
      </c>
      <c r="SQ31">
        <v>65170.04</v>
      </c>
      <c r="SR31">
        <v>133990.29999999999</v>
      </c>
      <c r="SS31">
        <v>74328.100000000006</v>
      </c>
      <c r="ST31">
        <v>35.50515</v>
      </c>
      <c r="SU31">
        <v>0.27034799999999998</v>
      </c>
      <c r="SV31">
        <v>4.8693569999999999</v>
      </c>
      <c r="SW31">
        <v>12.71077</v>
      </c>
      <c r="SX31">
        <v>17.654669999999999</v>
      </c>
      <c r="SY31">
        <v>31.6691</v>
      </c>
      <c r="SZ31">
        <v>0.192556</v>
      </c>
      <c r="TA31">
        <v>3.8223250000000002</v>
      </c>
      <c r="TB31">
        <v>11.026439999999999</v>
      </c>
      <c r="TC31">
        <v>16.627780000000001</v>
      </c>
      <c r="TD31">
        <v>26476.3</v>
      </c>
      <c r="TE31">
        <v>828.95039999999995</v>
      </c>
      <c r="TF31">
        <v>522.09400000000005</v>
      </c>
      <c r="TG31">
        <v>218.00030000000001</v>
      </c>
      <c r="TH31">
        <v>53.170189999999998</v>
      </c>
      <c r="TI31">
        <v>107.6044</v>
      </c>
      <c r="TJ31">
        <v>90.047550000000001</v>
      </c>
      <c r="TK31">
        <v>27.09713</v>
      </c>
      <c r="TL31">
        <v>31.819500000000001</v>
      </c>
      <c r="TM31">
        <v>173.24510000000001</v>
      </c>
      <c r="TN31">
        <v>42.965060000000001</v>
      </c>
      <c r="TO31">
        <v>27.860430000000001</v>
      </c>
      <c r="TP31">
        <v>2127.0100000000002</v>
      </c>
      <c r="TQ31">
        <v>2027.529</v>
      </c>
      <c r="TR31">
        <v>101.84950000000001</v>
      </c>
      <c r="TS31">
        <v>183.45070000000001</v>
      </c>
      <c r="TT31">
        <v>428.95830000000001</v>
      </c>
      <c r="TU31">
        <v>42.785209999999999</v>
      </c>
      <c r="TV31">
        <v>74.846959999999996</v>
      </c>
      <c r="TW31">
        <v>12657.89</v>
      </c>
      <c r="TX31">
        <v>6590.7330000000002</v>
      </c>
      <c r="TY31">
        <v>0.50343199999999999</v>
      </c>
      <c r="TZ31">
        <v>9.0850120000000008</v>
      </c>
      <c r="UA31">
        <v>4.5299110000000002</v>
      </c>
      <c r="UB31">
        <v>57.671909999999997</v>
      </c>
      <c r="UC31">
        <v>0.69764899999999996</v>
      </c>
      <c r="UD31">
        <v>2.317161</v>
      </c>
      <c r="UE31">
        <v>4.2337610000000003</v>
      </c>
      <c r="UF31">
        <v>1.575386</v>
      </c>
      <c r="UG31">
        <v>0.76367700000000005</v>
      </c>
      <c r="UH31">
        <v>10.127179999999999</v>
      </c>
      <c r="UI31">
        <v>4.9346579999999998</v>
      </c>
      <c r="UJ31">
        <v>13.979789999999999</v>
      </c>
      <c r="UK31">
        <v>5.2841779999999998</v>
      </c>
      <c r="UL31">
        <v>0.39108199999999999</v>
      </c>
      <c r="UM31">
        <v>0.43636399999999997</v>
      </c>
      <c r="UN31">
        <v>1.5380499999999999</v>
      </c>
      <c r="UO31">
        <v>0.32636700000000002</v>
      </c>
      <c r="UP31">
        <v>26909.83</v>
      </c>
      <c r="UQ31">
        <v>832.92899999999997</v>
      </c>
      <c r="UR31">
        <v>532.34699999999998</v>
      </c>
      <c r="US31">
        <v>211.37280000000001</v>
      </c>
      <c r="UT31">
        <v>56.281739999999999</v>
      </c>
      <c r="UU31">
        <v>120.26439999999999</v>
      </c>
      <c r="UV31">
        <v>96.452730000000003</v>
      </c>
      <c r="UW31">
        <v>27.5259</v>
      </c>
      <c r="UX31">
        <v>31.86187</v>
      </c>
      <c r="UY31">
        <v>184.2972</v>
      </c>
      <c r="UZ31">
        <v>45.290619999999997</v>
      </c>
      <c r="VA31">
        <v>27.113289999999999</v>
      </c>
      <c r="VB31">
        <v>2140.5770000000002</v>
      </c>
      <c r="VC31">
        <v>2137.165</v>
      </c>
      <c r="VD31">
        <v>112.3539</v>
      </c>
      <c r="VE31">
        <v>205.65889999999999</v>
      </c>
      <c r="VF31">
        <v>423.03660000000002</v>
      </c>
      <c r="VG31">
        <v>37.08128</v>
      </c>
      <c r="VH31">
        <v>79.262309999999999</v>
      </c>
      <c r="VI31">
        <v>12853.88</v>
      </c>
      <c r="VJ31">
        <v>6611.232</v>
      </c>
      <c r="VK31">
        <v>0.25033300000000003</v>
      </c>
      <c r="VL31">
        <v>7.2724960000000003</v>
      </c>
      <c r="VM31">
        <v>10.37055</v>
      </c>
      <c r="VN31">
        <v>31.479880000000001</v>
      </c>
      <c r="VO31">
        <v>7.9948000000000005E-2</v>
      </c>
      <c r="VP31">
        <v>2.1888749999999999</v>
      </c>
      <c r="VQ31">
        <v>0.205785</v>
      </c>
      <c r="VR31">
        <v>21.33456</v>
      </c>
      <c r="VS31">
        <v>33.389850000000003</v>
      </c>
      <c r="VT31">
        <v>7.7515619999999998</v>
      </c>
      <c r="VU31">
        <v>6.3153110000000003</v>
      </c>
      <c r="VV31">
        <v>7.5133910000000004</v>
      </c>
      <c r="VW31">
        <v>6.9168830000000003</v>
      </c>
      <c r="VX31">
        <v>2.7599589999999998</v>
      </c>
      <c r="VY31">
        <v>0.69812399999999997</v>
      </c>
      <c r="VZ31">
        <v>2.3382070000000001</v>
      </c>
      <c r="WA31">
        <v>2.9752079999999999</v>
      </c>
      <c r="WB31">
        <v>0.10072299999999999</v>
      </c>
      <c r="WC31">
        <v>8.2043000000000005E-2</v>
      </c>
      <c r="WD31">
        <v>-1.6621E-2</v>
      </c>
      <c r="WE31">
        <v>-1.2070000000000001E-2</v>
      </c>
      <c r="WF31">
        <v>0.60175100000000004</v>
      </c>
      <c r="WG31">
        <v>0.43976999999999999</v>
      </c>
      <c r="WH31">
        <v>-2.5198999999999999E-2</v>
      </c>
      <c r="WI31">
        <v>-1.056E-2</v>
      </c>
      <c r="WJ31">
        <v>2618423</v>
      </c>
      <c r="WK31">
        <v>2670655</v>
      </c>
    </row>
    <row r="32" spans="1:609" x14ac:dyDescent="0.25">
      <c r="A32">
        <v>2033</v>
      </c>
      <c r="B32">
        <v>2.0104320000000002</v>
      </c>
      <c r="C32">
        <v>149.7296</v>
      </c>
      <c r="D32">
        <v>3.6709160000000001</v>
      </c>
      <c r="E32">
        <v>10.507350000000001</v>
      </c>
      <c r="F32">
        <v>-4.7674370000000001</v>
      </c>
      <c r="G32">
        <v>2.2401219999999999</v>
      </c>
      <c r="H32">
        <v>-1.942043</v>
      </c>
      <c r="I32">
        <v>1.6937439999999999</v>
      </c>
      <c r="J32">
        <v>12.93383</v>
      </c>
      <c r="K32">
        <v>6.2532000000000004E-2</v>
      </c>
      <c r="L32">
        <v>12.863250000000001</v>
      </c>
      <c r="M32">
        <v>1.1929879999999999</v>
      </c>
      <c r="N32">
        <v>0</v>
      </c>
      <c r="O32">
        <v>-17.730619999999998</v>
      </c>
      <c r="P32">
        <v>-1.5547070000000001</v>
      </c>
      <c r="Q32">
        <v>-46.187399999999997</v>
      </c>
      <c r="R32">
        <v>50.152509999999999</v>
      </c>
      <c r="S32">
        <v>100</v>
      </c>
      <c r="T32">
        <v>471.65910000000002</v>
      </c>
      <c r="U32">
        <v>133.96610000000001</v>
      </c>
      <c r="V32">
        <v>344.88889999999998</v>
      </c>
      <c r="W32">
        <v>2.3979149999999998</v>
      </c>
      <c r="X32">
        <v>64894.62</v>
      </c>
      <c r="Y32">
        <v>0.121557</v>
      </c>
      <c r="Z32">
        <v>8.2028000000000004E-2</v>
      </c>
      <c r="AA32">
        <v>0.26945000000000002</v>
      </c>
      <c r="AB32">
        <v>-1.3004830000000001</v>
      </c>
      <c r="AC32">
        <v>4.3327999999999998E-2</v>
      </c>
      <c r="AD32">
        <v>81738.929999999993</v>
      </c>
      <c r="AE32">
        <v>336340.4</v>
      </c>
      <c r="AF32">
        <v>403639.3</v>
      </c>
      <c r="AG32">
        <v>6742.3609999999999</v>
      </c>
      <c r="AH32">
        <v>274867.90000000002</v>
      </c>
      <c r="AI32">
        <v>-4.1130000000000003E-3</v>
      </c>
      <c r="AJ32">
        <v>209.3578</v>
      </c>
      <c r="AK32">
        <v>1249.0319999999999</v>
      </c>
      <c r="AL32">
        <v>283.73770000000002</v>
      </c>
      <c r="AM32">
        <v>99.492329999999995</v>
      </c>
      <c r="AN32">
        <v>593.57249999999999</v>
      </c>
      <c r="AO32">
        <v>134.83959999999999</v>
      </c>
      <c r="AP32">
        <v>1200.1890000000001</v>
      </c>
      <c r="AQ32">
        <v>570.36109999999996</v>
      </c>
      <c r="AR32">
        <v>901.36159999999995</v>
      </c>
      <c r="AS32">
        <v>636.92679999999996</v>
      </c>
      <c r="AT32">
        <v>1773.4059999999999</v>
      </c>
      <c r="AU32">
        <v>757.29790000000003</v>
      </c>
      <c r="AV32">
        <v>174.74850000000001</v>
      </c>
      <c r="AW32">
        <v>2.0637349999999999</v>
      </c>
      <c r="AX32">
        <v>2.9752740000000002</v>
      </c>
      <c r="AY32">
        <v>3.0410759999999999</v>
      </c>
      <c r="AZ32">
        <v>-2.4405019999999999</v>
      </c>
      <c r="BA32">
        <v>5.3257719999999997</v>
      </c>
      <c r="BB32">
        <v>9.830838</v>
      </c>
      <c r="BC32">
        <v>4.8969259999999997</v>
      </c>
      <c r="BD32">
        <v>11.56948</v>
      </c>
      <c r="BE32">
        <v>-1.7620979999999999</v>
      </c>
      <c r="BF32">
        <v>4.3926559999999997</v>
      </c>
      <c r="BG32">
        <v>6.8519139999999998</v>
      </c>
      <c r="BH32">
        <v>-1.1260060000000001</v>
      </c>
      <c r="BI32">
        <v>0.75139199999999995</v>
      </c>
      <c r="BJ32">
        <v>5.8482729999999998</v>
      </c>
      <c r="BK32">
        <v>11.449780000000001</v>
      </c>
      <c r="BL32">
        <v>12.103109999999999</v>
      </c>
      <c r="BM32">
        <v>-0.23157</v>
      </c>
      <c r="BN32">
        <v>-14.240500000000001</v>
      </c>
      <c r="BO32">
        <v>1.4079170000000001</v>
      </c>
      <c r="BP32">
        <v>1.8494710000000001</v>
      </c>
      <c r="BQ32">
        <v>0.57312700000000005</v>
      </c>
      <c r="BR32">
        <v>-82.415270000000007</v>
      </c>
      <c r="BS32">
        <v>-26.15559</v>
      </c>
      <c r="BT32">
        <v>-427.43630000000002</v>
      </c>
      <c r="BU32">
        <v>-47.208620000000003</v>
      </c>
      <c r="BV32">
        <v>-88.822140000000005</v>
      </c>
      <c r="BW32">
        <v>-6.373259</v>
      </c>
      <c r="BX32">
        <v>-93.99933</v>
      </c>
      <c r="BY32">
        <v>1091.8030000000001</v>
      </c>
      <c r="BZ32">
        <v>3662.5970000000002</v>
      </c>
      <c r="CA32">
        <v>-30.2805</v>
      </c>
      <c r="CB32">
        <v>23.401430000000001</v>
      </c>
      <c r="CC32">
        <v>-51.366109999999999</v>
      </c>
      <c r="CD32">
        <v>21.677499999999998</v>
      </c>
      <c r="CE32">
        <v>573.04070000000002</v>
      </c>
      <c r="CF32">
        <v>53.692659999999997</v>
      </c>
      <c r="CG32">
        <v>71.332070000000002</v>
      </c>
      <c r="CH32">
        <v>719.64520000000005</v>
      </c>
      <c r="CI32">
        <v>14.545170000000001</v>
      </c>
      <c r="CJ32">
        <v>12.535920000000001</v>
      </c>
      <c r="CK32">
        <v>-3.0353979999999998</v>
      </c>
      <c r="CL32">
        <v>20.602309999999999</v>
      </c>
      <c r="CM32">
        <v>35.546840000000003</v>
      </c>
      <c r="CN32">
        <v>11.61002</v>
      </c>
      <c r="CO32">
        <v>53.91337</v>
      </c>
      <c r="CP32">
        <v>4.3817449999999996</v>
      </c>
      <c r="CQ32">
        <v>-1.439E-3</v>
      </c>
      <c r="CR32">
        <v>39.857999999999997</v>
      </c>
      <c r="CS32">
        <v>7.5159320000000003</v>
      </c>
      <c r="CT32">
        <v>4.4614599999999998</v>
      </c>
      <c r="CU32">
        <v>8.3337230000000009</v>
      </c>
      <c r="CV32">
        <v>19.385400000000001</v>
      </c>
      <c r="CW32">
        <v>24.240919999999999</v>
      </c>
      <c r="CX32">
        <v>39.421930000000003</v>
      </c>
      <c r="CY32">
        <v>30.4329</v>
      </c>
      <c r="CZ32">
        <v>68.100260000000006</v>
      </c>
      <c r="DA32">
        <v>3.5612189999999999</v>
      </c>
      <c r="DB32">
        <v>1.6414390000000001</v>
      </c>
      <c r="DC32">
        <v>-64.618099999999998</v>
      </c>
      <c r="DD32">
        <v>-28.117059999999999</v>
      </c>
      <c r="DE32">
        <v>196.3561</v>
      </c>
      <c r="DF32">
        <v>-52.660899999999998</v>
      </c>
      <c r="DG32">
        <v>-97.996989999999997</v>
      </c>
      <c r="DH32">
        <v>-7.8268899999999997</v>
      </c>
      <c r="DI32">
        <v>-99.391069999999999</v>
      </c>
      <c r="DJ32">
        <v>2021.98</v>
      </c>
      <c r="DK32">
        <v>8112.8019999999997</v>
      </c>
      <c r="DL32">
        <v>-28.31861</v>
      </c>
      <c r="DM32">
        <v>13.26347</v>
      </c>
      <c r="DN32">
        <v>-58.582520000000002</v>
      </c>
      <c r="DO32">
        <v>25.402989999999999</v>
      </c>
      <c r="DP32">
        <v>878.29939999999999</v>
      </c>
      <c r="DQ32">
        <v>65.605090000000004</v>
      </c>
      <c r="DR32">
        <v>61.240360000000003</v>
      </c>
      <c r="DS32">
        <v>1287.904</v>
      </c>
      <c r="DT32">
        <v>3.9163999999999997E-2</v>
      </c>
      <c r="DU32">
        <v>3.6726070000000002</v>
      </c>
      <c r="DV32">
        <v>-5.4494230000000003</v>
      </c>
      <c r="DW32">
        <v>5.5732759999999999</v>
      </c>
      <c r="DX32">
        <v>4.2497689999999997</v>
      </c>
      <c r="DY32">
        <v>4.928674</v>
      </c>
      <c r="DZ32">
        <v>2.1762549999999998</v>
      </c>
      <c r="EA32">
        <v>4.1880670000000002</v>
      </c>
      <c r="EB32">
        <v>7.9926219999999999</v>
      </c>
      <c r="EC32">
        <v>0</v>
      </c>
      <c r="ED32">
        <v>5.7965470000000003</v>
      </c>
      <c r="EE32">
        <v>5.1059869999999998</v>
      </c>
      <c r="EF32">
        <v>7.2445110000000001</v>
      </c>
      <c r="EG32">
        <v>10.6844</v>
      </c>
      <c r="EH32">
        <v>17.967590000000001</v>
      </c>
      <c r="EI32">
        <v>-4.0835470000000003</v>
      </c>
      <c r="EJ32">
        <v>-0.68596299999999999</v>
      </c>
      <c r="EK32">
        <v>-5.6043659999999997</v>
      </c>
      <c r="EL32">
        <v>4.2284600000000001</v>
      </c>
      <c r="EM32">
        <v>4.3046220000000002</v>
      </c>
      <c r="EN32">
        <v>-29.793890000000001</v>
      </c>
      <c r="EO32">
        <v>-18.734169999999999</v>
      </c>
      <c r="EP32">
        <v>-9.1492290000000001</v>
      </c>
      <c r="EQ32">
        <v>-6.4943470000000003</v>
      </c>
      <c r="ER32">
        <v>8.2613810000000001</v>
      </c>
      <c r="ES32">
        <v>70.048389999999998</v>
      </c>
      <c r="ET32">
        <v>1.970288</v>
      </c>
      <c r="EU32">
        <v>36.798850000000002</v>
      </c>
      <c r="EV32">
        <v>0.58882800000000002</v>
      </c>
      <c r="EW32">
        <v>2.1512609999999999</v>
      </c>
      <c r="EX32">
        <v>2.7167690000000002</v>
      </c>
      <c r="EY32">
        <v>0.85780199999999995</v>
      </c>
      <c r="EZ32">
        <v>0.11368499999999999</v>
      </c>
      <c r="FA32">
        <v>5.7979120000000002</v>
      </c>
      <c r="FB32">
        <v>1.860293</v>
      </c>
      <c r="FC32">
        <v>33.366379999999999</v>
      </c>
      <c r="FD32">
        <v>9.0772589999999997</v>
      </c>
      <c r="FE32">
        <v>0.54823100000000002</v>
      </c>
      <c r="FF32">
        <v>0.84481399999999995</v>
      </c>
      <c r="FG32">
        <v>1.5188680000000001</v>
      </c>
      <c r="FH32">
        <v>0.34152100000000002</v>
      </c>
      <c r="FI32">
        <v>4.9555629999999997</v>
      </c>
      <c r="FJ32">
        <v>49.435870000000001</v>
      </c>
      <c r="FK32">
        <v>6.0216640000000003</v>
      </c>
      <c r="FL32">
        <v>19.375</v>
      </c>
      <c r="FM32">
        <v>6.9253999999999996E-2</v>
      </c>
      <c r="FN32">
        <v>2.007771</v>
      </c>
      <c r="FO32">
        <v>0.16120399999999999</v>
      </c>
      <c r="FP32">
        <v>10.224869999999999</v>
      </c>
      <c r="FQ32">
        <v>4.2834709999999996</v>
      </c>
      <c r="FR32">
        <v>4.0311909999999997</v>
      </c>
      <c r="FS32">
        <v>2.290546</v>
      </c>
      <c r="FT32">
        <v>17.621919999999999</v>
      </c>
      <c r="FU32">
        <v>12.348089999999999</v>
      </c>
      <c r="FV32">
        <v>4.1316069999999998</v>
      </c>
      <c r="FW32">
        <v>1.4573670000000001</v>
      </c>
      <c r="FX32">
        <v>2.8982610000000002</v>
      </c>
      <c r="FY32">
        <v>3.224561</v>
      </c>
      <c r="FZ32">
        <v>5.9737790000000004</v>
      </c>
      <c r="GA32">
        <v>53.805280000000003</v>
      </c>
      <c r="GB32">
        <v>1.970288</v>
      </c>
      <c r="GC32">
        <v>32.857559999999999</v>
      </c>
      <c r="GD32">
        <v>0.52576199999999995</v>
      </c>
      <c r="GE32">
        <v>1.9208540000000001</v>
      </c>
      <c r="GF32">
        <v>2.4257939999999998</v>
      </c>
      <c r="GG32">
        <v>0.76592800000000005</v>
      </c>
      <c r="GH32">
        <v>0.101509</v>
      </c>
      <c r="GI32">
        <v>5.1769360000000004</v>
      </c>
      <c r="GJ32">
        <v>1.661049</v>
      </c>
      <c r="GK32">
        <v>31.44285</v>
      </c>
      <c r="GL32">
        <v>9.0772589999999997</v>
      </c>
      <c r="GM32">
        <v>0.54823100000000002</v>
      </c>
      <c r="GN32">
        <v>0.84481399999999995</v>
      </c>
      <c r="GO32">
        <v>1.5188680000000001</v>
      </c>
      <c r="GP32">
        <v>0.34152100000000002</v>
      </c>
      <c r="GQ32">
        <v>2.7522139999999999</v>
      </c>
      <c r="GR32">
        <v>34.146120000000003</v>
      </c>
      <c r="GS32">
        <v>6.0216640000000003</v>
      </c>
      <c r="GT32">
        <v>16.887119999999999</v>
      </c>
      <c r="GU32">
        <v>6.0361999999999999E-2</v>
      </c>
      <c r="GV32">
        <v>1.74996</v>
      </c>
      <c r="GW32">
        <v>0.14050399999999999</v>
      </c>
      <c r="GX32">
        <v>8.9119250000000001</v>
      </c>
      <c r="GY32">
        <v>3.7334450000000001</v>
      </c>
      <c r="GZ32">
        <v>3.5135589999999999</v>
      </c>
      <c r="HA32">
        <v>1.996424</v>
      </c>
      <c r="HB32">
        <v>15.81129</v>
      </c>
      <c r="HC32">
        <v>12.348089999999999</v>
      </c>
      <c r="HD32">
        <v>4.1316069999999998</v>
      </c>
      <c r="HE32">
        <v>1.4573670000000001</v>
      </c>
      <c r="HF32">
        <v>2.8982610000000002</v>
      </c>
      <c r="HG32">
        <v>3.224561</v>
      </c>
      <c r="HH32">
        <v>6.0815219999999997</v>
      </c>
      <c r="HI32">
        <v>57.832270000000001</v>
      </c>
      <c r="HJ32">
        <v>1.970288</v>
      </c>
      <c r="HK32">
        <v>132.846</v>
      </c>
      <c r="HL32">
        <v>1.2718769999999999</v>
      </c>
      <c r="HM32">
        <v>4.6467599999999996</v>
      </c>
      <c r="HN32">
        <v>5.8682650000000001</v>
      </c>
      <c r="HO32">
        <v>0.92734700000000003</v>
      </c>
      <c r="HP32">
        <v>0.122901</v>
      </c>
      <c r="HQ32">
        <v>6.2679729999999996</v>
      </c>
      <c r="HR32">
        <v>5.4374580000000003</v>
      </c>
      <c r="HS32">
        <v>31.65889</v>
      </c>
      <c r="HT32">
        <v>9.2130200000000002</v>
      </c>
      <c r="HU32">
        <v>0.55642999999999998</v>
      </c>
      <c r="HV32">
        <v>0.85744900000000002</v>
      </c>
      <c r="HW32">
        <v>1.541585</v>
      </c>
      <c r="HX32">
        <v>0.34662799999999999</v>
      </c>
      <c r="HY32">
        <v>2.7876500000000002</v>
      </c>
      <c r="HZ32">
        <v>36.716799999999999</v>
      </c>
      <c r="IA32">
        <v>5.3910999999999998</v>
      </c>
      <c r="IB32">
        <v>63.125810000000001</v>
      </c>
      <c r="IC32">
        <v>6.9302000000000002E-2</v>
      </c>
      <c r="ID32">
        <v>4.0524009999999997</v>
      </c>
      <c r="IE32">
        <v>0.16131599999999999</v>
      </c>
      <c r="IF32">
        <v>11.23964</v>
      </c>
      <c r="IG32">
        <v>4.6075429999999997</v>
      </c>
      <c r="IH32">
        <v>4.3361770000000002</v>
      </c>
      <c r="II32">
        <v>7.3651200000000001</v>
      </c>
      <c r="IJ32">
        <v>15.93426</v>
      </c>
      <c r="IK32">
        <v>12.573930000000001</v>
      </c>
      <c r="IL32">
        <v>4.6129730000000002</v>
      </c>
      <c r="IM32">
        <v>1.500426</v>
      </c>
      <c r="IN32">
        <v>2.9813550000000002</v>
      </c>
      <c r="IO32">
        <v>3.2534900000000002</v>
      </c>
      <c r="IP32">
        <v>4.3928779999999996</v>
      </c>
      <c r="IQ32">
        <v>5.5834659999999996</v>
      </c>
      <c r="IR32">
        <v>0.62435300000000005</v>
      </c>
      <c r="IS32">
        <v>1.8065789999999999</v>
      </c>
      <c r="IT32">
        <v>4.1416500000000003</v>
      </c>
      <c r="IU32">
        <v>4.3156530000000002</v>
      </c>
      <c r="IV32">
        <v>5.0800479999999997</v>
      </c>
      <c r="IW32">
        <v>6.1735850000000001</v>
      </c>
      <c r="IX32">
        <v>0.84665199999999996</v>
      </c>
      <c r="IY32">
        <v>7.1558349999999997</v>
      </c>
      <c r="IZ32">
        <v>1.8723510000000001</v>
      </c>
      <c r="JA32">
        <v>8.6198409999999992</v>
      </c>
      <c r="JB32">
        <v>0.42143999999999998</v>
      </c>
      <c r="JC32">
        <v>1.4512039999999999</v>
      </c>
      <c r="JD32">
        <v>0.83265</v>
      </c>
      <c r="JE32">
        <v>17.71001</v>
      </c>
      <c r="JF32">
        <v>0.33018399999999998</v>
      </c>
      <c r="JG32">
        <v>1.7156199999999999</v>
      </c>
      <c r="JH32">
        <v>20.178260000000002</v>
      </c>
      <c r="JI32">
        <v>6.875934</v>
      </c>
      <c r="JJ32">
        <v>15.633380000000001</v>
      </c>
      <c r="JK32">
        <v>35.196710000000003</v>
      </c>
      <c r="JL32">
        <v>2.8841489999999999</v>
      </c>
      <c r="JM32">
        <v>4.6525319999999999</v>
      </c>
      <c r="JN32">
        <v>0.54148700000000005</v>
      </c>
      <c r="JO32">
        <v>1.3660289999999999</v>
      </c>
      <c r="JP32">
        <v>2.889221</v>
      </c>
      <c r="JQ32">
        <v>3.5066660000000001</v>
      </c>
      <c r="JR32">
        <v>3.7825380000000002</v>
      </c>
      <c r="JS32">
        <v>5.2066629999999998</v>
      </c>
      <c r="JT32">
        <v>0.76159100000000002</v>
      </c>
      <c r="JU32">
        <v>3.8129740000000001</v>
      </c>
      <c r="JV32">
        <v>1.3620639999999999</v>
      </c>
      <c r="JW32">
        <v>7.3428709999999997</v>
      </c>
      <c r="JX32">
        <v>0.32936700000000002</v>
      </c>
      <c r="JY32">
        <v>1.2215819999999999</v>
      </c>
      <c r="JZ32">
        <v>0.77538600000000002</v>
      </c>
      <c r="KA32">
        <v>10.845190000000001</v>
      </c>
      <c r="KB32">
        <v>0.11020199999999999</v>
      </c>
      <c r="KC32">
        <v>0.69127499999999997</v>
      </c>
      <c r="KD32">
        <v>17.285769999999999</v>
      </c>
      <c r="KE32">
        <v>5.6826189999999999</v>
      </c>
      <c r="KF32">
        <v>13.628640000000001</v>
      </c>
      <c r="KG32">
        <v>31.10567</v>
      </c>
      <c r="KH32">
        <v>8644.6569999999992</v>
      </c>
      <c r="KI32">
        <v>10289.26</v>
      </c>
      <c r="KJ32">
        <v>6393.2209999999995</v>
      </c>
      <c r="KK32">
        <v>2762.1559999999999</v>
      </c>
      <c r="KL32">
        <v>2109.232</v>
      </c>
      <c r="KM32">
        <v>668.67049999999995</v>
      </c>
      <c r="KN32">
        <v>706.01779999999997</v>
      </c>
      <c r="KO32">
        <v>0</v>
      </c>
      <c r="KP32">
        <v>27589.54</v>
      </c>
      <c r="KQ32">
        <v>3983.672</v>
      </c>
      <c r="KR32">
        <v>0</v>
      </c>
      <c r="KS32">
        <v>9260.7459999999992</v>
      </c>
      <c r="KT32">
        <v>8353.0519999999997</v>
      </c>
      <c r="KU32">
        <v>5684.4040000000005</v>
      </c>
      <c r="KV32">
        <v>3033.0479999999998</v>
      </c>
      <c r="KW32">
        <v>1945.9949999999999</v>
      </c>
      <c r="KX32">
        <v>612.64319999999998</v>
      </c>
      <c r="KY32">
        <v>370.09100000000001</v>
      </c>
      <c r="KZ32">
        <v>0</v>
      </c>
      <c r="LA32">
        <v>22644.6</v>
      </c>
      <c r="LB32">
        <v>6615.3760000000002</v>
      </c>
      <c r="LC32">
        <v>0</v>
      </c>
      <c r="LD32" s="21">
        <v>116000000</v>
      </c>
      <c r="LE32" s="21">
        <v>323000000</v>
      </c>
      <c r="LF32" s="21">
        <v>799000000</v>
      </c>
      <c r="LG32" s="21">
        <v>700000000</v>
      </c>
      <c r="LH32" s="21">
        <v>556000000</v>
      </c>
      <c r="LI32" s="21">
        <v>262000000</v>
      </c>
      <c r="LJ32" s="21">
        <v>134000000</v>
      </c>
      <c r="LK32" s="21">
        <v>2.8700000000000001E-6</v>
      </c>
      <c r="LL32" s="21">
        <v>5.5600000000000001E-6</v>
      </c>
      <c r="LM32" s="21">
        <v>1.04E-5</v>
      </c>
      <c r="LN32" s="21">
        <v>2.1999999999999999E-5</v>
      </c>
      <c r="LO32" s="21">
        <v>3.4199999999999998E-5</v>
      </c>
      <c r="LP32" s="21">
        <v>5.02E-5</v>
      </c>
      <c r="LQ32" s="21">
        <v>7.4099999999999999E-5</v>
      </c>
      <c r="LR32" s="21">
        <v>210000000</v>
      </c>
      <c r="LS32" s="21">
        <v>408000000</v>
      </c>
      <c r="LT32" s="21">
        <v>800000000</v>
      </c>
      <c r="LU32" s="21">
        <v>637000000</v>
      </c>
      <c r="LV32" s="21">
        <v>496000000</v>
      </c>
      <c r="LW32" s="21">
        <v>225000000</v>
      </c>
      <c r="LX32" s="21">
        <v>114000000</v>
      </c>
      <c r="LY32" s="21">
        <v>4.9300000000000002E-6</v>
      </c>
      <c r="LZ32" s="21">
        <v>9.3000000000000007E-6</v>
      </c>
      <c r="MA32" s="21">
        <v>1.7E-5</v>
      </c>
      <c r="MB32" s="21">
        <v>3.5899999999999998E-5</v>
      </c>
      <c r="MC32" s="21">
        <v>5.3900000000000002E-5</v>
      </c>
      <c r="MD32" s="21">
        <v>7.7999999999999999E-5</v>
      </c>
      <c r="ME32">
        <v>1.0900000000000001E-4</v>
      </c>
      <c r="MF32">
        <v>0.37941900000000001</v>
      </c>
      <c r="MG32">
        <v>0.33690199999999998</v>
      </c>
      <c r="MH32">
        <v>0.20035500000000001</v>
      </c>
      <c r="MI32">
        <v>8.0028000000000002E-2</v>
      </c>
      <c r="MJ32">
        <v>3.2929999999999999E-3</v>
      </c>
      <c r="MK32" s="21">
        <v>3.27E-7</v>
      </c>
      <c r="ML32" s="21">
        <v>2.3E-6</v>
      </c>
      <c r="MM32">
        <v>0.82920300000000002</v>
      </c>
      <c r="MN32">
        <v>0.71374199999999999</v>
      </c>
      <c r="MO32">
        <v>0.42653099999999999</v>
      </c>
      <c r="MP32">
        <v>0.173899</v>
      </c>
      <c r="MQ32">
        <v>4.5230000000000001E-3</v>
      </c>
      <c r="MR32">
        <v>-0.18381</v>
      </c>
      <c r="MS32">
        <v>-0.96408799999999995</v>
      </c>
      <c r="MT32">
        <v>0.44144299999999997</v>
      </c>
      <c r="MU32">
        <v>0.277171</v>
      </c>
      <c r="MV32">
        <v>0.18423300000000001</v>
      </c>
      <c r="MW32">
        <v>9.7138000000000002E-2</v>
      </c>
      <c r="MX32" s="21">
        <v>1.34E-5</v>
      </c>
      <c r="MY32" s="21">
        <v>2.8600000000000001E-8</v>
      </c>
      <c r="MZ32" s="21">
        <v>1.5900000000000001E-7</v>
      </c>
      <c r="NA32">
        <v>2.4362509999999999</v>
      </c>
      <c r="NB32">
        <v>1.508651</v>
      </c>
      <c r="NC32">
        <v>1.0011730000000001</v>
      </c>
      <c r="ND32">
        <v>0.52716600000000002</v>
      </c>
      <c r="NE32">
        <v>-3.9014E-2</v>
      </c>
      <c r="NF32">
        <v>-0.70794400000000002</v>
      </c>
      <c r="NG32">
        <v>-3.726283</v>
      </c>
      <c r="NH32">
        <v>6.0959999999999999E-3</v>
      </c>
      <c r="NI32">
        <v>6.3749999999999996E-3</v>
      </c>
      <c r="NJ32">
        <v>8.1169999999999992E-3</v>
      </c>
      <c r="NK32">
        <v>3.1716000000000001E-2</v>
      </c>
      <c r="NL32">
        <v>3.8421999999999998E-2</v>
      </c>
      <c r="NM32">
        <v>9.2383000000000007E-2</v>
      </c>
      <c r="NN32">
        <v>6.0959999999999999E-3</v>
      </c>
      <c r="NO32">
        <v>6.3749999999999996E-3</v>
      </c>
      <c r="NP32">
        <v>8.1169999999999992E-3</v>
      </c>
      <c r="NQ32">
        <v>3.1716000000000001E-2</v>
      </c>
      <c r="NR32">
        <v>3.8421999999999998E-2</v>
      </c>
      <c r="NS32">
        <v>9.2383000000000007E-2</v>
      </c>
      <c r="NT32">
        <v>2.5229000000000001E-2</v>
      </c>
      <c r="NU32">
        <v>2.5772E-2</v>
      </c>
      <c r="NV32">
        <v>2.9808999999999999E-2</v>
      </c>
      <c r="NW32">
        <v>5.1290000000000002E-2</v>
      </c>
      <c r="NX32">
        <v>5.8021000000000003E-2</v>
      </c>
      <c r="NY32">
        <v>0.108552</v>
      </c>
      <c r="NZ32">
        <v>2.5229000000000001E-2</v>
      </c>
      <c r="OA32">
        <v>2.5772E-2</v>
      </c>
      <c r="OB32">
        <v>2.9808999999999999E-2</v>
      </c>
      <c r="OC32">
        <v>5.1290000000000002E-2</v>
      </c>
      <c r="OD32">
        <v>5.8021000000000003E-2</v>
      </c>
      <c r="OE32">
        <v>0.108552</v>
      </c>
      <c r="OF32">
        <v>44.240090000000002</v>
      </c>
      <c r="OG32">
        <v>27121.17</v>
      </c>
      <c r="OH32">
        <v>19072.46</v>
      </c>
      <c r="OI32">
        <v>7582.3220000000001</v>
      </c>
      <c r="OJ32">
        <v>31.059249999999999</v>
      </c>
      <c r="OK32">
        <v>22040.240000000002</v>
      </c>
      <c r="OL32">
        <v>17327.47</v>
      </c>
      <c r="OM32">
        <v>7089.9</v>
      </c>
      <c r="ON32">
        <v>1664437</v>
      </c>
      <c r="OO32">
        <v>1718236</v>
      </c>
      <c r="OP32">
        <v>12353</v>
      </c>
      <c r="OQ32">
        <v>7059.5659999999998</v>
      </c>
      <c r="OR32">
        <v>5539.9880000000003</v>
      </c>
      <c r="OS32">
        <v>559.61580000000004</v>
      </c>
      <c r="OT32">
        <v>1745.68</v>
      </c>
      <c r="OU32">
        <v>1388.2080000000001</v>
      </c>
      <c r="OV32">
        <v>362.4085</v>
      </c>
      <c r="OW32">
        <v>1418.0809999999999</v>
      </c>
      <c r="OX32">
        <v>1452.3979999999999</v>
      </c>
      <c r="OY32">
        <v>1160.6880000000001</v>
      </c>
      <c r="OZ32">
        <v>671.74289999999996</v>
      </c>
      <c r="PA32">
        <v>22255.26</v>
      </c>
      <c r="PB32">
        <v>7928.5889999999999</v>
      </c>
      <c r="PC32">
        <v>1363.575</v>
      </c>
      <c r="PD32">
        <v>2378.587</v>
      </c>
      <c r="PE32">
        <v>6942.0290000000005</v>
      </c>
      <c r="PF32">
        <v>1454.1990000000001</v>
      </c>
      <c r="PG32">
        <v>2738.2089999999998</v>
      </c>
      <c r="PH32">
        <v>217392.1</v>
      </c>
      <c r="PI32">
        <v>92745.08</v>
      </c>
      <c r="PJ32">
        <v>1.9139969999999999</v>
      </c>
      <c r="PK32">
        <v>510.67259999999999</v>
      </c>
      <c r="PL32">
        <v>96.974959999999996</v>
      </c>
      <c r="PM32">
        <v>2275.5639999999999</v>
      </c>
      <c r="PN32">
        <v>455.04680000000002</v>
      </c>
      <c r="PO32">
        <v>167.0634</v>
      </c>
      <c r="PP32">
        <v>256.43270000000001</v>
      </c>
      <c r="PQ32">
        <v>592.54989999999998</v>
      </c>
      <c r="PR32">
        <v>98.481830000000002</v>
      </c>
      <c r="PS32">
        <v>611.67399999999998</v>
      </c>
      <c r="PT32">
        <v>1309.8389999999999</v>
      </c>
      <c r="PU32">
        <v>432.78649999999999</v>
      </c>
      <c r="PV32">
        <v>776.88080000000002</v>
      </c>
      <c r="PW32">
        <v>60.545409999999997</v>
      </c>
      <c r="PX32">
        <v>134.40039999999999</v>
      </c>
      <c r="PY32">
        <v>717.59760000000006</v>
      </c>
      <c r="PZ32">
        <v>130.35130000000001</v>
      </c>
      <c r="QA32">
        <v>397537.8</v>
      </c>
      <c r="QB32">
        <v>9027.0030000000006</v>
      </c>
      <c r="QC32">
        <v>82071.92</v>
      </c>
      <c r="QD32">
        <v>11487.68</v>
      </c>
      <c r="QE32">
        <v>11592.23</v>
      </c>
      <c r="QF32">
        <v>8174.7560000000003</v>
      </c>
      <c r="QG32">
        <v>3741.4209999999998</v>
      </c>
      <c r="QH32">
        <v>214.5241</v>
      </c>
      <c r="QI32">
        <v>3.0217000000000001E-2</v>
      </c>
      <c r="QJ32">
        <v>0.281196</v>
      </c>
      <c r="QK32">
        <v>14149.76</v>
      </c>
      <c r="QL32">
        <v>7944.5469999999996</v>
      </c>
      <c r="QM32">
        <v>5371.8270000000002</v>
      </c>
      <c r="QN32">
        <v>674.90959999999995</v>
      </c>
      <c r="QO32">
        <v>2366.2139999999999</v>
      </c>
      <c r="QP32">
        <v>1549.3789999999999</v>
      </c>
      <c r="QQ32">
        <v>557.79520000000002</v>
      </c>
      <c r="QR32">
        <v>1480.2180000000001</v>
      </c>
      <c r="QS32">
        <v>1452.377</v>
      </c>
      <c r="QT32">
        <v>1623.3150000000001</v>
      </c>
      <c r="QU32">
        <v>722.23059999999998</v>
      </c>
      <c r="QV32">
        <v>23248.17</v>
      </c>
      <c r="QW32">
        <v>8589.3349999999991</v>
      </c>
      <c r="QX32">
        <v>1627.91</v>
      </c>
      <c r="QY32">
        <v>2955.1779999999999</v>
      </c>
      <c r="QZ32">
        <v>9678.7099999999991</v>
      </c>
      <c r="RA32">
        <v>1896.7529999999999</v>
      </c>
      <c r="RB32">
        <v>4602.9369999999999</v>
      </c>
      <c r="RC32">
        <v>225133.9</v>
      </c>
      <c r="RD32">
        <v>94267.43</v>
      </c>
      <c r="RE32">
        <v>0.67720800000000003</v>
      </c>
      <c r="RF32">
        <v>367.0865</v>
      </c>
      <c r="RG32">
        <v>287.39120000000003</v>
      </c>
      <c r="RH32">
        <v>1077.232</v>
      </c>
      <c r="RI32">
        <v>9.1146440000000002</v>
      </c>
      <c r="RJ32">
        <v>153.98750000000001</v>
      </c>
      <c r="RK32">
        <v>1.561493</v>
      </c>
      <c r="RL32">
        <v>12573.79</v>
      </c>
      <c r="RM32">
        <v>8088.1170000000002</v>
      </c>
      <c r="RN32">
        <v>438.45639999999997</v>
      </c>
      <c r="RO32">
        <v>1483.57</v>
      </c>
      <c r="RP32">
        <v>179.24930000000001</v>
      </c>
      <c r="RQ32">
        <v>974.23180000000002</v>
      </c>
      <c r="RR32">
        <v>592.31539999999995</v>
      </c>
      <c r="RS32">
        <v>222.57380000000001</v>
      </c>
      <c r="RT32">
        <v>1157.057</v>
      </c>
      <c r="RU32">
        <v>1809.152</v>
      </c>
      <c r="RV32">
        <v>439308.5</v>
      </c>
      <c r="RW32">
        <v>16037.54</v>
      </c>
      <c r="RX32">
        <v>78939.63</v>
      </c>
      <c r="RY32">
        <v>11885.19</v>
      </c>
      <c r="RZ32">
        <v>8480.6620000000003</v>
      </c>
      <c r="SA32">
        <v>6684.3509999999997</v>
      </c>
      <c r="SB32">
        <v>4038.337</v>
      </c>
      <c r="SC32">
        <v>0.77795199999999998</v>
      </c>
      <c r="SD32">
        <v>2.3530000000000001E-3</v>
      </c>
      <c r="SE32">
        <v>1.7294E-2</v>
      </c>
      <c r="SF32">
        <v>32124.31</v>
      </c>
      <c r="SG32">
        <v>44.240090000000002</v>
      </c>
      <c r="SH32">
        <v>6626.4709999999995</v>
      </c>
      <c r="SI32">
        <v>17871.28</v>
      </c>
      <c r="SJ32">
        <v>7582.3220000000001</v>
      </c>
      <c r="SK32">
        <v>27594.77</v>
      </c>
      <c r="SL32">
        <v>31.059249999999999</v>
      </c>
      <c r="SM32">
        <v>5140.1440000000002</v>
      </c>
      <c r="SN32">
        <v>15333.67</v>
      </c>
      <c r="SO32">
        <v>7089.9</v>
      </c>
      <c r="SP32">
        <v>126140.4</v>
      </c>
      <c r="SQ32">
        <v>64839.57</v>
      </c>
      <c r="SR32">
        <v>134583.29999999999</v>
      </c>
      <c r="SS32">
        <v>74313.649999999994</v>
      </c>
      <c r="ST32">
        <v>35.196710000000003</v>
      </c>
      <c r="SU32">
        <v>0.266459</v>
      </c>
      <c r="SV32">
        <v>4.7693089999999998</v>
      </c>
      <c r="SW32">
        <v>12.759679999999999</v>
      </c>
      <c r="SX32">
        <v>17.401260000000001</v>
      </c>
      <c r="SY32">
        <v>31.10567</v>
      </c>
      <c r="SZ32">
        <v>0.18706999999999999</v>
      </c>
      <c r="TA32">
        <v>3.6995459999999998</v>
      </c>
      <c r="TB32">
        <v>10.947889999999999</v>
      </c>
      <c r="TC32">
        <v>16.271170000000001</v>
      </c>
      <c r="TD32">
        <v>26509.61</v>
      </c>
      <c r="TE32">
        <v>828.24649999999997</v>
      </c>
      <c r="TF32">
        <v>523.76170000000002</v>
      </c>
      <c r="TG32">
        <v>216.928</v>
      </c>
      <c r="TH32">
        <v>52.927160000000001</v>
      </c>
      <c r="TI32">
        <v>107.4045</v>
      </c>
      <c r="TJ32">
        <v>89.586979999999997</v>
      </c>
      <c r="TK32">
        <v>26.85615</v>
      </c>
      <c r="TL32">
        <v>31.395320000000002</v>
      </c>
      <c r="TM32">
        <v>172.32230000000001</v>
      </c>
      <c r="TN32">
        <v>42.55659</v>
      </c>
      <c r="TO32">
        <v>27.602</v>
      </c>
      <c r="TP32">
        <v>2117.625</v>
      </c>
      <c r="TQ32">
        <v>2027.3810000000001</v>
      </c>
      <c r="TR32">
        <v>102.1922</v>
      </c>
      <c r="TS32">
        <v>184.9374</v>
      </c>
      <c r="TT32">
        <v>427.8245</v>
      </c>
      <c r="TU32">
        <v>42.57002</v>
      </c>
      <c r="TV32">
        <v>74.582459999999998</v>
      </c>
      <c r="TW32">
        <v>12681.16</v>
      </c>
      <c r="TX32">
        <v>6614.0749999999998</v>
      </c>
      <c r="TY32">
        <v>0.501332</v>
      </c>
      <c r="TZ32">
        <v>8.8923670000000001</v>
      </c>
      <c r="UA32">
        <v>4.4182430000000004</v>
      </c>
      <c r="UB32">
        <v>57.655700000000003</v>
      </c>
      <c r="UC32">
        <v>0.69727700000000004</v>
      </c>
      <c r="UD32">
        <v>2.3158970000000001</v>
      </c>
      <c r="UE32">
        <v>4.231967</v>
      </c>
      <c r="UF32">
        <v>1.5727340000000001</v>
      </c>
      <c r="UG32">
        <v>0.76300999999999997</v>
      </c>
      <c r="UH32">
        <v>10.12063</v>
      </c>
      <c r="UI32">
        <v>4.9244969999999997</v>
      </c>
      <c r="UJ32">
        <v>13.749370000000001</v>
      </c>
      <c r="UK32">
        <v>5.1935770000000003</v>
      </c>
      <c r="UL32">
        <v>0.38370300000000002</v>
      </c>
      <c r="UM32">
        <v>0.428539</v>
      </c>
      <c r="UN32">
        <v>1.5084519999999999</v>
      </c>
      <c r="UO32">
        <v>0.320604</v>
      </c>
      <c r="UP32">
        <v>26958.62</v>
      </c>
      <c r="UQ32">
        <v>831.84400000000005</v>
      </c>
      <c r="UR32">
        <v>534.30809999999997</v>
      </c>
      <c r="US32">
        <v>210.8476</v>
      </c>
      <c r="UT32">
        <v>56.030410000000003</v>
      </c>
      <c r="UU32">
        <v>120.599</v>
      </c>
      <c r="UV32">
        <v>95.985330000000005</v>
      </c>
      <c r="UW32">
        <v>27.202390000000001</v>
      </c>
      <c r="UX32">
        <v>31.304500000000001</v>
      </c>
      <c r="UY32">
        <v>183.56890000000001</v>
      </c>
      <c r="UZ32">
        <v>44.804169999999999</v>
      </c>
      <c r="VA32">
        <v>26.745200000000001</v>
      </c>
      <c r="VB32">
        <v>2129.4229999999998</v>
      </c>
      <c r="VC32">
        <v>2143.7489999999998</v>
      </c>
      <c r="VD32">
        <v>112.7602</v>
      </c>
      <c r="VE32">
        <v>207.42910000000001</v>
      </c>
      <c r="VF32">
        <v>420.03899999999999</v>
      </c>
      <c r="VG32">
        <v>36.499209999999998</v>
      </c>
      <c r="VH32">
        <v>78.746089999999995</v>
      </c>
      <c r="VI32">
        <v>12886.69</v>
      </c>
      <c r="VJ32">
        <v>6634.9949999999999</v>
      </c>
      <c r="VK32">
        <v>0.24862500000000001</v>
      </c>
      <c r="VL32">
        <v>6.9083509999999997</v>
      </c>
      <c r="VM32">
        <v>12.93547</v>
      </c>
      <c r="VN32">
        <v>30.451920000000001</v>
      </c>
      <c r="VO32">
        <v>8.4053000000000003E-2</v>
      </c>
      <c r="VP32">
        <v>2.180409</v>
      </c>
      <c r="VQ32">
        <v>0.231042</v>
      </c>
      <c r="VR32">
        <v>21.070430000000002</v>
      </c>
      <c r="VS32">
        <v>34.041550000000001</v>
      </c>
      <c r="VT32">
        <v>7.3592060000000004</v>
      </c>
      <c r="VU32">
        <v>6.4835079999999996</v>
      </c>
      <c r="VV32">
        <v>7.0585889999999996</v>
      </c>
      <c r="VW32">
        <v>6.8369099999999996</v>
      </c>
      <c r="VX32">
        <v>2.8367309999999999</v>
      </c>
      <c r="VY32">
        <v>0.70807200000000003</v>
      </c>
      <c r="VZ32">
        <v>2.5766800000000001</v>
      </c>
      <c r="WA32">
        <v>3.0316019999999999</v>
      </c>
      <c r="WB32">
        <v>0.10342899999999999</v>
      </c>
      <c r="WC32">
        <v>8.4007999999999999E-2</v>
      </c>
      <c r="WD32">
        <v>-1.7260000000000001E-2</v>
      </c>
      <c r="WE32">
        <v>-1.2383E-2</v>
      </c>
      <c r="WF32">
        <v>0.60494400000000004</v>
      </c>
      <c r="WG32">
        <v>0.42763800000000002</v>
      </c>
      <c r="WH32">
        <v>-2.6296E-2</v>
      </c>
      <c r="WI32">
        <v>-1.0749E-2</v>
      </c>
      <c r="WJ32">
        <v>2652958</v>
      </c>
      <c r="WK32">
        <v>2706294</v>
      </c>
    </row>
    <row r="33" spans="1:609" x14ac:dyDescent="0.25">
      <c r="A33">
        <v>2034</v>
      </c>
      <c r="B33">
        <v>1.996572</v>
      </c>
      <c r="C33">
        <v>151.66460000000001</v>
      </c>
      <c r="D33">
        <v>3.8964020000000001</v>
      </c>
      <c r="E33">
        <v>10.97964</v>
      </c>
      <c r="F33">
        <v>-5.3733380000000004</v>
      </c>
      <c r="G33">
        <v>2.571431</v>
      </c>
      <c r="H33">
        <v>-1.9688559999999999</v>
      </c>
      <c r="I33">
        <v>1.708655</v>
      </c>
      <c r="J33">
        <v>14.496549999999999</v>
      </c>
      <c r="K33">
        <v>0.23152700000000001</v>
      </c>
      <c r="L33">
        <v>14.23207</v>
      </c>
      <c r="M33">
        <v>1.2415959999999999</v>
      </c>
      <c r="N33">
        <v>0</v>
      </c>
      <c r="O33">
        <v>-19.315750000000001</v>
      </c>
      <c r="P33">
        <v>-1.6384030000000001</v>
      </c>
      <c r="Q33">
        <v>-48.575069999999997</v>
      </c>
      <c r="R33">
        <v>47.589190000000002</v>
      </c>
      <c r="S33">
        <v>100</v>
      </c>
      <c r="T33">
        <v>498.29239999999999</v>
      </c>
      <c r="U33">
        <v>138.97380000000001</v>
      </c>
      <c r="V33">
        <v>359.79669999999999</v>
      </c>
      <c r="W33">
        <v>2.3216860000000001</v>
      </c>
      <c r="X33">
        <v>63643.66</v>
      </c>
      <c r="Y33">
        <v>0.121966</v>
      </c>
      <c r="Z33">
        <v>9.3426999999999996E-2</v>
      </c>
      <c r="AA33">
        <v>0.74132699999999996</v>
      </c>
      <c r="AB33">
        <v>-1.2907850000000001</v>
      </c>
      <c r="AC33">
        <v>4.3327999999999998E-2</v>
      </c>
      <c r="AD33">
        <v>83338.320000000007</v>
      </c>
      <c r="AE33">
        <v>393224.7</v>
      </c>
      <c r="AF33">
        <v>465995.4</v>
      </c>
      <c r="AG33">
        <v>15301.92</v>
      </c>
      <c r="AH33">
        <v>298091</v>
      </c>
      <c r="AI33">
        <v>-4.4869999999999997E-3</v>
      </c>
      <c r="AJ33">
        <v>216.92060000000001</v>
      </c>
      <c r="AK33">
        <v>1410.606</v>
      </c>
      <c r="AL33">
        <v>304.8426</v>
      </c>
      <c r="AM33">
        <v>99.113050000000001</v>
      </c>
      <c r="AN33">
        <v>644.51930000000004</v>
      </c>
      <c r="AO33">
        <v>139.28540000000001</v>
      </c>
      <c r="AP33">
        <v>1341.2670000000001</v>
      </c>
      <c r="AQ33">
        <v>612.83720000000005</v>
      </c>
      <c r="AR33">
        <v>928.1617</v>
      </c>
      <c r="AS33">
        <v>635.44759999999997</v>
      </c>
      <c r="AT33">
        <v>1847.405</v>
      </c>
      <c r="AU33">
        <v>785.82830000000001</v>
      </c>
      <c r="AV33">
        <v>173.999</v>
      </c>
      <c r="AW33">
        <v>2.0430839999999999</v>
      </c>
      <c r="AX33">
        <v>2.8852470000000001</v>
      </c>
      <c r="AY33">
        <v>3.06941</v>
      </c>
      <c r="AZ33">
        <v>-2.5597780000000001</v>
      </c>
      <c r="BA33">
        <v>5.043787</v>
      </c>
      <c r="BB33">
        <v>9.8773900000000001</v>
      </c>
      <c r="BC33">
        <v>4.6114110000000004</v>
      </c>
      <c r="BD33">
        <v>10.99811</v>
      </c>
      <c r="BE33">
        <v>-2.2888060000000001</v>
      </c>
      <c r="BF33">
        <v>4.2452540000000001</v>
      </c>
      <c r="BG33">
        <v>6.5408369999999998</v>
      </c>
      <c r="BH33">
        <v>-1.5540069999999999</v>
      </c>
      <c r="BI33">
        <v>0.57393400000000006</v>
      </c>
      <c r="BJ33">
        <v>5.9933300000000003</v>
      </c>
      <c r="BK33">
        <v>11.116820000000001</v>
      </c>
      <c r="BL33">
        <v>11.7341</v>
      </c>
      <c r="BM33">
        <v>-0.85995600000000005</v>
      </c>
      <c r="BN33">
        <v>-15.317069999999999</v>
      </c>
      <c r="BO33">
        <v>0.41978399999999999</v>
      </c>
      <c r="BP33">
        <v>1.8780129999999999</v>
      </c>
      <c r="BQ33">
        <v>0.58905200000000002</v>
      </c>
      <c r="BR33">
        <v>-86.142240000000001</v>
      </c>
      <c r="BS33">
        <v>-28.522849999999998</v>
      </c>
      <c r="BT33">
        <v>-370.5498</v>
      </c>
      <c r="BU33">
        <v>-48.308309999999999</v>
      </c>
      <c r="BV33">
        <v>-88.427930000000003</v>
      </c>
      <c r="BW33">
        <v>-6.2835429999999999</v>
      </c>
      <c r="BX33">
        <v>-93.957650000000001</v>
      </c>
      <c r="BY33">
        <v>1072.2660000000001</v>
      </c>
      <c r="BZ33">
        <v>3700.22</v>
      </c>
      <c r="CA33">
        <v>-32.187640000000002</v>
      </c>
      <c r="CB33">
        <v>23.53312</v>
      </c>
      <c r="CC33">
        <v>-52.14423</v>
      </c>
      <c r="CD33">
        <v>21.449159999999999</v>
      </c>
      <c r="CE33">
        <v>592.82249999999999</v>
      </c>
      <c r="CF33">
        <v>57.767760000000003</v>
      </c>
      <c r="CG33">
        <v>91.456360000000004</v>
      </c>
      <c r="CH33">
        <v>735.83420000000001</v>
      </c>
      <c r="CI33">
        <v>15.80735</v>
      </c>
      <c r="CJ33">
        <v>13.381019999999999</v>
      </c>
      <c r="CK33">
        <v>-3.0004689999999998</v>
      </c>
      <c r="CL33">
        <v>22.128499999999999</v>
      </c>
      <c r="CM33">
        <v>38.889040000000001</v>
      </c>
      <c r="CN33">
        <v>12.537929999999999</v>
      </c>
      <c r="CO33">
        <v>57.409100000000002</v>
      </c>
      <c r="CP33">
        <v>4.9246800000000004</v>
      </c>
      <c r="CQ33">
        <v>5.2747000000000002E-2</v>
      </c>
      <c r="CR33">
        <v>41.698729999999998</v>
      </c>
      <c r="CS33">
        <v>7.8605450000000001</v>
      </c>
      <c r="CT33">
        <v>4.6578410000000003</v>
      </c>
      <c r="CU33">
        <v>8.8849879999999999</v>
      </c>
      <c r="CV33">
        <v>20.1999</v>
      </c>
      <c r="CW33">
        <v>25.439209999999999</v>
      </c>
      <c r="CX33">
        <v>43.810809999999996</v>
      </c>
      <c r="CY33">
        <v>34.282389999999999</v>
      </c>
      <c r="CZ33">
        <v>76.104550000000003</v>
      </c>
      <c r="DA33">
        <v>3.8027669999999998</v>
      </c>
      <c r="DB33">
        <v>1.792389</v>
      </c>
      <c r="DC33">
        <v>-64.939080000000004</v>
      </c>
      <c r="DD33">
        <v>-31.01604</v>
      </c>
      <c r="DE33">
        <v>280.74630000000002</v>
      </c>
      <c r="DF33">
        <v>-54.364750000000001</v>
      </c>
      <c r="DG33">
        <v>-98.138080000000002</v>
      </c>
      <c r="DH33">
        <v>-8.1976309999999994</v>
      </c>
      <c r="DI33">
        <v>-99.440629999999999</v>
      </c>
      <c r="DJ33">
        <v>1989.0719999999999</v>
      </c>
      <c r="DK33">
        <v>8425.1350000000002</v>
      </c>
      <c r="DL33">
        <v>-32.294849999999997</v>
      </c>
      <c r="DM33">
        <v>16.082660000000001</v>
      </c>
      <c r="DN33">
        <v>-61.277949999999997</v>
      </c>
      <c r="DO33">
        <v>26.110690000000002</v>
      </c>
      <c r="DP33">
        <v>936.62009999999998</v>
      </c>
      <c r="DQ33">
        <v>71.932410000000004</v>
      </c>
      <c r="DR33">
        <v>83.320220000000006</v>
      </c>
      <c r="DS33">
        <v>1367.83</v>
      </c>
      <c r="DT33">
        <v>4.2419999999999999E-2</v>
      </c>
      <c r="DU33">
        <v>3.8868490000000002</v>
      </c>
      <c r="DV33">
        <v>-4.2540940000000003</v>
      </c>
      <c r="DW33">
        <v>5.7203090000000003</v>
      </c>
      <c r="DX33">
        <v>4.4158390000000001</v>
      </c>
      <c r="DY33">
        <v>5.1344719999999997</v>
      </c>
      <c r="DZ33">
        <v>2.3874399999999998</v>
      </c>
      <c r="EA33">
        <v>4.5828579999999999</v>
      </c>
      <c r="EB33">
        <v>8.3410209999999996</v>
      </c>
      <c r="EC33">
        <v>0</v>
      </c>
      <c r="ED33">
        <v>6.2493090000000002</v>
      </c>
      <c r="EE33">
        <v>5.444229</v>
      </c>
      <c r="EF33">
        <v>7.2850539999999997</v>
      </c>
      <c r="EG33">
        <v>10.300789999999999</v>
      </c>
      <c r="EH33">
        <v>17.169180000000001</v>
      </c>
      <c r="EI33">
        <v>-4.1434509999999998</v>
      </c>
      <c r="EJ33">
        <v>-0.53190400000000004</v>
      </c>
      <c r="EK33">
        <v>-5.5534270000000001</v>
      </c>
      <c r="EL33">
        <v>4.412534</v>
      </c>
      <c r="EM33">
        <v>4.4600150000000003</v>
      </c>
      <c r="EN33">
        <v>-30.772069999999999</v>
      </c>
      <c r="EO33">
        <v>-19.25273</v>
      </c>
      <c r="EP33">
        <v>-9.7811219999999999</v>
      </c>
      <c r="EQ33">
        <v>-7.1620229999999996</v>
      </c>
      <c r="ER33">
        <v>8.2914440000000003</v>
      </c>
      <c r="ES33">
        <v>69.081149999999994</v>
      </c>
      <c r="ET33">
        <v>1.9406699999999999</v>
      </c>
      <c r="EU33">
        <v>37.176209999999998</v>
      </c>
      <c r="EV33">
        <v>0.59486600000000001</v>
      </c>
      <c r="EW33">
        <v>2.1733220000000002</v>
      </c>
      <c r="EX33">
        <v>2.7446290000000002</v>
      </c>
      <c r="EY33">
        <v>0.86659799999999998</v>
      </c>
      <c r="EZ33">
        <v>0.11484999999999999</v>
      </c>
      <c r="FA33">
        <v>5.8573690000000003</v>
      </c>
      <c r="FB33">
        <v>1.87937</v>
      </c>
      <c r="FC33">
        <v>33.07779</v>
      </c>
      <c r="FD33">
        <v>8.9993610000000004</v>
      </c>
      <c r="FE33">
        <v>0.54352599999999995</v>
      </c>
      <c r="FF33">
        <v>0.83756399999999998</v>
      </c>
      <c r="FG33">
        <v>1.5058339999999999</v>
      </c>
      <c r="FH33">
        <v>0.33859</v>
      </c>
      <c r="FI33">
        <v>4.9395939999999996</v>
      </c>
      <c r="FJ33">
        <v>46.860550000000003</v>
      </c>
      <c r="FK33">
        <v>7.1551349999999996</v>
      </c>
      <c r="FL33">
        <v>19.13504</v>
      </c>
      <c r="FM33">
        <v>6.9217000000000001E-2</v>
      </c>
      <c r="FN33">
        <v>2.0280770000000001</v>
      </c>
      <c r="FO33">
        <v>0.16467799999999999</v>
      </c>
      <c r="FP33">
        <v>10.152229999999999</v>
      </c>
      <c r="FQ33">
        <v>4.3667290000000003</v>
      </c>
      <c r="FR33">
        <v>3.956391</v>
      </c>
      <c r="FS33">
        <v>2.3157480000000001</v>
      </c>
      <c r="FT33">
        <v>16.775960000000001</v>
      </c>
      <c r="FU33">
        <v>12.273009999999999</v>
      </c>
      <c r="FV33">
        <v>4.2357370000000003</v>
      </c>
      <c r="FW33">
        <v>1.4907029999999999</v>
      </c>
      <c r="FX33">
        <v>3.2277429999999998</v>
      </c>
      <c r="FY33">
        <v>3.2759049999999998</v>
      </c>
      <c r="FZ33">
        <v>6.0033760000000003</v>
      </c>
      <c r="GA33">
        <v>52.996459999999999</v>
      </c>
      <c r="GB33">
        <v>1.9406699999999999</v>
      </c>
      <c r="GC33">
        <v>33.234929999999999</v>
      </c>
      <c r="GD33">
        <v>0.53180099999999997</v>
      </c>
      <c r="GE33">
        <v>1.9429149999999999</v>
      </c>
      <c r="GF33">
        <v>2.4536539999999998</v>
      </c>
      <c r="GG33">
        <v>0.774725</v>
      </c>
      <c r="GH33">
        <v>0.102674</v>
      </c>
      <c r="GI33">
        <v>5.2363929999999996</v>
      </c>
      <c r="GJ33">
        <v>1.680126</v>
      </c>
      <c r="GK33">
        <v>31.173020000000001</v>
      </c>
      <c r="GL33">
        <v>8.9993610000000004</v>
      </c>
      <c r="GM33">
        <v>0.54352599999999995</v>
      </c>
      <c r="GN33">
        <v>0.83756399999999998</v>
      </c>
      <c r="GO33">
        <v>1.5058339999999999</v>
      </c>
      <c r="GP33">
        <v>0.33859</v>
      </c>
      <c r="GQ33">
        <v>2.7456179999999999</v>
      </c>
      <c r="GR33">
        <v>31.811540000000001</v>
      </c>
      <c r="GS33">
        <v>7.1551349999999996</v>
      </c>
      <c r="GT33">
        <v>16.663119999999999</v>
      </c>
      <c r="GU33">
        <v>6.0276000000000003E-2</v>
      </c>
      <c r="GV33">
        <v>1.7660830000000001</v>
      </c>
      <c r="GW33">
        <v>0.143404</v>
      </c>
      <c r="GX33">
        <v>8.8407339999999994</v>
      </c>
      <c r="GY33">
        <v>3.8026200000000001</v>
      </c>
      <c r="GZ33">
        <v>3.4452910000000001</v>
      </c>
      <c r="HA33">
        <v>2.0165920000000002</v>
      </c>
      <c r="HB33">
        <v>14.993840000000001</v>
      </c>
      <c r="HC33">
        <v>12.273009999999999</v>
      </c>
      <c r="HD33">
        <v>4.2357370000000003</v>
      </c>
      <c r="HE33">
        <v>1.4907029999999999</v>
      </c>
      <c r="HF33">
        <v>3.2277429999999998</v>
      </c>
      <c r="HG33">
        <v>3.2759049999999998</v>
      </c>
      <c r="HH33">
        <v>6.1116529999999996</v>
      </c>
      <c r="HI33">
        <v>56.962919999999997</v>
      </c>
      <c r="HJ33">
        <v>1.9406699999999999</v>
      </c>
      <c r="HK33">
        <v>134.20830000000001</v>
      </c>
      <c r="HL33">
        <v>1.2849200000000001</v>
      </c>
      <c r="HM33">
        <v>4.6944119999999998</v>
      </c>
      <c r="HN33">
        <v>5.9284439999999998</v>
      </c>
      <c r="HO33">
        <v>0.93685700000000005</v>
      </c>
      <c r="HP33">
        <v>0.12416199999999999</v>
      </c>
      <c r="HQ33">
        <v>6.3322510000000003</v>
      </c>
      <c r="HR33">
        <v>5.4932179999999997</v>
      </c>
      <c r="HS33">
        <v>31.38721</v>
      </c>
      <c r="HT33">
        <v>9.1339570000000005</v>
      </c>
      <c r="HU33">
        <v>0.55165500000000001</v>
      </c>
      <c r="HV33">
        <v>0.85009100000000004</v>
      </c>
      <c r="HW33">
        <v>1.5283549999999999</v>
      </c>
      <c r="HX33">
        <v>0.34365400000000002</v>
      </c>
      <c r="HY33">
        <v>2.7809689999999998</v>
      </c>
      <c r="HZ33">
        <v>34.206629999999997</v>
      </c>
      <c r="IA33">
        <v>6.2592879999999997</v>
      </c>
      <c r="IB33">
        <v>62.344110000000001</v>
      </c>
      <c r="IC33">
        <v>6.9260000000000002E-2</v>
      </c>
      <c r="ID33">
        <v>4.0741680000000002</v>
      </c>
      <c r="IE33">
        <v>0.16477900000000001</v>
      </c>
      <c r="IF33">
        <v>11.242649999999999</v>
      </c>
      <c r="IG33">
        <v>4.6967540000000003</v>
      </c>
      <c r="IH33">
        <v>4.2554040000000004</v>
      </c>
      <c r="II33">
        <v>7.5069100000000004</v>
      </c>
      <c r="IJ33">
        <v>15.08267</v>
      </c>
      <c r="IK33">
        <v>12.4351</v>
      </c>
      <c r="IL33">
        <v>4.912077</v>
      </c>
      <c r="IM33">
        <v>1.5215689999999999</v>
      </c>
      <c r="IN33">
        <v>3.2927170000000001</v>
      </c>
      <c r="IO33">
        <v>3.2980939999999999</v>
      </c>
      <c r="IP33">
        <v>4.3599930000000002</v>
      </c>
      <c r="IQ33">
        <v>5.6177359999999998</v>
      </c>
      <c r="IR33">
        <v>0.61549900000000002</v>
      </c>
      <c r="IS33">
        <v>1.7976019999999999</v>
      </c>
      <c r="IT33">
        <v>4.1499379999999997</v>
      </c>
      <c r="IU33">
        <v>4.3121460000000003</v>
      </c>
      <c r="IV33">
        <v>5.0470699999999997</v>
      </c>
      <c r="IW33">
        <v>6.1049629999999997</v>
      </c>
      <c r="IX33">
        <v>0.85030300000000003</v>
      </c>
      <c r="IY33">
        <v>7.2068589999999997</v>
      </c>
      <c r="IZ33">
        <v>1.874268</v>
      </c>
      <c r="JA33">
        <v>8.6392939999999996</v>
      </c>
      <c r="JB33">
        <v>0.42377900000000002</v>
      </c>
      <c r="JC33">
        <v>1.4786870000000001</v>
      </c>
      <c r="JD33">
        <v>0.83039600000000002</v>
      </c>
      <c r="JE33">
        <v>17.529720000000001</v>
      </c>
      <c r="JF33">
        <v>0.32552300000000001</v>
      </c>
      <c r="JG33">
        <v>1.6913530000000001</v>
      </c>
      <c r="JH33">
        <v>20.253080000000001</v>
      </c>
      <c r="JI33">
        <v>6.943244</v>
      </c>
      <c r="JJ33">
        <v>15.348420000000001</v>
      </c>
      <c r="JK33">
        <v>34.89575</v>
      </c>
      <c r="JL33">
        <v>2.793784</v>
      </c>
      <c r="JM33">
        <v>4.6630330000000004</v>
      </c>
      <c r="JN33">
        <v>0.53010000000000002</v>
      </c>
      <c r="JO33">
        <v>1.3505400000000001</v>
      </c>
      <c r="JP33">
        <v>2.8686349999999998</v>
      </c>
      <c r="JQ33">
        <v>3.481687</v>
      </c>
      <c r="JR33">
        <v>3.7146270000000001</v>
      </c>
      <c r="JS33">
        <v>5.0804200000000002</v>
      </c>
      <c r="JT33">
        <v>0.75952399999999998</v>
      </c>
      <c r="JU33">
        <v>3.7800600000000002</v>
      </c>
      <c r="JV33">
        <v>1.3321499999999999</v>
      </c>
      <c r="JW33">
        <v>7.3334830000000002</v>
      </c>
      <c r="JX33">
        <v>0.33496999999999999</v>
      </c>
      <c r="JY33">
        <v>1.2154100000000001</v>
      </c>
      <c r="JZ33">
        <v>0.76327800000000001</v>
      </c>
      <c r="KA33">
        <v>10.43427</v>
      </c>
      <c r="KB33">
        <v>0.10333299999999999</v>
      </c>
      <c r="KC33">
        <v>0.64965399999999995</v>
      </c>
      <c r="KD33">
        <v>17.154039999999998</v>
      </c>
      <c r="KE33">
        <v>5.6683009999999996</v>
      </c>
      <c r="KF33">
        <v>13.38077</v>
      </c>
      <c r="KG33">
        <v>30.55527</v>
      </c>
      <c r="KH33">
        <v>8847.9230000000007</v>
      </c>
      <c r="KI33">
        <v>10246.77</v>
      </c>
      <c r="KJ33">
        <v>6349.0569999999998</v>
      </c>
      <c r="KK33">
        <v>2732.1289999999999</v>
      </c>
      <c r="KL33">
        <v>1951.9780000000001</v>
      </c>
      <c r="KM33">
        <v>617.23469999999998</v>
      </c>
      <c r="KN33">
        <v>651.71130000000005</v>
      </c>
      <c r="KO33">
        <v>0</v>
      </c>
      <c r="KP33">
        <v>27194.19</v>
      </c>
      <c r="KQ33">
        <v>4202.616</v>
      </c>
      <c r="KR33">
        <v>0</v>
      </c>
      <c r="KS33">
        <v>9495.1389999999992</v>
      </c>
      <c r="KT33">
        <v>8298.1470000000008</v>
      </c>
      <c r="KU33">
        <v>5636.9219999999996</v>
      </c>
      <c r="KV33">
        <v>3004.72</v>
      </c>
      <c r="KW33">
        <v>1796.317</v>
      </c>
      <c r="KX33">
        <v>565.51679999999999</v>
      </c>
      <c r="KY33">
        <v>341.62259999999998</v>
      </c>
      <c r="KZ33">
        <v>0</v>
      </c>
      <c r="LA33">
        <v>22130.62</v>
      </c>
      <c r="LB33">
        <v>7007.7690000000002</v>
      </c>
      <c r="LC33">
        <v>0</v>
      </c>
      <c r="LD33" s="21">
        <v>121000000</v>
      </c>
      <c r="LE33" s="21">
        <v>331000000</v>
      </c>
      <c r="LF33" s="21">
        <v>813000000</v>
      </c>
      <c r="LG33" s="21">
        <v>707000000</v>
      </c>
      <c r="LH33" s="21">
        <v>551000000</v>
      </c>
      <c r="LI33" s="21">
        <v>256000000</v>
      </c>
      <c r="LJ33" s="21">
        <v>131000000</v>
      </c>
      <c r="LK33" s="21">
        <v>2.9100000000000001E-6</v>
      </c>
      <c r="LL33" s="21">
        <v>5.6699999999999999E-6</v>
      </c>
      <c r="LM33" s="21">
        <v>1.06E-5</v>
      </c>
      <c r="LN33" s="21">
        <v>2.2500000000000001E-5</v>
      </c>
      <c r="LO33" s="21">
        <v>3.5299999999999997E-5</v>
      </c>
      <c r="LP33" s="21">
        <v>5.2099999999999999E-5</v>
      </c>
      <c r="LQ33" s="21">
        <v>7.7000000000000001E-5</v>
      </c>
      <c r="LR33" s="21">
        <v>228000000</v>
      </c>
      <c r="LS33" s="21">
        <v>425000000</v>
      </c>
      <c r="LT33" s="21">
        <v>810000000</v>
      </c>
      <c r="LU33" s="21">
        <v>635000000</v>
      </c>
      <c r="LV33" s="21">
        <v>486000000</v>
      </c>
      <c r="LW33" s="21">
        <v>217000000</v>
      </c>
      <c r="LX33" s="21">
        <v>110000000</v>
      </c>
      <c r="LY33" s="21">
        <v>5.1800000000000004E-6</v>
      </c>
      <c r="LZ33" s="21">
        <v>9.7699999999999996E-6</v>
      </c>
      <c r="MA33" s="21">
        <v>1.7900000000000001E-5</v>
      </c>
      <c r="MB33" s="21">
        <v>3.7700000000000002E-5</v>
      </c>
      <c r="MC33" s="21">
        <v>5.66E-5</v>
      </c>
      <c r="MD33" s="21">
        <v>8.2000000000000001E-5</v>
      </c>
      <c r="ME33">
        <v>1.15E-4</v>
      </c>
      <c r="MF33">
        <v>0.38549</v>
      </c>
      <c r="MG33">
        <v>0.33254600000000001</v>
      </c>
      <c r="MH33">
        <v>0.19874</v>
      </c>
      <c r="MI33">
        <v>8.1004999999999994E-2</v>
      </c>
      <c r="MJ33">
        <v>2.2169999999999998E-3</v>
      </c>
      <c r="MK33" s="21">
        <v>1.6299999999999999E-7</v>
      </c>
      <c r="ML33" s="21">
        <v>1.15E-6</v>
      </c>
      <c r="MM33">
        <v>0.88402499999999995</v>
      </c>
      <c r="MN33">
        <v>0.74095500000000003</v>
      </c>
      <c r="MO33">
        <v>0.445048</v>
      </c>
      <c r="MP33">
        <v>0.185088</v>
      </c>
      <c r="MQ33">
        <v>2.5769999999999999E-3</v>
      </c>
      <c r="MR33">
        <v>-0.20166500000000001</v>
      </c>
      <c r="MS33">
        <v>-1.0560290000000001</v>
      </c>
      <c r="MT33">
        <v>0.44466</v>
      </c>
      <c r="MU33">
        <v>0.27599299999999999</v>
      </c>
      <c r="MV33">
        <v>0.18306600000000001</v>
      </c>
      <c r="MW33">
        <v>9.6273999999999998E-2</v>
      </c>
      <c r="MX33" s="21">
        <v>6.7100000000000001E-6</v>
      </c>
      <c r="MY33" s="21">
        <v>1.4300000000000001E-8</v>
      </c>
      <c r="MZ33" s="21">
        <v>7.9599999999999998E-8</v>
      </c>
      <c r="NA33">
        <v>2.4487809999999999</v>
      </c>
      <c r="NB33">
        <v>1.5025580000000001</v>
      </c>
      <c r="NC33">
        <v>0.99454200000000004</v>
      </c>
      <c r="ND33">
        <v>0.52165499999999998</v>
      </c>
      <c r="NE33">
        <v>-4.2514000000000003E-2</v>
      </c>
      <c r="NF33">
        <v>-0.70901000000000003</v>
      </c>
      <c r="NG33">
        <v>-3.7160120000000001</v>
      </c>
      <c r="NH33">
        <v>5.4980000000000003E-3</v>
      </c>
      <c r="NI33">
        <v>5.8139999999999997E-3</v>
      </c>
      <c r="NJ33">
        <v>7.7190000000000002E-3</v>
      </c>
      <c r="NK33">
        <v>3.2034E-2</v>
      </c>
      <c r="NL33">
        <v>3.9175000000000001E-2</v>
      </c>
      <c r="NM33">
        <v>9.3235999999999999E-2</v>
      </c>
      <c r="NN33">
        <v>5.4980000000000003E-3</v>
      </c>
      <c r="NO33">
        <v>5.8139999999999997E-3</v>
      </c>
      <c r="NP33">
        <v>7.7190000000000002E-3</v>
      </c>
      <c r="NQ33">
        <v>3.2034E-2</v>
      </c>
      <c r="NR33">
        <v>3.9175000000000001E-2</v>
      </c>
      <c r="NS33">
        <v>9.3235999999999999E-2</v>
      </c>
      <c r="NT33">
        <v>2.5440999999999998E-2</v>
      </c>
      <c r="NU33">
        <v>2.5992000000000001E-2</v>
      </c>
      <c r="NV33">
        <v>3.0057E-2</v>
      </c>
      <c r="NW33">
        <v>5.1670000000000001E-2</v>
      </c>
      <c r="NX33">
        <v>5.8473999999999998E-2</v>
      </c>
      <c r="NY33">
        <v>0.109066</v>
      </c>
      <c r="NZ33">
        <v>2.5440999999999998E-2</v>
      </c>
      <c r="OA33">
        <v>2.5992000000000001E-2</v>
      </c>
      <c r="OB33">
        <v>3.0057E-2</v>
      </c>
      <c r="OC33">
        <v>5.1670000000000001E-2</v>
      </c>
      <c r="OD33">
        <v>5.8473999999999998E-2</v>
      </c>
      <c r="OE33">
        <v>0.109066</v>
      </c>
      <c r="OF33">
        <v>43.592480000000002</v>
      </c>
      <c r="OG33">
        <v>26521.18</v>
      </c>
      <c r="OH33">
        <v>19209.36</v>
      </c>
      <c r="OI33">
        <v>7473.6890000000003</v>
      </c>
      <c r="OJ33">
        <v>30.178180000000001</v>
      </c>
      <c r="OK33">
        <v>21415.13</v>
      </c>
      <c r="OL33">
        <v>17330.47</v>
      </c>
      <c r="OM33">
        <v>6938.4219999999996</v>
      </c>
      <c r="ON33">
        <v>1690219</v>
      </c>
      <c r="OO33">
        <v>1747970</v>
      </c>
      <c r="OP33">
        <v>12574.98</v>
      </c>
      <c r="OQ33">
        <v>7197.7039999999997</v>
      </c>
      <c r="OR33">
        <v>5577.0959999999995</v>
      </c>
      <c r="OS33">
        <v>564.25109999999995</v>
      </c>
      <c r="OT33">
        <v>1767.3440000000001</v>
      </c>
      <c r="OU33">
        <v>1396.992</v>
      </c>
      <c r="OV33">
        <v>365.77670000000001</v>
      </c>
      <c r="OW33">
        <v>1432.3869999999999</v>
      </c>
      <c r="OX33">
        <v>1460.5889999999999</v>
      </c>
      <c r="OY33">
        <v>1163.857</v>
      </c>
      <c r="OZ33">
        <v>672.69169999999997</v>
      </c>
      <c r="PA33">
        <v>22426.66</v>
      </c>
      <c r="PB33">
        <v>8049.2960000000003</v>
      </c>
      <c r="PC33">
        <v>1405.7819999999999</v>
      </c>
      <c r="PD33">
        <v>2443.75</v>
      </c>
      <c r="PE33">
        <v>7054.348</v>
      </c>
      <c r="PF33">
        <v>1469.069</v>
      </c>
      <c r="PG33">
        <v>2777.27</v>
      </c>
      <c r="PH33">
        <v>220757.8</v>
      </c>
      <c r="PI33">
        <v>94236.4</v>
      </c>
      <c r="PJ33">
        <v>1.927934</v>
      </c>
      <c r="PK33">
        <v>500.15120000000002</v>
      </c>
      <c r="PL33">
        <v>94.021000000000001</v>
      </c>
      <c r="PM33">
        <v>2356.9870000000001</v>
      </c>
      <c r="PN33">
        <v>458.25130000000001</v>
      </c>
      <c r="PO33">
        <v>168.35059999999999</v>
      </c>
      <c r="PP33">
        <v>258.01170000000002</v>
      </c>
      <c r="PQ33">
        <v>595.80690000000004</v>
      </c>
      <c r="PR33">
        <v>99.15795</v>
      </c>
      <c r="PS33">
        <v>615.54430000000002</v>
      </c>
      <c r="PT33">
        <v>1312.941</v>
      </c>
      <c r="PU33">
        <v>426.20330000000001</v>
      </c>
      <c r="PV33">
        <v>764.40949999999998</v>
      </c>
      <c r="PW33">
        <v>59.202939999999998</v>
      </c>
      <c r="PX33">
        <v>132.49430000000001</v>
      </c>
      <c r="PY33">
        <v>703.19330000000002</v>
      </c>
      <c r="PZ33">
        <v>128.23249999999999</v>
      </c>
      <c r="QA33">
        <v>403468.9</v>
      </c>
      <c r="QB33">
        <v>8905.6450000000004</v>
      </c>
      <c r="QC33">
        <v>82454.7</v>
      </c>
      <c r="QD33">
        <v>11451.48</v>
      </c>
      <c r="QE33">
        <v>11226.68</v>
      </c>
      <c r="QF33">
        <v>7956.01</v>
      </c>
      <c r="QG33">
        <v>3715.6840000000002</v>
      </c>
      <c r="QH33">
        <v>141.7192</v>
      </c>
      <c r="QI33">
        <v>1.4822999999999999E-2</v>
      </c>
      <c r="QJ33">
        <v>0.13794799999999999</v>
      </c>
      <c r="QK33">
        <v>14562.76</v>
      </c>
      <c r="QL33">
        <v>8160.83</v>
      </c>
      <c r="QM33">
        <v>5409.7569999999996</v>
      </c>
      <c r="QN33">
        <v>689.1114</v>
      </c>
      <c r="QO33">
        <v>2454.6469999999999</v>
      </c>
      <c r="QP33">
        <v>1572.146</v>
      </c>
      <c r="QQ33">
        <v>575.76570000000004</v>
      </c>
      <c r="QR33">
        <v>1502.9280000000001</v>
      </c>
      <c r="QS33">
        <v>1461.3589999999999</v>
      </c>
      <c r="QT33">
        <v>1649.17</v>
      </c>
      <c r="QU33">
        <v>725.56889999999999</v>
      </c>
      <c r="QV33">
        <v>23471.25</v>
      </c>
      <c r="QW33">
        <v>8764.4750000000004</v>
      </c>
      <c r="QX33">
        <v>1689.749</v>
      </c>
      <c r="QY33">
        <v>3065.4209999999998</v>
      </c>
      <c r="QZ33">
        <v>10144.91</v>
      </c>
      <c r="RA33">
        <v>1972.701</v>
      </c>
      <c r="RB33">
        <v>4890.8990000000003</v>
      </c>
      <c r="RC33">
        <v>229152.7</v>
      </c>
      <c r="RD33">
        <v>95925.48</v>
      </c>
      <c r="RE33">
        <v>0.67595099999999997</v>
      </c>
      <c r="RF33">
        <v>345.02409999999998</v>
      </c>
      <c r="RG33">
        <v>357.98149999999998</v>
      </c>
      <c r="RH33">
        <v>1075.617</v>
      </c>
      <c r="RI33">
        <v>8.5322569999999995</v>
      </c>
      <c r="RJ33">
        <v>154.5498</v>
      </c>
      <c r="RK33">
        <v>1.443236</v>
      </c>
      <c r="RL33">
        <v>12446.83</v>
      </c>
      <c r="RM33">
        <v>8453.35</v>
      </c>
      <c r="RN33">
        <v>416.7552</v>
      </c>
      <c r="RO33">
        <v>1524.097</v>
      </c>
      <c r="RP33">
        <v>165.03460000000001</v>
      </c>
      <c r="RQ33">
        <v>964.00210000000004</v>
      </c>
      <c r="RR33">
        <v>613.70960000000002</v>
      </c>
      <c r="RS33">
        <v>227.80070000000001</v>
      </c>
      <c r="RT33">
        <v>1289.096</v>
      </c>
      <c r="RU33">
        <v>1882.2349999999999</v>
      </c>
      <c r="RV33">
        <v>447768.3</v>
      </c>
      <c r="RW33">
        <v>16023.4</v>
      </c>
      <c r="RX33">
        <v>79268.78</v>
      </c>
      <c r="RY33">
        <v>11861.58</v>
      </c>
      <c r="RZ33">
        <v>8366.8680000000004</v>
      </c>
      <c r="SA33">
        <v>6580.8770000000004</v>
      </c>
      <c r="SB33">
        <v>3965.556</v>
      </c>
      <c r="SC33">
        <v>0.38519300000000001</v>
      </c>
      <c r="SD33">
        <v>1.165E-3</v>
      </c>
      <c r="SE33">
        <v>8.567E-3</v>
      </c>
      <c r="SF33">
        <v>31949.25</v>
      </c>
      <c r="SG33">
        <v>43.592480000000002</v>
      </c>
      <c r="SH33">
        <v>6489.7780000000002</v>
      </c>
      <c r="SI33">
        <v>17942.189999999999</v>
      </c>
      <c r="SJ33">
        <v>7473.6890000000003</v>
      </c>
      <c r="SK33">
        <v>27167.15</v>
      </c>
      <c r="SL33">
        <v>30.178180000000001</v>
      </c>
      <c r="SM33">
        <v>4980.125</v>
      </c>
      <c r="SN33">
        <v>15218.42</v>
      </c>
      <c r="SO33">
        <v>6938.4219999999996</v>
      </c>
      <c r="SP33">
        <v>127197.8</v>
      </c>
      <c r="SQ33">
        <v>64527.51</v>
      </c>
      <c r="SR33">
        <v>135219.79999999999</v>
      </c>
      <c r="SS33">
        <v>74249.09</v>
      </c>
      <c r="ST33">
        <v>34.89575</v>
      </c>
      <c r="SU33">
        <v>0.26255800000000001</v>
      </c>
      <c r="SV33">
        <v>4.6709259999999997</v>
      </c>
      <c r="SW33">
        <v>12.810309999999999</v>
      </c>
      <c r="SX33">
        <v>17.151949999999999</v>
      </c>
      <c r="SY33">
        <v>30.55527</v>
      </c>
      <c r="SZ33">
        <v>0.18176400000000001</v>
      </c>
      <c r="TA33">
        <v>3.5843739999999999</v>
      </c>
      <c r="TB33">
        <v>10.865600000000001</v>
      </c>
      <c r="TC33">
        <v>15.92353</v>
      </c>
      <c r="TD33">
        <v>26537.43</v>
      </c>
      <c r="TE33">
        <v>827.54960000000005</v>
      </c>
      <c r="TF33">
        <v>525.41200000000003</v>
      </c>
      <c r="TG33">
        <v>215.87729999999999</v>
      </c>
      <c r="TH33">
        <v>52.624040000000001</v>
      </c>
      <c r="TI33">
        <v>107.14619999999999</v>
      </c>
      <c r="TJ33">
        <v>89.011700000000005</v>
      </c>
      <c r="TK33">
        <v>26.572600000000001</v>
      </c>
      <c r="TL33">
        <v>30.909579999999998</v>
      </c>
      <c r="TM33">
        <v>171.2157</v>
      </c>
      <c r="TN33">
        <v>42.076360000000001</v>
      </c>
      <c r="TO33">
        <v>27.294630000000002</v>
      </c>
      <c r="TP33">
        <v>2105.7739999999999</v>
      </c>
      <c r="TQ33">
        <v>2027.009</v>
      </c>
      <c r="TR33">
        <v>102.5908</v>
      </c>
      <c r="TS33">
        <v>186.61750000000001</v>
      </c>
      <c r="TT33">
        <v>426.62889999999999</v>
      </c>
      <c r="TU33">
        <v>42.36497</v>
      </c>
      <c r="TV33">
        <v>74.328590000000005</v>
      </c>
      <c r="TW33">
        <v>12701.99</v>
      </c>
      <c r="TX33">
        <v>6637.5129999999999</v>
      </c>
      <c r="TY33">
        <v>0.49890299999999999</v>
      </c>
      <c r="TZ33">
        <v>8.6962170000000008</v>
      </c>
      <c r="UA33">
        <v>4.30755</v>
      </c>
      <c r="UB33">
        <v>57.623429999999999</v>
      </c>
      <c r="UC33">
        <v>0.69668099999999999</v>
      </c>
      <c r="UD33">
        <v>2.3140139999999998</v>
      </c>
      <c r="UE33">
        <v>4.2289510000000003</v>
      </c>
      <c r="UF33">
        <v>1.5697270000000001</v>
      </c>
      <c r="UG33">
        <v>0.76211399999999996</v>
      </c>
      <c r="UH33">
        <v>10.11125</v>
      </c>
      <c r="UI33">
        <v>4.9134840000000004</v>
      </c>
      <c r="UJ33">
        <v>13.51146</v>
      </c>
      <c r="UK33">
        <v>5.100587</v>
      </c>
      <c r="UL33">
        <v>0.37623299999999998</v>
      </c>
      <c r="UM33">
        <v>0.42054200000000003</v>
      </c>
      <c r="UN33">
        <v>1.478485</v>
      </c>
      <c r="UO33">
        <v>0.31469900000000001</v>
      </c>
      <c r="UP33">
        <v>26990.86</v>
      </c>
      <c r="UQ33">
        <v>830.44899999999996</v>
      </c>
      <c r="UR33">
        <v>536.12030000000004</v>
      </c>
      <c r="US33">
        <v>209.99350000000001</v>
      </c>
      <c r="UT33">
        <v>55.624920000000003</v>
      </c>
      <c r="UU33">
        <v>120.60720000000001</v>
      </c>
      <c r="UV33">
        <v>95.225909999999999</v>
      </c>
      <c r="UW33">
        <v>26.803059999999999</v>
      </c>
      <c r="UX33">
        <v>30.65701</v>
      </c>
      <c r="UY33">
        <v>182.33</v>
      </c>
      <c r="UZ33">
        <v>44.157620000000001</v>
      </c>
      <c r="VA33">
        <v>26.315370000000001</v>
      </c>
      <c r="VB33">
        <v>2114.547</v>
      </c>
      <c r="VC33">
        <v>2148.1419999999998</v>
      </c>
      <c r="VD33">
        <v>112.955</v>
      </c>
      <c r="VE33">
        <v>208.92840000000001</v>
      </c>
      <c r="VF33">
        <v>416.65190000000001</v>
      </c>
      <c r="VG33">
        <v>35.936390000000003</v>
      </c>
      <c r="VH33">
        <v>78.032510000000002</v>
      </c>
      <c r="VI33">
        <v>12912.85</v>
      </c>
      <c r="VJ33">
        <v>6658.3739999999998</v>
      </c>
      <c r="VK33">
        <v>0.246561</v>
      </c>
      <c r="VL33">
        <v>6.5454239999999997</v>
      </c>
      <c r="VM33">
        <v>15.81973</v>
      </c>
      <c r="VN33">
        <v>29.61788</v>
      </c>
      <c r="VO33">
        <v>8.5809999999999997E-2</v>
      </c>
      <c r="VP33">
        <v>2.1760700000000002</v>
      </c>
      <c r="VQ33">
        <v>0.24716299999999999</v>
      </c>
      <c r="VR33">
        <v>20.661049999999999</v>
      </c>
      <c r="VS33">
        <v>34.29121</v>
      </c>
      <c r="VT33">
        <v>7.0626879999999996</v>
      </c>
      <c r="VU33">
        <v>6.5569949999999997</v>
      </c>
      <c r="VV33">
        <v>6.6442139999999998</v>
      </c>
      <c r="VW33">
        <v>6.7201380000000004</v>
      </c>
      <c r="VX33">
        <v>2.8800319999999999</v>
      </c>
      <c r="VY33">
        <v>0.71521800000000002</v>
      </c>
      <c r="VZ33">
        <v>2.8395549999999998</v>
      </c>
      <c r="WA33">
        <v>3.0481980000000002</v>
      </c>
      <c r="WB33">
        <v>0.106394</v>
      </c>
      <c r="WC33">
        <v>8.6705000000000004E-2</v>
      </c>
      <c r="WD33">
        <v>-1.8127999999999998E-2</v>
      </c>
      <c r="WE33">
        <v>-1.2864E-2</v>
      </c>
      <c r="WF33">
        <v>0.61025600000000002</v>
      </c>
      <c r="WG33">
        <v>0.41709800000000002</v>
      </c>
      <c r="WH33">
        <v>-2.7573E-2</v>
      </c>
      <c r="WI33">
        <v>-1.1188999999999999E-2</v>
      </c>
      <c r="WJ33">
        <v>2687610</v>
      </c>
      <c r="WK33">
        <v>2741270</v>
      </c>
    </row>
    <row r="34" spans="1:609" x14ac:dyDescent="0.25">
      <c r="A34">
        <v>2035</v>
      </c>
      <c r="B34">
        <v>1.958569</v>
      </c>
      <c r="C34">
        <v>153.58539999999999</v>
      </c>
      <c r="D34">
        <v>4.1086229999999997</v>
      </c>
      <c r="E34">
        <v>11.360049999999999</v>
      </c>
      <c r="F34">
        <v>-6.0091809999999999</v>
      </c>
      <c r="G34">
        <v>2.8950969999999998</v>
      </c>
      <c r="H34">
        <v>-1.954763</v>
      </c>
      <c r="I34">
        <v>1.6898010000000001</v>
      </c>
      <c r="J34">
        <v>16.08231</v>
      </c>
      <c r="K34">
        <v>0.370309</v>
      </c>
      <c r="L34">
        <v>15.654030000000001</v>
      </c>
      <c r="M34">
        <v>1.272651</v>
      </c>
      <c r="N34">
        <v>0</v>
      </c>
      <c r="O34">
        <v>-20.943059999999999</v>
      </c>
      <c r="P34">
        <v>-1.713743</v>
      </c>
      <c r="Q34">
        <v>-50.86506</v>
      </c>
      <c r="R34">
        <v>45.118690000000001</v>
      </c>
      <c r="S34">
        <v>100</v>
      </c>
      <c r="T34">
        <v>526.42960000000005</v>
      </c>
      <c r="U34">
        <v>144.1687</v>
      </c>
      <c r="V34">
        <v>374.68040000000002</v>
      </c>
      <c r="W34">
        <v>2.2421009999999999</v>
      </c>
      <c r="X34">
        <v>62240.42</v>
      </c>
      <c r="Y34">
        <v>0.122416</v>
      </c>
      <c r="Z34">
        <v>0.103978</v>
      </c>
      <c r="AA34">
        <v>1.235403</v>
      </c>
      <c r="AB34">
        <v>-1.2789980000000001</v>
      </c>
      <c r="AC34">
        <v>4.3327999999999998E-2</v>
      </c>
      <c r="AD34">
        <v>84717.3</v>
      </c>
      <c r="AE34">
        <v>455655.4</v>
      </c>
      <c r="AF34">
        <v>533298.9</v>
      </c>
      <c r="AG34">
        <v>24892.61</v>
      </c>
      <c r="AH34">
        <v>322810.3</v>
      </c>
      <c r="AI34">
        <v>-4.8260000000000004E-3</v>
      </c>
      <c r="AJ34">
        <v>224.52979999999999</v>
      </c>
      <c r="AK34">
        <v>1599.088</v>
      </c>
      <c r="AL34">
        <v>327.18579999999997</v>
      </c>
      <c r="AM34">
        <v>98.751419999999996</v>
      </c>
      <c r="AN34">
        <v>703.30150000000003</v>
      </c>
      <c r="AO34">
        <v>143.90100000000001</v>
      </c>
      <c r="AP34">
        <v>1501.0540000000001</v>
      </c>
      <c r="AQ34">
        <v>660.18499999999995</v>
      </c>
      <c r="AR34">
        <v>956.77940000000001</v>
      </c>
      <c r="AS34">
        <v>632.9606</v>
      </c>
      <c r="AT34">
        <v>1924.3040000000001</v>
      </c>
      <c r="AU34">
        <v>816.75660000000005</v>
      </c>
      <c r="AV34">
        <v>173.80070000000001</v>
      </c>
      <c r="AW34">
        <v>1.995303</v>
      </c>
      <c r="AX34">
        <v>2.7412890000000001</v>
      </c>
      <c r="AY34">
        <v>3.069207</v>
      </c>
      <c r="AZ34">
        <v>-2.6995480000000001</v>
      </c>
      <c r="BA34">
        <v>4.6876249999999997</v>
      </c>
      <c r="BB34">
        <v>9.8246830000000003</v>
      </c>
      <c r="BC34">
        <v>4.2529950000000003</v>
      </c>
      <c r="BD34">
        <v>10.296480000000001</v>
      </c>
      <c r="BE34">
        <v>-2.8551030000000002</v>
      </c>
      <c r="BF34">
        <v>4.0301179999999999</v>
      </c>
      <c r="BG34">
        <v>6.1444770000000002</v>
      </c>
      <c r="BH34">
        <v>-2.03843</v>
      </c>
      <c r="BI34">
        <v>0.35539799999999999</v>
      </c>
      <c r="BJ34">
        <v>6.0797150000000002</v>
      </c>
      <c r="BK34">
        <v>10.61797</v>
      </c>
      <c r="BL34">
        <v>11.22823</v>
      </c>
      <c r="BM34">
        <v>-1.540916</v>
      </c>
      <c r="BN34">
        <v>-16.343</v>
      </c>
      <c r="BO34">
        <v>-0.61695800000000001</v>
      </c>
      <c r="BP34">
        <v>1.883883</v>
      </c>
      <c r="BQ34">
        <v>0.60036400000000001</v>
      </c>
      <c r="BR34">
        <v>-89.8506</v>
      </c>
      <c r="BS34">
        <v>-30.91761</v>
      </c>
      <c r="BT34">
        <v>-286.3329</v>
      </c>
      <c r="BU34">
        <v>-49.156570000000002</v>
      </c>
      <c r="BV34">
        <v>-88.35915</v>
      </c>
      <c r="BW34">
        <v>-6.0696729999999999</v>
      </c>
      <c r="BX34">
        <v>-94.057069999999996</v>
      </c>
      <c r="BY34">
        <v>1047.8150000000001</v>
      </c>
      <c r="BZ34">
        <v>3710.5079999999998</v>
      </c>
      <c r="CA34">
        <v>-33.379219999999997</v>
      </c>
      <c r="CB34">
        <v>22.60331</v>
      </c>
      <c r="CC34">
        <v>-52.879770000000001</v>
      </c>
      <c r="CD34">
        <v>20.90718</v>
      </c>
      <c r="CE34">
        <v>608.41</v>
      </c>
      <c r="CF34">
        <v>61.688760000000002</v>
      </c>
      <c r="CG34">
        <v>113.0201</v>
      </c>
      <c r="CH34">
        <v>746.22879999999998</v>
      </c>
      <c r="CI34">
        <v>16.96172</v>
      </c>
      <c r="CJ34">
        <v>14.1706</v>
      </c>
      <c r="CK34">
        <v>-3.0199210000000001</v>
      </c>
      <c r="CL34">
        <v>23.516629999999999</v>
      </c>
      <c r="CM34">
        <v>42.015839999999997</v>
      </c>
      <c r="CN34">
        <v>13.39054</v>
      </c>
      <c r="CO34">
        <v>60.622489999999999</v>
      </c>
      <c r="CP34">
        <v>5.4437860000000002</v>
      </c>
      <c r="CQ34">
        <v>7.8297000000000005E-2</v>
      </c>
      <c r="CR34">
        <v>43.318759999999997</v>
      </c>
      <c r="CS34">
        <v>8.1264409999999998</v>
      </c>
      <c r="CT34">
        <v>4.7976739999999998</v>
      </c>
      <c r="CU34">
        <v>9.3766630000000006</v>
      </c>
      <c r="CV34">
        <v>20.80932</v>
      </c>
      <c r="CW34">
        <v>26.409140000000001</v>
      </c>
      <c r="CX34">
        <v>47.92944</v>
      </c>
      <c r="CY34">
        <v>37.852730000000001</v>
      </c>
      <c r="CZ34">
        <v>83.590230000000005</v>
      </c>
      <c r="DA34">
        <v>4.0187739999999996</v>
      </c>
      <c r="DB34">
        <v>1.9394469999999999</v>
      </c>
      <c r="DC34">
        <v>-65.21808</v>
      </c>
      <c r="DD34">
        <v>-33.989409999999999</v>
      </c>
      <c r="DE34">
        <v>381.6902</v>
      </c>
      <c r="DF34">
        <v>-55.769260000000003</v>
      </c>
      <c r="DG34">
        <v>-98.299220000000005</v>
      </c>
      <c r="DH34">
        <v>-8.3956689999999998</v>
      </c>
      <c r="DI34">
        <v>-99.499139999999997</v>
      </c>
      <c r="DJ34">
        <v>1940.856</v>
      </c>
      <c r="DK34">
        <v>8633.0429999999997</v>
      </c>
      <c r="DL34">
        <v>-35.429070000000003</v>
      </c>
      <c r="DM34">
        <v>17.714459999999999</v>
      </c>
      <c r="DN34">
        <v>-63.73686</v>
      </c>
      <c r="DO34">
        <v>26.425439999999998</v>
      </c>
      <c r="DP34">
        <v>987.45899999999995</v>
      </c>
      <c r="DQ34">
        <v>78.287350000000004</v>
      </c>
      <c r="DR34">
        <v>108.6472</v>
      </c>
      <c r="DS34">
        <v>1434.221</v>
      </c>
      <c r="DT34">
        <v>4.5921999999999998E-2</v>
      </c>
      <c r="DU34">
        <v>4.1015689999999996</v>
      </c>
      <c r="DV34">
        <v>-2.9645269999999999</v>
      </c>
      <c r="DW34">
        <v>5.8648569999999998</v>
      </c>
      <c r="DX34">
        <v>4.5910599999999997</v>
      </c>
      <c r="DY34">
        <v>5.342549</v>
      </c>
      <c r="DZ34">
        <v>2.6229580000000001</v>
      </c>
      <c r="EA34">
        <v>5.0060269999999996</v>
      </c>
      <c r="EB34">
        <v>8.6853119999999997</v>
      </c>
      <c r="EC34">
        <v>0</v>
      </c>
      <c r="ED34">
        <v>6.7074559999999996</v>
      </c>
      <c r="EE34">
        <v>5.7808700000000002</v>
      </c>
      <c r="EF34">
        <v>7.2305460000000004</v>
      </c>
      <c r="EG34">
        <v>9.7939419999999995</v>
      </c>
      <c r="EH34">
        <v>16.17116</v>
      </c>
      <c r="EI34">
        <v>-4.1258699999999999</v>
      </c>
      <c r="EJ34">
        <v>-0.31242700000000001</v>
      </c>
      <c r="EK34">
        <v>-5.4751130000000003</v>
      </c>
      <c r="EL34">
        <v>4.5840399999999999</v>
      </c>
      <c r="EM34">
        <v>4.601369</v>
      </c>
      <c r="EN34">
        <v>-31.679079999999999</v>
      </c>
      <c r="EO34">
        <v>-19.712569999999999</v>
      </c>
      <c r="EP34">
        <v>-10.422929999999999</v>
      </c>
      <c r="EQ34">
        <v>-7.7879899999999997</v>
      </c>
      <c r="ER34">
        <v>8.3162350000000007</v>
      </c>
      <c r="ES34">
        <v>68.064700000000002</v>
      </c>
      <c r="ET34">
        <v>1.9097500000000001</v>
      </c>
      <c r="EU34">
        <v>37.518599999999999</v>
      </c>
      <c r="EV34">
        <v>0.60034500000000002</v>
      </c>
      <c r="EW34">
        <v>2.1933389999999999</v>
      </c>
      <c r="EX34">
        <v>2.7699069999999999</v>
      </c>
      <c r="EY34">
        <v>0.87458000000000002</v>
      </c>
      <c r="EZ34">
        <v>0.115908</v>
      </c>
      <c r="FA34">
        <v>5.9113150000000001</v>
      </c>
      <c r="FB34">
        <v>1.896679</v>
      </c>
      <c r="FC34">
        <v>32.771180000000001</v>
      </c>
      <c r="FD34">
        <v>8.9167299999999994</v>
      </c>
      <c r="FE34">
        <v>0.53853499999999999</v>
      </c>
      <c r="FF34">
        <v>0.829874</v>
      </c>
      <c r="FG34">
        <v>1.4920070000000001</v>
      </c>
      <c r="FH34">
        <v>0.33548099999999997</v>
      </c>
      <c r="FI34">
        <v>4.9230980000000004</v>
      </c>
      <c r="FJ34">
        <v>44.318849999999998</v>
      </c>
      <c r="FK34">
        <v>8.327674</v>
      </c>
      <c r="FL34">
        <v>18.96566</v>
      </c>
      <c r="FM34">
        <v>6.7902000000000004E-2</v>
      </c>
      <c r="FN34">
        <v>2.049302</v>
      </c>
      <c r="FO34">
        <v>0.163934</v>
      </c>
      <c r="FP34">
        <v>10.023059999999999</v>
      </c>
      <c r="FQ34">
        <v>4.4143829999999999</v>
      </c>
      <c r="FR34">
        <v>3.9180079999999999</v>
      </c>
      <c r="FS34">
        <v>2.3183039999999999</v>
      </c>
      <c r="FT34">
        <v>16.00366</v>
      </c>
      <c r="FU34">
        <v>12.15532</v>
      </c>
      <c r="FV34">
        <v>4.3096579999999998</v>
      </c>
      <c r="FW34">
        <v>1.521004</v>
      </c>
      <c r="FX34">
        <v>3.575828</v>
      </c>
      <c r="FY34">
        <v>3.3012969999999999</v>
      </c>
      <c r="FZ34">
        <v>6.0290090000000003</v>
      </c>
      <c r="GA34">
        <v>52.152090000000001</v>
      </c>
      <c r="GB34">
        <v>1.9097500000000001</v>
      </c>
      <c r="GC34">
        <v>33.57732</v>
      </c>
      <c r="GD34">
        <v>0.53727899999999995</v>
      </c>
      <c r="GE34">
        <v>1.962931</v>
      </c>
      <c r="GF34">
        <v>2.4789319999999999</v>
      </c>
      <c r="GG34">
        <v>0.78270600000000001</v>
      </c>
      <c r="GH34">
        <v>0.103732</v>
      </c>
      <c r="GI34">
        <v>5.2903390000000003</v>
      </c>
      <c r="GJ34">
        <v>1.697435</v>
      </c>
      <c r="GK34">
        <v>30.886790000000001</v>
      </c>
      <c r="GL34">
        <v>8.9167299999999994</v>
      </c>
      <c r="GM34">
        <v>0.53853499999999999</v>
      </c>
      <c r="GN34">
        <v>0.829874</v>
      </c>
      <c r="GO34">
        <v>1.4920070000000001</v>
      </c>
      <c r="GP34">
        <v>0.33548099999999997</v>
      </c>
      <c r="GQ34">
        <v>2.7406839999999999</v>
      </c>
      <c r="GR34">
        <v>29.521460000000001</v>
      </c>
      <c r="GS34">
        <v>8.327674</v>
      </c>
      <c r="GT34">
        <v>16.499980000000001</v>
      </c>
      <c r="GU34">
        <v>5.9074000000000002E-2</v>
      </c>
      <c r="GV34">
        <v>1.7828759999999999</v>
      </c>
      <c r="GW34">
        <v>0.142621</v>
      </c>
      <c r="GX34">
        <v>8.7199880000000007</v>
      </c>
      <c r="GY34">
        <v>3.8404790000000002</v>
      </c>
      <c r="GZ34">
        <v>3.4086370000000001</v>
      </c>
      <c r="HA34">
        <v>2.0169060000000001</v>
      </c>
      <c r="HB34">
        <v>14.251340000000001</v>
      </c>
      <c r="HC34">
        <v>12.15532</v>
      </c>
      <c r="HD34">
        <v>4.3096579999999998</v>
      </c>
      <c r="HE34">
        <v>1.521004</v>
      </c>
      <c r="HF34">
        <v>3.575828</v>
      </c>
      <c r="HG34">
        <v>3.3012969999999999</v>
      </c>
      <c r="HH34">
        <v>6.1377490000000003</v>
      </c>
      <c r="HI34">
        <v>56.055349999999997</v>
      </c>
      <c r="HJ34">
        <v>1.9097500000000001</v>
      </c>
      <c r="HK34">
        <v>135.4444</v>
      </c>
      <c r="HL34">
        <v>1.296754</v>
      </c>
      <c r="HM34">
        <v>4.7376469999999999</v>
      </c>
      <c r="HN34">
        <v>5.9830439999999996</v>
      </c>
      <c r="HO34">
        <v>0.94548500000000002</v>
      </c>
      <c r="HP34">
        <v>0.125305</v>
      </c>
      <c r="HQ34">
        <v>6.3905700000000003</v>
      </c>
      <c r="HR34">
        <v>5.5438099999999997</v>
      </c>
      <c r="HS34">
        <v>31.09901</v>
      </c>
      <c r="HT34">
        <v>9.0500900000000009</v>
      </c>
      <c r="HU34">
        <v>0.54659000000000002</v>
      </c>
      <c r="HV34">
        <v>0.84228599999999998</v>
      </c>
      <c r="HW34">
        <v>1.5143219999999999</v>
      </c>
      <c r="HX34">
        <v>0.34049800000000002</v>
      </c>
      <c r="HY34">
        <v>2.7759719999999999</v>
      </c>
      <c r="HZ34">
        <v>31.744289999999999</v>
      </c>
      <c r="IA34">
        <v>7.1665460000000003</v>
      </c>
      <c r="IB34">
        <v>61.792349999999999</v>
      </c>
      <c r="IC34">
        <v>6.7938999999999999E-2</v>
      </c>
      <c r="ID34">
        <v>4.0975830000000002</v>
      </c>
      <c r="IE34">
        <v>0.164023</v>
      </c>
      <c r="IF34">
        <v>11.18599</v>
      </c>
      <c r="IG34">
        <v>4.7476989999999999</v>
      </c>
      <c r="IH34">
        <v>4.2138450000000001</v>
      </c>
      <c r="II34">
        <v>7.5767660000000001</v>
      </c>
      <c r="IJ34">
        <v>14.31565</v>
      </c>
      <c r="IK34">
        <v>12.27125</v>
      </c>
      <c r="IL34">
        <v>5.1806939999999999</v>
      </c>
      <c r="IM34">
        <v>1.5430740000000001</v>
      </c>
      <c r="IN34">
        <v>3.6263679999999998</v>
      </c>
      <c r="IO34">
        <v>3.3181799999999999</v>
      </c>
      <c r="IP34">
        <v>4.3193580000000003</v>
      </c>
      <c r="IQ34">
        <v>5.6460569999999999</v>
      </c>
      <c r="IR34">
        <v>0.606595</v>
      </c>
      <c r="IS34">
        <v>1.7870010000000001</v>
      </c>
      <c r="IT34">
        <v>4.1550830000000003</v>
      </c>
      <c r="IU34">
        <v>4.3050389999999998</v>
      </c>
      <c r="IV34">
        <v>5.0083840000000004</v>
      </c>
      <c r="IW34">
        <v>6.0257170000000002</v>
      </c>
      <c r="IX34">
        <v>0.85320300000000004</v>
      </c>
      <c r="IY34">
        <v>7.2496650000000002</v>
      </c>
      <c r="IZ34">
        <v>1.8723970000000001</v>
      </c>
      <c r="JA34">
        <v>8.6497799999999998</v>
      </c>
      <c r="JB34">
        <v>0.42601299999999998</v>
      </c>
      <c r="JC34">
        <v>1.5062469999999999</v>
      </c>
      <c r="JD34">
        <v>0.828044</v>
      </c>
      <c r="JE34">
        <v>17.332260000000002</v>
      </c>
      <c r="JF34">
        <v>0.32066800000000001</v>
      </c>
      <c r="JG34">
        <v>1.6657139999999999</v>
      </c>
      <c r="JH34">
        <v>20.29852</v>
      </c>
      <c r="JI34">
        <v>7.0030400000000004</v>
      </c>
      <c r="JJ34">
        <v>15.06282</v>
      </c>
      <c r="JK34">
        <v>34.599350000000001</v>
      </c>
      <c r="JL34">
        <v>2.7102149999999998</v>
      </c>
      <c r="JM34">
        <v>4.6731800000000003</v>
      </c>
      <c r="JN34">
        <v>0.51887499999999998</v>
      </c>
      <c r="JO34">
        <v>1.334946</v>
      </c>
      <c r="JP34">
        <v>2.8508800000000001</v>
      </c>
      <c r="JQ34">
        <v>3.4545819999999998</v>
      </c>
      <c r="JR34">
        <v>3.6461980000000001</v>
      </c>
      <c r="JS34">
        <v>4.9503820000000003</v>
      </c>
      <c r="JT34">
        <v>0.75685800000000003</v>
      </c>
      <c r="JU34">
        <v>3.7468460000000001</v>
      </c>
      <c r="JV34">
        <v>1.3014079999999999</v>
      </c>
      <c r="JW34">
        <v>7.3183720000000001</v>
      </c>
      <c r="JX34">
        <v>0.340646</v>
      </c>
      <c r="JY34">
        <v>1.208771</v>
      </c>
      <c r="JZ34">
        <v>0.75162700000000005</v>
      </c>
      <c r="KA34">
        <v>10.07099</v>
      </c>
      <c r="KB34">
        <v>9.7736000000000003E-2</v>
      </c>
      <c r="KC34">
        <v>0.61480699999999999</v>
      </c>
      <c r="KD34">
        <v>17.010259999999999</v>
      </c>
      <c r="KE34">
        <v>5.6525340000000002</v>
      </c>
      <c r="KF34">
        <v>13.141690000000001</v>
      </c>
      <c r="KG34">
        <v>30.023019999999999</v>
      </c>
      <c r="KH34">
        <v>9031.3889999999992</v>
      </c>
      <c r="KI34">
        <v>10183.950000000001</v>
      </c>
      <c r="KJ34">
        <v>6296.3739999999998</v>
      </c>
      <c r="KK34">
        <v>2703.1120000000001</v>
      </c>
      <c r="KL34">
        <v>1804.5229999999999</v>
      </c>
      <c r="KM34">
        <v>569.75530000000003</v>
      </c>
      <c r="KN34">
        <v>601.58090000000004</v>
      </c>
      <c r="KO34">
        <v>0</v>
      </c>
      <c r="KP34">
        <v>26773.24</v>
      </c>
      <c r="KQ34">
        <v>4417.45</v>
      </c>
      <c r="KR34">
        <v>0</v>
      </c>
      <c r="KS34">
        <v>9712.4449999999997</v>
      </c>
      <c r="KT34">
        <v>8242.0630000000001</v>
      </c>
      <c r="KU34">
        <v>5588.674</v>
      </c>
      <c r="KV34">
        <v>2975.665</v>
      </c>
      <c r="KW34">
        <v>1658.146</v>
      </c>
      <c r="KX34">
        <v>522.01549999999997</v>
      </c>
      <c r="KY34">
        <v>315.34410000000003</v>
      </c>
      <c r="KZ34">
        <v>0</v>
      </c>
      <c r="LA34">
        <v>21615.82</v>
      </c>
      <c r="LB34">
        <v>7398.53</v>
      </c>
      <c r="LC34">
        <v>0</v>
      </c>
      <c r="LD34" s="21">
        <v>125000000</v>
      </c>
      <c r="LE34" s="21">
        <v>339000000</v>
      </c>
      <c r="LF34" s="21">
        <v>827000000</v>
      </c>
      <c r="LG34" s="21">
        <v>714000000</v>
      </c>
      <c r="LH34" s="21">
        <v>547000000</v>
      </c>
      <c r="LI34" s="21">
        <v>250000000</v>
      </c>
      <c r="LJ34" s="21">
        <v>129000000</v>
      </c>
      <c r="LK34" s="21">
        <v>2.96E-6</v>
      </c>
      <c r="LL34" s="21">
        <v>5.7899999999999996E-6</v>
      </c>
      <c r="LM34" s="21">
        <v>1.08E-5</v>
      </c>
      <c r="LN34" s="21">
        <v>2.3099999999999999E-5</v>
      </c>
      <c r="LO34" s="21">
        <v>3.65E-5</v>
      </c>
      <c r="LP34" s="21">
        <v>5.4200000000000003E-5</v>
      </c>
      <c r="LQ34" s="21">
        <v>8.0099999999999995E-5</v>
      </c>
      <c r="LR34" s="21">
        <v>246000000</v>
      </c>
      <c r="LS34" s="21">
        <v>441000000</v>
      </c>
      <c r="LT34" s="21">
        <v>819000000</v>
      </c>
      <c r="LU34" s="21">
        <v>632000000</v>
      </c>
      <c r="LV34" s="21">
        <v>477000000</v>
      </c>
      <c r="LW34" s="21">
        <v>209000000</v>
      </c>
      <c r="LX34" s="21">
        <v>107000000</v>
      </c>
      <c r="LY34" s="21">
        <v>5.4399999999999996E-6</v>
      </c>
      <c r="LZ34" s="21">
        <v>1.03E-5</v>
      </c>
      <c r="MA34" s="21">
        <v>1.88E-5</v>
      </c>
      <c r="MB34" s="21">
        <v>3.96E-5</v>
      </c>
      <c r="MC34" s="21">
        <v>5.9500000000000003E-5</v>
      </c>
      <c r="MD34" s="21">
        <v>8.6299999999999997E-5</v>
      </c>
      <c r="ME34">
        <v>1.21E-4</v>
      </c>
      <c r="MF34">
        <v>0.39115699999999998</v>
      </c>
      <c r="MG34">
        <v>0.32837899999999998</v>
      </c>
      <c r="MH34">
        <v>0.197239</v>
      </c>
      <c r="MI34">
        <v>8.2003000000000006E-2</v>
      </c>
      <c r="MJ34">
        <v>1.2210000000000001E-3</v>
      </c>
      <c r="MK34" s="21">
        <v>8.1699999999999997E-8</v>
      </c>
      <c r="ML34" s="21">
        <v>5.75E-7</v>
      </c>
      <c r="MM34">
        <v>0.94287200000000004</v>
      </c>
      <c r="MN34">
        <v>0.77034199999999997</v>
      </c>
      <c r="MO34">
        <v>0.465082</v>
      </c>
      <c r="MP34">
        <v>0.197216</v>
      </c>
      <c r="MQ34">
        <v>5.3300000000000005E-4</v>
      </c>
      <c r="MR34">
        <v>-0.22087399999999999</v>
      </c>
      <c r="MS34">
        <v>-1.15517</v>
      </c>
      <c r="MT34">
        <v>0.44758199999999998</v>
      </c>
      <c r="MU34">
        <v>0.27497899999999997</v>
      </c>
      <c r="MV34">
        <v>0.18199899999999999</v>
      </c>
      <c r="MW34">
        <v>9.5436999999999994E-2</v>
      </c>
      <c r="MX34" s="21">
        <v>3.3500000000000001E-6</v>
      </c>
      <c r="MY34">
        <v>0</v>
      </c>
      <c r="MZ34" s="21">
        <v>3.9799999999999999E-8</v>
      </c>
      <c r="NA34">
        <v>2.4673050000000001</v>
      </c>
      <c r="NB34">
        <v>1.500443</v>
      </c>
      <c r="NC34">
        <v>0.99092000000000002</v>
      </c>
      <c r="ND34">
        <v>0.51810500000000004</v>
      </c>
      <c r="NE34">
        <v>-4.5935999999999998E-2</v>
      </c>
      <c r="NF34">
        <v>-0.71227799999999997</v>
      </c>
      <c r="NG34">
        <v>-3.7185589999999999</v>
      </c>
      <c r="NH34">
        <v>5.0990000000000002E-3</v>
      </c>
      <c r="NI34">
        <v>5.4479999999999997E-3</v>
      </c>
      <c r="NJ34">
        <v>7.5110000000000003E-3</v>
      </c>
      <c r="NK34">
        <v>3.2426000000000003E-2</v>
      </c>
      <c r="NL34">
        <v>3.9931000000000001E-2</v>
      </c>
      <c r="NM34">
        <v>9.4058000000000003E-2</v>
      </c>
      <c r="NN34">
        <v>5.0990000000000002E-3</v>
      </c>
      <c r="NO34">
        <v>5.4479999999999997E-3</v>
      </c>
      <c r="NP34">
        <v>7.5110000000000003E-3</v>
      </c>
      <c r="NQ34">
        <v>3.2426000000000003E-2</v>
      </c>
      <c r="NR34">
        <v>3.9931000000000001E-2</v>
      </c>
      <c r="NS34">
        <v>9.4058000000000003E-2</v>
      </c>
      <c r="NT34">
        <v>2.5554E-2</v>
      </c>
      <c r="NU34">
        <v>2.6107000000000002E-2</v>
      </c>
      <c r="NV34">
        <v>3.0162999999999999E-2</v>
      </c>
      <c r="NW34">
        <v>5.1831000000000002E-2</v>
      </c>
      <c r="NX34">
        <v>5.8645000000000003E-2</v>
      </c>
      <c r="NY34">
        <v>0.10932699999999999</v>
      </c>
      <c r="NZ34">
        <v>2.5554E-2</v>
      </c>
      <c r="OA34">
        <v>2.6107000000000002E-2</v>
      </c>
      <c r="OB34">
        <v>3.0162999999999999E-2</v>
      </c>
      <c r="OC34">
        <v>5.1831000000000002E-2</v>
      </c>
      <c r="OD34">
        <v>5.8645000000000003E-2</v>
      </c>
      <c r="OE34">
        <v>0.10932699999999999</v>
      </c>
      <c r="OF34">
        <v>42.935079999999999</v>
      </c>
      <c r="OG34">
        <v>25923.01</v>
      </c>
      <c r="OH34">
        <v>19347.72</v>
      </c>
      <c r="OI34">
        <v>7365.777</v>
      </c>
      <c r="OJ34">
        <v>29.333639999999999</v>
      </c>
      <c r="OK34">
        <v>20812.919999999998</v>
      </c>
      <c r="OL34">
        <v>17331.12</v>
      </c>
      <c r="OM34">
        <v>6792.1310000000003</v>
      </c>
      <c r="ON34">
        <v>1716177</v>
      </c>
      <c r="OO34">
        <v>1777815</v>
      </c>
      <c r="OP34">
        <v>12810.37</v>
      </c>
      <c r="OQ34">
        <v>7340.4949999999999</v>
      </c>
      <c r="OR34">
        <v>5615.37</v>
      </c>
      <c r="OS34">
        <v>568.59969999999998</v>
      </c>
      <c r="OT34">
        <v>1789.4739999999999</v>
      </c>
      <c r="OU34">
        <v>1404.703</v>
      </c>
      <c r="OV34">
        <v>369.13060000000002</v>
      </c>
      <c r="OW34">
        <v>1447.1980000000001</v>
      </c>
      <c r="OX34">
        <v>1467.819</v>
      </c>
      <c r="OY34">
        <v>1166.0630000000001</v>
      </c>
      <c r="OZ34">
        <v>673.00909999999999</v>
      </c>
      <c r="PA34">
        <v>22584.23</v>
      </c>
      <c r="PB34">
        <v>8175.4949999999999</v>
      </c>
      <c r="PC34">
        <v>1451.5229999999999</v>
      </c>
      <c r="PD34">
        <v>2515.3249999999998</v>
      </c>
      <c r="PE34">
        <v>7174.857</v>
      </c>
      <c r="PF34">
        <v>1485.2860000000001</v>
      </c>
      <c r="PG34">
        <v>2819.6579999999999</v>
      </c>
      <c r="PH34">
        <v>224152.1</v>
      </c>
      <c r="PI34">
        <v>95747.839999999997</v>
      </c>
      <c r="PJ34">
        <v>1.940876</v>
      </c>
      <c r="PK34">
        <v>489.29509999999999</v>
      </c>
      <c r="PL34">
        <v>90.982529999999997</v>
      </c>
      <c r="PM34">
        <v>2433.4459999999999</v>
      </c>
      <c r="PN34">
        <v>461.35599999999999</v>
      </c>
      <c r="PO34">
        <v>169.52680000000001</v>
      </c>
      <c r="PP34">
        <v>259.46010000000001</v>
      </c>
      <c r="PQ34">
        <v>598.32920000000001</v>
      </c>
      <c r="PR34">
        <v>99.779629999999997</v>
      </c>
      <c r="PS34">
        <v>618.99490000000003</v>
      </c>
      <c r="PT34">
        <v>1314.318</v>
      </c>
      <c r="PU34">
        <v>419.34539999999998</v>
      </c>
      <c r="PV34">
        <v>751.44979999999998</v>
      </c>
      <c r="PW34">
        <v>57.787730000000003</v>
      </c>
      <c r="PX34">
        <v>130.45249999999999</v>
      </c>
      <c r="PY34">
        <v>687.88729999999998</v>
      </c>
      <c r="PZ34">
        <v>126.0091</v>
      </c>
      <c r="QA34">
        <v>409469</v>
      </c>
      <c r="QB34">
        <v>8834.93</v>
      </c>
      <c r="QC34">
        <v>82835.149999999994</v>
      </c>
      <c r="QD34">
        <v>11379.49</v>
      </c>
      <c r="QE34">
        <v>10856.69</v>
      </c>
      <c r="QF34">
        <v>7732.6030000000001</v>
      </c>
      <c r="QG34">
        <v>3683.6849999999999</v>
      </c>
      <c r="QH34">
        <v>76.411770000000004</v>
      </c>
      <c r="QI34">
        <v>7.2579999999999997E-3</v>
      </c>
      <c r="QJ34">
        <v>6.7546999999999996E-2</v>
      </c>
      <c r="QK34">
        <v>14983.22</v>
      </c>
      <c r="QL34">
        <v>8380.6880000000001</v>
      </c>
      <c r="QM34">
        <v>5445.7910000000002</v>
      </c>
      <c r="QN34">
        <v>702.3152</v>
      </c>
      <c r="QO34">
        <v>2541.337</v>
      </c>
      <c r="QP34">
        <v>1592.8</v>
      </c>
      <c r="QQ34">
        <v>592.9067</v>
      </c>
      <c r="QR34">
        <v>1525.98</v>
      </c>
      <c r="QS34">
        <v>1468.9680000000001</v>
      </c>
      <c r="QT34">
        <v>1671.1869999999999</v>
      </c>
      <c r="QU34">
        <v>727.70069999999998</v>
      </c>
      <c r="QV34">
        <v>23667.75</v>
      </c>
      <c r="QW34">
        <v>8942.0840000000007</v>
      </c>
      <c r="QX34">
        <v>1753.575</v>
      </c>
      <c r="QY34">
        <v>3179.6</v>
      </c>
      <c r="QZ34">
        <v>10613.73</v>
      </c>
      <c r="RA34">
        <v>2047.508</v>
      </c>
      <c r="RB34">
        <v>5176.6170000000002</v>
      </c>
      <c r="RC34">
        <v>233160.3</v>
      </c>
      <c r="RD34">
        <v>97604.82</v>
      </c>
      <c r="RE34">
        <v>0.67507399999999995</v>
      </c>
      <c r="RF34">
        <v>322.98660000000001</v>
      </c>
      <c r="RG34">
        <v>438.25400000000002</v>
      </c>
      <c r="RH34">
        <v>1076.3309999999999</v>
      </c>
      <c r="RI34">
        <v>7.8466430000000003</v>
      </c>
      <c r="RJ34">
        <v>155.29390000000001</v>
      </c>
      <c r="RK34">
        <v>1.299523</v>
      </c>
      <c r="RL34">
        <v>12211.04</v>
      </c>
      <c r="RM34">
        <v>8713.7980000000007</v>
      </c>
      <c r="RN34">
        <v>399.69080000000002</v>
      </c>
      <c r="RO34">
        <v>1547.143</v>
      </c>
      <c r="RP34">
        <v>152.06780000000001</v>
      </c>
      <c r="RQ34">
        <v>950.02380000000005</v>
      </c>
      <c r="RR34">
        <v>628.41790000000003</v>
      </c>
      <c r="RS34">
        <v>232.5804</v>
      </c>
      <c r="RT34">
        <v>1435.258</v>
      </c>
      <c r="RU34">
        <v>1933.2570000000001</v>
      </c>
      <c r="RV34">
        <v>455984.8</v>
      </c>
      <c r="RW34">
        <v>15950.25</v>
      </c>
      <c r="RX34">
        <v>79619.240000000005</v>
      </c>
      <c r="RY34">
        <v>11818.75</v>
      </c>
      <c r="RZ34">
        <v>8251.8029999999999</v>
      </c>
      <c r="SA34">
        <v>6476.3270000000002</v>
      </c>
      <c r="SB34">
        <v>3891.3240000000001</v>
      </c>
      <c r="SC34">
        <v>0.19045899999999999</v>
      </c>
      <c r="SD34">
        <v>5.7700000000000004E-4</v>
      </c>
      <c r="SE34">
        <v>4.2399999999999998E-3</v>
      </c>
      <c r="SF34">
        <v>31779.040000000001</v>
      </c>
      <c r="SG34">
        <v>42.935079999999999</v>
      </c>
      <c r="SH34">
        <v>6354.5349999999999</v>
      </c>
      <c r="SI34">
        <v>18015.8</v>
      </c>
      <c r="SJ34">
        <v>7365.777</v>
      </c>
      <c r="SK34">
        <v>26753.11</v>
      </c>
      <c r="SL34">
        <v>29.333639999999999</v>
      </c>
      <c r="SM34">
        <v>4830.3119999999999</v>
      </c>
      <c r="SN34">
        <v>15101.33</v>
      </c>
      <c r="SO34">
        <v>6792.1310000000003</v>
      </c>
      <c r="SP34">
        <v>128421.4</v>
      </c>
      <c r="SQ34">
        <v>64235.199999999997</v>
      </c>
      <c r="SR34">
        <v>135946.4</v>
      </c>
      <c r="SS34">
        <v>74146.62</v>
      </c>
      <c r="ST34">
        <v>34.599350000000001</v>
      </c>
      <c r="SU34">
        <v>0.25859900000000002</v>
      </c>
      <c r="SV34">
        <v>4.5735869999999998</v>
      </c>
      <c r="SW34">
        <v>12.86286</v>
      </c>
      <c r="SX34">
        <v>16.904299999999999</v>
      </c>
      <c r="SY34">
        <v>30.023019999999999</v>
      </c>
      <c r="SZ34">
        <v>0.176677</v>
      </c>
      <c r="TA34">
        <v>3.4765489999999999</v>
      </c>
      <c r="TB34">
        <v>10.782</v>
      </c>
      <c r="TC34">
        <v>15.58779</v>
      </c>
      <c r="TD34">
        <v>26562.799999999999</v>
      </c>
      <c r="TE34">
        <v>826.92639999999994</v>
      </c>
      <c r="TF34">
        <v>527.06169999999997</v>
      </c>
      <c r="TG34">
        <v>214.8802</v>
      </c>
      <c r="TH34">
        <v>52.284489999999998</v>
      </c>
      <c r="TI34">
        <v>106.8626</v>
      </c>
      <c r="TJ34">
        <v>88.36712</v>
      </c>
      <c r="TK34">
        <v>26.264320000000001</v>
      </c>
      <c r="TL34">
        <v>30.387250000000002</v>
      </c>
      <c r="TM34">
        <v>170.00290000000001</v>
      </c>
      <c r="TN34">
        <v>41.555010000000003</v>
      </c>
      <c r="TO34">
        <v>26.959679999999999</v>
      </c>
      <c r="TP34">
        <v>2092.4209999999998</v>
      </c>
      <c r="TQ34">
        <v>2026.789</v>
      </c>
      <c r="TR34">
        <v>103.0505</v>
      </c>
      <c r="TS34">
        <v>188.5095</v>
      </c>
      <c r="TT34">
        <v>425.46260000000001</v>
      </c>
      <c r="TU34">
        <v>42.178400000000003</v>
      </c>
      <c r="TV34">
        <v>74.097049999999996</v>
      </c>
      <c r="TW34">
        <v>12721.47</v>
      </c>
      <c r="TX34">
        <v>6661.1570000000002</v>
      </c>
      <c r="TY34">
        <v>0.49622100000000002</v>
      </c>
      <c r="TZ34">
        <v>8.4975269999999998</v>
      </c>
      <c r="UA34">
        <v>4.1975340000000001</v>
      </c>
      <c r="UB34">
        <v>57.55397</v>
      </c>
      <c r="UC34">
        <v>0.695627</v>
      </c>
      <c r="UD34">
        <v>2.3106779999999998</v>
      </c>
      <c r="UE34">
        <v>4.2232079999999996</v>
      </c>
      <c r="UF34">
        <v>1.5658380000000001</v>
      </c>
      <c r="UG34">
        <v>0.76073500000000005</v>
      </c>
      <c r="UH34">
        <v>10.09549</v>
      </c>
      <c r="UI34">
        <v>4.8999290000000002</v>
      </c>
      <c r="UJ34">
        <v>13.26826</v>
      </c>
      <c r="UK34">
        <v>5.0060380000000002</v>
      </c>
      <c r="UL34">
        <v>0.36871900000000002</v>
      </c>
      <c r="UM34">
        <v>0.41243999999999997</v>
      </c>
      <c r="UN34">
        <v>1.448359</v>
      </c>
      <c r="UO34">
        <v>0.30870599999999998</v>
      </c>
      <c r="UP34">
        <v>27011.65</v>
      </c>
      <c r="UQ34">
        <v>828.85239999999999</v>
      </c>
      <c r="UR34">
        <v>537.81410000000005</v>
      </c>
      <c r="US34">
        <v>208.9708</v>
      </c>
      <c r="UT34">
        <v>55.113869999999999</v>
      </c>
      <c r="UU34">
        <v>120.3788</v>
      </c>
      <c r="UV34">
        <v>94.266019999999997</v>
      </c>
      <c r="UW34">
        <v>26.356020000000001</v>
      </c>
      <c r="UX34">
        <v>29.956060000000001</v>
      </c>
      <c r="UY34">
        <v>180.7414</v>
      </c>
      <c r="UZ34">
        <v>43.407130000000002</v>
      </c>
      <c r="VA34">
        <v>25.848099999999999</v>
      </c>
      <c r="VB34">
        <v>2097.1129999999998</v>
      </c>
      <c r="VC34">
        <v>2151.0129999999999</v>
      </c>
      <c r="VD34">
        <v>112.99120000000001</v>
      </c>
      <c r="VE34">
        <v>210.2774</v>
      </c>
      <c r="VF34">
        <v>413.05439999999999</v>
      </c>
      <c r="VG34">
        <v>35.40437</v>
      </c>
      <c r="VH34">
        <v>77.197389999999999</v>
      </c>
      <c r="VI34">
        <v>12934.11</v>
      </c>
      <c r="VJ34">
        <v>6681.6459999999997</v>
      </c>
      <c r="VK34">
        <v>0.24423800000000001</v>
      </c>
      <c r="VL34">
        <v>6.1854979999999999</v>
      </c>
      <c r="VM34">
        <v>18.924029999999998</v>
      </c>
      <c r="VN34">
        <v>28.944939999999999</v>
      </c>
      <c r="VO34">
        <v>8.5397000000000001E-2</v>
      </c>
      <c r="VP34">
        <v>2.1743980000000001</v>
      </c>
      <c r="VQ34">
        <v>0.25417099999999998</v>
      </c>
      <c r="VR34">
        <v>20.129439999999999</v>
      </c>
      <c r="VS34">
        <v>34.193930000000002</v>
      </c>
      <c r="VT34">
        <v>6.8489890000000004</v>
      </c>
      <c r="VU34">
        <v>6.5457520000000002</v>
      </c>
      <c r="VV34">
        <v>6.2683229999999996</v>
      </c>
      <c r="VW34">
        <v>6.57423</v>
      </c>
      <c r="VX34">
        <v>2.8945650000000001</v>
      </c>
      <c r="VY34">
        <v>0.71988200000000002</v>
      </c>
      <c r="VZ34">
        <v>3.119488</v>
      </c>
      <c r="WA34">
        <v>3.0315479999999999</v>
      </c>
      <c r="WB34">
        <v>0.10949399999999999</v>
      </c>
      <c r="WC34">
        <v>8.9945999999999998E-2</v>
      </c>
      <c r="WD34">
        <v>-1.9136E-2</v>
      </c>
      <c r="WE34">
        <v>-1.3426E-2</v>
      </c>
      <c r="WF34">
        <v>0.61775899999999995</v>
      </c>
      <c r="WG34">
        <v>0.408329</v>
      </c>
      <c r="WH34">
        <v>-2.8995E-2</v>
      </c>
      <c r="WI34">
        <v>-1.1856999999999999E-2</v>
      </c>
      <c r="WJ34">
        <v>2722662</v>
      </c>
      <c r="WK34">
        <v>2775987</v>
      </c>
    </row>
    <row r="35" spans="1:609" x14ac:dyDescent="0.25">
      <c r="A35">
        <v>2036</v>
      </c>
      <c r="B35">
        <v>1.9051089999999999</v>
      </c>
      <c r="C35">
        <v>155.51840000000001</v>
      </c>
      <c r="D35">
        <v>4.317183</v>
      </c>
      <c r="E35">
        <v>11.658709999999999</v>
      </c>
      <c r="F35">
        <v>-6.6671990000000001</v>
      </c>
      <c r="G35">
        <v>3.2121360000000001</v>
      </c>
      <c r="H35">
        <v>-1.908415</v>
      </c>
      <c r="I35">
        <v>1.6459010000000001</v>
      </c>
      <c r="J35">
        <v>17.67726</v>
      </c>
      <c r="K35">
        <v>0.480819</v>
      </c>
      <c r="L35">
        <v>17.114149999999999</v>
      </c>
      <c r="M35">
        <v>1.2889649999999999</v>
      </c>
      <c r="N35">
        <v>0</v>
      </c>
      <c r="O35">
        <v>-22.605219999999999</v>
      </c>
      <c r="P35">
        <v>-1.780629</v>
      </c>
      <c r="Q35">
        <v>-53.05883</v>
      </c>
      <c r="R35">
        <v>42.745249999999999</v>
      </c>
      <c r="S35">
        <v>100</v>
      </c>
      <c r="T35">
        <v>556.15570000000002</v>
      </c>
      <c r="U35">
        <v>149.55770000000001</v>
      </c>
      <c r="V35">
        <v>389.4194</v>
      </c>
      <c r="W35">
        <v>2.1591109999999998</v>
      </c>
      <c r="X35">
        <v>60690.98</v>
      </c>
      <c r="Y35">
        <v>0.122903</v>
      </c>
      <c r="Z35">
        <v>0.114134</v>
      </c>
      <c r="AA35">
        <v>1.7480899999999999</v>
      </c>
      <c r="AB35">
        <v>-1.2650049999999999</v>
      </c>
      <c r="AC35">
        <v>4.3327999999999998E-2</v>
      </c>
      <c r="AD35">
        <v>85827.16</v>
      </c>
      <c r="AE35">
        <v>523481.2</v>
      </c>
      <c r="AF35">
        <v>605284.19999999995</v>
      </c>
      <c r="AG35">
        <v>35522.57</v>
      </c>
      <c r="AH35">
        <v>349112</v>
      </c>
      <c r="AI35">
        <v>-5.1029999999999999E-3</v>
      </c>
      <c r="AJ35">
        <v>232.12880000000001</v>
      </c>
      <c r="AK35">
        <v>1820.64</v>
      </c>
      <c r="AL35">
        <v>350.74790000000002</v>
      </c>
      <c r="AM35">
        <v>98.409899999999993</v>
      </c>
      <c r="AN35">
        <v>771.85170000000005</v>
      </c>
      <c r="AO35">
        <v>148.6979</v>
      </c>
      <c r="AP35">
        <v>1682.5050000000001</v>
      </c>
      <c r="AQ35">
        <v>713.28980000000001</v>
      </c>
      <c r="AR35">
        <v>987.88919999999996</v>
      </c>
      <c r="AS35">
        <v>629.5761</v>
      </c>
      <c r="AT35">
        <v>2006.078</v>
      </c>
      <c r="AU35">
        <v>850.40060000000005</v>
      </c>
      <c r="AV35">
        <v>174.15639999999999</v>
      </c>
      <c r="AW35">
        <v>1.9292640000000001</v>
      </c>
      <c r="AX35">
        <v>2.557274</v>
      </c>
      <c r="AY35">
        <v>3.0531239999999999</v>
      </c>
      <c r="AZ35">
        <v>-2.8754849999999998</v>
      </c>
      <c r="BA35">
        <v>4.2824</v>
      </c>
      <c r="BB35">
        <v>9.7014829999999996</v>
      </c>
      <c r="BC35">
        <v>3.8459989999999999</v>
      </c>
      <c r="BD35">
        <v>9.5078200000000006</v>
      </c>
      <c r="BE35">
        <v>-3.4479660000000001</v>
      </c>
      <c r="BF35">
        <v>3.7666740000000001</v>
      </c>
      <c r="BG35">
        <v>5.6832830000000003</v>
      </c>
      <c r="BH35">
        <v>-2.5650930000000001</v>
      </c>
      <c r="BI35">
        <v>0.106225</v>
      </c>
      <c r="BJ35">
        <v>6.1270350000000002</v>
      </c>
      <c r="BK35">
        <v>9.9788209999999999</v>
      </c>
      <c r="BL35">
        <v>10.60524</v>
      </c>
      <c r="BM35">
        <v>-2.2514080000000001</v>
      </c>
      <c r="BN35">
        <v>-17.309439999999999</v>
      </c>
      <c r="BO35">
        <v>-1.667397</v>
      </c>
      <c r="BP35">
        <v>1.8755269999999999</v>
      </c>
      <c r="BQ35">
        <v>0.60898200000000002</v>
      </c>
      <c r="BR35">
        <v>-93.408779999999993</v>
      </c>
      <c r="BS35">
        <v>-33.317259999999997</v>
      </c>
      <c r="BT35">
        <v>-180.97409999999999</v>
      </c>
      <c r="BU35">
        <v>-49.797150000000002</v>
      </c>
      <c r="BV35">
        <v>-88.559200000000004</v>
      </c>
      <c r="BW35">
        <v>-5.7762089999999997</v>
      </c>
      <c r="BX35">
        <v>-94.275840000000002</v>
      </c>
      <c r="BY35">
        <v>1019.2089999999999</v>
      </c>
      <c r="BZ35">
        <v>3696.82</v>
      </c>
      <c r="CA35">
        <v>-33.972610000000003</v>
      </c>
      <c r="CB35">
        <v>20.76192</v>
      </c>
      <c r="CC35">
        <v>-53.557659999999998</v>
      </c>
      <c r="CD35">
        <v>20.098330000000001</v>
      </c>
      <c r="CE35">
        <v>620.24789999999996</v>
      </c>
      <c r="CF35">
        <v>65.446439999999996</v>
      </c>
      <c r="CG35">
        <v>135.66970000000001</v>
      </c>
      <c r="CH35">
        <v>751.51959999999997</v>
      </c>
      <c r="CI35">
        <v>18.01126</v>
      </c>
      <c r="CJ35">
        <v>14.913639999999999</v>
      </c>
      <c r="CK35">
        <v>-3.079882</v>
      </c>
      <c r="CL35">
        <v>24.789249999999999</v>
      </c>
      <c r="CM35">
        <v>44.940300000000001</v>
      </c>
      <c r="CN35">
        <v>14.18441</v>
      </c>
      <c r="CO35">
        <v>63.590560000000004</v>
      </c>
      <c r="CP35">
        <v>5.9458299999999999</v>
      </c>
      <c r="CQ35">
        <v>8.6552000000000004E-2</v>
      </c>
      <c r="CR35">
        <v>44.753439999999998</v>
      </c>
      <c r="CS35">
        <v>8.3300409999999996</v>
      </c>
      <c r="CT35">
        <v>4.8904129999999997</v>
      </c>
      <c r="CU35">
        <v>9.8265849999999997</v>
      </c>
      <c r="CV35">
        <v>21.233129999999999</v>
      </c>
      <c r="CW35">
        <v>27.16236</v>
      </c>
      <c r="CX35">
        <v>51.767740000000003</v>
      </c>
      <c r="CY35">
        <v>41.146549999999998</v>
      </c>
      <c r="CZ35">
        <v>90.530529999999999</v>
      </c>
      <c r="DA35">
        <v>4.2146509999999999</v>
      </c>
      <c r="DB35">
        <v>2.0828579999999999</v>
      </c>
      <c r="DC35">
        <v>-65.457819999999998</v>
      </c>
      <c r="DD35">
        <v>-37.013309999999997</v>
      </c>
      <c r="DE35">
        <v>499.8843</v>
      </c>
      <c r="DF35">
        <v>-56.917520000000003</v>
      </c>
      <c r="DG35">
        <v>-98.47157</v>
      </c>
      <c r="DH35">
        <v>-8.4577220000000004</v>
      </c>
      <c r="DI35">
        <v>-99.561509999999998</v>
      </c>
      <c r="DJ35">
        <v>1879.5260000000001</v>
      </c>
      <c r="DK35">
        <v>8740.982</v>
      </c>
      <c r="DL35">
        <v>-37.852240000000002</v>
      </c>
      <c r="DM35">
        <v>18.21255</v>
      </c>
      <c r="DN35">
        <v>-65.973590000000002</v>
      </c>
      <c r="DO35">
        <v>26.372389999999999</v>
      </c>
      <c r="DP35">
        <v>1030.7370000000001</v>
      </c>
      <c r="DQ35">
        <v>84.637929999999997</v>
      </c>
      <c r="DR35">
        <v>137.15369999999999</v>
      </c>
      <c r="DS35">
        <v>1486.855</v>
      </c>
      <c r="DT35">
        <v>4.9735000000000001E-2</v>
      </c>
      <c r="DU35">
        <v>4.323194</v>
      </c>
      <c r="DV35">
        <v>-1.6204829999999999</v>
      </c>
      <c r="DW35">
        <v>6.019933</v>
      </c>
      <c r="DX35">
        <v>4.7833560000000004</v>
      </c>
      <c r="DY35">
        <v>5.5615360000000003</v>
      </c>
      <c r="DZ35">
        <v>2.883975</v>
      </c>
      <c r="EA35">
        <v>5.4559930000000003</v>
      </c>
      <c r="EB35">
        <v>9.0376650000000005</v>
      </c>
      <c r="EC35">
        <v>0</v>
      </c>
      <c r="ED35">
        <v>7.1742400000000002</v>
      </c>
      <c r="EE35">
        <v>6.1221589999999999</v>
      </c>
      <c r="EF35">
        <v>7.1217819999999996</v>
      </c>
      <c r="EG35">
        <v>9.1781109999999995</v>
      </c>
      <c r="EH35">
        <v>15.004519999999999</v>
      </c>
      <c r="EI35">
        <v>-4.0414770000000004</v>
      </c>
      <c r="EJ35">
        <v>-3.1440999999999997E-2</v>
      </c>
      <c r="EK35">
        <v>-5.3733700000000004</v>
      </c>
      <c r="EL35">
        <v>4.7534539999999996</v>
      </c>
      <c r="EM35">
        <v>4.7415770000000004</v>
      </c>
      <c r="EN35">
        <v>-32.50667</v>
      </c>
      <c r="EO35">
        <v>-20.11589</v>
      </c>
      <c r="EP35">
        <v>-11.06616</v>
      </c>
      <c r="EQ35">
        <v>-8.3540679999999998</v>
      </c>
      <c r="ER35">
        <v>8.3381769999999999</v>
      </c>
      <c r="ES35">
        <v>67.009050000000002</v>
      </c>
      <c r="ET35">
        <v>1.8776349999999999</v>
      </c>
      <c r="EU35">
        <v>37.829859999999996</v>
      </c>
      <c r="EV35">
        <v>0.605325</v>
      </c>
      <c r="EW35">
        <v>2.211535</v>
      </c>
      <c r="EX35">
        <v>2.7928860000000002</v>
      </c>
      <c r="EY35">
        <v>0.88183500000000004</v>
      </c>
      <c r="EZ35">
        <v>0.11687</v>
      </c>
      <c r="FA35">
        <v>5.9603549999999998</v>
      </c>
      <c r="FB35">
        <v>1.9124129999999999</v>
      </c>
      <c r="FC35">
        <v>32.449069999999999</v>
      </c>
      <c r="FD35">
        <v>8.8298459999999999</v>
      </c>
      <c r="FE35">
        <v>0.53328799999999998</v>
      </c>
      <c r="FF35">
        <v>0.82178799999999996</v>
      </c>
      <c r="FG35">
        <v>1.4774689999999999</v>
      </c>
      <c r="FH35">
        <v>0.33221200000000001</v>
      </c>
      <c r="FI35">
        <v>4.9068170000000002</v>
      </c>
      <c r="FJ35">
        <v>41.828069999999997</v>
      </c>
      <c r="FK35">
        <v>9.5126150000000003</v>
      </c>
      <c r="FL35">
        <v>18.855049999999999</v>
      </c>
      <c r="FM35">
        <v>6.5485000000000002E-2</v>
      </c>
      <c r="FN35">
        <v>2.0706859999999998</v>
      </c>
      <c r="FO35">
        <v>0.159529</v>
      </c>
      <c r="FP35">
        <v>9.844481</v>
      </c>
      <c r="FQ35">
        <v>4.4299619999999997</v>
      </c>
      <c r="FR35">
        <v>3.9106290000000001</v>
      </c>
      <c r="FS35">
        <v>2.3008440000000001</v>
      </c>
      <c r="FT35">
        <v>15.30166</v>
      </c>
      <c r="FU35">
        <v>12.00135</v>
      </c>
      <c r="FV35">
        <v>4.3565490000000002</v>
      </c>
      <c r="FW35">
        <v>1.5482279999999999</v>
      </c>
      <c r="FX35">
        <v>3.9355929999999999</v>
      </c>
      <c r="FY35">
        <v>3.3039290000000001</v>
      </c>
      <c r="FZ35">
        <v>6.0522179999999999</v>
      </c>
      <c r="GA35">
        <v>51.275080000000003</v>
      </c>
      <c r="GB35">
        <v>1.8776349999999999</v>
      </c>
      <c r="GC35">
        <v>33.888579999999997</v>
      </c>
      <c r="GD35">
        <v>0.54225999999999996</v>
      </c>
      <c r="GE35">
        <v>1.9811270000000001</v>
      </c>
      <c r="GF35">
        <v>2.5019110000000002</v>
      </c>
      <c r="GG35">
        <v>0.78996200000000005</v>
      </c>
      <c r="GH35">
        <v>0.104694</v>
      </c>
      <c r="GI35">
        <v>5.3393790000000001</v>
      </c>
      <c r="GJ35">
        <v>1.7131700000000001</v>
      </c>
      <c r="GK35">
        <v>30.585830000000001</v>
      </c>
      <c r="GL35">
        <v>8.8298459999999999</v>
      </c>
      <c r="GM35">
        <v>0.53328799999999998</v>
      </c>
      <c r="GN35">
        <v>0.82178799999999996</v>
      </c>
      <c r="GO35">
        <v>1.4774689999999999</v>
      </c>
      <c r="GP35">
        <v>0.33221200000000001</v>
      </c>
      <c r="GQ35">
        <v>2.7370890000000001</v>
      </c>
      <c r="GR35">
        <v>27.28604</v>
      </c>
      <c r="GS35">
        <v>9.5126150000000003</v>
      </c>
      <c r="GT35">
        <v>16.387039999999999</v>
      </c>
      <c r="GU35">
        <v>5.6913999999999999E-2</v>
      </c>
      <c r="GV35">
        <v>1.7996449999999999</v>
      </c>
      <c r="GW35">
        <v>0.13864699999999999</v>
      </c>
      <c r="GX35">
        <v>8.5558949999999996</v>
      </c>
      <c r="GY35">
        <v>3.8501059999999998</v>
      </c>
      <c r="GZ35">
        <v>3.3987509999999999</v>
      </c>
      <c r="HA35">
        <v>1.9996769999999999</v>
      </c>
      <c r="HB35">
        <v>13.57958</v>
      </c>
      <c r="HC35">
        <v>12.00135</v>
      </c>
      <c r="HD35">
        <v>4.3565490000000002</v>
      </c>
      <c r="HE35">
        <v>1.5482279999999999</v>
      </c>
      <c r="HF35">
        <v>3.9355929999999999</v>
      </c>
      <c r="HG35">
        <v>3.3039290000000001</v>
      </c>
      <c r="HH35">
        <v>6.1613759999999997</v>
      </c>
      <c r="HI35">
        <v>55.112699999999997</v>
      </c>
      <c r="HJ35">
        <v>1.8776349999999999</v>
      </c>
      <c r="HK35">
        <v>136.56800000000001</v>
      </c>
      <c r="HL35">
        <v>1.307512</v>
      </c>
      <c r="HM35">
        <v>4.7769500000000003</v>
      </c>
      <c r="HN35">
        <v>6.03268</v>
      </c>
      <c r="HO35">
        <v>0.95332899999999998</v>
      </c>
      <c r="HP35">
        <v>0.12634500000000001</v>
      </c>
      <c r="HQ35">
        <v>6.443587</v>
      </c>
      <c r="HR35">
        <v>5.5898019999999997</v>
      </c>
      <c r="HS35">
        <v>30.79599</v>
      </c>
      <c r="HT35">
        <v>8.9619070000000001</v>
      </c>
      <c r="HU35">
        <v>0.54126399999999997</v>
      </c>
      <c r="HV35">
        <v>0.83407799999999999</v>
      </c>
      <c r="HW35">
        <v>1.4995670000000001</v>
      </c>
      <c r="HX35">
        <v>0.33718100000000001</v>
      </c>
      <c r="HY35">
        <v>2.7723309999999999</v>
      </c>
      <c r="HZ35">
        <v>29.340689999999999</v>
      </c>
      <c r="IA35">
        <v>8.0862049999999996</v>
      </c>
      <c r="IB35">
        <v>61.432079999999999</v>
      </c>
      <c r="IC35">
        <v>6.5517000000000006E-2</v>
      </c>
      <c r="ID35">
        <v>4.1211120000000001</v>
      </c>
      <c r="IE35">
        <v>0.159606</v>
      </c>
      <c r="IF35">
        <v>11.077540000000001</v>
      </c>
      <c r="IG35">
        <v>4.7641790000000004</v>
      </c>
      <c r="IH35">
        <v>4.2056649999999998</v>
      </c>
      <c r="II35">
        <v>7.5815640000000002</v>
      </c>
      <c r="IJ35">
        <v>13.62626</v>
      </c>
      <c r="IK35">
        <v>12.084</v>
      </c>
      <c r="IL35">
        <v>5.4220079999999999</v>
      </c>
      <c r="IM35">
        <v>1.5639719999999999</v>
      </c>
      <c r="IN35">
        <v>3.9746480000000002</v>
      </c>
      <c r="IO35">
        <v>3.3166859999999998</v>
      </c>
      <c r="IP35">
        <v>4.2712770000000004</v>
      </c>
      <c r="IQ35">
        <v>5.6687120000000002</v>
      </c>
      <c r="IR35">
        <v>0.59771600000000003</v>
      </c>
      <c r="IS35">
        <v>1.7752749999999999</v>
      </c>
      <c r="IT35">
        <v>4.1575920000000002</v>
      </c>
      <c r="IU35">
        <v>4.2956200000000004</v>
      </c>
      <c r="IV35">
        <v>4.9659810000000002</v>
      </c>
      <c r="IW35">
        <v>5.9385690000000002</v>
      </c>
      <c r="IX35">
        <v>0.855572</v>
      </c>
      <c r="IY35">
        <v>7.2868449999999996</v>
      </c>
      <c r="IZ35">
        <v>1.8676060000000001</v>
      </c>
      <c r="JA35">
        <v>8.6535489999999999</v>
      </c>
      <c r="JB35">
        <v>0.42813600000000002</v>
      </c>
      <c r="JC35">
        <v>1.5340480000000001</v>
      </c>
      <c r="JD35">
        <v>0.82553500000000002</v>
      </c>
      <c r="JE35">
        <v>17.11918</v>
      </c>
      <c r="JF35">
        <v>0.31563799999999997</v>
      </c>
      <c r="JG35">
        <v>1.638771</v>
      </c>
      <c r="JH35">
        <v>20.314969999999999</v>
      </c>
      <c r="JI35">
        <v>7.0548299999999999</v>
      </c>
      <c r="JJ35">
        <v>14.77563</v>
      </c>
      <c r="JK35">
        <v>34.305399999999999</v>
      </c>
      <c r="JL35">
        <v>2.6312310000000001</v>
      </c>
      <c r="JM35">
        <v>4.6818590000000002</v>
      </c>
      <c r="JN35">
        <v>0.50774699999999995</v>
      </c>
      <c r="JO35">
        <v>1.3192159999999999</v>
      </c>
      <c r="JP35">
        <v>2.835054</v>
      </c>
      <c r="JQ35">
        <v>3.4258199999999999</v>
      </c>
      <c r="JR35">
        <v>3.5775980000000001</v>
      </c>
      <c r="JS35">
        <v>4.8180040000000002</v>
      </c>
      <c r="JT35">
        <v>0.75370499999999996</v>
      </c>
      <c r="JU35">
        <v>3.7129660000000002</v>
      </c>
      <c r="JV35">
        <v>1.2699039999999999</v>
      </c>
      <c r="JW35">
        <v>7.2981699999999998</v>
      </c>
      <c r="JX35">
        <v>0.34633599999999998</v>
      </c>
      <c r="JY35">
        <v>1.2014020000000001</v>
      </c>
      <c r="JZ35">
        <v>0.74022900000000003</v>
      </c>
      <c r="KA35">
        <v>9.7460900000000006</v>
      </c>
      <c r="KB35">
        <v>9.3129000000000003E-2</v>
      </c>
      <c r="KC35">
        <v>0.58524900000000002</v>
      </c>
      <c r="KD35">
        <v>16.85087</v>
      </c>
      <c r="KE35">
        <v>5.632784</v>
      </c>
      <c r="KF35">
        <v>12.909560000000001</v>
      </c>
      <c r="KG35">
        <v>29.510719999999999</v>
      </c>
      <c r="KH35">
        <v>9193.7829999999994</v>
      </c>
      <c r="KI35">
        <v>10101.6</v>
      </c>
      <c r="KJ35">
        <v>6235.2430000000004</v>
      </c>
      <c r="KK35">
        <v>2674.5650000000001</v>
      </c>
      <c r="KL35">
        <v>1667.0329999999999</v>
      </c>
      <c r="KM35">
        <v>525.928</v>
      </c>
      <c r="KN35">
        <v>555.30610000000001</v>
      </c>
      <c r="KO35">
        <v>0</v>
      </c>
      <c r="KP35">
        <v>26326.74</v>
      </c>
      <c r="KQ35">
        <v>4626.72</v>
      </c>
      <c r="KR35">
        <v>0</v>
      </c>
      <c r="KS35">
        <v>9912.0069999999996</v>
      </c>
      <c r="KT35">
        <v>8184.1120000000001</v>
      </c>
      <c r="KU35">
        <v>5539.268</v>
      </c>
      <c r="KV35">
        <v>2945.752</v>
      </c>
      <c r="KW35">
        <v>1530.6</v>
      </c>
      <c r="KX35">
        <v>481.8605</v>
      </c>
      <c r="KY35">
        <v>291.08690000000001</v>
      </c>
      <c r="KZ35">
        <v>0</v>
      </c>
      <c r="LA35">
        <v>21098.76</v>
      </c>
      <c r="LB35">
        <v>7785.9250000000002</v>
      </c>
      <c r="LC35">
        <v>0</v>
      </c>
      <c r="LD35" s="21">
        <v>130000000</v>
      </c>
      <c r="LE35" s="21">
        <v>348000000</v>
      </c>
      <c r="LF35" s="21">
        <v>840000000</v>
      </c>
      <c r="LG35" s="21">
        <v>721000000</v>
      </c>
      <c r="LH35" s="21">
        <v>542000000</v>
      </c>
      <c r="LI35" s="21">
        <v>245000000</v>
      </c>
      <c r="LJ35" s="21">
        <v>126000000</v>
      </c>
      <c r="LK35" s="21">
        <v>3.0199999999999999E-6</v>
      </c>
      <c r="LL35" s="21">
        <v>5.9100000000000002E-6</v>
      </c>
      <c r="LM35" s="21">
        <v>1.11E-5</v>
      </c>
      <c r="LN35" s="21">
        <v>2.37E-5</v>
      </c>
      <c r="LO35" s="21">
        <v>3.7700000000000002E-5</v>
      </c>
      <c r="LP35" s="21">
        <v>5.63E-5</v>
      </c>
      <c r="LQ35" s="21">
        <v>8.3300000000000005E-5</v>
      </c>
      <c r="LR35" s="21">
        <v>265000000</v>
      </c>
      <c r="LS35" s="21">
        <v>457000000</v>
      </c>
      <c r="LT35" s="21">
        <v>827000000</v>
      </c>
      <c r="LU35" s="21">
        <v>630000000</v>
      </c>
      <c r="LV35" s="21">
        <v>468000000</v>
      </c>
      <c r="LW35" s="21">
        <v>202000000</v>
      </c>
      <c r="LX35" s="21">
        <v>103000000</v>
      </c>
      <c r="LY35" s="21">
        <v>5.7200000000000003E-6</v>
      </c>
      <c r="LZ35" s="21">
        <v>1.08E-5</v>
      </c>
      <c r="MA35" s="21">
        <v>1.9700000000000001E-5</v>
      </c>
      <c r="MB35" s="21">
        <v>4.1600000000000002E-5</v>
      </c>
      <c r="MC35" s="21">
        <v>6.2500000000000001E-5</v>
      </c>
      <c r="MD35" s="21">
        <v>9.0699999999999996E-5</v>
      </c>
      <c r="ME35">
        <v>1.27E-4</v>
      </c>
      <c r="MF35">
        <v>0.39643499999999998</v>
      </c>
      <c r="MG35">
        <v>0.32424199999999997</v>
      </c>
      <c r="MH35">
        <v>0.195742</v>
      </c>
      <c r="MI35">
        <v>8.2969000000000001E-2</v>
      </c>
      <c r="MJ35">
        <v>6.0999999999999997E-4</v>
      </c>
      <c r="MK35" s="21">
        <v>4.0800000000000001E-8</v>
      </c>
      <c r="ML35" s="21">
        <v>2.8799999999999998E-7</v>
      </c>
      <c r="MM35">
        <v>1.006669</v>
      </c>
      <c r="MN35">
        <v>0.80216500000000002</v>
      </c>
      <c r="MO35">
        <v>0.48676599999999998</v>
      </c>
      <c r="MP35">
        <v>0.210337</v>
      </c>
      <c r="MQ35">
        <v>-1.694E-3</v>
      </c>
      <c r="MR35">
        <v>-0.24168999999999999</v>
      </c>
      <c r="MS35">
        <v>-1.262553</v>
      </c>
      <c r="MT35">
        <v>0.45032299999999997</v>
      </c>
      <c r="MU35">
        <v>0.27402300000000002</v>
      </c>
      <c r="MV35">
        <v>0.18099699999999999</v>
      </c>
      <c r="MW35">
        <v>9.4655000000000003E-2</v>
      </c>
      <c r="MX35" s="21">
        <v>1.6700000000000001E-6</v>
      </c>
      <c r="MY35">
        <v>0</v>
      </c>
      <c r="MZ35" s="21">
        <v>1.99E-8</v>
      </c>
      <c r="NA35">
        <v>2.49282</v>
      </c>
      <c r="NB35">
        <v>1.502453</v>
      </c>
      <c r="NC35">
        <v>0.99034999999999995</v>
      </c>
      <c r="ND35">
        <v>0.51649999999999996</v>
      </c>
      <c r="NE35">
        <v>-4.9397999999999997E-2</v>
      </c>
      <c r="NF35">
        <v>-0.71798700000000004</v>
      </c>
      <c r="NG35">
        <v>-3.734737</v>
      </c>
      <c r="NH35">
        <v>4.8799999999999998E-3</v>
      </c>
      <c r="NI35">
        <v>5.2610000000000001E-3</v>
      </c>
      <c r="NJ35">
        <v>7.476E-3</v>
      </c>
      <c r="NK35">
        <v>3.2892999999999999E-2</v>
      </c>
      <c r="NL35">
        <v>4.0703000000000003E-2</v>
      </c>
      <c r="NM35">
        <v>9.4867999999999994E-2</v>
      </c>
      <c r="NN35">
        <v>4.8799999999999998E-3</v>
      </c>
      <c r="NO35">
        <v>5.2610000000000001E-3</v>
      </c>
      <c r="NP35">
        <v>7.476E-3</v>
      </c>
      <c r="NQ35">
        <v>3.2892999999999999E-2</v>
      </c>
      <c r="NR35">
        <v>4.0703000000000003E-2</v>
      </c>
      <c r="NS35">
        <v>9.4867999999999994E-2</v>
      </c>
      <c r="NT35">
        <v>2.5645000000000001E-2</v>
      </c>
      <c r="NU35">
        <v>2.6197999999999999E-2</v>
      </c>
      <c r="NV35">
        <v>3.0221000000000001E-2</v>
      </c>
      <c r="NW35">
        <v>5.1875999999999999E-2</v>
      </c>
      <c r="NX35">
        <v>5.8651000000000002E-2</v>
      </c>
      <c r="NY35">
        <v>0.10943600000000001</v>
      </c>
      <c r="NZ35">
        <v>2.5645000000000001E-2</v>
      </c>
      <c r="OA35">
        <v>2.6197999999999999E-2</v>
      </c>
      <c r="OB35">
        <v>3.0221000000000001E-2</v>
      </c>
      <c r="OC35">
        <v>5.1875999999999999E-2</v>
      </c>
      <c r="OD35">
        <v>5.8651000000000002E-2</v>
      </c>
      <c r="OE35">
        <v>0.10943600000000001</v>
      </c>
      <c r="OF35">
        <v>42.26887</v>
      </c>
      <c r="OG35">
        <v>25325.279999999999</v>
      </c>
      <c r="OH35">
        <v>19486.900000000001</v>
      </c>
      <c r="OI35">
        <v>7257.8879999999999</v>
      </c>
      <c r="OJ35">
        <v>28.528670000000002</v>
      </c>
      <c r="OK35">
        <v>20230.88</v>
      </c>
      <c r="OL35">
        <v>17330.45</v>
      </c>
      <c r="OM35">
        <v>6651.5590000000002</v>
      </c>
      <c r="ON35">
        <v>1742424</v>
      </c>
      <c r="OO35">
        <v>1808098</v>
      </c>
      <c r="OP35">
        <v>13061.21</v>
      </c>
      <c r="OQ35">
        <v>7488.6909999999998</v>
      </c>
      <c r="OR35">
        <v>5655.59</v>
      </c>
      <c r="OS35">
        <v>572.8501</v>
      </c>
      <c r="OT35">
        <v>1812.501</v>
      </c>
      <c r="OU35">
        <v>1411.84</v>
      </c>
      <c r="OV35">
        <v>372.65719999999999</v>
      </c>
      <c r="OW35">
        <v>1463.5129999999999</v>
      </c>
      <c r="OX35">
        <v>1474.529</v>
      </c>
      <c r="OY35">
        <v>1167.838</v>
      </c>
      <c r="OZ35">
        <v>673.01769999999999</v>
      </c>
      <c r="PA35">
        <v>22735.54</v>
      </c>
      <c r="PB35">
        <v>8308.3430000000008</v>
      </c>
      <c r="PC35">
        <v>1501.1289999999999</v>
      </c>
      <c r="PD35">
        <v>2594.0050000000001</v>
      </c>
      <c r="PE35">
        <v>7306.0020000000004</v>
      </c>
      <c r="PF35">
        <v>1503.222</v>
      </c>
      <c r="PG35">
        <v>2866.125</v>
      </c>
      <c r="PH35">
        <v>227600.6</v>
      </c>
      <c r="PI35">
        <v>97280.55</v>
      </c>
      <c r="PJ35">
        <v>1.952977</v>
      </c>
      <c r="PK35">
        <v>478.15609999999998</v>
      </c>
      <c r="PL35">
        <v>87.872919999999993</v>
      </c>
      <c r="PM35">
        <v>2504.4059999999999</v>
      </c>
      <c r="PN35">
        <v>464.3252</v>
      </c>
      <c r="PO35">
        <v>170.58029999999999</v>
      </c>
      <c r="PP35">
        <v>260.75979999999998</v>
      </c>
      <c r="PQ35">
        <v>600.09829999999999</v>
      </c>
      <c r="PR35">
        <v>100.3395</v>
      </c>
      <c r="PS35">
        <v>621.98329999999999</v>
      </c>
      <c r="PT35">
        <v>1313.9749999999999</v>
      </c>
      <c r="PU35">
        <v>412.25310000000002</v>
      </c>
      <c r="PV35">
        <v>738.06079999999997</v>
      </c>
      <c r="PW35">
        <v>56.31203</v>
      </c>
      <c r="PX35">
        <v>128.2893</v>
      </c>
      <c r="PY35">
        <v>671.81960000000004</v>
      </c>
      <c r="PZ35">
        <v>123.6936</v>
      </c>
      <c r="QA35">
        <v>415584.6</v>
      </c>
      <c r="QB35">
        <v>8813.7170000000006</v>
      </c>
      <c r="QC35">
        <v>83214.69</v>
      </c>
      <c r="QD35">
        <v>11274.53</v>
      </c>
      <c r="QE35">
        <v>10479.64</v>
      </c>
      <c r="QF35">
        <v>7501.9059999999999</v>
      </c>
      <c r="QG35">
        <v>3643.5439999999999</v>
      </c>
      <c r="QH35">
        <v>37.349290000000003</v>
      </c>
      <c r="QI35">
        <v>3.5479999999999999E-3</v>
      </c>
      <c r="QJ35">
        <v>3.3016999999999998E-2</v>
      </c>
      <c r="QK35">
        <v>15413.7</v>
      </c>
      <c r="QL35">
        <v>8605.527</v>
      </c>
      <c r="QM35">
        <v>5481.4049999999997</v>
      </c>
      <c r="QN35">
        <v>714.85540000000003</v>
      </c>
      <c r="QO35">
        <v>2627.0439999999999</v>
      </c>
      <c r="QP35">
        <v>1612.1010000000001</v>
      </c>
      <c r="QQ35">
        <v>609.63210000000004</v>
      </c>
      <c r="QR35">
        <v>1550.5309999999999</v>
      </c>
      <c r="QS35">
        <v>1475.8050000000001</v>
      </c>
      <c r="QT35">
        <v>1690.4860000000001</v>
      </c>
      <c r="QU35">
        <v>729.08029999999997</v>
      </c>
      <c r="QV35">
        <v>23847.4</v>
      </c>
      <c r="QW35">
        <v>9124.77</v>
      </c>
      <c r="QX35">
        <v>1819.866</v>
      </c>
      <c r="QY35">
        <v>3298.5970000000002</v>
      </c>
      <c r="QZ35">
        <v>11088.15</v>
      </c>
      <c r="RA35">
        <v>2121.7460000000001</v>
      </c>
      <c r="RB35">
        <v>5460.8429999999998</v>
      </c>
      <c r="RC35">
        <v>237193.1</v>
      </c>
      <c r="RD35">
        <v>99306.77</v>
      </c>
      <c r="RE35">
        <v>0.67460100000000001</v>
      </c>
      <c r="RF35">
        <v>301.17469999999997</v>
      </c>
      <c r="RG35">
        <v>527.13580000000002</v>
      </c>
      <c r="RH35">
        <v>1078.96</v>
      </c>
      <c r="RI35">
        <v>7.0968910000000003</v>
      </c>
      <c r="RJ35">
        <v>156.15309999999999</v>
      </c>
      <c r="RK35">
        <v>1.1434029999999999</v>
      </c>
      <c r="RL35">
        <v>11879.1</v>
      </c>
      <c r="RM35">
        <v>8870.9979999999996</v>
      </c>
      <c r="RN35">
        <v>386.5487</v>
      </c>
      <c r="RO35">
        <v>1553.2840000000001</v>
      </c>
      <c r="RP35">
        <v>140.2749</v>
      </c>
      <c r="RQ35">
        <v>932.70510000000002</v>
      </c>
      <c r="RR35">
        <v>636.74099999999999</v>
      </c>
      <c r="RS35">
        <v>236.8707</v>
      </c>
      <c r="RT35">
        <v>1593.2449999999999</v>
      </c>
      <c r="RU35">
        <v>1962.838</v>
      </c>
      <c r="RV35">
        <v>464036.4</v>
      </c>
      <c r="RW35">
        <v>15857.89</v>
      </c>
      <c r="RX35">
        <v>79991.94</v>
      </c>
      <c r="RY35">
        <v>11756.12</v>
      </c>
      <c r="RZ35">
        <v>8129.7550000000001</v>
      </c>
      <c r="SA35">
        <v>6367.527</v>
      </c>
      <c r="SB35">
        <v>3815.607</v>
      </c>
      <c r="SC35">
        <v>9.3966999999999995E-2</v>
      </c>
      <c r="SD35">
        <v>2.8499999999999999E-4</v>
      </c>
      <c r="SE35">
        <v>2.0960000000000002E-3</v>
      </c>
      <c r="SF35">
        <v>31612.28</v>
      </c>
      <c r="SG35">
        <v>42.26887</v>
      </c>
      <c r="SH35">
        <v>6220.2179999999998</v>
      </c>
      <c r="SI35">
        <v>18091.900000000001</v>
      </c>
      <c r="SJ35">
        <v>7257.8879999999999</v>
      </c>
      <c r="SK35">
        <v>26353.98</v>
      </c>
      <c r="SL35">
        <v>28.528670000000002</v>
      </c>
      <c r="SM35">
        <v>4689.96</v>
      </c>
      <c r="SN35">
        <v>14983.93</v>
      </c>
      <c r="SO35">
        <v>6651.5590000000002</v>
      </c>
      <c r="SP35">
        <v>129792.7</v>
      </c>
      <c r="SQ35">
        <v>63971.75</v>
      </c>
      <c r="SR35">
        <v>136794.6</v>
      </c>
      <c r="SS35">
        <v>74013.990000000005</v>
      </c>
      <c r="ST35">
        <v>34.305399999999999</v>
      </c>
      <c r="SU35">
        <v>0.25458599999999998</v>
      </c>
      <c r="SV35">
        <v>4.4769139999999998</v>
      </c>
      <c r="SW35">
        <v>12.917199999999999</v>
      </c>
      <c r="SX35">
        <v>16.656690000000001</v>
      </c>
      <c r="SY35">
        <v>29.510719999999999</v>
      </c>
      <c r="SZ35">
        <v>0.17182900000000001</v>
      </c>
      <c r="TA35">
        <v>3.3755329999999999</v>
      </c>
      <c r="TB35">
        <v>10.698180000000001</v>
      </c>
      <c r="TC35">
        <v>15.265180000000001</v>
      </c>
      <c r="TD35">
        <v>26588.69</v>
      </c>
      <c r="TE35">
        <v>826.45519999999999</v>
      </c>
      <c r="TF35">
        <v>528.74339999999995</v>
      </c>
      <c r="TG35">
        <v>213.9666</v>
      </c>
      <c r="TH35">
        <v>51.929070000000003</v>
      </c>
      <c r="TI35">
        <v>106.5801</v>
      </c>
      <c r="TJ35">
        <v>87.691999999999993</v>
      </c>
      <c r="TK35">
        <v>25.946010000000001</v>
      </c>
      <c r="TL35">
        <v>29.84844</v>
      </c>
      <c r="TM35">
        <v>168.74940000000001</v>
      </c>
      <c r="TN35">
        <v>41.017240000000001</v>
      </c>
      <c r="TO35">
        <v>26.61401</v>
      </c>
      <c r="TP35">
        <v>2078.4029999999998</v>
      </c>
      <c r="TQ35">
        <v>2026.962</v>
      </c>
      <c r="TR35">
        <v>103.5802</v>
      </c>
      <c r="TS35">
        <v>190.62960000000001</v>
      </c>
      <c r="TT35">
        <v>424.40809999999999</v>
      </c>
      <c r="TU35">
        <v>42.017090000000003</v>
      </c>
      <c r="TV35">
        <v>73.897880000000001</v>
      </c>
      <c r="TW35">
        <v>12740.91</v>
      </c>
      <c r="TX35">
        <v>6685.1139999999996</v>
      </c>
      <c r="TY35">
        <v>0.49334800000000001</v>
      </c>
      <c r="TZ35">
        <v>8.2971299999999992</v>
      </c>
      <c r="UA35">
        <v>4.0879640000000004</v>
      </c>
      <c r="UB35">
        <v>57.439210000000003</v>
      </c>
      <c r="UC35">
        <v>0.69403800000000004</v>
      </c>
      <c r="UD35">
        <v>2.305571</v>
      </c>
      <c r="UE35">
        <v>4.2141799999999998</v>
      </c>
      <c r="UF35">
        <v>1.5608869999999999</v>
      </c>
      <c r="UG35">
        <v>0.75878800000000002</v>
      </c>
      <c r="UH35">
        <v>10.07207</v>
      </c>
      <c r="UI35">
        <v>4.8832310000000003</v>
      </c>
      <c r="UJ35">
        <v>13.021420000000001</v>
      </c>
      <c r="UK35">
        <v>4.9105400000000001</v>
      </c>
      <c r="UL35">
        <v>0.36119200000000001</v>
      </c>
      <c r="UM35">
        <v>0.40428399999999998</v>
      </c>
      <c r="UN35">
        <v>1.418223</v>
      </c>
      <c r="UO35">
        <v>0.30266599999999999</v>
      </c>
      <c r="UP35">
        <v>27026.31</v>
      </c>
      <c r="UQ35">
        <v>827.19150000000002</v>
      </c>
      <c r="UR35">
        <v>539.4547</v>
      </c>
      <c r="US35">
        <v>207.875</v>
      </c>
      <c r="UT35">
        <v>54.540179999999999</v>
      </c>
      <c r="UU35">
        <v>119.99590000000001</v>
      </c>
      <c r="UV35">
        <v>93.186390000000003</v>
      </c>
      <c r="UW35">
        <v>25.884720000000002</v>
      </c>
      <c r="UX35">
        <v>29.230840000000001</v>
      </c>
      <c r="UY35">
        <v>178.94229999999999</v>
      </c>
      <c r="UZ35">
        <v>42.598799999999997</v>
      </c>
      <c r="VA35">
        <v>25.36327</v>
      </c>
      <c r="VB35">
        <v>2078.192</v>
      </c>
      <c r="VC35">
        <v>2152.9929999999999</v>
      </c>
      <c r="VD35">
        <v>112.91589999999999</v>
      </c>
      <c r="VE35">
        <v>211.56180000000001</v>
      </c>
      <c r="VF35">
        <v>409.4151</v>
      </c>
      <c r="VG35">
        <v>34.9129</v>
      </c>
      <c r="VH35">
        <v>76.305999999999997</v>
      </c>
      <c r="VI35">
        <v>12952.72</v>
      </c>
      <c r="VJ35">
        <v>6705.0879999999997</v>
      </c>
      <c r="VK35">
        <v>0.241731</v>
      </c>
      <c r="VL35">
        <v>5.8308989999999996</v>
      </c>
      <c r="VM35">
        <v>22.142810000000001</v>
      </c>
      <c r="VN35">
        <v>28.40476</v>
      </c>
      <c r="VO35">
        <v>8.3102999999999996E-2</v>
      </c>
      <c r="VP35">
        <v>2.1741959999999998</v>
      </c>
      <c r="VQ35">
        <v>0.252917</v>
      </c>
      <c r="VR35">
        <v>19.499379999999999</v>
      </c>
      <c r="VS35">
        <v>33.806150000000002</v>
      </c>
      <c r="VT35">
        <v>6.7057609999999999</v>
      </c>
      <c r="VU35">
        <v>6.4618770000000003</v>
      </c>
      <c r="VV35">
        <v>5.9285059999999996</v>
      </c>
      <c r="VW35">
        <v>6.4062010000000003</v>
      </c>
      <c r="VX35">
        <v>2.8850669999999998</v>
      </c>
      <c r="VY35">
        <v>0.72236400000000001</v>
      </c>
      <c r="VZ35">
        <v>3.4089119999999999</v>
      </c>
      <c r="WA35">
        <v>2.9880610000000001</v>
      </c>
      <c r="WB35">
        <v>0.11260299999999999</v>
      </c>
      <c r="WC35">
        <v>9.3519000000000005E-2</v>
      </c>
      <c r="WD35">
        <v>-2.0227999999999999E-2</v>
      </c>
      <c r="WE35">
        <v>-1.4016000000000001E-2</v>
      </c>
      <c r="WF35">
        <v>0.62746999999999997</v>
      </c>
      <c r="WG35">
        <v>0.401418</v>
      </c>
      <c r="WH35">
        <v>-3.0519999999999999E-2</v>
      </c>
      <c r="WI35">
        <v>-1.2714E-2</v>
      </c>
      <c r="WJ35">
        <v>2758374</v>
      </c>
      <c r="WK35">
        <v>2810925</v>
      </c>
    </row>
    <row r="36" spans="1:609" x14ac:dyDescent="0.25">
      <c r="A36">
        <v>2037</v>
      </c>
      <c r="B36">
        <v>1.8447020000000001</v>
      </c>
      <c r="C36">
        <v>157.4881</v>
      </c>
      <c r="D36">
        <v>4.531269</v>
      </c>
      <c r="E36">
        <v>11.88861</v>
      </c>
      <c r="F36">
        <v>-7.3400559999999997</v>
      </c>
      <c r="G36">
        <v>3.5248439999999999</v>
      </c>
      <c r="H36">
        <v>-1.8395630000000001</v>
      </c>
      <c r="I36">
        <v>1.5858570000000001</v>
      </c>
      <c r="J36">
        <v>19.272739999999999</v>
      </c>
      <c r="K36">
        <v>0.56664899999999996</v>
      </c>
      <c r="L36">
        <v>18.60069</v>
      </c>
      <c r="M36">
        <v>1.294163</v>
      </c>
      <c r="N36">
        <v>0</v>
      </c>
      <c r="O36">
        <v>-24.306159999999998</v>
      </c>
      <c r="P36">
        <v>-1.8488230000000001</v>
      </c>
      <c r="Q36">
        <v>-55.153829999999999</v>
      </c>
      <c r="R36">
        <v>40.474939999999997</v>
      </c>
      <c r="S36">
        <v>100</v>
      </c>
      <c r="T36">
        <v>587.56029999999998</v>
      </c>
      <c r="U36">
        <v>155.1482</v>
      </c>
      <c r="V36">
        <v>403.87799999999999</v>
      </c>
      <c r="W36">
        <v>2.0729350000000002</v>
      </c>
      <c r="X36">
        <v>59006.65</v>
      </c>
      <c r="Y36">
        <v>0.123422</v>
      </c>
      <c r="Z36">
        <v>0.124206</v>
      </c>
      <c r="AA36">
        <v>2.2766160000000002</v>
      </c>
      <c r="AB36">
        <v>-1.24912</v>
      </c>
      <c r="AC36">
        <v>4.3327999999999998E-2</v>
      </c>
      <c r="AD36">
        <v>86637.67</v>
      </c>
      <c r="AE36">
        <v>596603.80000000005</v>
      </c>
      <c r="AF36">
        <v>682432.6</v>
      </c>
      <c r="AG36">
        <v>47186.19</v>
      </c>
      <c r="AH36">
        <v>377152.6</v>
      </c>
      <c r="AI36">
        <v>-5.3179999999999998E-3</v>
      </c>
      <c r="AJ36">
        <v>239.67359999999999</v>
      </c>
      <c r="AK36">
        <v>2083.3690000000001</v>
      </c>
      <c r="AL36">
        <v>375.52</v>
      </c>
      <c r="AM36">
        <v>98.089550000000003</v>
      </c>
      <c r="AN36">
        <v>852.64589999999998</v>
      </c>
      <c r="AO36">
        <v>153.6865</v>
      </c>
      <c r="AP36">
        <v>1889.2280000000001</v>
      </c>
      <c r="AQ36">
        <v>773.19110000000001</v>
      </c>
      <c r="AR36">
        <v>1022.278</v>
      </c>
      <c r="AS36">
        <v>625.4194</v>
      </c>
      <c r="AT36">
        <v>2095.163</v>
      </c>
      <c r="AU36">
        <v>887.05409999999995</v>
      </c>
      <c r="AV36">
        <v>175.07480000000001</v>
      </c>
      <c r="AW36">
        <v>1.8536319999999999</v>
      </c>
      <c r="AX36">
        <v>2.346241</v>
      </c>
      <c r="AY36">
        <v>3.0324870000000002</v>
      </c>
      <c r="AZ36">
        <v>-3.0919599999999998</v>
      </c>
      <c r="BA36">
        <v>3.8477700000000001</v>
      </c>
      <c r="BB36">
        <v>9.5308440000000001</v>
      </c>
      <c r="BC36">
        <v>3.4096760000000002</v>
      </c>
      <c r="BD36">
        <v>8.6658329999999992</v>
      </c>
      <c r="BE36">
        <v>-4.0570719999999998</v>
      </c>
      <c r="BF36">
        <v>3.4702540000000002</v>
      </c>
      <c r="BG36">
        <v>5.1752469999999997</v>
      </c>
      <c r="BH36">
        <v>-3.1206740000000002</v>
      </c>
      <c r="BI36">
        <v>-0.163081</v>
      </c>
      <c r="BJ36">
        <v>6.1519500000000003</v>
      </c>
      <c r="BK36">
        <v>9.2239819999999995</v>
      </c>
      <c r="BL36">
        <v>9.8898019999999995</v>
      </c>
      <c r="BM36">
        <v>-2.9719350000000002</v>
      </c>
      <c r="BN36">
        <v>-18.210419999999999</v>
      </c>
      <c r="BO36">
        <v>-2.7077599999999999</v>
      </c>
      <c r="BP36">
        <v>1.861691</v>
      </c>
      <c r="BQ36">
        <v>0.61664799999999997</v>
      </c>
      <c r="BR36">
        <v>-96.712940000000003</v>
      </c>
      <c r="BS36">
        <v>-35.701030000000003</v>
      </c>
      <c r="BT36">
        <v>-59.558909999999997</v>
      </c>
      <c r="BU36">
        <v>-50.270859999999999</v>
      </c>
      <c r="BV36">
        <v>-88.978669999999994</v>
      </c>
      <c r="BW36">
        <v>-5.4457700000000004</v>
      </c>
      <c r="BX36">
        <v>-94.593530000000001</v>
      </c>
      <c r="BY36">
        <v>987.16070000000002</v>
      </c>
      <c r="BZ36">
        <v>3662.2269999999999</v>
      </c>
      <c r="CA36">
        <v>-34.077939999999998</v>
      </c>
      <c r="CB36">
        <v>18.147760000000002</v>
      </c>
      <c r="CC36">
        <v>-54.171219999999998</v>
      </c>
      <c r="CD36">
        <v>19.067609999999998</v>
      </c>
      <c r="CE36">
        <v>628.75900000000001</v>
      </c>
      <c r="CF36">
        <v>69.030670000000001</v>
      </c>
      <c r="CG36">
        <v>159.05869999999999</v>
      </c>
      <c r="CH36">
        <v>752.36919999999998</v>
      </c>
      <c r="CI36">
        <v>18.96264</v>
      </c>
      <c r="CJ36">
        <v>15.62297</v>
      </c>
      <c r="CK36">
        <v>-3.1803940000000002</v>
      </c>
      <c r="CL36">
        <v>25.966899999999999</v>
      </c>
      <c r="CM36">
        <v>47.676099999999998</v>
      </c>
      <c r="CN36">
        <v>14.9361</v>
      </c>
      <c r="CO36">
        <v>66.347629999999995</v>
      </c>
      <c r="CP36">
        <v>6.4411849999999999</v>
      </c>
      <c r="CQ36">
        <v>8.8421E-2</v>
      </c>
      <c r="CR36">
        <v>46.032829999999997</v>
      </c>
      <c r="CS36">
        <v>8.4883120000000005</v>
      </c>
      <c r="CT36">
        <v>4.9473690000000001</v>
      </c>
      <c r="CU36">
        <v>10.25436</v>
      </c>
      <c r="CV36">
        <v>21.48968</v>
      </c>
      <c r="CW36">
        <v>27.717359999999999</v>
      </c>
      <c r="CX36">
        <v>55.320149999999998</v>
      </c>
      <c r="CY36">
        <v>44.167070000000002</v>
      </c>
      <c r="CZ36">
        <v>96.902799999999999</v>
      </c>
      <c r="DA36">
        <v>4.3983639999999999</v>
      </c>
      <c r="DB36">
        <v>2.2237170000000002</v>
      </c>
      <c r="DC36">
        <v>-65.659620000000004</v>
      </c>
      <c r="DD36">
        <v>-40.061349999999997</v>
      </c>
      <c r="DE36">
        <v>635.6422</v>
      </c>
      <c r="DF36">
        <v>-57.848230000000001</v>
      </c>
      <c r="DG36">
        <v>-98.64819</v>
      </c>
      <c r="DH36">
        <v>-8.4232630000000004</v>
      </c>
      <c r="DI36">
        <v>-99.62415</v>
      </c>
      <c r="DJ36">
        <v>1807.248</v>
      </c>
      <c r="DK36">
        <v>8755.39</v>
      </c>
      <c r="DL36">
        <v>-39.686630000000001</v>
      </c>
      <c r="DM36">
        <v>17.643319999999999</v>
      </c>
      <c r="DN36">
        <v>-68.002589999999998</v>
      </c>
      <c r="DO36">
        <v>25.981750000000002</v>
      </c>
      <c r="DP36">
        <v>1066.5419999999999</v>
      </c>
      <c r="DQ36">
        <v>90.951520000000002</v>
      </c>
      <c r="DR36">
        <v>168.73480000000001</v>
      </c>
      <c r="DS36">
        <v>1525.9</v>
      </c>
      <c r="DT36">
        <v>5.3962000000000003E-2</v>
      </c>
      <c r="DU36">
        <v>4.5597279999999998</v>
      </c>
      <c r="DV36">
        <v>-0.27179500000000001</v>
      </c>
      <c r="DW36">
        <v>6.1958799999999998</v>
      </c>
      <c r="DX36">
        <v>5.0004739999999996</v>
      </c>
      <c r="DY36">
        <v>5.799563</v>
      </c>
      <c r="DZ36">
        <v>3.1736249999999999</v>
      </c>
      <c r="EA36">
        <v>5.9334850000000001</v>
      </c>
      <c r="EB36">
        <v>9.4076219999999999</v>
      </c>
      <c r="EC36">
        <v>0</v>
      </c>
      <c r="ED36">
        <v>7.6553060000000004</v>
      </c>
      <c r="EE36">
        <v>6.4759669999999998</v>
      </c>
      <c r="EF36">
        <v>6.9903029999999999</v>
      </c>
      <c r="EG36">
        <v>8.4732190000000003</v>
      </c>
      <c r="EH36">
        <v>13.70898</v>
      </c>
      <c r="EI36">
        <v>-3.894101</v>
      </c>
      <c r="EJ36">
        <v>0.31115199999999998</v>
      </c>
      <c r="EK36">
        <v>-5.2528589999999999</v>
      </c>
      <c r="EL36">
        <v>4.9317080000000004</v>
      </c>
      <c r="EM36">
        <v>4.8928560000000001</v>
      </c>
      <c r="EN36">
        <v>-33.25168</v>
      </c>
      <c r="EO36">
        <v>-20.46846</v>
      </c>
      <c r="EP36">
        <v>-11.70716</v>
      </c>
      <c r="EQ36">
        <v>-8.8510349999999995</v>
      </c>
      <c r="ER36">
        <v>8.3588360000000002</v>
      </c>
      <c r="ES36">
        <v>65.920879999999997</v>
      </c>
      <c r="ET36">
        <v>1.844398</v>
      </c>
      <c r="EU36">
        <v>38.115749999999998</v>
      </c>
      <c r="EV36">
        <v>0.6099</v>
      </c>
      <c r="EW36">
        <v>2.2282479999999998</v>
      </c>
      <c r="EX36">
        <v>2.813993</v>
      </c>
      <c r="EY36">
        <v>0.88849900000000004</v>
      </c>
      <c r="EZ36">
        <v>0.117753</v>
      </c>
      <c r="FA36">
        <v>6.0053989999999997</v>
      </c>
      <c r="FB36">
        <v>1.926866</v>
      </c>
      <c r="FC36">
        <v>32.11309</v>
      </c>
      <c r="FD36">
        <v>8.7390240000000006</v>
      </c>
      <c r="FE36">
        <v>0.52780199999999999</v>
      </c>
      <c r="FF36">
        <v>0.81333500000000003</v>
      </c>
      <c r="FG36">
        <v>1.462272</v>
      </c>
      <c r="FH36">
        <v>0.328795</v>
      </c>
      <c r="FI36">
        <v>4.8913859999999998</v>
      </c>
      <c r="FJ36">
        <v>39.4039</v>
      </c>
      <c r="FK36">
        <v>10.68516</v>
      </c>
      <c r="FL36">
        <v>18.792490000000001</v>
      </c>
      <c r="FM36">
        <v>6.2144999999999999E-2</v>
      </c>
      <c r="FN36">
        <v>2.091577</v>
      </c>
      <c r="FO36">
        <v>0.15202399999999999</v>
      </c>
      <c r="FP36">
        <v>9.6240609999999993</v>
      </c>
      <c r="FQ36">
        <v>4.4171829999999996</v>
      </c>
      <c r="FR36">
        <v>3.9290829999999999</v>
      </c>
      <c r="FS36">
        <v>2.266095</v>
      </c>
      <c r="FT36">
        <v>14.66595</v>
      </c>
      <c r="FU36">
        <v>11.81697</v>
      </c>
      <c r="FV36">
        <v>4.3794300000000002</v>
      </c>
      <c r="FW36">
        <v>1.572308</v>
      </c>
      <c r="FX36">
        <v>4.3002859999999998</v>
      </c>
      <c r="FY36">
        <v>3.286845</v>
      </c>
      <c r="FZ36">
        <v>6.073963</v>
      </c>
      <c r="GA36">
        <v>50.367420000000003</v>
      </c>
      <c r="GB36">
        <v>1.844398</v>
      </c>
      <c r="GC36">
        <v>34.174469999999999</v>
      </c>
      <c r="GD36">
        <v>0.54683400000000004</v>
      </c>
      <c r="GE36">
        <v>1.9978400000000001</v>
      </c>
      <c r="GF36">
        <v>2.523018</v>
      </c>
      <c r="GG36">
        <v>0.79662599999999995</v>
      </c>
      <c r="GH36">
        <v>0.105577</v>
      </c>
      <c r="GI36">
        <v>5.384423</v>
      </c>
      <c r="GJ36">
        <v>1.727622</v>
      </c>
      <c r="GK36">
        <v>30.271229999999999</v>
      </c>
      <c r="GL36">
        <v>8.7390240000000006</v>
      </c>
      <c r="GM36">
        <v>0.52780199999999999</v>
      </c>
      <c r="GN36">
        <v>0.81333500000000003</v>
      </c>
      <c r="GO36">
        <v>1.462272</v>
      </c>
      <c r="GP36">
        <v>0.328795</v>
      </c>
      <c r="GQ36">
        <v>2.7347030000000001</v>
      </c>
      <c r="GR36">
        <v>25.11636</v>
      </c>
      <c r="GS36">
        <v>10.68516</v>
      </c>
      <c r="GT36">
        <v>16.314689999999999</v>
      </c>
      <c r="GU36">
        <v>5.3950999999999999E-2</v>
      </c>
      <c r="GV36">
        <v>1.815801</v>
      </c>
      <c r="GW36">
        <v>0.13197900000000001</v>
      </c>
      <c r="GX36">
        <v>8.3551230000000007</v>
      </c>
      <c r="GY36">
        <v>3.834775</v>
      </c>
      <c r="GZ36">
        <v>3.4110309999999999</v>
      </c>
      <c r="HA36">
        <v>1.967309</v>
      </c>
      <c r="HB36">
        <v>12.974</v>
      </c>
      <c r="HC36">
        <v>11.81697</v>
      </c>
      <c r="HD36">
        <v>4.3794300000000002</v>
      </c>
      <c r="HE36">
        <v>1.572308</v>
      </c>
      <c r="HF36">
        <v>4.3002859999999998</v>
      </c>
      <c r="HG36">
        <v>3.286845</v>
      </c>
      <c r="HH36">
        <v>6.1835129999999996</v>
      </c>
      <c r="HI36">
        <v>54.13711</v>
      </c>
      <c r="HJ36">
        <v>1.844398</v>
      </c>
      <c r="HK36">
        <v>137.6001</v>
      </c>
      <c r="HL36">
        <v>1.317393</v>
      </c>
      <c r="HM36">
        <v>4.8130509999999997</v>
      </c>
      <c r="HN36">
        <v>6.0782699999999998</v>
      </c>
      <c r="HO36">
        <v>0.960534</v>
      </c>
      <c r="HP36">
        <v>0.1273</v>
      </c>
      <c r="HQ36">
        <v>6.4922820000000003</v>
      </c>
      <c r="HR36">
        <v>5.6320449999999997</v>
      </c>
      <c r="HS36">
        <v>30.479220000000002</v>
      </c>
      <c r="HT36">
        <v>8.869726</v>
      </c>
      <c r="HU36">
        <v>0.53569599999999995</v>
      </c>
      <c r="HV36">
        <v>0.82549899999999998</v>
      </c>
      <c r="HW36">
        <v>1.4841420000000001</v>
      </c>
      <c r="HX36">
        <v>0.33371200000000001</v>
      </c>
      <c r="HY36">
        <v>2.7699129999999998</v>
      </c>
      <c r="HZ36">
        <v>27.007770000000001</v>
      </c>
      <c r="IA36">
        <v>8.9934709999999995</v>
      </c>
      <c r="IB36">
        <v>61.228319999999997</v>
      </c>
      <c r="IC36">
        <v>6.2171999999999998E-2</v>
      </c>
      <c r="ID36">
        <v>4.1434610000000003</v>
      </c>
      <c r="IE36">
        <v>0.152089</v>
      </c>
      <c r="IF36">
        <v>10.92567</v>
      </c>
      <c r="IG36">
        <v>4.7501920000000002</v>
      </c>
      <c r="IH36">
        <v>4.2252939999999999</v>
      </c>
      <c r="II36">
        <v>7.5287379999999997</v>
      </c>
      <c r="IJ36">
        <v>13.00798</v>
      </c>
      <c r="IK36">
        <v>11.87574</v>
      </c>
      <c r="IL36">
        <v>5.639043</v>
      </c>
      <c r="IM36">
        <v>1.5835129999999999</v>
      </c>
      <c r="IN36">
        <v>4.3302490000000002</v>
      </c>
      <c r="IO36">
        <v>3.2964259999999999</v>
      </c>
      <c r="IP36">
        <v>4.2162670000000002</v>
      </c>
      <c r="IQ36">
        <v>5.6862899999999996</v>
      </c>
      <c r="IR36">
        <v>0.58895600000000004</v>
      </c>
      <c r="IS36">
        <v>1.7628189999999999</v>
      </c>
      <c r="IT36">
        <v>4.1578600000000003</v>
      </c>
      <c r="IU36">
        <v>4.2849329999999997</v>
      </c>
      <c r="IV36">
        <v>4.9214089999999997</v>
      </c>
      <c r="IW36">
        <v>5.845485</v>
      </c>
      <c r="IX36">
        <v>0.85760000000000003</v>
      </c>
      <c r="IY36">
        <v>7.3204289999999999</v>
      </c>
      <c r="IZ36">
        <v>1.860744</v>
      </c>
      <c r="JA36">
        <v>8.6525160000000003</v>
      </c>
      <c r="JB36">
        <v>0.43013200000000001</v>
      </c>
      <c r="JC36">
        <v>1.5623769999999999</v>
      </c>
      <c r="JD36">
        <v>0.82279100000000005</v>
      </c>
      <c r="JE36">
        <v>16.89142</v>
      </c>
      <c r="JF36">
        <v>0.310442</v>
      </c>
      <c r="JG36">
        <v>1.6105499999999999</v>
      </c>
      <c r="JH36">
        <v>20.304269999999999</v>
      </c>
      <c r="JI36">
        <v>7.0987619999999998</v>
      </c>
      <c r="JJ36">
        <v>14.48607</v>
      </c>
      <c r="JK36">
        <v>34.012540000000001</v>
      </c>
      <c r="JL36">
        <v>2.555199</v>
      </c>
      <c r="JM36">
        <v>4.6885139999999996</v>
      </c>
      <c r="JN36">
        <v>0.49667600000000001</v>
      </c>
      <c r="JO36">
        <v>1.303401</v>
      </c>
      <c r="JP36">
        <v>2.8206180000000001</v>
      </c>
      <c r="JQ36">
        <v>3.3959579999999998</v>
      </c>
      <c r="JR36">
        <v>3.5091209999999999</v>
      </c>
      <c r="JS36">
        <v>4.6840330000000003</v>
      </c>
      <c r="JT36">
        <v>0.75016400000000005</v>
      </c>
      <c r="JU36">
        <v>3.6782919999999999</v>
      </c>
      <c r="JV36">
        <v>1.2377530000000001</v>
      </c>
      <c r="JW36">
        <v>7.2735839999999996</v>
      </c>
      <c r="JX36">
        <v>0.351995</v>
      </c>
      <c r="JY36">
        <v>1.1932119999999999</v>
      </c>
      <c r="JZ36">
        <v>0.72891899999999998</v>
      </c>
      <c r="KA36">
        <v>9.4524670000000004</v>
      </c>
      <c r="KB36">
        <v>8.9315000000000005E-2</v>
      </c>
      <c r="KC36">
        <v>0.559917</v>
      </c>
      <c r="KD36">
        <v>16.673639999999999</v>
      </c>
      <c r="KE36">
        <v>5.6072430000000004</v>
      </c>
      <c r="KF36">
        <v>12.68233</v>
      </c>
      <c r="KG36">
        <v>29.018370000000001</v>
      </c>
      <c r="KH36">
        <v>9334.3559999999998</v>
      </c>
      <c r="KI36">
        <v>10000.6</v>
      </c>
      <c r="KJ36">
        <v>6165.7839999999997</v>
      </c>
      <c r="KK36">
        <v>2645.9789999999998</v>
      </c>
      <c r="KL36">
        <v>1539.444</v>
      </c>
      <c r="KM36">
        <v>485.47210000000001</v>
      </c>
      <c r="KN36">
        <v>512.59059999999999</v>
      </c>
      <c r="KO36">
        <v>0</v>
      </c>
      <c r="KP36">
        <v>25855.07</v>
      </c>
      <c r="KQ36">
        <v>4829.1589999999997</v>
      </c>
      <c r="KR36">
        <v>0</v>
      </c>
      <c r="KS36">
        <v>10092.91</v>
      </c>
      <c r="KT36">
        <v>8123.25</v>
      </c>
      <c r="KU36">
        <v>5488.1130000000003</v>
      </c>
      <c r="KV36">
        <v>2914.7919999999999</v>
      </c>
      <c r="KW36">
        <v>1412.8630000000001</v>
      </c>
      <c r="KX36">
        <v>444.79430000000002</v>
      </c>
      <c r="KY36">
        <v>268.69560000000001</v>
      </c>
      <c r="KZ36">
        <v>0</v>
      </c>
      <c r="LA36">
        <v>20577.48</v>
      </c>
      <c r="LB36">
        <v>8167.9440000000004</v>
      </c>
      <c r="LC36">
        <v>0</v>
      </c>
      <c r="LD36" s="21">
        <v>134000000</v>
      </c>
      <c r="LE36" s="21">
        <v>356000000</v>
      </c>
      <c r="LF36" s="21">
        <v>854000000</v>
      </c>
      <c r="LG36" s="21">
        <v>728000000</v>
      </c>
      <c r="LH36" s="21">
        <v>538000000</v>
      </c>
      <c r="LI36" s="21">
        <v>239000000</v>
      </c>
      <c r="LJ36" s="21">
        <v>123000000</v>
      </c>
      <c r="LK36" s="21">
        <v>3.0699999999999998E-6</v>
      </c>
      <c r="LL36" s="21">
        <v>6.0299999999999999E-6</v>
      </c>
      <c r="LM36" s="21">
        <v>1.13E-5</v>
      </c>
      <c r="LN36" s="21">
        <v>2.4300000000000001E-5</v>
      </c>
      <c r="LO36" s="21">
        <v>3.8999999999999999E-5</v>
      </c>
      <c r="LP36" s="21">
        <v>5.8499999999999999E-5</v>
      </c>
      <c r="LQ36" s="21">
        <v>8.6600000000000004E-5</v>
      </c>
      <c r="LR36" s="21">
        <v>283000000</v>
      </c>
      <c r="LS36" s="21">
        <v>472000000</v>
      </c>
      <c r="LT36" s="21">
        <v>834000000</v>
      </c>
      <c r="LU36" s="21">
        <v>628000000</v>
      </c>
      <c r="LV36" s="21">
        <v>461000000</v>
      </c>
      <c r="LW36" s="21">
        <v>195000000</v>
      </c>
      <c r="LX36">
        <v>99461899</v>
      </c>
      <c r="LY36" s="21">
        <v>6.0100000000000001E-6</v>
      </c>
      <c r="LZ36" s="21">
        <v>1.13E-5</v>
      </c>
      <c r="MA36" s="21">
        <v>2.0699999999999998E-5</v>
      </c>
      <c r="MB36" s="21">
        <v>4.3699999999999998E-5</v>
      </c>
      <c r="MC36" s="21">
        <v>6.5699999999999998E-5</v>
      </c>
      <c r="MD36" s="21">
        <v>9.5299999999999999E-5</v>
      </c>
      <c r="ME36">
        <v>1.3300000000000001E-4</v>
      </c>
      <c r="MF36">
        <v>0.40145199999999998</v>
      </c>
      <c r="MG36">
        <v>0.32012699999999999</v>
      </c>
      <c r="MH36">
        <v>0.19423000000000001</v>
      </c>
      <c r="MI36">
        <v>8.3886000000000002E-2</v>
      </c>
      <c r="MJ36">
        <v>3.0499999999999999E-4</v>
      </c>
      <c r="MK36" s="21">
        <v>2.0400000000000001E-8</v>
      </c>
      <c r="ML36" s="21">
        <v>1.4399999999999999E-7</v>
      </c>
      <c r="MM36">
        <v>1.0761909999999999</v>
      </c>
      <c r="MN36">
        <v>0.83669000000000004</v>
      </c>
      <c r="MO36">
        <v>0.51025100000000001</v>
      </c>
      <c r="MP36">
        <v>0.22452800000000001</v>
      </c>
      <c r="MQ36">
        <v>-4.163E-3</v>
      </c>
      <c r="MR36">
        <v>-0.26433600000000002</v>
      </c>
      <c r="MS36">
        <v>-1.3791610000000001</v>
      </c>
      <c r="MT36">
        <v>0.45296900000000001</v>
      </c>
      <c r="MU36">
        <v>0.273061</v>
      </c>
      <c r="MV36">
        <v>0.180033</v>
      </c>
      <c r="MW36">
        <v>9.3937000000000007E-2</v>
      </c>
      <c r="MX36" s="21">
        <v>8.3200000000000004E-7</v>
      </c>
      <c r="MY36">
        <v>0</v>
      </c>
      <c r="MZ36">
        <v>0</v>
      </c>
      <c r="NA36">
        <v>2.526986</v>
      </c>
      <c r="NB36">
        <v>1.5091429999999999</v>
      </c>
      <c r="NC36">
        <v>0.99317800000000001</v>
      </c>
      <c r="ND36">
        <v>0.51702000000000004</v>
      </c>
      <c r="NE36">
        <v>-5.3015E-2</v>
      </c>
      <c r="NF36">
        <v>-0.72661500000000001</v>
      </c>
      <c r="NG36">
        <v>-3.7666979999999999</v>
      </c>
      <c r="NH36">
        <v>4.8009999999999997E-3</v>
      </c>
      <c r="NI36">
        <v>5.2100000000000002E-3</v>
      </c>
      <c r="NJ36">
        <v>7.5729999999999999E-3</v>
      </c>
      <c r="NK36">
        <v>3.3422E-2</v>
      </c>
      <c r="NL36">
        <v>4.1494000000000003E-2</v>
      </c>
      <c r="NM36">
        <v>9.5677999999999999E-2</v>
      </c>
      <c r="NN36">
        <v>4.8009999999999997E-3</v>
      </c>
      <c r="NO36">
        <v>5.2100000000000002E-3</v>
      </c>
      <c r="NP36">
        <v>7.5729999999999999E-3</v>
      </c>
      <c r="NQ36">
        <v>3.3422E-2</v>
      </c>
      <c r="NR36">
        <v>4.1494000000000003E-2</v>
      </c>
      <c r="NS36">
        <v>9.5677999999999999E-2</v>
      </c>
      <c r="NT36">
        <v>2.5752000000000001E-2</v>
      </c>
      <c r="NU36">
        <v>2.6301000000000001E-2</v>
      </c>
      <c r="NV36">
        <v>3.0280999999999999E-2</v>
      </c>
      <c r="NW36">
        <v>5.1867999999999997E-2</v>
      </c>
      <c r="NX36">
        <v>5.8568000000000002E-2</v>
      </c>
      <c r="NY36">
        <v>0.10946</v>
      </c>
      <c r="NZ36">
        <v>2.5752000000000001E-2</v>
      </c>
      <c r="OA36">
        <v>2.6301000000000001E-2</v>
      </c>
      <c r="OB36">
        <v>3.0280999999999999E-2</v>
      </c>
      <c r="OC36">
        <v>5.1867999999999997E-2</v>
      </c>
      <c r="OD36">
        <v>5.8568000000000002E-2</v>
      </c>
      <c r="OE36">
        <v>0.10946</v>
      </c>
      <c r="OF36">
        <v>41.594999999999999</v>
      </c>
      <c r="OG36">
        <v>24727.03</v>
      </c>
      <c r="OH36">
        <v>19626.2</v>
      </c>
      <c r="OI36">
        <v>7149.607</v>
      </c>
      <c r="OJ36">
        <v>27.763960000000001</v>
      </c>
      <c r="OK36">
        <v>19665.78</v>
      </c>
      <c r="OL36">
        <v>17328.53</v>
      </c>
      <c r="OM36">
        <v>6516.7929999999997</v>
      </c>
      <c r="ON36">
        <v>1769057</v>
      </c>
      <c r="OO36">
        <v>1839088</v>
      </c>
      <c r="OP36">
        <v>13329.87</v>
      </c>
      <c r="OQ36">
        <v>7643.1589999999997</v>
      </c>
      <c r="OR36">
        <v>5698.5</v>
      </c>
      <c r="OS36">
        <v>577.1585</v>
      </c>
      <c r="OT36">
        <v>1836.779</v>
      </c>
      <c r="OU36">
        <v>1418.809</v>
      </c>
      <c r="OV36">
        <v>376.50850000000003</v>
      </c>
      <c r="OW36">
        <v>1482.222</v>
      </c>
      <c r="OX36">
        <v>1481.0740000000001</v>
      </c>
      <c r="OY36">
        <v>1169.575</v>
      </c>
      <c r="OZ36">
        <v>672.94579999999996</v>
      </c>
      <c r="PA36">
        <v>22886.73</v>
      </c>
      <c r="PB36">
        <v>8448.77</v>
      </c>
      <c r="PC36">
        <v>1554.9770000000001</v>
      </c>
      <c r="PD36">
        <v>2680.5210000000002</v>
      </c>
      <c r="PE36">
        <v>7450.2929999999997</v>
      </c>
      <c r="PF36">
        <v>1523.2270000000001</v>
      </c>
      <c r="PG36">
        <v>2917.4380000000001</v>
      </c>
      <c r="PH36">
        <v>231130.2</v>
      </c>
      <c r="PI36">
        <v>98836.160000000003</v>
      </c>
      <c r="PJ36">
        <v>1.964375</v>
      </c>
      <c r="PK36">
        <v>466.77780000000001</v>
      </c>
      <c r="PL36">
        <v>84.706310000000002</v>
      </c>
      <c r="PM36">
        <v>2569.6669999999999</v>
      </c>
      <c r="PN36">
        <v>467.17439999999999</v>
      </c>
      <c r="PO36">
        <v>171.51840000000001</v>
      </c>
      <c r="PP36">
        <v>261.92169999999999</v>
      </c>
      <c r="PQ36">
        <v>601.16489999999999</v>
      </c>
      <c r="PR36">
        <v>100.8416</v>
      </c>
      <c r="PS36">
        <v>624.53710000000001</v>
      </c>
      <c r="PT36">
        <v>1312.067</v>
      </c>
      <c r="PU36">
        <v>404.959</v>
      </c>
      <c r="PV36">
        <v>724.29340000000002</v>
      </c>
      <c r="PW36">
        <v>54.787030000000001</v>
      </c>
      <c r="PX36">
        <v>126.01739999999999</v>
      </c>
      <c r="PY36">
        <v>655.11749999999995</v>
      </c>
      <c r="PZ36">
        <v>121.2972</v>
      </c>
      <c r="QA36">
        <v>421863.7</v>
      </c>
      <c r="QB36">
        <v>8832.348</v>
      </c>
      <c r="QC36">
        <v>83593.710000000006</v>
      </c>
      <c r="QD36">
        <v>11142.44</v>
      </c>
      <c r="QE36">
        <v>10097.620000000001</v>
      </c>
      <c r="QF36">
        <v>7264.8029999999999</v>
      </c>
      <c r="QG36">
        <v>3595.136</v>
      </c>
      <c r="QH36">
        <v>18.225010000000001</v>
      </c>
      <c r="QI36">
        <v>1.7309999999999999E-3</v>
      </c>
      <c r="QJ36">
        <v>1.6111E-2</v>
      </c>
      <c r="QK36">
        <v>15857.56</v>
      </c>
      <c r="QL36">
        <v>8837.2469999999994</v>
      </c>
      <c r="QM36">
        <v>5517.2650000000003</v>
      </c>
      <c r="QN36">
        <v>727.02859999999998</v>
      </c>
      <c r="QO36">
        <v>2712.4839999999999</v>
      </c>
      <c r="QP36">
        <v>1630.7239999999999</v>
      </c>
      <c r="QQ36">
        <v>626.31299999999999</v>
      </c>
      <c r="QR36">
        <v>1577.6949999999999</v>
      </c>
      <c r="QS36">
        <v>1482.384</v>
      </c>
      <c r="QT36">
        <v>1707.9639999999999</v>
      </c>
      <c r="QU36">
        <v>730.0675</v>
      </c>
      <c r="QV36">
        <v>24019.03</v>
      </c>
      <c r="QW36">
        <v>9315.1380000000008</v>
      </c>
      <c r="QX36">
        <v>1889.136</v>
      </c>
      <c r="QY36">
        <v>3423.491</v>
      </c>
      <c r="QZ36">
        <v>11571.81</v>
      </c>
      <c r="RA36">
        <v>2195.991</v>
      </c>
      <c r="RB36">
        <v>5744.518</v>
      </c>
      <c r="RC36">
        <v>241296.2</v>
      </c>
      <c r="RD36">
        <v>101034</v>
      </c>
      <c r="RE36">
        <v>0.67457400000000001</v>
      </c>
      <c r="RF36">
        <v>279.78030000000001</v>
      </c>
      <c r="RG36">
        <v>623.1354</v>
      </c>
      <c r="RH36">
        <v>1083.1600000000001</v>
      </c>
      <c r="RI36">
        <v>6.3152939999999997</v>
      </c>
      <c r="RJ36">
        <v>157.071</v>
      </c>
      <c r="RK36">
        <v>0.984429</v>
      </c>
      <c r="RL36">
        <v>11465.71</v>
      </c>
      <c r="RM36">
        <v>8929.9159999999993</v>
      </c>
      <c r="RN36">
        <v>376.67930000000001</v>
      </c>
      <c r="RO36">
        <v>1543.559</v>
      </c>
      <c r="RP36">
        <v>129.57640000000001</v>
      </c>
      <c r="RQ36">
        <v>912.47749999999996</v>
      </c>
      <c r="RR36">
        <v>639.11339999999996</v>
      </c>
      <c r="RS36">
        <v>240.63210000000001</v>
      </c>
      <c r="RT36">
        <v>1760.529</v>
      </c>
      <c r="RU36">
        <v>1972.17</v>
      </c>
      <c r="RV36">
        <v>472017.5</v>
      </c>
      <c r="RW36">
        <v>15768.53</v>
      </c>
      <c r="RX36">
        <v>80385.94</v>
      </c>
      <c r="RY36">
        <v>11670.41</v>
      </c>
      <c r="RZ36">
        <v>7995.1589999999997</v>
      </c>
      <c r="SA36">
        <v>6250.7349999999997</v>
      </c>
      <c r="SB36">
        <v>3737.09</v>
      </c>
      <c r="SC36">
        <v>4.6114000000000002E-2</v>
      </c>
      <c r="SD36">
        <v>1.4100000000000001E-4</v>
      </c>
      <c r="SE36">
        <v>1.034E-3</v>
      </c>
      <c r="SF36">
        <v>31447.96</v>
      </c>
      <c r="SG36">
        <v>41.594999999999999</v>
      </c>
      <c r="SH36">
        <v>6086.567</v>
      </c>
      <c r="SI36">
        <v>18170.189999999999</v>
      </c>
      <c r="SJ36">
        <v>7149.607</v>
      </c>
      <c r="SK36">
        <v>25969.56</v>
      </c>
      <c r="SL36">
        <v>27.763960000000001</v>
      </c>
      <c r="SM36">
        <v>4558.1030000000001</v>
      </c>
      <c r="SN36">
        <v>14866.9</v>
      </c>
      <c r="SO36">
        <v>6516.7929999999997</v>
      </c>
      <c r="SP36">
        <v>131294.6</v>
      </c>
      <c r="SQ36">
        <v>63735.63</v>
      </c>
      <c r="SR36">
        <v>137784.9</v>
      </c>
      <c r="SS36">
        <v>73855.69</v>
      </c>
      <c r="ST36">
        <v>34.012540000000001</v>
      </c>
      <c r="SU36">
        <v>0.250527</v>
      </c>
      <c r="SV36">
        <v>4.3807210000000003</v>
      </c>
      <c r="SW36">
        <v>12.973089999999999</v>
      </c>
      <c r="SX36">
        <v>16.408190000000001</v>
      </c>
      <c r="SY36">
        <v>29.018370000000001</v>
      </c>
      <c r="SZ36">
        <v>0.16722300000000001</v>
      </c>
      <c r="TA36">
        <v>3.2806299999999999</v>
      </c>
      <c r="TB36">
        <v>10.61462</v>
      </c>
      <c r="TC36">
        <v>14.9559</v>
      </c>
      <c r="TD36">
        <v>26617.67</v>
      </c>
      <c r="TE36">
        <v>826.21370000000002</v>
      </c>
      <c r="TF36">
        <v>530.49540000000002</v>
      </c>
      <c r="TG36">
        <v>213.1617</v>
      </c>
      <c r="TH36">
        <v>51.57394</v>
      </c>
      <c r="TI36">
        <v>106.3177</v>
      </c>
      <c r="TJ36">
        <v>87.016509999999997</v>
      </c>
      <c r="TK36">
        <v>25.62876</v>
      </c>
      <c r="TL36">
        <v>29.308039999999998</v>
      </c>
      <c r="TM36">
        <v>167.5059</v>
      </c>
      <c r="TN36">
        <v>40.481200000000001</v>
      </c>
      <c r="TO36">
        <v>26.269839999999999</v>
      </c>
      <c r="TP36">
        <v>2064.3809999999999</v>
      </c>
      <c r="TQ36">
        <v>2027.67</v>
      </c>
      <c r="TR36">
        <v>104.1893</v>
      </c>
      <c r="TS36">
        <v>192.99029999999999</v>
      </c>
      <c r="TT36">
        <v>423.53280000000001</v>
      </c>
      <c r="TU36">
        <v>41.885959999999997</v>
      </c>
      <c r="TV36">
        <v>73.738829999999993</v>
      </c>
      <c r="TW36">
        <v>12761.57</v>
      </c>
      <c r="TX36">
        <v>6709.4690000000001</v>
      </c>
      <c r="TY36">
        <v>0.49032999999999999</v>
      </c>
      <c r="TZ36">
        <v>8.095701</v>
      </c>
      <c r="UA36">
        <v>3.9786670000000002</v>
      </c>
      <c r="UB36">
        <v>57.279559999999996</v>
      </c>
      <c r="UC36">
        <v>0.69193099999999996</v>
      </c>
      <c r="UD36">
        <v>2.298718</v>
      </c>
      <c r="UE36">
        <v>4.2019229999999999</v>
      </c>
      <c r="UF36">
        <v>1.55491</v>
      </c>
      <c r="UG36">
        <v>0.75629400000000002</v>
      </c>
      <c r="UH36">
        <v>10.04115</v>
      </c>
      <c r="UI36">
        <v>4.8634719999999998</v>
      </c>
      <c r="UJ36">
        <v>12.772169999999999</v>
      </c>
      <c r="UK36">
        <v>4.8145230000000003</v>
      </c>
      <c r="UL36">
        <v>0.35367199999999999</v>
      </c>
      <c r="UM36">
        <v>0.39610800000000002</v>
      </c>
      <c r="UN36">
        <v>1.3881699999999999</v>
      </c>
      <c r="UO36">
        <v>0.29660599999999998</v>
      </c>
      <c r="UP36">
        <v>27039.79</v>
      </c>
      <c r="UQ36">
        <v>825.61189999999999</v>
      </c>
      <c r="UR36">
        <v>541.12469999999996</v>
      </c>
      <c r="US36">
        <v>206.76240000000001</v>
      </c>
      <c r="UT36">
        <v>53.938310000000001</v>
      </c>
      <c r="UU36">
        <v>119.52549999999999</v>
      </c>
      <c r="UV36">
        <v>92.051609999999997</v>
      </c>
      <c r="UW36">
        <v>25.407039999999999</v>
      </c>
      <c r="UX36">
        <v>28.502549999999999</v>
      </c>
      <c r="UY36">
        <v>177.04239999999999</v>
      </c>
      <c r="UZ36">
        <v>41.767299999999999</v>
      </c>
      <c r="VA36">
        <v>24.875879999999999</v>
      </c>
      <c r="VB36">
        <v>2058.6840000000002</v>
      </c>
      <c r="VC36">
        <v>2154.6219999999998</v>
      </c>
      <c r="VD36">
        <v>112.7704</v>
      </c>
      <c r="VE36">
        <v>212.8494</v>
      </c>
      <c r="VF36">
        <v>405.8802</v>
      </c>
      <c r="VG36">
        <v>34.469389999999997</v>
      </c>
      <c r="VH36">
        <v>75.408619999999999</v>
      </c>
      <c r="VI36">
        <v>12971.04</v>
      </c>
      <c r="VJ36">
        <v>6728.9340000000002</v>
      </c>
      <c r="VK36">
        <v>0.23910100000000001</v>
      </c>
      <c r="VL36">
        <v>5.4840169999999997</v>
      </c>
      <c r="VM36">
        <v>25.373159999999999</v>
      </c>
      <c r="VN36">
        <v>27.972650000000002</v>
      </c>
      <c r="VO36">
        <v>7.9257999999999995E-2</v>
      </c>
      <c r="VP36">
        <v>2.1744680000000001</v>
      </c>
      <c r="VQ36">
        <v>0.24465000000000001</v>
      </c>
      <c r="VR36">
        <v>18.793659999999999</v>
      </c>
      <c r="VS36">
        <v>33.181539999999998</v>
      </c>
      <c r="VT36">
        <v>6.6214170000000001</v>
      </c>
      <c r="VU36">
        <v>6.3179319999999999</v>
      </c>
      <c r="VV36">
        <v>5.6221259999999997</v>
      </c>
      <c r="VW36">
        <v>6.2220779999999998</v>
      </c>
      <c r="VX36">
        <v>2.8559030000000001</v>
      </c>
      <c r="VY36">
        <v>0.72290500000000002</v>
      </c>
      <c r="VZ36">
        <v>3.7003379999999999</v>
      </c>
      <c r="WA36">
        <v>2.9235229999999999</v>
      </c>
      <c r="WB36">
        <v>0.11561100000000001</v>
      </c>
      <c r="WC36">
        <v>9.7214999999999996E-2</v>
      </c>
      <c r="WD36">
        <v>-2.1373E-2</v>
      </c>
      <c r="WE36">
        <v>-1.4602E-2</v>
      </c>
      <c r="WF36">
        <v>0.63935500000000001</v>
      </c>
      <c r="WG36">
        <v>0.39629300000000001</v>
      </c>
      <c r="WH36">
        <v>-3.2112000000000002E-2</v>
      </c>
      <c r="WI36">
        <v>-1.3624000000000001E-2</v>
      </c>
      <c r="WJ36">
        <v>2794967</v>
      </c>
      <c r="WK36">
        <v>2846526</v>
      </c>
    </row>
    <row r="37" spans="1:609" x14ac:dyDescent="0.25">
      <c r="A37">
        <v>2038</v>
      </c>
      <c r="B37">
        <v>1.784824</v>
      </c>
      <c r="C37">
        <v>159.5153</v>
      </c>
      <c r="D37">
        <v>4.7584169999999997</v>
      </c>
      <c r="E37">
        <v>12.064489999999999</v>
      </c>
      <c r="F37">
        <v>-8.0213249999999992</v>
      </c>
      <c r="G37">
        <v>3.835969</v>
      </c>
      <c r="H37">
        <v>-1.7579020000000001</v>
      </c>
      <c r="I37">
        <v>1.5179959999999999</v>
      </c>
      <c r="J37">
        <v>20.86505</v>
      </c>
      <c r="K37">
        <v>0.63221700000000003</v>
      </c>
      <c r="L37">
        <v>20.105720000000002</v>
      </c>
      <c r="M37">
        <v>1.2921199999999999</v>
      </c>
      <c r="N37">
        <v>0</v>
      </c>
      <c r="O37">
        <v>-26.055910000000001</v>
      </c>
      <c r="P37">
        <v>-1.9240379999999999</v>
      </c>
      <c r="Q37">
        <v>-57.145530000000001</v>
      </c>
      <c r="R37">
        <v>38.314059999999998</v>
      </c>
      <c r="S37">
        <v>100</v>
      </c>
      <c r="T37">
        <v>620.73820000000001</v>
      </c>
      <c r="U37">
        <v>160.9477</v>
      </c>
      <c r="V37">
        <v>417.90699999999998</v>
      </c>
      <c r="W37">
        <v>1.9840070000000001</v>
      </c>
      <c r="X37">
        <v>57202.2</v>
      </c>
      <c r="Y37">
        <v>0.12396600000000001</v>
      </c>
      <c r="Z37">
        <v>0.13438700000000001</v>
      </c>
      <c r="AA37">
        <v>2.8193039999999998</v>
      </c>
      <c r="AB37">
        <v>-1.231895</v>
      </c>
      <c r="AC37">
        <v>4.3327999999999998E-2</v>
      </c>
      <c r="AD37">
        <v>87134.2</v>
      </c>
      <c r="AE37">
        <v>674995.9</v>
      </c>
      <c r="AF37">
        <v>765134.2</v>
      </c>
      <c r="AG37">
        <v>59872.84</v>
      </c>
      <c r="AH37">
        <v>407158.7</v>
      </c>
      <c r="AI37">
        <v>-5.4749999999999998E-3</v>
      </c>
      <c r="AJ37">
        <v>247.13509999999999</v>
      </c>
      <c r="AK37">
        <v>2397.9670000000001</v>
      </c>
      <c r="AL37">
        <v>401.50990000000002</v>
      </c>
      <c r="AM37">
        <v>97.790149999999997</v>
      </c>
      <c r="AN37">
        <v>948.86339999999996</v>
      </c>
      <c r="AO37">
        <v>158.87549999999999</v>
      </c>
      <c r="AP37">
        <v>2125.6239999999998</v>
      </c>
      <c r="AQ37">
        <v>841.09870000000001</v>
      </c>
      <c r="AR37">
        <v>1060.856</v>
      </c>
      <c r="AS37">
        <v>620.62130000000002</v>
      </c>
      <c r="AT37">
        <v>2194.5509999999999</v>
      </c>
      <c r="AU37">
        <v>926.98</v>
      </c>
      <c r="AV37">
        <v>176.56720000000001</v>
      </c>
      <c r="AW37">
        <v>1.776065</v>
      </c>
      <c r="AX37">
        <v>2.119761</v>
      </c>
      <c r="AY37">
        <v>3.016858</v>
      </c>
      <c r="AZ37">
        <v>-3.3529390000000001</v>
      </c>
      <c r="BA37">
        <v>3.3987120000000002</v>
      </c>
      <c r="BB37">
        <v>9.3312580000000001</v>
      </c>
      <c r="BC37">
        <v>2.9589319999999999</v>
      </c>
      <c r="BD37">
        <v>7.7963829999999996</v>
      </c>
      <c r="BE37">
        <v>-4.6746259999999999</v>
      </c>
      <c r="BF37">
        <v>3.1521849999999998</v>
      </c>
      <c r="BG37">
        <v>4.6348539999999998</v>
      </c>
      <c r="BH37">
        <v>-3.6939000000000002</v>
      </c>
      <c r="BI37">
        <v>-0.44295400000000001</v>
      </c>
      <c r="BJ37">
        <v>6.1683649999999997</v>
      </c>
      <c r="BK37">
        <v>8.3779190000000003</v>
      </c>
      <c r="BL37">
        <v>9.1110720000000001</v>
      </c>
      <c r="BM37">
        <v>-3.6871900000000002</v>
      </c>
      <c r="BN37">
        <v>-19.042560000000002</v>
      </c>
      <c r="BO37">
        <v>-3.7224089999999999</v>
      </c>
      <c r="BP37">
        <v>1.8502780000000001</v>
      </c>
      <c r="BQ37">
        <v>0.62480800000000003</v>
      </c>
      <c r="BR37">
        <v>-99.694329999999994</v>
      </c>
      <c r="BS37">
        <v>-38.04851</v>
      </c>
      <c r="BT37">
        <v>73.854929999999996</v>
      </c>
      <c r="BU37">
        <v>-50.615409999999997</v>
      </c>
      <c r="BV37">
        <v>-89.573490000000007</v>
      </c>
      <c r="BW37">
        <v>-5.118017</v>
      </c>
      <c r="BX37">
        <v>-94.990579999999994</v>
      </c>
      <c r="BY37">
        <v>952.36710000000005</v>
      </c>
      <c r="BZ37">
        <v>3609.6590000000001</v>
      </c>
      <c r="CA37">
        <v>-33.798380000000002</v>
      </c>
      <c r="CB37">
        <v>14.89371</v>
      </c>
      <c r="CC37">
        <v>-54.720019999999998</v>
      </c>
      <c r="CD37">
        <v>17.857309999999998</v>
      </c>
      <c r="CE37">
        <v>634.33960000000002</v>
      </c>
      <c r="CF37">
        <v>72.428560000000004</v>
      </c>
      <c r="CG37">
        <v>182.84180000000001</v>
      </c>
      <c r="CH37">
        <v>749.40769999999998</v>
      </c>
      <c r="CI37">
        <v>19.82546</v>
      </c>
      <c r="CJ37">
        <v>16.31306</v>
      </c>
      <c r="CK37">
        <v>-3.325653</v>
      </c>
      <c r="CL37">
        <v>27.068639999999998</v>
      </c>
      <c r="CM37">
        <v>50.238190000000003</v>
      </c>
      <c r="CN37">
        <v>15.66179</v>
      </c>
      <c r="CO37">
        <v>68.927120000000002</v>
      </c>
      <c r="CP37">
        <v>6.9448100000000004</v>
      </c>
      <c r="CQ37">
        <v>9.4244999999999995E-2</v>
      </c>
      <c r="CR37">
        <v>47.18347</v>
      </c>
      <c r="CS37">
        <v>8.6178530000000002</v>
      </c>
      <c r="CT37">
        <v>4.9809729999999997</v>
      </c>
      <c r="CU37">
        <v>10.680429999999999</v>
      </c>
      <c r="CV37">
        <v>21.599309999999999</v>
      </c>
      <c r="CW37">
        <v>28.103339999999999</v>
      </c>
      <c r="CX37">
        <v>58.587260000000001</v>
      </c>
      <c r="CY37">
        <v>46.919420000000002</v>
      </c>
      <c r="CZ37">
        <v>102.6908</v>
      </c>
      <c r="DA37">
        <v>4.5790870000000004</v>
      </c>
      <c r="DB37">
        <v>2.363667</v>
      </c>
      <c r="DC37">
        <v>-65.823440000000005</v>
      </c>
      <c r="DD37">
        <v>-43.106439999999999</v>
      </c>
      <c r="DE37">
        <v>788.76020000000005</v>
      </c>
      <c r="DF37">
        <v>-58.597639999999998</v>
      </c>
      <c r="DG37">
        <v>-98.823560000000001</v>
      </c>
      <c r="DH37">
        <v>-8.3320380000000007</v>
      </c>
      <c r="DI37">
        <v>-99.684550000000002</v>
      </c>
      <c r="DJ37">
        <v>1726.1790000000001</v>
      </c>
      <c r="DK37">
        <v>8684.4539999999997</v>
      </c>
      <c r="DL37">
        <v>-41.04372</v>
      </c>
      <c r="DM37">
        <v>16.089770000000001</v>
      </c>
      <c r="DN37">
        <v>-69.838530000000006</v>
      </c>
      <c r="DO37">
        <v>25.286909999999999</v>
      </c>
      <c r="DP37">
        <v>1095.0930000000001</v>
      </c>
      <c r="DQ37">
        <v>97.192359999999994</v>
      </c>
      <c r="DR37">
        <v>203.22819999999999</v>
      </c>
      <c r="DS37">
        <v>1551.8510000000001</v>
      </c>
      <c r="DT37">
        <v>5.8703999999999999E-2</v>
      </c>
      <c r="DU37">
        <v>4.8187930000000003</v>
      </c>
      <c r="DV37">
        <v>1.018878</v>
      </c>
      <c r="DW37">
        <v>6.4004260000000004</v>
      </c>
      <c r="DX37">
        <v>5.2489470000000003</v>
      </c>
      <c r="DY37">
        <v>6.0634129999999997</v>
      </c>
      <c r="DZ37">
        <v>3.4953059999999998</v>
      </c>
      <c r="EA37">
        <v>6.439425</v>
      </c>
      <c r="EB37">
        <v>9.8022799999999997</v>
      </c>
      <c r="EC37">
        <v>0</v>
      </c>
      <c r="ED37">
        <v>8.1567769999999999</v>
      </c>
      <c r="EE37">
        <v>6.8498650000000003</v>
      </c>
      <c r="EF37">
        <v>6.8596240000000002</v>
      </c>
      <c r="EG37">
        <v>7.7045599999999999</v>
      </c>
      <c r="EH37">
        <v>12.33173</v>
      </c>
      <c r="EI37">
        <v>-3.6849440000000002</v>
      </c>
      <c r="EJ37">
        <v>0.71655199999999997</v>
      </c>
      <c r="EK37">
        <v>-5.11897</v>
      </c>
      <c r="EL37">
        <v>5.1284390000000002</v>
      </c>
      <c r="EM37">
        <v>5.0653519999999999</v>
      </c>
      <c r="EN37">
        <v>-33.914549999999998</v>
      </c>
      <c r="EO37">
        <v>-20.779219999999999</v>
      </c>
      <c r="EP37">
        <v>-12.34543</v>
      </c>
      <c r="EQ37">
        <v>-9.2756670000000003</v>
      </c>
      <c r="ER37">
        <v>8.3792179999999998</v>
      </c>
      <c r="ES37">
        <v>64.804410000000004</v>
      </c>
      <c r="ET37">
        <v>1.8100799999999999</v>
      </c>
      <c r="EU37">
        <v>38.382010000000001</v>
      </c>
      <c r="EV37">
        <v>0.61416000000000004</v>
      </c>
      <c r="EW37">
        <v>2.2438129999999998</v>
      </c>
      <c r="EX37">
        <v>2.8336510000000001</v>
      </c>
      <c r="EY37">
        <v>0.894706</v>
      </c>
      <c r="EZ37">
        <v>0.118576</v>
      </c>
      <c r="FA37">
        <v>6.0473509999999999</v>
      </c>
      <c r="FB37">
        <v>1.9403269999999999</v>
      </c>
      <c r="FC37">
        <v>31.76426</v>
      </c>
      <c r="FD37">
        <v>8.6444510000000001</v>
      </c>
      <c r="FE37">
        <v>0.52209099999999997</v>
      </c>
      <c r="FF37">
        <v>0.80453300000000005</v>
      </c>
      <c r="FG37">
        <v>1.446448</v>
      </c>
      <c r="FH37">
        <v>0.325237</v>
      </c>
      <c r="FI37">
        <v>4.8773140000000001</v>
      </c>
      <c r="FJ37">
        <v>37.059989999999999</v>
      </c>
      <c r="FK37">
        <v>11.82166</v>
      </c>
      <c r="FL37">
        <v>18.767659999999999</v>
      </c>
      <c r="FM37">
        <v>5.8058999999999999E-2</v>
      </c>
      <c r="FN37">
        <v>2.1113659999999999</v>
      </c>
      <c r="FO37">
        <v>0.14197599999999999</v>
      </c>
      <c r="FP37">
        <v>9.3694880000000005</v>
      </c>
      <c r="FQ37">
        <v>4.37981</v>
      </c>
      <c r="FR37">
        <v>3.968315</v>
      </c>
      <c r="FS37">
        <v>2.216799</v>
      </c>
      <c r="FT37">
        <v>14.091950000000001</v>
      </c>
      <c r="FU37">
        <v>11.60754</v>
      </c>
      <c r="FV37">
        <v>4.3811159999999996</v>
      </c>
      <c r="FW37">
        <v>1.593137</v>
      </c>
      <c r="FX37">
        <v>4.6632709999999999</v>
      </c>
      <c r="FY37">
        <v>3.2529080000000001</v>
      </c>
      <c r="FZ37">
        <v>6.0948479999999998</v>
      </c>
      <c r="GA37">
        <v>49.430259999999997</v>
      </c>
      <c r="GB37">
        <v>1.8100799999999999</v>
      </c>
      <c r="GC37">
        <v>34.440730000000002</v>
      </c>
      <c r="GD37">
        <v>0.551095</v>
      </c>
      <c r="GE37">
        <v>2.0134059999999998</v>
      </c>
      <c r="GF37">
        <v>2.542675</v>
      </c>
      <c r="GG37">
        <v>0.80283300000000002</v>
      </c>
      <c r="GH37">
        <v>0.10639999999999999</v>
      </c>
      <c r="GI37">
        <v>5.4263750000000002</v>
      </c>
      <c r="GJ37">
        <v>1.7410829999999999</v>
      </c>
      <c r="GK37">
        <v>29.943639999999998</v>
      </c>
      <c r="GL37">
        <v>8.6444510000000001</v>
      </c>
      <c r="GM37">
        <v>0.52209099999999997</v>
      </c>
      <c r="GN37">
        <v>0.80453300000000005</v>
      </c>
      <c r="GO37">
        <v>1.446448</v>
      </c>
      <c r="GP37">
        <v>0.325237</v>
      </c>
      <c r="GQ37">
        <v>2.7334909999999999</v>
      </c>
      <c r="GR37">
        <v>23.023250000000001</v>
      </c>
      <c r="GS37">
        <v>11.82166</v>
      </c>
      <c r="GT37">
        <v>16.27375</v>
      </c>
      <c r="GU37">
        <v>5.0344E-2</v>
      </c>
      <c r="GV37">
        <v>1.8308009999999999</v>
      </c>
      <c r="GW37">
        <v>0.12311</v>
      </c>
      <c r="GX37">
        <v>8.1244409999999991</v>
      </c>
      <c r="GY37">
        <v>3.7978070000000002</v>
      </c>
      <c r="GZ37">
        <v>3.4409930000000002</v>
      </c>
      <c r="HA37">
        <v>1.922223</v>
      </c>
      <c r="HB37">
        <v>12.4297</v>
      </c>
      <c r="HC37">
        <v>11.60754</v>
      </c>
      <c r="HD37">
        <v>4.3811159999999996</v>
      </c>
      <c r="HE37">
        <v>1.593137</v>
      </c>
      <c r="HF37">
        <v>4.6632709999999999</v>
      </c>
      <c r="HG37">
        <v>3.2529080000000001</v>
      </c>
      <c r="HH37">
        <v>6.2047749999999997</v>
      </c>
      <c r="HI37">
        <v>53.129809999999999</v>
      </c>
      <c r="HJ37">
        <v>1.8100799999999999</v>
      </c>
      <c r="HK37">
        <v>138.56129999999999</v>
      </c>
      <c r="HL37">
        <v>1.3265960000000001</v>
      </c>
      <c r="HM37">
        <v>4.846673</v>
      </c>
      <c r="HN37">
        <v>6.1207310000000001</v>
      </c>
      <c r="HO37">
        <v>0.96724399999999999</v>
      </c>
      <c r="HP37">
        <v>0.128189</v>
      </c>
      <c r="HQ37">
        <v>6.5376349999999999</v>
      </c>
      <c r="HR37">
        <v>5.6713889999999996</v>
      </c>
      <c r="HS37">
        <v>30.149380000000001</v>
      </c>
      <c r="HT37">
        <v>8.7737390000000008</v>
      </c>
      <c r="HU37">
        <v>0.52989900000000001</v>
      </c>
      <c r="HV37">
        <v>0.81656600000000001</v>
      </c>
      <c r="HW37">
        <v>1.468081</v>
      </c>
      <c r="HX37">
        <v>0.33010099999999998</v>
      </c>
      <c r="HY37">
        <v>2.7686860000000002</v>
      </c>
      <c r="HZ37">
        <v>24.757149999999999</v>
      </c>
      <c r="IA37">
        <v>9.8646829999999994</v>
      </c>
      <c r="IB37">
        <v>61.147530000000003</v>
      </c>
      <c r="IC37">
        <v>5.8081000000000001E-2</v>
      </c>
      <c r="ID37">
        <v>4.163449</v>
      </c>
      <c r="IE37">
        <v>0.14202999999999999</v>
      </c>
      <c r="IF37">
        <v>10.73897</v>
      </c>
      <c r="IG37">
        <v>4.7097870000000004</v>
      </c>
      <c r="IH37">
        <v>4.2672910000000002</v>
      </c>
      <c r="II37">
        <v>7.4260359999999999</v>
      </c>
      <c r="IJ37">
        <v>12.454499999999999</v>
      </c>
      <c r="IK37">
        <v>11.649229999999999</v>
      </c>
      <c r="IL37">
        <v>5.8346220000000004</v>
      </c>
      <c r="IM37">
        <v>1.6010930000000001</v>
      </c>
      <c r="IN37">
        <v>4.6860840000000001</v>
      </c>
      <c r="IO37">
        <v>3.2600669999999998</v>
      </c>
      <c r="IP37">
        <v>4.154795</v>
      </c>
      <c r="IQ37">
        <v>5.6994199999999999</v>
      </c>
      <c r="IR37">
        <v>0.58040199999999997</v>
      </c>
      <c r="IS37">
        <v>1.749924</v>
      </c>
      <c r="IT37">
        <v>4.1561779999999997</v>
      </c>
      <c r="IU37">
        <v>4.2737850000000002</v>
      </c>
      <c r="IV37">
        <v>4.8757989999999998</v>
      </c>
      <c r="IW37">
        <v>5.7478439999999997</v>
      </c>
      <c r="IX37">
        <v>0.85943700000000001</v>
      </c>
      <c r="IY37">
        <v>7.3519519999999998</v>
      </c>
      <c r="IZ37">
        <v>1.852533</v>
      </c>
      <c r="JA37">
        <v>8.6481919999999999</v>
      </c>
      <c r="JB37">
        <v>0.43197600000000003</v>
      </c>
      <c r="JC37">
        <v>1.5915440000000001</v>
      </c>
      <c r="JD37">
        <v>0.81972</v>
      </c>
      <c r="JE37">
        <v>16.649429999999999</v>
      </c>
      <c r="JF37">
        <v>0.30507899999999999</v>
      </c>
      <c r="JG37">
        <v>1.5810500000000001</v>
      </c>
      <c r="JH37">
        <v>20.268450000000001</v>
      </c>
      <c r="JI37">
        <v>7.1352289999999998</v>
      </c>
      <c r="JJ37">
        <v>14.193440000000001</v>
      </c>
      <c r="JK37">
        <v>33.720010000000002</v>
      </c>
      <c r="JL37">
        <v>2.4807060000000001</v>
      </c>
      <c r="JM37">
        <v>4.6927810000000001</v>
      </c>
      <c r="JN37">
        <v>0.48564000000000002</v>
      </c>
      <c r="JO37">
        <v>1.287558</v>
      </c>
      <c r="JP37">
        <v>2.8072020000000002</v>
      </c>
      <c r="JQ37">
        <v>3.365488</v>
      </c>
      <c r="JR37">
        <v>3.4409290000000001</v>
      </c>
      <c r="JS37">
        <v>4.5486690000000003</v>
      </c>
      <c r="JT37">
        <v>0.74630700000000005</v>
      </c>
      <c r="JU37">
        <v>3.642798</v>
      </c>
      <c r="JV37">
        <v>1.205068</v>
      </c>
      <c r="JW37">
        <v>7.2452259999999997</v>
      </c>
      <c r="JX37">
        <v>0.35759400000000002</v>
      </c>
      <c r="JY37">
        <v>1.1842010000000001</v>
      </c>
      <c r="JZ37">
        <v>0.717557</v>
      </c>
      <c r="KA37">
        <v>9.1838909999999991</v>
      </c>
      <c r="KB37">
        <v>8.6144999999999999E-2</v>
      </c>
      <c r="KC37">
        <v>0.53798199999999996</v>
      </c>
      <c r="KD37">
        <v>16.476690000000001</v>
      </c>
      <c r="KE37">
        <v>5.5745240000000003</v>
      </c>
      <c r="KF37">
        <v>12.457649999999999</v>
      </c>
      <c r="KG37">
        <v>28.54494</v>
      </c>
      <c r="KH37">
        <v>9452.8220000000001</v>
      </c>
      <c r="KI37">
        <v>9881.9940000000006</v>
      </c>
      <c r="KJ37">
        <v>6088.2219999999998</v>
      </c>
      <c r="KK37">
        <v>2616.9119999999998</v>
      </c>
      <c r="KL37">
        <v>1421.34</v>
      </c>
      <c r="KM37">
        <v>448.12810000000002</v>
      </c>
      <c r="KN37">
        <v>473.16070000000002</v>
      </c>
      <c r="KO37">
        <v>0</v>
      </c>
      <c r="KP37">
        <v>25358.880000000001</v>
      </c>
      <c r="KQ37">
        <v>5023.6959999999999</v>
      </c>
      <c r="KR37">
        <v>0</v>
      </c>
      <c r="KS37">
        <v>10253.91</v>
      </c>
      <c r="KT37">
        <v>8058.1139999999996</v>
      </c>
      <c r="KU37">
        <v>5434.4219999999996</v>
      </c>
      <c r="KV37">
        <v>2882.511</v>
      </c>
      <c r="KW37">
        <v>1304.182</v>
      </c>
      <c r="KX37">
        <v>410.57940000000002</v>
      </c>
      <c r="KY37">
        <v>248.02670000000001</v>
      </c>
      <c r="KZ37">
        <v>0</v>
      </c>
      <c r="LA37">
        <v>20049.55</v>
      </c>
      <c r="LB37">
        <v>8542.1959999999999</v>
      </c>
      <c r="LC37">
        <v>0</v>
      </c>
      <c r="LD37" s="21">
        <v>138000000</v>
      </c>
      <c r="LE37" s="21">
        <v>364000000</v>
      </c>
      <c r="LF37" s="21">
        <v>867000000</v>
      </c>
      <c r="LG37" s="21">
        <v>735000000</v>
      </c>
      <c r="LH37" s="21">
        <v>534000000</v>
      </c>
      <c r="LI37" s="21">
        <v>234000000</v>
      </c>
      <c r="LJ37" s="21">
        <v>121000000</v>
      </c>
      <c r="LK37" s="21">
        <v>3.1200000000000002E-6</v>
      </c>
      <c r="LL37" s="21">
        <v>6.1600000000000003E-6</v>
      </c>
      <c r="LM37" s="21">
        <v>1.1600000000000001E-5</v>
      </c>
      <c r="LN37" s="21">
        <v>2.5000000000000001E-5</v>
      </c>
      <c r="LO37" s="21">
        <v>4.0399999999999999E-5</v>
      </c>
      <c r="LP37" s="21">
        <v>6.0800000000000001E-5</v>
      </c>
      <c r="LQ37" s="21">
        <v>9.0099999999999995E-5</v>
      </c>
      <c r="LR37" s="21">
        <v>302000000</v>
      </c>
      <c r="LS37" s="21">
        <v>487000000</v>
      </c>
      <c r="LT37" s="21">
        <v>841000000</v>
      </c>
      <c r="LU37" s="21">
        <v>626000000</v>
      </c>
      <c r="LV37" s="21">
        <v>454000000</v>
      </c>
      <c r="LW37" s="21">
        <v>188000000</v>
      </c>
      <c r="LX37">
        <v>96024370</v>
      </c>
      <c r="LY37" s="21">
        <v>6.3099999999999997E-6</v>
      </c>
      <c r="LZ37" s="21">
        <v>1.19E-5</v>
      </c>
      <c r="MA37" s="21">
        <v>2.1800000000000001E-5</v>
      </c>
      <c r="MB37" s="21">
        <v>4.5899999999999998E-5</v>
      </c>
      <c r="MC37" s="21">
        <v>6.8999999999999997E-5</v>
      </c>
      <c r="MD37">
        <v>1E-4</v>
      </c>
      <c r="ME37">
        <v>1.3899999999999999E-4</v>
      </c>
      <c r="MF37">
        <v>0.40632600000000002</v>
      </c>
      <c r="MG37">
        <v>0.31606200000000001</v>
      </c>
      <c r="MH37">
        <v>0.19271099999999999</v>
      </c>
      <c r="MI37">
        <v>8.4749000000000005E-2</v>
      </c>
      <c r="MJ37">
        <v>1.5300000000000001E-4</v>
      </c>
      <c r="MK37" s="21">
        <v>1.02E-8</v>
      </c>
      <c r="ML37" s="21">
        <v>7.1900000000000002E-8</v>
      </c>
      <c r="MM37">
        <v>1.1521330000000001</v>
      </c>
      <c r="MN37">
        <v>0.87417999999999996</v>
      </c>
      <c r="MO37">
        <v>0.53569599999999995</v>
      </c>
      <c r="MP37">
        <v>0.239873</v>
      </c>
      <c r="MQ37">
        <v>-6.9189999999999998E-3</v>
      </c>
      <c r="MR37">
        <v>-0.289018</v>
      </c>
      <c r="MS37">
        <v>-1.5059450000000001</v>
      </c>
      <c r="MT37">
        <v>0.45558599999999999</v>
      </c>
      <c r="MU37">
        <v>0.27204299999999998</v>
      </c>
      <c r="MV37">
        <v>0.179086</v>
      </c>
      <c r="MW37">
        <v>9.3285000000000007E-2</v>
      </c>
      <c r="MX37" s="21">
        <v>4.1100000000000001E-7</v>
      </c>
      <c r="MY37">
        <v>0</v>
      </c>
      <c r="MZ37">
        <v>0</v>
      </c>
      <c r="NA37">
        <v>2.5721959999999999</v>
      </c>
      <c r="NB37">
        <v>1.521442</v>
      </c>
      <c r="NC37">
        <v>1.000016</v>
      </c>
      <c r="ND37">
        <v>0.52000999999999997</v>
      </c>
      <c r="NE37">
        <v>-5.6923000000000001E-2</v>
      </c>
      <c r="NF37">
        <v>-0.73887700000000001</v>
      </c>
      <c r="NG37">
        <v>-3.8178640000000001</v>
      </c>
      <c r="NH37">
        <v>4.8149999999999998E-3</v>
      </c>
      <c r="NI37">
        <v>5.2529999999999999E-3</v>
      </c>
      <c r="NJ37">
        <v>7.7640000000000001E-3</v>
      </c>
      <c r="NK37">
        <v>3.4000000000000002E-2</v>
      </c>
      <c r="NL37">
        <v>4.2306000000000003E-2</v>
      </c>
      <c r="NM37">
        <v>9.6496999999999999E-2</v>
      </c>
      <c r="NN37">
        <v>4.8149999999999998E-3</v>
      </c>
      <c r="NO37">
        <v>5.2529999999999999E-3</v>
      </c>
      <c r="NP37">
        <v>7.7640000000000001E-3</v>
      </c>
      <c r="NQ37">
        <v>3.4000000000000002E-2</v>
      </c>
      <c r="NR37">
        <v>4.2306000000000003E-2</v>
      </c>
      <c r="NS37">
        <v>9.6496999999999999E-2</v>
      </c>
      <c r="NT37">
        <v>2.5892999999999999E-2</v>
      </c>
      <c r="NU37">
        <v>2.6438E-2</v>
      </c>
      <c r="NV37">
        <v>3.0370999999999999E-2</v>
      </c>
      <c r="NW37">
        <v>5.1851000000000001E-2</v>
      </c>
      <c r="NX37">
        <v>5.8451999999999997E-2</v>
      </c>
      <c r="NY37">
        <v>0.10945000000000001</v>
      </c>
      <c r="NZ37">
        <v>2.5892999999999999E-2</v>
      </c>
      <c r="OA37">
        <v>2.6438E-2</v>
      </c>
      <c r="OB37">
        <v>3.0370999999999999E-2</v>
      </c>
      <c r="OC37">
        <v>5.1851000000000001E-2</v>
      </c>
      <c r="OD37">
        <v>5.8451999999999997E-2</v>
      </c>
      <c r="OE37">
        <v>0.10945000000000001</v>
      </c>
      <c r="OF37">
        <v>40.914850000000001</v>
      </c>
      <c r="OG37">
        <v>24127.54</v>
      </c>
      <c r="OH37">
        <v>19764.990000000002</v>
      </c>
      <c r="OI37">
        <v>7040.7179999999998</v>
      </c>
      <c r="OJ37">
        <v>27.03876</v>
      </c>
      <c r="OK37">
        <v>19114.02</v>
      </c>
      <c r="OL37">
        <v>17324.919999999998</v>
      </c>
      <c r="OM37">
        <v>6387.6450000000004</v>
      </c>
      <c r="ON37">
        <v>1796145</v>
      </c>
      <c r="OO37">
        <v>1870995</v>
      </c>
      <c r="OP37">
        <v>13618.68</v>
      </c>
      <c r="OQ37">
        <v>7804.7960000000003</v>
      </c>
      <c r="OR37">
        <v>5744.7889999999998</v>
      </c>
      <c r="OS37">
        <v>581.65269999999998</v>
      </c>
      <c r="OT37">
        <v>1862.6179999999999</v>
      </c>
      <c r="OU37">
        <v>1425.9359999999999</v>
      </c>
      <c r="OV37">
        <v>380.81139999999999</v>
      </c>
      <c r="OW37">
        <v>1504.1510000000001</v>
      </c>
      <c r="OX37">
        <v>1487.7380000000001</v>
      </c>
      <c r="OY37">
        <v>1171.5650000000001</v>
      </c>
      <c r="OZ37">
        <v>672.95450000000005</v>
      </c>
      <c r="PA37">
        <v>23042.78</v>
      </c>
      <c r="PB37">
        <v>8597.6440000000002</v>
      </c>
      <c r="PC37">
        <v>1613.4659999999999</v>
      </c>
      <c r="PD37">
        <v>2775.6410000000001</v>
      </c>
      <c r="PE37">
        <v>7610.2870000000003</v>
      </c>
      <c r="PF37">
        <v>1545.6310000000001</v>
      </c>
      <c r="PG37">
        <v>2974.3789999999999</v>
      </c>
      <c r="PH37">
        <v>234767.4</v>
      </c>
      <c r="PI37">
        <v>100416.6</v>
      </c>
      <c r="PJ37">
        <v>1.9751970000000001</v>
      </c>
      <c r="PK37">
        <v>455.19720000000001</v>
      </c>
      <c r="PL37">
        <v>81.496930000000006</v>
      </c>
      <c r="PM37">
        <v>2629.2109999999998</v>
      </c>
      <c r="PN37">
        <v>469.93880000000001</v>
      </c>
      <c r="PO37">
        <v>172.3561</v>
      </c>
      <c r="PP37">
        <v>262.96839999999997</v>
      </c>
      <c r="PQ37">
        <v>601.60730000000001</v>
      </c>
      <c r="PR37">
        <v>101.2944</v>
      </c>
      <c r="PS37">
        <v>626.71209999999996</v>
      </c>
      <c r="PT37">
        <v>1308.8030000000001</v>
      </c>
      <c r="PU37">
        <v>397.4889</v>
      </c>
      <c r="PV37">
        <v>710.19150000000002</v>
      </c>
      <c r="PW37">
        <v>53.222850000000001</v>
      </c>
      <c r="PX37">
        <v>123.6485</v>
      </c>
      <c r="PY37">
        <v>637.89599999999996</v>
      </c>
      <c r="PZ37">
        <v>118.82940000000001</v>
      </c>
      <c r="QA37">
        <v>428352.4</v>
      </c>
      <c r="QB37">
        <v>8879.7810000000009</v>
      </c>
      <c r="QC37">
        <v>83972.45</v>
      </c>
      <c r="QD37">
        <v>10988.48</v>
      </c>
      <c r="QE37">
        <v>9713.7279999999992</v>
      </c>
      <c r="QF37">
        <v>7023.12</v>
      </c>
      <c r="QG37">
        <v>3538.9650000000001</v>
      </c>
      <c r="QH37">
        <v>8.8785969999999992</v>
      </c>
      <c r="QI37">
        <v>8.43E-4</v>
      </c>
      <c r="QJ37">
        <v>7.8490000000000001E-3</v>
      </c>
      <c r="QK37">
        <v>16318.65</v>
      </c>
      <c r="QL37">
        <v>9077.9969999999994</v>
      </c>
      <c r="QM37">
        <v>5553.7370000000001</v>
      </c>
      <c r="QN37">
        <v>739.09820000000002</v>
      </c>
      <c r="QO37">
        <v>2798.364</v>
      </c>
      <c r="QP37">
        <v>1649.2639999999999</v>
      </c>
      <c r="QQ37">
        <v>643.29380000000003</v>
      </c>
      <c r="QR37">
        <v>1608.6120000000001</v>
      </c>
      <c r="QS37">
        <v>1489.1410000000001</v>
      </c>
      <c r="QT37">
        <v>1724.3489999999999</v>
      </c>
      <c r="QU37">
        <v>730.94870000000003</v>
      </c>
      <c r="QV37">
        <v>24190.54</v>
      </c>
      <c r="QW37">
        <v>9515.91</v>
      </c>
      <c r="QX37">
        <v>1961.9639999999999</v>
      </c>
      <c r="QY37">
        <v>3555.6889999999999</v>
      </c>
      <c r="QZ37">
        <v>12068.95</v>
      </c>
      <c r="RA37">
        <v>2270.8319999999999</v>
      </c>
      <c r="RB37">
        <v>6028.7939999999999</v>
      </c>
      <c r="RC37">
        <v>245517.6</v>
      </c>
      <c r="RD37">
        <v>102790.1</v>
      </c>
      <c r="RE37">
        <v>0.67505400000000004</v>
      </c>
      <c r="RF37">
        <v>258.97789999999998</v>
      </c>
      <c r="RG37">
        <v>724.31219999999996</v>
      </c>
      <c r="RH37">
        <v>1088.5550000000001</v>
      </c>
      <c r="RI37">
        <v>5.5285570000000002</v>
      </c>
      <c r="RJ37">
        <v>157.99539999999999</v>
      </c>
      <c r="RK37">
        <v>0.82954499999999998</v>
      </c>
      <c r="RL37">
        <v>10986.43</v>
      </c>
      <c r="RM37">
        <v>8898.16</v>
      </c>
      <c r="RN37">
        <v>369.48610000000002</v>
      </c>
      <c r="RO37">
        <v>1519.386</v>
      </c>
      <c r="RP37">
        <v>119.88849999999999</v>
      </c>
      <c r="RQ37">
        <v>889.77700000000004</v>
      </c>
      <c r="RR37">
        <v>636.06269999999995</v>
      </c>
      <c r="RS37">
        <v>243.8254</v>
      </c>
      <c r="RT37">
        <v>1934.2809999999999</v>
      </c>
      <c r="RU37">
        <v>1962.886</v>
      </c>
      <c r="RV37">
        <v>480030.9</v>
      </c>
      <c r="RW37">
        <v>15694.87</v>
      </c>
      <c r="RX37">
        <v>80799.58</v>
      </c>
      <c r="RY37">
        <v>11556.38</v>
      </c>
      <c r="RZ37">
        <v>7842.2169999999996</v>
      </c>
      <c r="SA37">
        <v>6121.7430000000004</v>
      </c>
      <c r="SB37">
        <v>3653.7820000000002</v>
      </c>
      <c r="SC37">
        <v>2.2439000000000001E-2</v>
      </c>
      <c r="SD37" s="21">
        <v>6.9300000000000004E-5</v>
      </c>
      <c r="SE37">
        <v>5.0900000000000001E-4</v>
      </c>
      <c r="SF37">
        <v>31285.49</v>
      </c>
      <c r="SG37">
        <v>40.914850000000001</v>
      </c>
      <c r="SH37">
        <v>5953.5119999999997</v>
      </c>
      <c r="SI37">
        <v>18250.349999999999</v>
      </c>
      <c r="SJ37">
        <v>7040.7179999999998</v>
      </c>
      <c r="SK37">
        <v>25598.84</v>
      </c>
      <c r="SL37">
        <v>27.03876</v>
      </c>
      <c r="SM37">
        <v>4433.6440000000002</v>
      </c>
      <c r="SN37">
        <v>14750.52</v>
      </c>
      <c r="SO37">
        <v>6387.6450000000004</v>
      </c>
      <c r="SP37">
        <v>132911.9</v>
      </c>
      <c r="SQ37">
        <v>63523.02</v>
      </c>
      <c r="SR37">
        <v>138928.9</v>
      </c>
      <c r="SS37">
        <v>73673.509999999995</v>
      </c>
      <c r="ST37">
        <v>33.720010000000002</v>
      </c>
      <c r="SU37">
        <v>0.24643100000000001</v>
      </c>
      <c r="SV37">
        <v>4.2849560000000002</v>
      </c>
      <c r="SW37">
        <v>13.030329999999999</v>
      </c>
      <c r="SX37">
        <v>16.158290000000001</v>
      </c>
      <c r="SY37">
        <v>28.54494</v>
      </c>
      <c r="SZ37">
        <v>0.162855</v>
      </c>
      <c r="TA37">
        <v>3.1910530000000001</v>
      </c>
      <c r="TB37">
        <v>10.53153</v>
      </c>
      <c r="TC37">
        <v>14.6595</v>
      </c>
      <c r="TD37">
        <v>26651.77</v>
      </c>
      <c r="TE37">
        <v>826.26220000000001</v>
      </c>
      <c r="TF37">
        <v>532.35419999999999</v>
      </c>
      <c r="TG37">
        <v>212.48500000000001</v>
      </c>
      <c r="TH37">
        <v>51.230969999999999</v>
      </c>
      <c r="TI37">
        <v>106.0886</v>
      </c>
      <c r="TJ37">
        <v>86.362539999999996</v>
      </c>
      <c r="TK37">
        <v>25.32037</v>
      </c>
      <c r="TL37">
        <v>28.776299999999999</v>
      </c>
      <c r="TM37">
        <v>166.30869999999999</v>
      </c>
      <c r="TN37">
        <v>39.959319999999998</v>
      </c>
      <c r="TO37">
        <v>25.93535</v>
      </c>
      <c r="TP37">
        <v>2050.837</v>
      </c>
      <c r="TQ37">
        <v>2028.9849999999999</v>
      </c>
      <c r="TR37">
        <v>104.8866</v>
      </c>
      <c r="TS37">
        <v>195.5992</v>
      </c>
      <c r="TT37">
        <v>422.88650000000001</v>
      </c>
      <c r="TU37">
        <v>41.788139999999999</v>
      </c>
      <c r="TV37">
        <v>73.625209999999996</v>
      </c>
      <c r="TW37">
        <v>12784.54</v>
      </c>
      <c r="TX37">
        <v>6734.2759999999998</v>
      </c>
      <c r="TY37">
        <v>0.487207</v>
      </c>
      <c r="TZ37">
        <v>7.8937600000000003</v>
      </c>
      <c r="UA37">
        <v>3.8695170000000001</v>
      </c>
      <c r="UB37">
        <v>57.07996</v>
      </c>
      <c r="UC37">
        <v>0.68937099999999996</v>
      </c>
      <c r="UD37">
        <v>2.2903180000000001</v>
      </c>
      <c r="UE37">
        <v>4.1868100000000004</v>
      </c>
      <c r="UF37">
        <v>1.5480499999999999</v>
      </c>
      <c r="UG37">
        <v>0.75332500000000002</v>
      </c>
      <c r="UH37">
        <v>10.003629999999999</v>
      </c>
      <c r="UI37">
        <v>4.8410770000000003</v>
      </c>
      <c r="UJ37">
        <v>12.521420000000001</v>
      </c>
      <c r="UK37">
        <v>4.7182690000000003</v>
      </c>
      <c r="UL37">
        <v>0.34617199999999998</v>
      </c>
      <c r="UM37">
        <v>0.387934</v>
      </c>
      <c r="UN37">
        <v>1.358255</v>
      </c>
      <c r="UO37">
        <v>0.290545</v>
      </c>
      <c r="UP37">
        <v>27056.34</v>
      </c>
      <c r="UQ37">
        <v>824.2414</v>
      </c>
      <c r="UR37">
        <v>542.90729999999996</v>
      </c>
      <c r="US37">
        <v>205.6653</v>
      </c>
      <c r="UT37">
        <v>53.33408</v>
      </c>
      <c r="UU37">
        <v>119.01909999999999</v>
      </c>
      <c r="UV37">
        <v>90.910020000000003</v>
      </c>
      <c r="UW37">
        <v>24.93571</v>
      </c>
      <c r="UX37">
        <v>27.78546</v>
      </c>
      <c r="UY37">
        <v>175.12299999999999</v>
      </c>
      <c r="UZ37">
        <v>40.937060000000002</v>
      </c>
      <c r="VA37">
        <v>24.396529999999998</v>
      </c>
      <c r="VB37">
        <v>2039.3030000000001</v>
      </c>
      <c r="VC37">
        <v>2156.3440000000001</v>
      </c>
      <c r="VD37">
        <v>112.59099999999999</v>
      </c>
      <c r="VE37">
        <v>214.2002</v>
      </c>
      <c r="VF37">
        <v>402.5652</v>
      </c>
      <c r="VG37">
        <v>34.078740000000003</v>
      </c>
      <c r="VH37">
        <v>74.540869999999998</v>
      </c>
      <c r="VI37">
        <v>12991.25</v>
      </c>
      <c r="VJ37">
        <v>6753.36</v>
      </c>
      <c r="VK37">
        <v>0.236402</v>
      </c>
      <c r="VL37">
        <v>5.1470859999999998</v>
      </c>
      <c r="VM37">
        <v>28.519729999999999</v>
      </c>
      <c r="VN37">
        <v>27.626570000000001</v>
      </c>
      <c r="VO37">
        <v>7.4201000000000003E-2</v>
      </c>
      <c r="VP37">
        <v>2.1743610000000002</v>
      </c>
      <c r="VQ37">
        <v>0.230736</v>
      </c>
      <c r="VR37">
        <v>18.03321</v>
      </c>
      <c r="VS37">
        <v>32.369</v>
      </c>
      <c r="VT37">
        <v>6.5850410000000004</v>
      </c>
      <c r="VU37">
        <v>6.1260339999999998</v>
      </c>
      <c r="VV37">
        <v>5.3464349999999996</v>
      </c>
      <c r="VW37">
        <v>6.0268600000000001</v>
      </c>
      <c r="VX37">
        <v>2.8109130000000002</v>
      </c>
      <c r="VY37">
        <v>0.72168200000000005</v>
      </c>
      <c r="VZ37">
        <v>3.986564</v>
      </c>
      <c r="WA37">
        <v>2.84293</v>
      </c>
      <c r="WB37">
        <v>0.118427</v>
      </c>
      <c r="WC37">
        <v>0.10084799999999999</v>
      </c>
      <c r="WD37">
        <v>-2.2551999999999999E-2</v>
      </c>
      <c r="WE37">
        <v>-1.5162E-2</v>
      </c>
      <c r="WF37">
        <v>0.65334599999999998</v>
      </c>
      <c r="WG37">
        <v>0.392787</v>
      </c>
      <c r="WH37">
        <v>-3.3741E-2</v>
      </c>
      <c r="WI37">
        <v>-1.4501E-2</v>
      </c>
      <c r="WJ37">
        <v>2832609</v>
      </c>
      <c r="WK37">
        <v>2883166</v>
      </c>
    </row>
    <row r="38" spans="1:609" x14ac:dyDescent="0.25">
      <c r="A38">
        <v>2039</v>
      </c>
      <c r="B38">
        <v>1.732936</v>
      </c>
      <c r="C38">
        <v>161.61840000000001</v>
      </c>
      <c r="D38">
        <v>5.0067700000000004</v>
      </c>
      <c r="E38">
        <v>12.20274</v>
      </c>
      <c r="F38">
        <v>-8.7058560000000007</v>
      </c>
      <c r="G38">
        <v>4.1495360000000003</v>
      </c>
      <c r="H38">
        <v>-1.672779</v>
      </c>
      <c r="I38">
        <v>1.4501269999999999</v>
      </c>
      <c r="J38">
        <v>22.45543</v>
      </c>
      <c r="K38">
        <v>0.68230000000000002</v>
      </c>
      <c r="L38">
        <v>21.625579999999999</v>
      </c>
      <c r="M38">
        <v>1.286888</v>
      </c>
      <c r="N38">
        <v>0</v>
      </c>
      <c r="O38">
        <v>-27.85802</v>
      </c>
      <c r="P38">
        <v>-1.999422</v>
      </c>
      <c r="Q38">
        <v>-59.028300000000002</v>
      </c>
      <c r="R38">
        <v>36.268610000000002</v>
      </c>
      <c r="S38">
        <v>100</v>
      </c>
      <c r="T38">
        <v>655.78959999999995</v>
      </c>
      <c r="U38">
        <v>166.9639</v>
      </c>
      <c r="V38">
        <v>431.34840000000003</v>
      </c>
      <c r="W38">
        <v>1.892919</v>
      </c>
      <c r="X38">
        <v>55295.57</v>
      </c>
      <c r="Y38">
        <v>0.12453</v>
      </c>
      <c r="Z38">
        <v>0.14477799999999999</v>
      </c>
      <c r="AA38">
        <v>3.3754740000000001</v>
      </c>
      <c r="AB38">
        <v>-1.2138260000000001</v>
      </c>
      <c r="AC38">
        <v>4.3327999999999998E-2</v>
      </c>
      <c r="AD38">
        <v>87317.31</v>
      </c>
      <c r="AE38">
        <v>758756</v>
      </c>
      <c r="AF38">
        <v>853024.9</v>
      </c>
      <c r="AG38">
        <v>73598.880000000005</v>
      </c>
      <c r="AH38">
        <v>439449.1</v>
      </c>
      <c r="AI38">
        <v>-5.5659999999999998E-3</v>
      </c>
      <c r="AJ38">
        <v>254.501</v>
      </c>
      <c r="AK38">
        <v>2778.5509999999999</v>
      </c>
      <c r="AL38">
        <v>428.74889999999999</v>
      </c>
      <c r="AM38">
        <v>97.510350000000003</v>
      </c>
      <c r="AN38">
        <v>1064.5830000000001</v>
      </c>
      <c r="AO38">
        <v>164.2722</v>
      </c>
      <c r="AP38">
        <v>2397.0230000000001</v>
      </c>
      <c r="AQ38">
        <v>918.40300000000002</v>
      </c>
      <c r="AR38">
        <v>1104.6669999999999</v>
      </c>
      <c r="AS38">
        <v>615.31240000000003</v>
      </c>
      <c r="AT38">
        <v>2307.8919999999998</v>
      </c>
      <c r="AU38">
        <v>970.40049999999997</v>
      </c>
      <c r="AV38">
        <v>178.6456</v>
      </c>
      <c r="AW38">
        <v>1.704188</v>
      </c>
      <c r="AX38">
        <v>1.8889389999999999</v>
      </c>
      <c r="AY38">
        <v>3.0164680000000001</v>
      </c>
      <c r="AZ38">
        <v>-3.6630889999999998</v>
      </c>
      <c r="BA38">
        <v>2.9475440000000002</v>
      </c>
      <c r="BB38">
        <v>9.1187729999999991</v>
      </c>
      <c r="BC38">
        <v>2.5062989999999998</v>
      </c>
      <c r="BD38">
        <v>6.9198089999999999</v>
      </c>
      <c r="BE38">
        <v>-5.2949210000000004</v>
      </c>
      <c r="BF38">
        <v>2.8214260000000002</v>
      </c>
      <c r="BG38">
        <v>4.0736800000000004</v>
      </c>
      <c r="BH38">
        <v>-4.2756889999999999</v>
      </c>
      <c r="BI38">
        <v>-0.72419599999999995</v>
      </c>
      <c r="BJ38">
        <v>6.1888800000000002</v>
      </c>
      <c r="BK38">
        <v>7.465992</v>
      </c>
      <c r="BL38">
        <v>8.3023869999999995</v>
      </c>
      <c r="BM38">
        <v>-4.3852909999999996</v>
      </c>
      <c r="BN38">
        <v>-19.804569999999998</v>
      </c>
      <c r="BO38">
        <v>-4.7012559999999999</v>
      </c>
      <c r="BP38">
        <v>1.8495140000000001</v>
      </c>
      <c r="BQ38">
        <v>0.63481100000000001</v>
      </c>
      <c r="BR38">
        <v>-102.3222</v>
      </c>
      <c r="BS38">
        <v>-40.337969999999999</v>
      </c>
      <c r="BT38">
        <v>216.04419999999999</v>
      </c>
      <c r="BU38">
        <v>-50.865340000000003</v>
      </c>
      <c r="BV38">
        <v>-90.30359</v>
      </c>
      <c r="BW38">
        <v>-4.8288900000000003</v>
      </c>
      <c r="BX38">
        <v>-95.448049999999995</v>
      </c>
      <c r="BY38">
        <v>915.53219999999999</v>
      </c>
      <c r="BZ38">
        <v>3541.998</v>
      </c>
      <c r="CA38">
        <v>-33.230550000000001</v>
      </c>
      <c r="CB38">
        <v>11.12992</v>
      </c>
      <c r="CC38">
        <v>-55.20599</v>
      </c>
      <c r="CD38">
        <v>16.507459999999998</v>
      </c>
      <c r="CE38">
        <v>637.36270000000002</v>
      </c>
      <c r="CF38">
        <v>75.624269999999996</v>
      </c>
      <c r="CG38">
        <v>206.672</v>
      </c>
      <c r="CH38">
        <v>743.23680000000002</v>
      </c>
      <c r="CI38">
        <v>20.612690000000001</v>
      </c>
      <c r="CJ38">
        <v>17.000360000000001</v>
      </c>
      <c r="CK38">
        <v>-3.5212400000000001</v>
      </c>
      <c r="CL38">
        <v>28.113209999999999</v>
      </c>
      <c r="CM38">
        <v>52.64461</v>
      </c>
      <c r="CN38">
        <v>16.377859999999998</v>
      </c>
      <c r="CO38">
        <v>71.362970000000004</v>
      </c>
      <c r="CP38">
        <v>7.477233</v>
      </c>
      <c r="CQ38">
        <v>0.11404400000000001</v>
      </c>
      <c r="CR38">
        <v>48.22916</v>
      </c>
      <c r="CS38">
        <v>8.7342890000000004</v>
      </c>
      <c r="CT38">
        <v>5.0046730000000004</v>
      </c>
      <c r="CU38">
        <v>11.126620000000001</v>
      </c>
      <c r="CV38">
        <v>21.586279999999999</v>
      </c>
      <c r="CW38">
        <v>28.36159</v>
      </c>
      <c r="CX38">
        <v>61.577680000000001</v>
      </c>
      <c r="CY38">
        <v>49.411630000000002</v>
      </c>
      <c r="CZ38">
        <v>107.8878</v>
      </c>
      <c r="DA38">
        <v>4.7673959999999997</v>
      </c>
      <c r="DB38">
        <v>2.5048569999999999</v>
      </c>
      <c r="DC38">
        <v>-65.948210000000003</v>
      </c>
      <c r="DD38">
        <v>-46.121299999999998</v>
      </c>
      <c r="DE38">
        <v>958.38649999999996</v>
      </c>
      <c r="DF38">
        <v>-59.199190000000002</v>
      </c>
      <c r="DG38">
        <v>-98.993179999999995</v>
      </c>
      <c r="DH38">
        <v>-8.2225730000000006</v>
      </c>
      <c r="DI38">
        <v>-99.740939999999995</v>
      </c>
      <c r="DJ38">
        <v>1638.473</v>
      </c>
      <c r="DK38">
        <v>8537.8369999999995</v>
      </c>
      <c r="DL38">
        <v>-42.02393</v>
      </c>
      <c r="DM38">
        <v>13.653499999999999</v>
      </c>
      <c r="DN38">
        <v>-71.496099999999998</v>
      </c>
      <c r="DO38">
        <v>24.323619999999998</v>
      </c>
      <c r="DP38">
        <v>1116.7249999999999</v>
      </c>
      <c r="DQ38">
        <v>103.3203</v>
      </c>
      <c r="DR38">
        <v>240.3964</v>
      </c>
      <c r="DS38">
        <v>1565.4880000000001</v>
      </c>
      <c r="DT38">
        <v>6.4097000000000001E-2</v>
      </c>
      <c r="DU38">
        <v>5.1097849999999996</v>
      </c>
      <c r="DV38">
        <v>2.1747320000000001</v>
      </c>
      <c r="DW38">
        <v>6.6421609999999998</v>
      </c>
      <c r="DX38">
        <v>5.5368069999999996</v>
      </c>
      <c r="DY38">
        <v>6.3614179999999996</v>
      </c>
      <c r="DZ38">
        <v>3.8548559999999998</v>
      </c>
      <c r="EA38">
        <v>6.9770399999999997</v>
      </c>
      <c r="EB38">
        <v>10.22996</v>
      </c>
      <c r="EC38">
        <v>0</v>
      </c>
      <c r="ED38">
        <v>8.6875210000000003</v>
      </c>
      <c r="EE38">
        <v>7.253406</v>
      </c>
      <c r="EF38">
        <v>6.7482100000000003</v>
      </c>
      <c r="EG38">
        <v>6.9023430000000001</v>
      </c>
      <c r="EH38">
        <v>10.9259</v>
      </c>
      <c r="EI38">
        <v>-3.412309</v>
      </c>
      <c r="EJ38">
        <v>1.188564</v>
      </c>
      <c r="EK38">
        <v>-4.9778409999999997</v>
      </c>
      <c r="EL38">
        <v>5.3543630000000002</v>
      </c>
      <c r="EM38">
        <v>5.2698270000000003</v>
      </c>
      <c r="EN38">
        <v>-34.498280000000001</v>
      </c>
      <c r="EO38">
        <v>-21.060649999999999</v>
      </c>
      <c r="EP38">
        <v>-12.9826</v>
      </c>
      <c r="EQ38">
        <v>-9.6288900000000002</v>
      </c>
      <c r="ER38">
        <v>8.3999919999999992</v>
      </c>
      <c r="ES38">
        <v>63.662320000000001</v>
      </c>
      <c r="ET38">
        <v>1.774707</v>
      </c>
      <c r="EU38">
        <v>38.633540000000004</v>
      </c>
      <c r="EV38">
        <v>0.61818499999999998</v>
      </c>
      <c r="EW38">
        <v>2.2585169999999999</v>
      </c>
      <c r="EX38">
        <v>2.85222</v>
      </c>
      <c r="EY38">
        <v>0.90056899999999995</v>
      </c>
      <c r="EZ38">
        <v>0.119353</v>
      </c>
      <c r="FA38">
        <v>6.0869799999999996</v>
      </c>
      <c r="FB38">
        <v>1.9530419999999999</v>
      </c>
      <c r="FC38">
        <v>31.403189999999999</v>
      </c>
      <c r="FD38">
        <v>8.5462340000000001</v>
      </c>
      <c r="FE38">
        <v>0.51615900000000003</v>
      </c>
      <c r="FF38">
        <v>0.79539199999999999</v>
      </c>
      <c r="FG38">
        <v>1.430013</v>
      </c>
      <c r="FH38">
        <v>0.32154100000000002</v>
      </c>
      <c r="FI38">
        <v>4.8650060000000002</v>
      </c>
      <c r="FJ38">
        <v>34.808100000000003</v>
      </c>
      <c r="FK38">
        <v>12.898960000000001</v>
      </c>
      <c r="FL38">
        <v>18.77054</v>
      </c>
      <c r="FM38">
        <v>5.3404E-2</v>
      </c>
      <c r="FN38">
        <v>2.1294719999999998</v>
      </c>
      <c r="FO38">
        <v>0.129938</v>
      </c>
      <c r="FP38">
        <v>9.0884149999999995</v>
      </c>
      <c r="FQ38">
        <v>4.3216010000000002</v>
      </c>
      <c r="FR38">
        <v>4.0233660000000002</v>
      </c>
      <c r="FS38">
        <v>2.155681</v>
      </c>
      <c r="FT38">
        <v>13.57474</v>
      </c>
      <c r="FU38">
        <v>11.37796</v>
      </c>
      <c r="FV38">
        <v>4.3642370000000001</v>
      </c>
      <c r="FW38">
        <v>1.610573</v>
      </c>
      <c r="FX38">
        <v>5.0179989999999997</v>
      </c>
      <c r="FY38">
        <v>3.2048209999999999</v>
      </c>
      <c r="FZ38">
        <v>6.115278</v>
      </c>
      <c r="GA38">
        <v>48.464289999999998</v>
      </c>
      <c r="GB38">
        <v>1.774707</v>
      </c>
      <c r="GC38">
        <v>34.692250000000001</v>
      </c>
      <c r="GD38">
        <v>0.55511999999999995</v>
      </c>
      <c r="GE38">
        <v>2.0281099999999999</v>
      </c>
      <c r="GF38">
        <v>2.561245</v>
      </c>
      <c r="GG38">
        <v>0.80869599999999997</v>
      </c>
      <c r="GH38">
        <v>0.10717699999999999</v>
      </c>
      <c r="GI38">
        <v>5.4660039999999999</v>
      </c>
      <c r="GJ38">
        <v>1.753798</v>
      </c>
      <c r="GK38">
        <v>29.603429999999999</v>
      </c>
      <c r="GL38">
        <v>8.5462340000000001</v>
      </c>
      <c r="GM38">
        <v>0.51615900000000003</v>
      </c>
      <c r="GN38">
        <v>0.79539199999999999</v>
      </c>
      <c r="GO38">
        <v>1.430013</v>
      </c>
      <c r="GP38">
        <v>0.32154100000000002</v>
      </c>
      <c r="GQ38">
        <v>2.7334740000000002</v>
      </c>
      <c r="GR38">
        <v>21.016960000000001</v>
      </c>
      <c r="GS38">
        <v>12.898960000000001</v>
      </c>
      <c r="GT38">
        <v>16.25534</v>
      </c>
      <c r="GU38">
        <v>4.6247999999999997E-2</v>
      </c>
      <c r="GV38">
        <v>1.844128</v>
      </c>
      <c r="GW38">
        <v>0.112526</v>
      </c>
      <c r="GX38">
        <v>7.8705910000000001</v>
      </c>
      <c r="GY38">
        <v>3.7425169999999999</v>
      </c>
      <c r="GZ38">
        <v>3.484245</v>
      </c>
      <c r="HA38">
        <v>1.866825</v>
      </c>
      <c r="HB38">
        <v>11.94158</v>
      </c>
      <c r="HC38">
        <v>11.37796</v>
      </c>
      <c r="HD38">
        <v>4.3642370000000001</v>
      </c>
      <c r="HE38">
        <v>1.610573</v>
      </c>
      <c r="HF38">
        <v>5.0179989999999997</v>
      </c>
      <c r="HG38">
        <v>3.2048209999999999</v>
      </c>
      <c r="HH38">
        <v>6.2255739999999999</v>
      </c>
      <c r="HI38">
        <v>52.091540000000002</v>
      </c>
      <c r="HJ38">
        <v>1.774707</v>
      </c>
      <c r="HK38">
        <v>139.46940000000001</v>
      </c>
      <c r="HL38">
        <v>1.3352900000000001</v>
      </c>
      <c r="HM38">
        <v>4.8784340000000004</v>
      </c>
      <c r="HN38">
        <v>6.1608409999999996</v>
      </c>
      <c r="HO38">
        <v>0.97358199999999995</v>
      </c>
      <c r="HP38">
        <v>0.129029</v>
      </c>
      <c r="HQ38">
        <v>6.5804770000000001</v>
      </c>
      <c r="HR38">
        <v>5.7085540000000004</v>
      </c>
      <c r="HS38">
        <v>29.806830000000001</v>
      </c>
      <c r="HT38">
        <v>8.6740530000000007</v>
      </c>
      <c r="HU38">
        <v>0.52387799999999995</v>
      </c>
      <c r="HV38">
        <v>0.80728800000000001</v>
      </c>
      <c r="HW38">
        <v>1.4514009999999999</v>
      </c>
      <c r="HX38">
        <v>0.326351</v>
      </c>
      <c r="HY38">
        <v>2.768669</v>
      </c>
      <c r="HZ38">
        <v>22.599879999999999</v>
      </c>
      <c r="IA38">
        <v>10.67671</v>
      </c>
      <c r="IB38">
        <v>61.157020000000003</v>
      </c>
      <c r="IC38">
        <v>5.3421999999999997E-2</v>
      </c>
      <c r="ID38">
        <v>4.1799670000000004</v>
      </c>
      <c r="IE38">
        <v>0.12998100000000001</v>
      </c>
      <c r="IF38">
        <v>10.526</v>
      </c>
      <c r="IG38">
        <v>4.6470050000000001</v>
      </c>
      <c r="IH38">
        <v>4.326314</v>
      </c>
      <c r="II38">
        <v>7.2814249999999996</v>
      </c>
      <c r="IJ38">
        <v>11.95973</v>
      </c>
      <c r="IK38">
        <v>11.40747</v>
      </c>
      <c r="IL38">
        <v>6.0113830000000004</v>
      </c>
      <c r="IM38">
        <v>1.6162099999999999</v>
      </c>
      <c r="IN38">
        <v>5.0352350000000001</v>
      </c>
      <c r="IO38">
        <v>3.2101459999999999</v>
      </c>
      <c r="IP38">
        <v>4.0872789999999997</v>
      </c>
      <c r="IQ38">
        <v>5.7086410000000001</v>
      </c>
      <c r="IR38">
        <v>0.57212799999999997</v>
      </c>
      <c r="IS38">
        <v>1.7368030000000001</v>
      </c>
      <c r="IT38">
        <v>4.1527649999999996</v>
      </c>
      <c r="IU38">
        <v>4.2627740000000003</v>
      </c>
      <c r="IV38">
        <v>4.8299560000000001</v>
      </c>
      <c r="IW38">
        <v>5.6465969999999999</v>
      </c>
      <c r="IX38">
        <v>0.86119400000000002</v>
      </c>
      <c r="IY38">
        <v>7.3825710000000004</v>
      </c>
      <c r="IZ38">
        <v>1.8435539999999999</v>
      </c>
      <c r="JA38">
        <v>8.6417219999999997</v>
      </c>
      <c r="JB38">
        <v>0.43364599999999998</v>
      </c>
      <c r="JC38">
        <v>1.621829</v>
      </c>
      <c r="JD38">
        <v>0.816218</v>
      </c>
      <c r="JE38">
        <v>16.393229999999999</v>
      </c>
      <c r="JF38">
        <v>0.29954599999999998</v>
      </c>
      <c r="JG38">
        <v>1.5502530000000001</v>
      </c>
      <c r="JH38">
        <v>20.209309999999999</v>
      </c>
      <c r="JI38">
        <v>7.1646570000000001</v>
      </c>
      <c r="JJ38">
        <v>13.89724</v>
      </c>
      <c r="JK38">
        <v>33.427529999999997</v>
      </c>
      <c r="JL38">
        <v>2.4064580000000002</v>
      </c>
      <c r="JM38">
        <v>4.6943919999999997</v>
      </c>
      <c r="JN38">
        <v>0.47462399999999999</v>
      </c>
      <c r="JO38">
        <v>1.271728</v>
      </c>
      <c r="JP38">
        <v>2.7945000000000002</v>
      </c>
      <c r="JQ38">
        <v>3.3348179999999998</v>
      </c>
      <c r="JR38">
        <v>3.3730530000000001</v>
      </c>
      <c r="JS38">
        <v>4.4117030000000002</v>
      </c>
      <c r="JT38">
        <v>0.74217999999999995</v>
      </c>
      <c r="JU38">
        <v>3.606506</v>
      </c>
      <c r="JV38">
        <v>1.171956</v>
      </c>
      <c r="JW38">
        <v>7.2136040000000001</v>
      </c>
      <c r="JX38">
        <v>0.36311199999999999</v>
      </c>
      <c r="JY38">
        <v>1.1744190000000001</v>
      </c>
      <c r="JZ38">
        <v>0.706009</v>
      </c>
      <c r="KA38">
        <v>8.9342550000000003</v>
      </c>
      <c r="KB38">
        <v>8.3496000000000001E-2</v>
      </c>
      <c r="KC38">
        <v>0.51873000000000002</v>
      </c>
      <c r="KD38">
        <v>16.258230000000001</v>
      </c>
      <c r="KE38">
        <v>5.5335130000000001</v>
      </c>
      <c r="KF38">
        <v>12.23287</v>
      </c>
      <c r="KG38">
        <v>28.088830000000002</v>
      </c>
      <c r="KH38">
        <v>9549.2060000000001</v>
      </c>
      <c r="KI38">
        <v>9746.9549999999999</v>
      </c>
      <c r="KJ38">
        <v>6002.8760000000002</v>
      </c>
      <c r="KK38">
        <v>2586.9879999999998</v>
      </c>
      <c r="KL38">
        <v>1312.1590000000001</v>
      </c>
      <c r="KM38">
        <v>413.6567</v>
      </c>
      <c r="KN38">
        <v>436.7638</v>
      </c>
      <c r="KO38">
        <v>0</v>
      </c>
      <c r="KP38">
        <v>24839.19</v>
      </c>
      <c r="KQ38">
        <v>5209.41</v>
      </c>
      <c r="KR38">
        <v>0</v>
      </c>
      <c r="KS38">
        <v>10393.31</v>
      </c>
      <c r="KT38">
        <v>7987.0309999999999</v>
      </c>
      <c r="KU38">
        <v>5377.2070000000003</v>
      </c>
      <c r="KV38">
        <v>2848.5419999999999</v>
      </c>
      <c r="KW38">
        <v>1203.8610000000001</v>
      </c>
      <c r="KX38">
        <v>378.99630000000002</v>
      </c>
      <c r="KY38">
        <v>228.9477</v>
      </c>
      <c r="KZ38">
        <v>0</v>
      </c>
      <c r="LA38">
        <v>19512.09</v>
      </c>
      <c r="LB38">
        <v>8905.8089999999993</v>
      </c>
      <c r="LC38">
        <v>0</v>
      </c>
      <c r="LD38" s="21">
        <v>143000000</v>
      </c>
      <c r="LE38" s="21">
        <v>372000000</v>
      </c>
      <c r="LF38" s="21">
        <v>880000000</v>
      </c>
      <c r="LG38" s="21">
        <v>741000000</v>
      </c>
      <c r="LH38" s="21">
        <v>531000000</v>
      </c>
      <c r="LI38" s="21">
        <v>229000000</v>
      </c>
      <c r="LJ38" s="21">
        <v>118000000</v>
      </c>
      <c r="LK38" s="21">
        <v>3.18E-6</v>
      </c>
      <c r="LL38" s="21">
        <v>6.28E-6</v>
      </c>
      <c r="LM38" s="21">
        <v>1.1800000000000001E-5</v>
      </c>
      <c r="LN38" s="21">
        <v>2.5599999999999999E-5</v>
      </c>
      <c r="LO38" s="21">
        <v>4.1699999999999997E-5</v>
      </c>
      <c r="LP38" s="21">
        <v>6.3200000000000005E-5</v>
      </c>
      <c r="LQ38" s="21">
        <v>9.3700000000000001E-5</v>
      </c>
      <c r="LR38" s="21">
        <v>320000000</v>
      </c>
      <c r="LS38" s="21">
        <v>501000000</v>
      </c>
      <c r="LT38" s="21">
        <v>847000000</v>
      </c>
      <c r="LU38" s="21">
        <v>623000000</v>
      </c>
      <c r="LV38" s="21">
        <v>447000000</v>
      </c>
      <c r="LW38" s="21">
        <v>182000000</v>
      </c>
      <c r="LX38">
        <v>92715325</v>
      </c>
      <c r="LY38" s="21">
        <v>6.63E-6</v>
      </c>
      <c r="LZ38" s="21">
        <v>1.2500000000000001E-5</v>
      </c>
      <c r="MA38" s="21">
        <v>2.2900000000000001E-5</v>
      </c>
      <c r="MB38" s="21">
        <v>4.8199999999999999E-5</v>
      </c>
      <c r="MC38" s="21">
        <v>7.2399999999999998E-5</v>
      </c>
      <c r="MD38">
        <v>1.05E-4</v>
      </c>
      <c r="ME38">
        <v>1.46E-4</v>
      </c>
      <c r="MF38">
        <v>0.41111500000000001</v>
      </c>
      <c r="MG38">
        <v>0.31206600000000001</v>
      </c>
      <c r="MH38">
        <v>0.191188</v>
      </c>
      <c r="MI38">
        <v>8.5554000000000005E-2</v>
      </c>
      <c r="MJ38" s="21">
        <v>7.6299999999999998E-5</v>
      </c>
      <c r="MK38">
        <v>0</v>
      </c>
      <c r="ML38" s="21">
        <v>3.5899999999999997E-8</v>
      </c>
      <c r="MM38">
        <v>1.2351449999999999</v>
      </c>
      <c r="MN38">
        <v>0.91490300000000002</v>
      </c>
      <c r="MO38">
        <v>0.56326699999999996</v>
      </c>
      <c r="MP38">
        <v>0.25646600000000003</v>
      </c>
      <c r="MQ38">
        <v>-1.0003E-2</v>
      </c>
      <c r="MR38">
        <v>-0.31593399999999999</v>
      </c>
      <c r="MS38">
        <v>-1.6438429999999999</v>
      </c>
      <c r="MT38">
        <v>0.45823700000000001</v>
      </c>
      <c r="MU38">
        <v>0.270928</v>
      </c>
      <c r="MV38">
        <v>0.17813599999999999</v>
      </c>
      <c r="MW38">
        <v>9.2699000000000004E-2</v>
      </c>
      <c r="MX38" s="21">
        <v>1.9999999999999999E-7</v>
      </c>
      <c r="MY38">
        <v>0</v>
      </c>
      <c r="MZ38">
        <v>0</v>
      </c>
      <c r="NA38">
        <v>2.631672</v>
      </c>
      <c r="NB38">
        <v>1.54064</v>
      </c>
      <c r="NC38">
        <v>1.011728</v>
      </c>
      <c r="ND38">
        <v>0.52596200000000004</v>
      </c>
      <c r="NE38">
        <v>-6.1293E-2</v>
      </c>
      <c r="NF38">
        <v>-0.75575000000000003</v>
      </c>
      <c r="NG38">
        <v>-3.89296</v>
      </c>
      <c r="NH38">
        <v>4.888E-3</v>
      </c>
      <c r="NI38">
        <v>5.3530000000000001E-3</v>
      </c>
      <c r="NJ38">
        <v>8.0149999999999996E-3</v>
      </c>
      <c r="NK38">
        <v>3.4617000000000002E-2</v>
      </c>
      <c r="NL38">
        <v>4.3142E-2</v>
      </c>
      <c r="NM38">
        <v>9.7335000000000005E-2</v>
      </c>
      <c r="NN38">
        <v>4.888E-3</v>
      </c>
      <c r="NO38">
        <v>5.3530000000000001E-3</v>
      </c>
      <c r="NP38">
        <v>8.0149999999999996E-3</v>
      </c>
      <c r="NQ38">
        <v>3.4617000000000002E-2</v>
      </c>
      <c r="NR38">
        <v>4.3142E-2</v>
      </c>
      <c r="NS38">
        <v>9.7335000000000005E-2</v>
      </c>
      <c r="NT38">
        <v>2.6075000000000001E-2</v>
      </c>
      <c r="NU38">
        <v>2.6616999999999998E-2</v>
      </c>
      <c r="NV38">
        <v>3.0505999999999998E-2</v>
      </c>
      <c r="NW38">
        <v>5.1857E-2</v>
      </c>
      <c r="NX38">
        <v>5.8348999999999998E-2</v>
      </c>
      <c r="NY38">
        <v>0.109446</v>
      </c>
      <c r="NZ38">
        <v>2.6075000000000001E-2</v>
      </c>
      <c r="OA38">
        <v>2.6616999999999998E-2</v>
      </c>
      <c r="OB38">
        <v>3.0505999999999998E-2</v>
      </c>
      <c r="OC38">
        <v>5.1857E-2</v>
      </c>
      <c r="OD38">
        <v>5.8348999999999998E-2</v>
      </c>
      <c r="OE38">
        <v>0.109446</v>
      </c>
      <c r="OF38">
        <v>40.229959999999998</v>
      </c>
      <c r="OG38">
        <v>23526.45</v>
      </c>
      <c r="OH38">
        <v>19902.78</v>
      </c>
      <c r="OI38">
        <v>6931.1419999999998</v>
      </c>
      <c r="OJ38">
        <v>26.351310000000002</v>
      </c>
      <c r="OK38">
        <v>18571.63</v>
      </c>
      <c r="OL38">
        <v>17318.88</v>
      </c>
      <c r="OM38">
        <v>6263.75</v>
      </c>
      <c r="ON38">
        <v>1823728</v>
      </c>
      <c r="OO38">
        <v>1904043</v>
      </c>
      <c r="OP38">
        <v>13929.98</v>
      </c>
      <c r="OQ38">
        <v>7974.46</v>
      </c>
      <c r="OR38">
        <v>5795.0990000000002</v>
      </c>
      <c r="OS38">
        <v>586.43830000000003</v>
      </c>
      <c r="OT38">
        <v>1890.3009999999999</v>
      </c>
      <c r="OU38">
        <v>1433.4829999999999</v>
      </c>
      <c r="OV38">
        <v>385.67720000000003</v>
      </c>
      <c r="OW38">
        <v>1530.106</v>
      </c>
      <c r="OX38">
        <v>1494.748</v>
      </c>
      <c r="OY38">
        <v>1174.0260000000001</v>
      </c>
      <c r="OZ38">
        <v>673.1617</v>
      </c>
      <c r="PA38">
        <v>23207.68</v>
      </c>
      <c r="PB38">
        <v>8755.8559999999998</v>
      </c>
      <c r="PC38">
        <v>1677.0070000000001</v>
      </c>
      <c r="PD38">
        <v>2880.1640000000002</v>
      </c>
      <c r="PE38">
        <v>7788.5990000000002</v>
      </c>
      <c r="PF38">
        <v>1570.75</v>
      </c>
      <c r="PG38">
        <v>3037.75</v>
      </c>
      <c r="PH38">
        <v>238535.9</v>
      </c>
      <c r="PI38">
        <v>102024</v>
      </c>
      <c r="PJ38">
        <v>1.9855499999999999</v>
      </c>
      <c r="PK38">
        <v>443.44639999999998</v>
      </c>
      <c r="PL38">
        <v>78.258669999999995</v>
      </c>
      <c r="PM38">
        <v>2683.1120000000001</v>
      </c>
      <c r="PN38">
        <v>472.65589999999997</v>
      </c>
      <c r="PO38">
        <v>173.1097</v>
      </c>
      <c r="PP38">
        <v>263.9237</v>
      </c>
      <c r="PQ38">
        <v>601.5077</v>
      </c>
      <c r="PR38">
        <v>101.7072</v>
      </c>
      <c r="PS38">
        <v>628.56859999999995</v>
      </c>
      <c r="PT38">
        <v>1304.3989999999999</v>
      </c>
      <c r="PU38">
        <v>389.86360000000002</v>
      </c>
      <c r="PV38">
        <v>695.79280000000006</v>
      </c>
      <c r="PW38">
        <v>51.628579999999999</v>
      </c>
      <c r="PX38">
        <v>121.193</v>
      </c>
      <c r="PY38">
        <v>620.2586</v>
      </c>
      <c r="PZ38">
        <v>116.29900000000001</v>
      </c>
      <c r="QA38">
        <v>435092.9</v>
      </c>
      <c r="QB38">
        <v>8946.6440000000002</v>
      </c>
      <c r="QC38">
        <v>84351.41</v>
      </c>
      <c r="QD38">
        <v>10816.09</v>
      </c>
      <c r="QE38">
        <v>9330.49</v>
      </c>
      <c r="QF38">
        <v>6778.4369999999999</v>
      </c>
      <c r="QG38">
        <v>3475.5680000000002</v>
      </c>
      <c r="QH38">
        <v>4.3185469999999997</v>
      </c>
      <c r="QI38">
        <v>4.0999999999999999E-4</v>
      </c>
      <c r="QJ38">
        <v>3.8180000000000002E-3</v>
      </c>
      <c r="QK38">
        <v>16801.330000000002</v>
      </c>
      <c r="QL38">
        <v>9330.1460000000006</v>
      </c>
      <c r="QM38">
        <v>5591.04</v>
      </c>
      <c r="QN38">
        <v>751.30499999999995</v>
      </c>
      <c r="QO38">
        <v>2885.442</v>
      </c>
      <c r="QP38">
        <v>1668.2570000000001</v>
      </c>
      <c r="QQ38">
        <v>660.90790000000004</v>
      </c>
      <c r="QR38">
        <v>1644.5160000000001</v>
      </c>
      <c r="QS38">
        <v>1496.453</v>
      </c>
      <c r="QT38">
        <v>1740.249</v>
      </c>
      <c r="QU38">
        <v>731.95759999999996</v>
      </c>
      <c r="QV38">
        <v>24369.15</v>
      </c>
      <c r="QW38">
        <v>9730.0859999999993</v>
      </c>
      <c r="QX38">
        <v>2039.01</v>
      </c>
      <c r="QY38">
        <v>3697.0250000000001</v>
      </c>
      <c r="QZ38">
        <v>12584.64</v>
      </c>
      <c r="RA38">
        <v>2346.884</v>
      </c>
      <c r="RB38">
        <v>6315.1120000000001</v>
      </c>
      <c r="RC38">
        <v>249907.9</v>
      </c>
      <c r="RD38">
        <v>104579.6</v>
      </c>
      <c r="RE38">
        <v>0.67611500000000002</v>
      </c>
      <c r="RF38">
        <v>238.92310000000001</v>
      </c>
      <c r="RG38">
        <v>828.27919999999995</v>
      </c>
      <c r="RH38">
        <v>1094.732</v>
      </c>
      <c r="RI38">
        <v>4.7587719999999996</v>
      </c>
      <c r="RJ38">
        <v>158.87569999999999</v>
      </c>
      <c r="RK38">
        <v>0.683724</v>
      </c>
      <c r="RL38">
        <v>10457.049999999999</v>
      </c>
      <c r="RM38">
        <v>8785.3050000000003</v>
      </c>
      <c r="RN38">
        <v>364.4194</v>
      </c>
      <c r="RO38">
        <v>1482.4949999999999</v>
      </c>
      <c r="RP38">
        <v>111.1263</v>
      </c>
      <c r="RQ38">
        <v>865.03480000000002</v>
      </c>
      <c r="RR38">
        <v>628.17759999999998</v>
      </c>
      <c r="RS38">
        <v>246.40989999999999</v>
      </c>
      <c r="RT38">
        <v>2111.3380000000002</v>
      </c>
      <c r="RU38">
        <v>1936.9459999999999</v>
      </c>
      <c r="RV38">
        <v>488186.2</v>
      </c>
      <c r="RW38">
        <v>15644.8</v>
      </c>
      <c r="RX38">
        <v>81231.070000000007</v>
      </c>
      <c r="RY38">
        <v>11407.36</v>
      </c>
      <c r="RZ38">
        <v>7664.7889999999998</v>
      </c>
      <c r="SA38">
        <v>5975.9570000000003</v>
      </c>
      <c r="SB38">
        <v>3563.27</v>
      </c>
      <c r="SC38">
        <v>1.0730999999999999E-2</v>
      </c>
      <c r="SD38" s="21">
        <v>3.4E-5</v>
      </c>
      <c r="SE38">
        <v>2.5000000000000001E-4</v>
      </c>
      <c r="SF38">
        <v>31124.65</v>
      </c>
      <c r="SG38">
        <v>40.229959999999998</v>
      </c>
      <c r="SH38">
        <v>5821.1080000000002</v>
      </c>
      <c r="SI38">
        <v>18332.169999999998</v>
      </c>
      <c r="SJ38">
        <v>6931.1419999999998</v>
      </c>
      <c r="SK38">
        <v>25240.43</v>
      </c>
      <c r="SL38">
        <v>26.351310000000002</v>
      </c>
      <c r="SM38">
        <v>4315.4070000000002</v>
      </c>
      <c r="SN38">
        <v>14634.92</v>
      </c>
      <c r="SO38">
        <v>6263.75</v>
      </c>
      <c r="SP38">
        <v>134630.9</v>
      </c>
      <c r="SQ38">
        <v>63331.88</v>
      </c>
      <c r="SR38">
        <v>140232</v>
      </c>
      <c r="SS38">
        <v>73466.97</v>
      </c>
      <c r="ST38">
        <v>33.427529999999997</v>
      </c>
      <c r="SU38">
        <v>0.24230599999999999</v>
      </c>
      <c r="SV38">
        <v>4.1896599999999999</v>
      </c>
      <c r="SW38">
        <v>13.088749999999999</v>
      </c>
      <c r="SX38">
        <v>15.90682</v>
      </c>
      <c r="SY38">
        <v>28.088830000000002</v>
      </c>
      <c r="SZ38">
        <v>0.15871399999999999</v>
      </c>
      <c r="TA38">
        <v>3.105953</v>
      </c>
      <c r="TB38">
        <v>10.44899</v>
      </c>
      <c r="TC38">
        <v>14.375170000000001</v>
      </c>
      <c r="TD38">
        <v>26692.400000000001</v>
      </c>
      <c r="TE38">
        <v>826.64229999999998</v>
      </c>
      <c r="TF38">
        <v>534.34829999999999</v>
      </c>
      <c r="TG38">
        <v>211.95140000000001</v>
      </c>
      <c r="TH38">
        <v>50.908239999999999</v>
      </c>
      <c r="TI38">
        <v>105.90089999999999</v>
      </c>
      <c r="TJ38">
        <v>85.744879999999995</v>
      </c>
      <c r="TK38">
        <v>25.025950000000002</v>
      </c>
      <c r="TL38">
        <v>28.259899999999998</v>
      </c>
      <c r="TM38">
        <v>165.1823</v>
      </c>
      <c r="TN38">
        <v>39.45955</v>
      </c>
      <c r="TO38">
        <v>25.615670000000001</v>
      </c>
      <c r="TP38">
        <v>2038.1020000000001</v>
      </c>
      <c r="TQ38">
        <v>2030.942</v>
      </c>
      <c r="TR38">
        <v>105.67829999999999</v>
      </c>
      <c r="TS38">
        <v>198.45930000000001</v>
      </c>
      <c r="TT38">
        <v>422.50209999999998</v>
      </c>
      <c r="TU38">
        <v>41.725180000000002</v>
      </c>
      <c r="TV38">
        <v>73.560130000000001</v>
      </c>
      <c r="TW38">
        <v>12810.62</v>
      </c>
      <c r="TX38">
        <v>6759.558</v>
      </c>
      <c r="TY38">
        <v>0.48400900000000002</v>
      </c>
      <c r="TZ38">
        <v>7.6917090000000004</v>
      </c>
      <c r="UA38">
        <v>3.7604250000000001</v>
      </c>
      <c r="UB38">
        <v>56.846989999999998</v>
      </c>
      <c r="UC38">
        <v>0.68644000000000005</v>
      </c>
      <c r="UD38">
        <v>2.2806340000000001</v>
      </c>
      <c r="UE38">
        <v>4.1693290000000003</v>
      </c>
      <c r="UF38">
        <v>1.540481</v>
      </c>
      <c r="UG38">
        <v>0.749969</v>
      </c>
      <c r="UH38">
        <v>9.9606700000000004</v>
      </c>
      <c r="UI38">
        <v>4.8165719999999999</v>
      </c>
      <c r="UJ38">
        <v>12.26979</v>
      </c>
      <c r="UK38">
        <v>4.6219419999999998</v>
      </c>
      <c r="UL38">
        <v>0.33869500000000002</v>
      </c>
      <c r="UM38">
        <v>0.379774</v>
      </c>
      <c r="UN38">
        <v>1.328497</v>
      </c>
      <c r="UO38">
        <v>0.28449200000000002</v>
      </c>
      <c r="UP38">
        <v>27079.47</v>
      </c>
      <c r="UQ38">
        <v>823.18719999999996</v>
      </c>
      <c r="UR38">
        <v>544.88070000000005</v>
      </c>
      <c r="US38">
        <v>204.59989999999999</v>
      </c>
      <c r="UT38">
        <v>52.745980000000003</v>
      </c>
      <c r="UU38">
        <v>118.5154</v>
      </c>
      <c r="UV38">
        <v>89.796229999999994</v>
      </c>
      <c r="UW38">
        <v>24.479299999999999</v>
      </c>
      <c r="UX38">
        <v>27.088439999999999</v>
      </c>
      <c r="UY38">
        <v>173.24090000000001</v>
      </c>
      <c r="UZ38">
        <v>40.124429999999997</v>
      </c>
      <c r="VA38">
        <v>23.932289999999998</v>
      </c>
      <c r="VB38">
        <v>2020.5920000000001</v>
      </c>
      <c r="VC38">
        <v>2158.5250000000001</v>
      </c>
      <c r="VD38">
        <v>112.41</v>
      </c>
      <c r="VE38">
        <v>215.67269999999999</v>
      </c>
      <c r="VF38">
        <v>399.55369999999999</v>
      </c>
      <c r="VG38">
        <v>33.743519999999997</v>
      </c>
      <c r="VH38">
        <v>73.726029999999994</v>
      </c>
      <c r="VI38">
        <v>13015.28</v>
      </c>
      <c r="VJ38">
        <v>6778.4840000000004</v>
      </c>
      <c r="VK38">
        <v>0.233686</v>
      </c>
      <c r="VL38">
        <v>4.82212</v>
      </c>
      <c r="VM38">
        <v>31.496569999999998</v>
      </c>
      <c r="VN38">
        <v>27.346399999999999</v>
      </c>
      <c r="VO38">
        <v>6.8251000000000006E-2</v>
      </c>
      <c r="VP38">
        <v>2.1731210000000001</v>
      </c>
      <c r="VQ38">
        <v>0.21252499999999999</v>
      </c>
      <c r="VR38">
        <v>17.236920000000001</v>
      </c>
      <c r="VS38">
        <v>31.412210000000002</v>
      </c>
      <c r="VT38">
        <v>6.5862889999999998</v>
      </c>
      <c r="VU38">
        <v>5.8974479999999998</v>
      </c>
      <c r="VV38">
        <v>5.0986719999999996</v>
      </c>
      <c r="VW38">
        <v>5.8246339999999996</v>
      </c>
      <c r="VX38">
        <v>2.7533940000000001</v>
      </c>
      <c r="VY38">
        <v>0.71881099999999998</v>
      </c>
      <c r="VZ38">
        <v>4.2608090000000001</v>
      </c>
      <c r="WA38">
        <v>2.7505090000000001</v>
      </c>
      <c r="WB38">
        <v>0.120987</v>
      </c>
      <c r="WC38">
        <v>0.104259</v>
      </c>
      <c r="WD38">
        <v>-2.375E-2</v>
      </c>
      <c r="WE38">
        <v>-1.5679999999999999E-2</v>
      </c>
      <c r="WF38">
        <v>0.66934899999999997</v>
      </c>
      <c r="WG38">
        <v>0.39076899999999998</v>
      </c>
      <c r="WH38">
        <v>-3.5385E-2</v>
      </c>
      <c r="WI38">
        <v>-1.5391E-2</v>
      </c>
      <c r="WJ38">
        <v>2871420</v>
      </c>
      <c r="WK38">
        <v>2921180</v>
      </c>
    </row>
    <row r="39" spans="1:609" x14ac:dyDescent="0.25">
      <c r="A39">
        <v>2040</v>
      </c>
      <c r="B39">
        <v>1.6951430000000001</v>
      </c>
      <c r="C39">
        <v>163.81209999999999</v>
      </c>
      <c r="D39">
        <v>5.2826899999999997</v>
      </c>
      <c r="E39">
        <v>12.32037</v>
      </c>
      <c r="F39">
        <v>-9.3899989999999995</v>
      </c>
      <c r="G39">
        <v>4.4696410000000002</v>
      </c>
      <c r="H39">
        <v>-1.5925560000000001</v>
      </c>
      <c r="I39">
        <v>1.3891009999999999</v>
      </c>
      <c r="J39">
        <v>24.049790000000002</v>
      </c>
      <c r="K39">
        <v>0.72158299999999997</v>
      </c>
      <c r="L39">
        <v>23.161079999999998</v>
      </c>
      <c r="M39">
        <v>1.282395</v>
      </c>
      <c r="N39">
        <v>0</v>
      </c>
      <c r="O39">
        <v>-29.723569999999999</v>
      </c>
      <c r="P39">
        <v>-2.082379</v>
      </c>
      <c r="Q39">
        <v>-60.796190000000003</v>
      </c>
      <c r="R39">
        <v>34.343769999999999</v>
      </c>
      <c r="S39">
        <v>100</v>
      </c>
      <c r="T39">
        <v>692.82029999999997</v>
      </c>
      <c r="U39">
        <v>173.20509999999999</v>
      </c>
      <c r="V39">
        <v>444.04390000000001</v>
      </c>
      <c r="W39">
        <v>1.8004359999999999</v>
      </c>
      <c r="X39">
        <v>53307.83</v>
      </c>
      <c r="Y39">
        <v>0.12510499999999999</v>
      </c>
      <c r="Z39">
        <v>0.15540300000000001</v>
      </c>
      <c r="AA39">
        <v>3.9457599999999999</v>
      </c>
      <c r="AB39">
        <v>-1.1957180000000001</v>
      </c>
      <c r="AC39">
        <v>4.3327999999999998E-2</v>
      </c>
      <c r="AD39">
        <v>87201.51</v>
      </c>
      <c r="AE39">
        <v>848179.3</v>
      </c>
      <c r="AF39">
        <v>946976.7</v>
      </c>
      <c r="AG39">
        <v>88376.85</v>
      </c>
      <c r="AH39">
        <v>474428.4</v>
      </c>
      <c r="AI39">
        <v>-5.5970000000000004E-3</v>
      </c>
      <c r="AJ39">
        <v>261.77640000000002</v>
      </c>
      <c r="AK39">
        <v>3243.7260000000001</v>
      </c>
      <c r="AL39">
        <v>457.29750000000001</v>
      </c>
      <c r="AM39">
        <v>97.247889999999998</v>
      </c>
      <c r="AN39">
        <v>1205.019</v>
      </c>
      <c r="AO39">
        <v>169.88249999999999</v>
      </c>
      <c r="AP39">
        <v>2709.8229999999999</v>
      </c>
      <c r="AQ39">
        <v>1006.678</v>
      </c>
      <c r="AR39">
        <v>1154.9079999999999</v>
      </c>
      <c r="AS39">
        <v>609.62080000000003</v>
      </c>
      <c r="AT39">
        <v>2439.6469999999999</v>
      </c>
      <c r="AU39">
        <v>1017.492</v>
      </c>
      <c r="AV39">
        <v>181.32159999999999</v>
      </c>
      <c r="AW39">
        <v>1.644323</v>
      </c>
      <c r="AX39">
        <v>1.6632960000000001</v>
      </c>
      <c r="AY39">
        <v>3.0391599999999999</v>
      </c>
      <c r="AZ39">
        <v>-4.0282299999999998</v>
      </c>
      <c r="BA39">
        <v>2.503517</v>
      </c>
      <c r="BB39">
        <v>8.9065980000000007</v>
      </c>
      <c r="BC39">
        <v>2.061315</v>
      </c>
      <c r="BD39">
        <v>6.0516730000000001</v>
      </c>
      <c r="BE39">
        <v>-5.9143990000000004</v>
      </c>
      <c r="BF39">
        <v>2.4841440000000001</v>
      </c>
      <c r="BG39">
        <v>3.5002369999999998</v>
      </c>
      <c r="BH39">
        <v>-4.8595470000000001</v>
      </c>
      <c r="BI39">
        <v>-0.99920500000000001</v>
      </c>
      <c r="BJ39">
        <v>6.2237489999999998</v>
      </c>
      <c r="BK39">
        <v>6.514354</v>
      </c>
      <c r="BL39">
        <v>7.5004080000000002</v>
      </c>
      <c r="BM39">
        <v>-5.0586820000000001</v>
      </c>
      <c r="BN39">
        <v>-20.49757</v>
      </c>
      <c r="BO39">
        <v>-5.6385480000000001</v>
      </c>
      <c r="BP39">
        <v>1.8662300000000001</v>
      </c>
      <c r="BQ39">
        <v>0.64771599999999996</v>
      </c>
      <c r="BR39">
        <v>-104.6001</v>
      </c>
      <c r="BS39">
        <v>-42.546559999999999</v>
      </c>
      <c r="BT39">
        <v>364.4982</v>
      </c>
      <c r="BU39">
        <v>-51.052599999999998</v>
      </c>
      <c r="BV39">
        <v>-91.131929999999997</v>
      </c>
      <c r="BW39">
        <v>-4.6112739999999999</v>
      </c>
      <c r="BX39">
        <v>-95.947509999999994</v>
      </c>
      <c r="BY39">
        <v>877.36329999999998</v>
      </c>
      <c r="BZ39">
        <v>3462.0889999999999</v>
      </c>
      <c r="CA39">
        <v>-32.465539999999997</v>
      </c>
      <c r="CB39">
        <v>6.9842259999999996</v>
      </c>
      <c r="CC39">
        <v>-55.635039999999996</v>
      </c>
      <c r="CD39">
        <v>15.05522</v>
      </c>
      <c r="CE39">
        <v>638.17560000000003</v>
      </c>
      <c r="CF39">
        <v>78.597530000000006</v>
      </c>
      <c r="CG39">
        <v>230.1953</v>
      </c>
      <c r="CH39">
        <v>734.42859999999996</v>
      </c>
      <c r="CI39">
        <v>21.340129999999998</v>
      </c>
      <c r="CJ39">
        <v>17.701820000000001</v>
      </c>
      <c r="CK39">
        <v>-3.7735720000000001</v>
      </c>
      <c r="CL39">
        <v>29.118960000000001</v>
      </c>
      <c r="CM39">
        <v>54.917140000000003</v>
      </c>
      <c r="CN39">
        <v>17.10051</v>
      </c>
      <c r="CO39">
        <v>73.69032</v>
      </c>
      <c r="CP39">
        <v>8.0655439999999992</v>
      </c>
      <c r="CQ39">
        <v>0.15704699999999999</v>
      </c>
      <c r="CR39">
        <v>49.190710000000003</v>
      </c>
      <c r="CS39">
        <v>8.8516309999999994</v>
      </c>
      <c r="CT39">
        <v>5.0321340000000001</v>
      </c>
      <c r="CU39">
        <v>11.61575</v>
      </c>
      <c r="CV39">
        <v>21.47926</v>
      </c>
      <c r="CW39">
        <v>28.545670000000001</v>
      </c>
      <c r="CX39">
        <v>64.308570000000003</v>
      </c>
      <c r="CY39">
        <v>51.655279999999998</v>
      </c>
      <c r="CZ39">
        <v>112.4986</v>
      </c>
      <c r="DA39">
        <v>4.9741790000000004</v>
      </c>
      <c r="DB39">
        <v>2.6497039999999998</v>
      </c>
      <c r="DC39">
        <v>-66.032179999999997</v>
      </c>
      <c r="DD39">
        <v>-49.07893</v>
      </c>
      <c r="DE39">
        <v>1142.8900000000001</v>
      </c>
      <c r="DF39">
        <v>-59.683819999999997</v>
      </c>
      <c r="DG39">
        <v>-99.153459999999995</v>
      </c>
      <c r="DH39">
        <v>-8.1318520000000003</v>
      </c>
      <c r="DI39">
        <v>-99.792150000000007</v>
      </c>
      <c r="DJ39">
        <v>1546.2429999999999</v>
      </c>
      <c r="DK39">
        <v>8326.2890000000007</v>
      </c>
      <c r="DL39">
        <v>-42.717689999999997</v>
      </c>
      <c r="DM39">
        <v>10.45398</v>
      </c>
      <c r="DN39">
        <v>-72.989999999999995</v>
      </c>
      <c r="DO39">
        <v>23.128910000000001</v>
      </c>
      <c r="DP39">
        <v>1131.8530000000001</v>
      </c>
      <c r="DQ39">
        <v>109.289</v>
      </c>
      <c r="DR39">
        <v>279.9076</v>
      </c>
      <c r="DS39">
        <v>1567.8130000000001</v>
      </c>
      <c r="DT39">
        <v>7.0263000000000006E-2</v>
      </c>
      <c r="DU39">
        <v>5.4408279999999998</v>
      </c>
      <c r="DV39">
        <v>3.103418</v>
      </c>
      <c r="DW39">
        <v>6.9281420000000002</v>
      </c>
      <c r="DX39">
        <v>5.8707739999999999</v>
      </c>
      <c r="DY39">
        <v>6.700755</v>
      </c>
      <c r="DZ39">
        <v>4.2574680000000003</v>
      </c>
      <c r="EA39">
        <v>7.5486740000000001</v>
      </c>
      <c r="EB39">
        <v>10.697789999999999</v>
      </c>
      <c r="EC39">
        <v>0</v>
      </c>
      <c r="ED39">
        <v>9.2559830000000005</v>
      </c>
      <c r="EE39">
        <v>7.6950630000000002</v>
      </c>
      <c r="EF39">
        <v>6.6685910000000002</v>
      </c>
      <c r="EG39">
        <v>6.1010410000000004</v>
      </c>
      <c r="EH39">
        <v>9.5488079999999993</v>
      </c>
      <c r="EI39">
        <v>-3.0755020000000002</v>
      </c>
      <c r="EJ39">
        <v>1.7303539999999999</v>
      </c>
      <c r="EK39">
        <v>-4.8363560000000003</v>
      </c>
      <c r="EL39">
        <v>5.6184019999999997</v>
      </c>
      <c r="EM39">
        <v>5.5149619999999997</v>
      </c>
      <c r="EN39">
        <v>-35.007840000000002</v>
      </c>
      <c r="EO39">
        <v>-21.32901</v>
      </c>
      <c r="EP39">
        <v>-13.621840000000001</v>
      </c>
      <c r="EQ39">
        <v>-9.9146380000000001</v>
      </c>
      <c r="ER39">
        <v>8.4215970000000002</v>
      </c>
      <c r="ES39">
        <v>62.496229999999997</v>
      </c>
      <c r="ET39">
        <v>1.7382960000000001</v>
      </c>
      <c r="EU39">
        <v>38.874000000000002</v>
      </c>
      <c r="EV39">
        <v>0.62203299999999995</v>
      </c>
      <c r="EW39">
        <v>2.2725749999999998</v>
      </c>
      <c r="EX39">
        <v>2.8699729999999999</v>
      </c>
      <c r="EY39">
        <v>0.90617499999999995</v>
      </c>
      <c r="EZ39">
        <v>0.12009499999999999</v>
      </c>
      <c r="FA39">
        <v>6.1248670000000001</v>
      </c>
      <c r="FB39">
        <v>1.965198</v>
      </c>
      <c r="FC39">
        <v>31.030149999999999</v>
      </c>
      <c r="FD39">
        <v>8.4444130000000008</v>
      </c>
      <c r="FE39">
        <v>0.51000900000000005</v>
      </c>
      <c r="FF39">
        <v>0.78591599999999995</v>
      </c>
      <c r="FG39">
        <v>1.412976</v>
      </c>
      <c r="FH39">
        <v>0.31771100000000002</v>
      </c>
      <c r="FI39">
        <v>4.8547359999999999</v>
      </c>
      <c r="FJ39">
        <v>32.658259999999999</v>
      </c>
      <c r="FK39">
        <v>13.893840000000001</v>
      </c>
      <c r="FL39">
        <v>18.791170000000001</v>
      </c>
      <c r="FM39">
        <v>4.8350999999999998E-2</v>
      </c>
      <c r="FN39">
        <v>2.1453169999999999</v>
      </c>
      <c r="FO39">
        <v>0.116452</v>
      </c>
      <c r="FP39">
        <v>8.7883189999999995</v>
      </c>
      <c r="FQ39">
        <v>4.2462439999999999</v>
      </c>
      <c r="FR39">
        <v>4.0893309999999996</v>
      </c>
      <c r="FS39">
        <v>2.0854180000000002</v>
      </c>
      <c r="FT39">
        <v>13.109080000000001</v>
      </c>
      <c r="FU39">
        <v>11.13265</v>
      </c>
      <c r="FV39">
        <v>4.3312099999999996</v>
      </c>
      <c r="FW39">
        <v>1.624428</v>
      </c>
      <c r="FX39">
        <v>5.3579499999999998</v>
      </c>
      <c r="FY39">
        <v>3.145111</v>
      </c>
      <c r="FZ39">
        <v>6.1355320000000004</v>
      </c>
      <c r="GA39">
        <v>47.46996</v>
      </c>
      <c r="GB39">
        <v>1.7382960000000001</v>
      </c>
      <c r="GC39">
        <v>34.932720000000003</v>
      </c>
      <c r="GD39">
        <v>0.55896699999999999</v>
      </c>
      <c r="GE39">
        <v>2.0421680000000002</v>
      </c>
      <c r="GF39">
        <v>2.5789979999999999</v>
      </c>
      <c r="GG39">
        <v>0.81430100000000005</v>
      </c>
      <c r="GH39">
        <v>0.107919</v>
      </c>
      <c r="GI39">
        <v>5.5038910000000003</v>
      </c>
      <c r="GJ39">
        <v>1.765954</v>
      </c>
      <c r="GK39">
        <v>29.250730000000001</v>
      </c>
      <c r="GL39">
        <v>8.4444130000000008</v>
      </c>
      <c r="GM39">
        <v>0.51000900000000005</v>
      </c>
      <c r="GN39">
        <v>0.78591599999999995</v>
      </c>
      <c r="GO39">
        <v>1.412976</v>
      </c>
      <c r="GP39">
        <v>0.31771100000000002</v>
      </c>
      <c r="GQ39">
        <v>2.7346759999999999</v>
      </c>
      <c r="GR39">
        <v>19.107009999999999</v>
      </c>
      <c r="GS39">
        <v>13.893840000000001</v>
      </c>
      <c r="GT39">
        <v>16.250599999999999</v>
      </c>
      <c r="GU39">
        <v>4.1813999999999997E-2</v>
      </c>
      <c r="GV39">
        <v>1.85527</v>
      </c>
      <c r="GW39">
        <v>0.10070800000000001</v>
      </c>
      <c r="GX39">
        <v>7.6001370000000001</v>
      </c>
      <c r="GY39">
        <v>3.6721509999999999</v>
      </c>
      <c r="GZ39">
        <v>3.5364529999999998</v>
      </c>
      <c r="HA39">
        <v>1.803469</v>
      </c>
      <c r="HB39">
        <v>11.50433</v>
      </c>
      <c r="HC39">
        <v>11.13265</v>
      </c>
      <c r="HD39">
        <v>4.3312099999999996</v>
      </c>
      <c r="HE39">
        <v>1.624428</v>
      </c>
      <c r="HF39">
        <v>5.3579499999999998</v>
      </c>
      <c r="HG39">
        <v>3.145111</v>
      </c>
      <c r="HH39">
        <v>6.2461929999999999</v>
      </c>
      <c r="HI39">
        <v>51.022790000000001</v>
      </c>
      <c r="HJ39">
        <v>1.7382960000000001</v>
      </c>
      <c r="HK39">
        <v>140.3374</v>
      </c>
      <c r="HL39">
        <v>1.343601</v>
      </c>
      <c r="HM39">
        <v>4.9087990000000001</v>
      </c>
      <c r="HN39">
        <v>6.1991880000000004</v>
      </c>
      <c r="HO39">
        <v>0.97964200000000001</v>
      </c>
      <c r="HP39">
        <v>0.129832</v>
      </c>
      <c r="HQ39">
        <v>6.6214360000000001</v>
      </c>
      <c r="HR39">
        <v>5.7440860000000002</v>
      </c>
      <c r="HS39">
        <v>29.451699999999999</v>
      </c>
      <c r="HT39">
        <v>8.5707090000000008</v>
      </c>
      <c r="HU39">
        <v>0.51763700000000001</v>
      </c>
      <c r="HV39">
        <v>0.79766999999999999</v>
      </c>
      <c r="HW39">
        <v>1.4341090000000001</v>
      </c>
      <c r="HX39">
        <v>0.32246200000000003</v>
      </c>
      <c r="HY39">
        <v>2.7698870000000002</v>
      </c>
      <c r="HZ39">
        <v>20.54618</v>
      </c>
      <c r="IA39">
        <v>11.4063</v>
      </c>
      <c r="IB39">
        <v>61.224330000000002</v>
      </c>
      <c r="IC39">
        <v>4.8365999999999999E-2</v>
      </c>
      <c r="ID39">
        <v>4.1919370000000002</v>
      </c>
      <c r="IE39">
        <v>0.11648699999999999</v>
      </c>
      <c r="IF39">
        <v>10.29524</v>
      </c>
      <c r="IG39">
        <v>4.5658120000000002</v>
      </c>
      <c r="IH39">
        <v>4.3970900000000004</v>
      </c>
      <c r="II39">
        <v>7.1029749999999998</v>
      </c>
      <c r="IJ39">
        <v>11.51765</v>
      </c>
      <c r="IK39">
        <v>11.153499999999999</v>
      </c>
      <c r="IL39">
        <v>6.171754</v>
      </c>
      <c r="IM39">
        <v>1.6284130000000001</v>
      </c>
      <c r="IN39">
        <v>5.3708710000000002</v>
      </c>
      <c r="IO39">
        <v>3.1490559999999999</v>
      </c>
      <c r="IP39">
        <v>4.0140650000000004</v>
      </c>
      <c r="IQ39">
        <v>5.7143509999999997</v>
      </c>
      <c r="IR39">
        <v>0.56418699999999999</v>
      </c>
      <c r="IS39">
        <v>1.7235929999999999</v>
      </c>
      <c r="IT39">
        <v>4.1477779999999997</v>
      </c>
      <c r="IU39">
        <v>4.252319</v>
      </c>
      <c r="IV39">
        <v>4.7844110000000004</v>
      </c>
      <c r="IW39">
        <v>5.5423669999999996</v>
      </c>
      <c r="IX39">
        <v>0.86295100000000002</v>
      </c>
      <c r="IY39">
        <v>7.4131359999999997</v>
      </c>
      <c r="IZ39">
        <v>1.8342510000000001</v>
      </c>
      <c r="JA39">
        <v>8.6339240000000004</v>
      </c>
      <c r="JB39">
        <v>0.43512099999999998</v>
      </c>
      <c r="JC39">
        <v>1.6534629999999999</v>
      </c>
      <c r="JD39">
        <v>0.81217399999999995</v>
      </c>
      <c r="JE39">
        <v>16.122579999999999</v>
      </c>
      <c r="JF39">
        <v>0.29383500000000001</v>
      </c>
      <c r="JG39">
        <v>1.518132</v>
      </c>
      <c r="JH39">
        <v>20.128119999999999</v>
      </c>
      <c r="JI39">
        <v>7.1874169999999999</v>
      </c>
      <c r="JJ39">
        <v>13.597160000000001</v>
      </c>
      <c r="JK39">
        <v>33.135109999999997</v>
      </c>
      <c r="JL39">
        <v>2.3311790000000001</v>
      </c>
      <c r="JM39">
        <v>4.6930069999999997</v>
      </c>
      <c r="JN39">
        <v>0.463611</v>
      </c>
      <c r="JO39">
        <v>1.2559089999999999</v>
      </c>
      <c r="JP39">
        <v>2.7821720000000001</v>
      </c>
      <c r="JQ39">
        <v>3.304217</v>
      </c>
      <c r="JR39">
        <v>3.3053710000000001</v>
      </c>
      <c r="JS39">
        <v>4.2725939999999998</v>
      </c>
      <c r="JT39">
        <v>0.73779899999999998</v>
      </c>
      <c r="JU39">
        <v>3.569429</v>
      </c>
      <c r="JV39">
        <v>1.1385069999999999</v>
      </c>
      <c r="JW39">
        <v>7.1790500000000002</v>
      </c>
      <c r="JX39">
        <v>0.36853000000000002</v>
      </c>
      <c r="JY39">
        <v>1.1639379999999999</v>
      </c>
      <c r="JZ39">
        <v>0.69413599999999998</v>
      </c>
      <c r="KA39">
        <v>8.6969750000000001</v>
      </c>
      <c r="KB39">
        <v>8.1254999999999994E-2</v>
      </c>
      <c r="KC39">
        <v>0.50147799999999998</v>
      </c>
      <c r="KD39">
        <v>16.016259999999999</v>
      </c>
      <c r="KE39">
        <v>5.4832749999999999</v>
      </c>
      <c r="KF39">
        <v>12.005050000000001</v>
      </c>
      <c r="KG39">
        <v>27.648070000000001</v>
      </c>
      <c r="KH39">
        <v>9623.7510000000002</v>
      </c>
      <c r="KI39">
        <v>9596.7579999999998</v>
      </c>
      <c r="KJ39">
        <v>5910.1469999999999</v>
      </c>
      <c r="KK39">
        <v>2555.8960000000002</v>
      </c>
      <c r="KL39">
        <v>1211.298</v>
      </c>
      <c r="KM39">
        <v>381.83699999999999</v>
      </c>
      <c r="KN39">
        <v>403.16660000000002</v>
      </c>
      <c r="KO39">
        <v>0</v>
      </c>
      <c r="KP39">
        <v>24297.35</v>
      </c>
      <c r="KQ39">
        <v>5385.5060000000003</v>
      </c>
      <c r="KR39">
        <v>0</v>
      </c>
      <c r="KS39">
        <v>10509</v>
      </c>
      <c r="KT39">
        <v>7908.0249999999996</v>
      </c>
      <c r="KU39">
        <v>5315.2839999999997</v>
      </c>
      <c r="KV39">
        <v>2812.4160000000002</v>
      </c>
      <c r="KW39">
        <v>1111.2560000000001</v>
      </c>
      <c r="KX39">
        <v>349.84280000000001</v>
      </c>
      <c r="KY39">
        <v>211.3364</v>
      </c>
      <c r="KZ39">
        <v>0</v>
      </c>
      <c r="LA39">
        <v>18961.82</v>
      </c>
      <c r="LB39">
        <v>9255.3430000000008</v>
      </c>
      <c r="LC39">
        <v>0</v>
      </c>
      <c r="LD39" s="21">
        <v>148000000</v>
      </c>
      <c r="LE39" s="21">
        <v>380000000</v>
      </c>
      <c r="LF39" s="21">
        <v>893000000</v>
      </c>
      <c r="LG39" s="21">
        <v>748000000</v>
      </c>
      <c r="LH39" s="21">
        <v>527000000</v>
      </c>
      <c r="LI39" s="21">
        <v>224000000</v>
      </c>
      <c r="LJ39" s="21">
        <v>115000000</v>
      </c>
      <c r="LK39" s="21">
        <v>3.23E-6</v>
      </c>
      <c r="LL39" s="21">
        <v>6.3999999999999997E-6</v>
      </c>
      <c r="LM39" s="21">
        <v>1.2099999999999999E-5</v>
      </c>
      <c r="LN39" s="21">
        <v>2.6299999999999999E-5</v>
      </c>
      <c r="LO39" s="21">
        <v>4.32E-5</v>
      </c>
      <c r="LP39" s="21">
        <v>6.5699999999999998E-5</v>
      </c>
      <c r="LQ39" s="21">
        <v>9.7399999999999996E-5</v>
      </c>
      <c r="LR39" s="21">
        <v>339000000</v>
      </c>
      <c r="LS39" s="21">
        <v>515000000</v>
      </c>
      <c r="LT39" s="21">
        <v>853000000</v>
      </c>
      <c r="LU39" s="21">
        <v>621000000</v>
      </c>
      <c r="LV39" s="21">
        <v>441000000</v>
      </c>
      <c r="LW39" s="21">
        <v>176000000</v>
      </c>
      <c r="LX39">
        <v>89532179</v>
      </c>
      <c r="LY39" s="21">
        <v>6.9700000000000002E-6</v>
      </c>
      <c r="LZ39" s="21">
        <v>1.31E-5</v>
      </c>
      <c r="MA39" s="21">
        <v>2.4000000000000001E-5</v>
      </c>
      <c r="MB39" s="21">
        <v>5.0599999999999997E-5</v>
      </c>
      <c r="MC39" s="21">
        <v>7.6000000000000004E-5</v>
      </c>
      <c r="MD39">
        <v>1.1E-4</v>
      </c>
      <c r="ME39">
        <v>1.5300000000000001E-4</v>
      </c>
      <c r="MF39">
        <v>0.41584399999999999</v>
      </c>
      <c r="MG39">
        <v>0.30815399999999998</v>
      </c>
      <c r="MH39">
        <v>0.189667</v>
      </c>
      <c r="MI39">
        <v>8.6298E-2</v>
      </c>
      <c r="MJ39" s="21">
        <v>3.8099999999999998E-5</v>
      </c>
      <c r="MK39">
        <v>0</v>
      </c>
      <c r="ML39" s="21">
        <v>1.7999999999999999E-8</v>
      </c>
      <c r="MM39">
        <v>1.325861</v>
      </c>
      <c r="MN39">
        <v>0.95912299999999995</v>
      </c>
      <c r="MO39">
        <v>0.59313000000000005</v>
      </c>
      <c r="MP39">
        <v>0.27439999999999998</v>
      </c>
      <c r="MQ39">
        <v>-1.3450999999999999E-2</v>
      </c>
      <c r="MR39">
        <v>-0.34527799999999997</v>
      </c>
      <c r="MS39">
        <v>-1.793784</v>
      </c>
      <c r="MT39">
        <v>0.46098600000000001</v>
      </c>
      <c r="MU39">
        <v>0.269679</v>
      </c>
      <c r="MV39">
        <v>0.17716000000000001</v>
      </c>
      <c r="MW39">
        <v>9.2175000000000007E-2</v>
      </c>
      <c r="MX39" s="21">
        <v>9.4300000000000004E-8</v>
      </c>
      <c r="MY39">
        <v>0</v>
      </c>
      <c r="MZ39">
        <v>0</v>
      </c>
      <c r="NA39">
        <v>2.7095880000000001</v>
      </c>
      <c r="NB39">
        <v>1.568419</v>
      </c>
      <c r="NC39">
        <v>1.0294369999999999</v>
      </c>
      <c r="ND39">
        <v>0.53552</v>
      </c>
      <c r="NE39">
        <v>-6.6346000000000002E-2</v>
      </c>
      <c r="NF39">
        <v>-0.77849900000000005</v>
      </c>
      <c r="NG39">
        <v>-3.9981179999999998</v>
      </c>
      <c r="NH39">
        <v>4.9919999999999999E-3</v>
      </c>
      <c r="NI39">
        <v>5.4850000000000003E-3</v>
      </c>
      <c r="NJ39">
        <v>8.3040000000000006E-3</v>
      </c>
      <c r="NK39">
        <v>3.5263999999999997E-2</v>
      </c>
      <c r="NL39">
        <v>4.4004000000000001E-2</v>
      </c>
      <c r="NM39">
        <v>9.8197999999999994E-2</v>
      </c>
      <c r="NN39">
        <v>4.9919999999999999E-3</v>
      </c>
      <c r="NO39">
        <v>5.4850000000000003E-3</v>
      </c>
      <c r="NP39">
        <v>8.3040000000000006E-3</v>
      </c>
      <c r="NQ39">
        <v>3.5263999999999997E-2</v>
      </c>
      <c r="NR39">
        <v>4.4004000000000001E-2</v>
      </c>
      <c r="NS39">
        <v>9.8197999999999994E-2</v>
      </c>
      <c r="NT39">
        <v>2.6303E-2</v>
      </c>
      <c r="NU39">
        <v>2.6844E-2</v>
      </c>
      <c r="NV39">
        <v>3.0698E-2</v>
      </c>
      <c r="NW39">
        <v>5.1912E-2</v>
      </c>
      <c r="NX39">
        <v>5.8298000000000003E-2</v>
      </c>
      <c r="NY39">
        <v>0.109486</v>
      </c>
      <c r="NZ39">
        <v>2.6303E-2</v>
      </c>
      <c r="OA39">
        <v>2.6844E-2</v>
      </c>
      <c r="OB39">
        <v>3.0698E-2</v>
      </c>
      <c r="OC39">
        <v>5.1912E-2</v>
      </c>
      <c r="OD39">
        <v>5.8298000000000003E-2</v>
      </c>
      <c r="OE39">
        <v>0.109486</v>
      </c>
      <c r="OF39">
        <v>39.541899999999998</v>
      </c>
      <c r="OG39">
        <v>22923.72</v>
      </c>
      <c r="OH39">
        <v>20039.18</v>
      </c>
      <c r="OI39">
        <v>6820.8850000000002</v>
      </c>
      <c r="OJ39">
        <v>25.69913</v>
      </c>
      <c r="OK39">
        <v>18034.32</v>
      </c>
      <c r="OL39">
        <v>17309.47</v>
      </c>
      <c r="OM39">
        <v>6144.6189999999997</v>
      </c>
      <c r="ON39">
        <v>1851812</v>
      </c>
      <c r="OO39">
        <v>1938373</v>
      </c>
      <c r="OP39">
        <v>14266.06</v>
      </c>
      <c r="OQ39">
        <v>8152.9290000000001</v>
      </c>
      <c r="OR39">
        <v>5850.0240000000003</v>
      </c>
      <c r="OS39">
        <v>591.60180000000003</v>
      </c>
      <c r="OT39">
        <v>1920.098</v>
      </c>
      <c r="OU39">
        <v>1441.6559999999999</v>
      </c>
      <c r="OV39">
        <v>391.20679999999999</v>
      </c>
      <c r="OW39">
        <v>1560.905</v>
      </c>
      <c r="OX39">
        <v>1502.2850000000001</v>
      </c>
      <c r="OY39">
        <v>1177.1289999999999</v>
      </c>
      <c r="OZ39">
        <v>673.65570000000002</v>
      </c>
      <c r="PA39">
        <v>23384.63</v>
      </c>
      <c r="PB39">
        <v>8924.3510000000006</v>
      </c>
      <c r="PC39">
        <v>1746.0139999999999</v>
      </c>
      <c r="PD39">
        <v>2994.9290000000001</v>
      </c>
      <c r="PE39">
        <v>7987.9229999999998</v>
      </c>
      <c r="PF39">
        <v>1598.8889999999999</v>
      </c>
      <c r="PG39">
        <v>3108.3780000000002</v>
      </c>
      <c r="PH39">
        <v>242456.3</v>
      </c>
      <c r="PI39">
        <v>103660.6</v>
      </c>
      <c r="PJ39">
        <v>1.9955240000000001</v>
      </c>
      <c r="PK39">
        <v>431.55450000000002</v>
      </c>
      <c r="PL39">
        <v>75.004949999999994</v>
      </c>
      <c r="PM39">
        <v>2731.48</v>
      </c>
      <c r="PN39">
        <v>475.35750000000002</v>
      </c>
      <c r="PO39">
        <v>173.79329999999999</v>
      </c>
      <c r="PP39">
        <v>264.80829999999997</v>
      </c>
      <c r="PQ39">
        <v>600.94060000000002</v>
      </c>
      <c r="PR39">
        <v>102.0882</v>
      </c>
      <c r="PS39">
        <v>630.15920000000006</v>
      </c>
      <c r="PT39">
        <v>1299.047</v>
      </c>
      <c r="PU39">
        <v>382.09930000000003</v>
      </c>
      <c r="PV39">
        <v>681.12900000000002</v>
      </c>
      <c r="PW39">
        <v>50.012360000000001</v>
      </c>
      <c r="PX39">
        <v>118.6601</v>
      </c>
      <c r="PY39">
        <v>602.29719999999998</v>
      </c>
      <c r="PZ39">
        <v>113.71339999999999</v>
      </c>
      <c r="QA39">
        <v>442123.6</v>
      </c>
      <c r="QB39">
        <v>9026.2160000000003</v>
      </c>
      <c r="QC39">
        <v>84731.39</v>
      </c>
      <c r="QD39">
        <v>10627.75</v>
      </c>
      <c r="QE39">
        <v>8950.1110000000008</v>
      </c>
      <c r="QF39">
        <v>6532.2529999999997</v>
      </c>
      <c r="QG39">
        <v>3405.5749999999998</v>
      </c>
      <c r="QH39">
        <v>2.097343</v>
      </c>
      <c r="QI39">
        <v>1.9900000000000001E-4</v>
      </c>
      <c r="QJ39">
        <v>1.854E-3</v>
      </c>
      <c r="QK39">
        <v>17310.45</v>
      </c>
      <c r="QL39">
        <v>9596.1460000000006</v>
      </c>
      <c r="QM39">
        <v>5629.2690000000002</v>
      </c>
      <c r="QN39">
        <v>763.87009999999998</v>
      </c>
      <c r="QO39">
        <v>2974.56</v>
      </c>
      <c r="QP39">
        <v>1688.1859999999999</v>
      </c>
      <c r="QQ39">
        <v>679.48839999999996</v>
      </c>
      <c r="QR39">
        <v>1686.8</v>
      </c>
      <c r="QS39">
        <v>1504.644</v>
      </c>
      <c r="QT39">
        <v>1756.1669999999999</v>
      </c>
      <c r="QU39">
        <v>733.28530000000001</v>
      </c>
      <c r="QV39">
        <v>24561.38</v>
      </c>
      <c r="QW39">
        <v>9960.9809999999998</v>
      </c>
      <c r="QX39">
        <v>2121.0439999999999</v>
      </c>
      <c r="QY39">
        <v>3849.8519999999999</v>
      </c>
      <c r="QZ39">
        <v>13124.84</v>
      </c>
      <c r="RA39">
        <v>2424.799</v>
      </c>
      <c r="RB39">
        <v>6605.2579999999998</v>
      </c>
      <c r="RC39">
        <v>254516.5</v>
      </c>
      <c r="RD39">
        <v>106407.3</v>
      </c>
      <c r="RE39">
        <v>0.67783599999999999</v>
      </c>
      <c r="RF39">
        <v>219.75219999999999</v>
      </c>
      <c r="RG39">
        <v>932.22910000000002</v>
      </c>
      <c r="RH39">
        <v>1101.229</v>
      </c>
      <c r="RI39">
        <v>4.0240830000000001</v>
      </c>
      <c r="RJ39">
        <v>159.66069999999999</v>
      </c>
      <c r="RK39">
        <v>0.55040299999999998</v>
      </c>
      <c r="RL39">
        <v>9892.9449999999997</v>
      </c>
      <c r="RM39">
        <v>8602.2450000000008</v>
      </c>
      <c r="RN39">
        <v>360.96980000000002</v>
      </c>
      <c r="RO39">
        <v>1434.85</v>
      </c>
      <c r="RP39">
        <v>103.205</v>
      </c>
      <c r="RQ39">
        <v>838.66669999999999</v>
      </c>
      <c r="RR39">
        <v>616.07849999999996</v>
      </c>
      <c r="RS39">
        <v>248.3426</v>
      </c>
      <c r="RT39">
        <v>2288.1729999999998</v>
      </c>
      <c r="RU39">
        <v>1896.5260000000001</v>
      </c>
      <c r="RV39">
        <v>496594.9</v>
      </c>
      <c r="RW39">
        <v>15623.92</v>
      </c>
      <c r="RX39">
        <v>81678.850000000006</v>
      </c>
      <c r="RY39">
        <v>11215.63</v>
      </c>
      <c r="RZ39">
        <v>7456.4629999999997</v>
      </c>
      <c r="SA39">
        <v>5808.4809999999998</v>
      </c>
      <c r="SB39">
        <v>3462.83</v>
      </c>
      <c r="SC39">
        <v>4.9350000000000002E-3</v>
      </c>
      <c r="SD39" s="21">
        <v>1.66E-5</v>
      </c>
      <c r="SE39">
        <v>1.22E-4</v>
      </c>
      <c r="SF39">
        <v>30965.42</v>
      </c>
      <c r="SG39">
        <v>39.541899999999998</v>
      </c>
      <c r="SH39">
        <v>5689.4889999999996</v>
      </c>
      <c r="SI39">
        <v>18415.5</v>
      </c>
      <c r="SJ39">
        <v>6820.8850000000002</v>
      </c>
      <c r="SK39">
        <v>24892.66</v>
      </c>
      <c r="SL39">
        <v>25.69913</v>
      </c>
      <c r="SM39">
        <v>4202.1549999999997</v>
      </c>
      <c r="SN39">
        <v>14520.19</v>
      </c>
      <c r="SO39">
        <v>6144.6189999999997</v>
      </c>
      <c r="SP39">
        <v>136439.1</v>
      </c>
      <c r="SQ39">
        <v>63161.09</v>
      </c>
      <c r="SR39">
        <v>141694.70000000001</v>
      </c>
      <c r="SS39">
        <v>73233.67</v>
      </c>
      <c r="ST39">
        <v>33.135109999999997</v>
      </c>
      <c r="SU39">
        <v>0.23816200000000001</v>
      </c>
      <c r="SV39">
        <v>4.0949289999999996</v>
      </c>
      <c r="SW39">
        <v>13.148239999999999</v>
      </c>
      <c r="SX39">
        <v>15.653779999999999</v>
      </c>
      <c r="SY39">
        <v>27.648070000000001</v>
      </c>
      <c r="SZ39">
        <v>0.15478600000000001</v>
      </c>
      <c r="TA39">
        <v>3.0244420000000001</v>
      </c>
      <c r="TB39">
        <v>10.36708</v>
      </c>
      <c r="TC39">
        <v>14.10177</v>
      </c>
      <c r="TD39">
        <v>26740.43</v>
      </c>
      <c r="TE39">
        <v>827.37710000000004</v>
      </c>
      <c r="TF39">
        <v>536.49549999999999</v>
      </c>
      <c r="TG39">
        <v>211.57149999999999</v>
      </c>
      <c r="TH39">
        <v>50.610720000000001</v>
      </c>
      <c r="TI39">
        <v>105.7595</v>
      </c>
      <c r="TJ39">
        <v>85.172579999999996</v>
      </c>
      <c r="TK39">
        <v>24.748529999999999</v>
      </c>
      <c r="TL39">
        <v>27.762840000000001</v>
      </c>
      <c r="TM39">
        <v>164.14179999999999</v>
      </c>
      <c r="TN39">
        <v>38.986440000000002</v>
      </c>
      <c r="TO39">
        <v>25.31371</v>
      </c>
      <c r="TP39">
        <v>2026.384</v>
      </c>
      <c r="TQ39">
        <v>2033.549</v>
      </c>
      <c r="TR39">
        <v>106.5686</v>
      </c>
      <c r="TS39">
        <v>201.56890000000001</v>
      </c>
      <c r="TT39">
        <v>422.39699999999999</v>
      </c>
      <c r="TU39">
        <v>41.697360000000003</v>
      </c>
      <c r="TV39">
        <v>73.544780000000003</v>
      </c>
      <c r="TW39">
        <v>12840.35</v>
      </c>
      <c r="TX39">
        <v>6785.3059999999996</v>
      </c>
      <c r="TY39">
        <v>0.48075600000000002</v>
      </c>
      <c r="TZ39">
        <v>7.4898610000000003</v>
      </c>
      <c r="UA39">
        <v>3.651335</v>
      </c>
      <c r="UB39">
        <v>56.587159999999997</v>
      </c>
      <c r="UC39">
        <v>0.68321299999999996</v>
      </c>
      <c r="UD39">
        <v>2.2699220000000002</v>
      </c>
      <c r="UE39">
        <v>4.1499519999999999</v>
      </c>
      <c r="UF39">
        <v>1.532365</v>
      </c>
      <c r="UG39">
        <v>0.74630799999999997</v>
      </c>
      <c r="UH39">
        <v>9.9133820000000004</v>
      </c>
      <c r="UI39">
        <v>4.7904479999999996</v>
      </c>
      <c r="UJ39">
        <v>12.0177</v>
      </c>
      <c r="UK39">
        <v>4.5256210000000001</v>
      </c>
      <c r="UL39">
        <v>0.33124300000000001</v>
      </c>
      <c r="UM39">
        <v>0.37163200000000002</v>
      </c>
      <c r="UN39">
        <v>1.2988949999999999</v>
      </c>
      <c r="UO39">
        <v>0.278451</v>
      </c>
      <c r="UP39">
        <v>27111.88</v>
      </c>
      <c r="UQ39">
        <v>822.53160000000003</v>
      </c>
      <c r="UR39">
        <v>547.10910000000001</v>
      </c>
      <c r="US39">
        <v>203.57130000000001</v>
      </c>
      <c r="UT39">
        <v>52.186480000000003</v>
      </c>
      <c r="UU39">
        <v>118.0432</v>
      </c>
      <c r="UV39">
        <v>88.73366</v>
      </c>
      <c r="UW39">
        <v>24.043119999999998</v>
      </c>
      <c r="UX39">
        <v>26.416329999999999</v>
      </c>
      <c r="UY39">
        <v>171.4341</v>
      </c>
      <c r="UZ39">
        <v>39.339590000000001</v>
      </c>
      <c r="VA39">
        <v>23.48751</v>
      </c>
      <c r="VB39">
        <v>2002.942</v>
      </c>
      <c r="VC39">
        <v>2161.4650000000001</v>
      </c>
      <c r="VD39">
        <v>112.25620000000001</v>
      </c>
      <c r="VE39">
        <v>217.327</v>
      </c>
      <c r="VF39">
        <v>396.89659999999998</v>
      </c>
      <c r="VG39">
        <v>33.464149999999997</v>
      </c>
      <c r="VH39">
        <v>72.977519999999998</v>
      </c>
      <c r="VI39">
        <v>13044.68</v>
      </c>
      <c r="VJ39">
        <v>6804.3739999999998</v>
      </c>
      <c r="VK39">
        <v>0.23099500000000001</v>
      </c>
      <c r="VL39">
        <v>4.5109060000000003</v>
      </c>
      <c r="VM39">
        <v>34.226849999999999</v>
      </c>
      <c r="VN39">
        <v>27.113430000000001</v>
      </c>
      <c r="VO39">
        <v>6.1707999999999999E-2</v>
      </c>
      <c r="VP39">
        <v>2.170064</v>
      </c>
      <c r="VQ39">
        <v>0.19128100000000001</v>
      </c>
      <c r="VR39">
        <v>16.42163</v>
      </c>
      <c r="VS39">
        <v>30.349679999999999</v>
      </c>
      <c r="VT39">
        <v>6.6152949999999997</v>
      </c>
      <c r="VU39">
        <v>5.6424349999999999</v>
      </c>
      <c r="VV39">
        <v>4.8760950000000003</v>
      </c>
      <c r="VW39">
        <v>5.6187189999999996</v>
      </c>
      <c r="VX39">
        <v>2.6861350000000002</v>
      </c>
      <c r="VY39">
        <v>0.71435899999999997</v>
      </c>
      <c r="VZ39">
        <v>4.5167820000000001</v>
      </c>
      <c r="WA39">
        <v>2.6497980000000001</v>
      </c>
      <c r="WB39">
        <v>0.123247</v>
      </c>
      <c r="WC39">
        <v>0.107322</v>
      </c>
      <c r="WD39">
        <v>-2.4958000000000001E-2</v>
      </c>
      <c r="WE39">
        <v>-1.6142E-2</v>
      </c>
      <c r="WF39">
        <v>0.68725499999999995</v>
      </c>
      <c r="WG39">
        <v>0.390019</v>
      </c>
      <c r="WH39">
        <v>-3.7031000000000001E-2</v>
      </c>
      <c r="WI39">
        <v>-1.6206999999999999E-2</v>
      </c>
      <c r="WJ39">
        <v>2911475</v>
      </c>
      <c r="WK39">
        <v>2960829</v>
      </c>
    </row>
    <row r="40" spans="1:609" x14ac:dyDescent="0.25">
      <c r="A40">
        <v>2041</v>
      </c>
      <c r="B40">
        <v>1.6762649999999999</v>
      </c>
      <c r="C40">
        <v>166.10669999999999</v>
      </c>
      <c r="D40">
        <v>5.5910140000000004</v>
      </c>
      <c r="E40">
        <v>12.434530000000001</v>
      </c>
      <c r="F40">
        <v>-10.071719999999999</v>
      </c>
      <c r="G40">
        <v>4.8003580000000001</v>
      </c>
      <c r="H40">
        <v>-1.524295</v>
      </c>
      <c r="I40">
        <v>1.340624</v>
      </c>
      <c r="J40">
        <v>25.658200000000001</v>
      </c>
      <c r="K40">
        <v>0.75429000000000002</v>
      </c>
      <c r="L40">
        <v>24.717469999999999</v>
      </c>
      <c r="M40">
        <v>1.2823059999999999</v>
      </c>
      <c r="N40">
        <v>0</v>
      </c>
      <c r="O40">
        <v>-31.665690000000001</v>
      </c>
      <c r="P40">
        <v>-2.1752729999999998</v>
      </c>
      <c r="Q40">
        <v>-62.44323</v>
      </c>
      <c r="R40">
        <v>32.543889999999998</v>
      </c>
      <c r="S40">
        <v>100</v>
      </c>
      <c r="T40">
        <v>731.94200000000001</v>
      </c>
      <c r="U40">
        <v>179.67949999999999</v>
      </c>
      <c r="V40">
        <v>455.84840000000003</v>
      </c>
      <c r="W40">
        <v>1.7074769999999999</v>
      </c>
      <c r="X40">
        <v>51263.63</v>
      </c>
      <c r="Y40">
        <v>0.12568299999999999</v>
      </c>
      <c r="Z40">
        <v>0.166218</v>
      </c>
      <c r="AA40">
        <v>4.5319779999999996</v>
      </c>
      <c r="AB40">
        <v>-1.1785159999999999</v>
      </c>
      <c r="AC40">
        <v>4.3327999999999998E-2</v>
      </c>
      <c r="AD40">
        <v>86815.09</v>
      </c>
      <c r="AE40">
        <v>943746.6</v>
      </c>
      <c r="AF40">
        <v>1047722</v>
      </c>
      <c r="AG40">
        <v>104229</v>
      </c>
      <c r="AH40">
        <v>512591.9</v>
      </c>
      <c r="AI40">
        <v>-5.5729999999999998E-3</v>
      </c>
      <c r="AJ40">
        <v>268.98360000000002</v>
      </c>
      <c r="AK40">
        <v>3817.866</v>
      </c>
      <c r="AL40">
        <v>487.25119999999998</v>
      </c>
      <c r="AM40">
        <v>96.999740000000003</v>
      </c>
      <c r="AN40">
        <v>1376.7829999999999</v>
      </c>
      <c r="AO40">
        <v>175.7105</v>
      </c>
      <c r="AP40">
        <v>3071.6039999999998</v>
      </c>
      <c r="AQ40">
        <v>1107.6690000000001</v>
      </c>
      <c r="AR40">
        <v>1212.954</v>
      </c>
      <c r="AS40">
        <v>603.6703</v>
      </c>
      <c r="AT40">
        <v>2595.2620000000002</v>
      </c>
      <c r="AU40">
        <v>1068.3779999999999</v>
      </c>
      <c r="AV40">
        <v>184.6045</v>
      </c>
      <c r="AW40">
        <v>1.601566</v>
      </c>
      <c r="AX40">
        <v>1.4507350000000001</v>
      </c>
      <c r="AY40">
        <v>3.0908329999999999</v>
      </c>
      <c r="AZ40">
        <v>-4.4547150000000002</v>
      </c>
      <c r="BA40">
        <v>2.0734659999999998</v>
      </c>
      <c r="BB40">
        <v>8.7059309999999996</v>
      </c>
      <c r="BC40">
        <v>1.6311070000000001</v>
      </c>
      <c r="BD40">
        <v>5.2038260000000003</v>
      </c>
      <c r="BE40">
        <v>-6.5315300000000001</v>
      </c>
      <c r="BF40">
        <v>2.1443020000000002</v>
      </c>
      <c r="BG40">
        <v>2.9203869999999998</v>
      </c>
      <c r="BH40">
        <v>-5.4414579999999999</v>
      </c>
      <c r="BI40">
        <v>-1.2619260000000001</v>
      </c>
      <c r="BJ40">
        <v>6.2815789999999998</v>
      </c>
      <c r="BK40">
        <v>5.5500410000000002</v>
      </c>
      <c r="BL40">
        <v>6.7442070000000003</v>
      </c>
      <c r="BM40">
        <v>-5.7038950000000002</v>
      </c>
      <c r="BN40">
        <v>-21.124880000000001</v>
      </c>
      <c r="BO40">
        <v>-6.5317119999999997</v>
      </c>
      <c r="BP40">
        <v>1.9058409999999999</v>
      </c>
      <c r="BQ40">
        <v>0.66431399999999996</v>
      </c>
      <c r="BR40">
        <v>-106.5595</v>
      </c>
      <c r="BS40">
        <v>-44.649340000000002</v>
      </c>
      <c r="BT40">
        <v>517.2038</v>
      </c>
      <c r="BU40">
        <v>-51.20693</v>
      </c>
      <c r="BV40">
        <v>-92.024140000000003</v>
      </c>
      <c r="BW40">
        <v>-4.4953430000000001</v>
      </c>
      <c r="BX40">
        <v>-96.471059999999994</v>
      </c>
      <c r="BY40">
        <v>838.56590000000006</v>
      </c>
      <c r="BZ40">
        <v>3372.739</v>
      </c>
      <c r="CA40">
        <v>-31.58953</v>
      </c>
      <c r="CB40">
        <v>2.5820379999999998</v>
      </c>
      <c r="CC40">
        <v>-56.015599999999999</v>
      </c>
      <c r="CD40">
        <v>13.535019999999999</v>
      </c>
      <c r="CE40">
        <v>637.10050000000001</v>
      </c>
      <c r="CF40">
        <v>81.323030000000003</v>
      </c>
      <c r="CG40">
        <v>253.0461</v>
      </c>
      <c r="CH40">
        <v>723.52760000000001</v>
      </c>
      <c r="CI40">
        <v>22.02618</v>
      </c>
      <c r="CJ40">
        <v>18.434270000000001</v>
      </c>
      <c r="CK40">
        <v>-4.089601</v>
      </c>
      <c r="CL40">
        <v>30.10407</v>
      </c>
      <c r="CM40">
        <v>57.082459999999998</v>
      </c>
      <c r="CN40">
        <v>17.845739999999999</v>
      </c>
      <c r="CO40">
        <v>75.946070000000006</v>
      </c>
      <c r="CP40">
        <v>8.7447180000000007</v>
      </c>
      <c r="CQ40">
        <v>0.231518</v>
      </c>
      <c r="CR40">
        <v>50.08578</v>
      </c>
      <c r="CS40">
        <v>8.9818169999999995</v>
      </c>
      <c r="CT40">
        <v>5.076797</v>
      </c>
      <c r="CU40">
        <v>12.17198</v>
      </c>
      <c r="CV40">
        <v>21.31165</v>
      </c>
      <c r="CW40">
        <v>28.721070000000001</v>
      </c>
      <c r="CX40">
        <v>66.806749999999994</v>
      </c>
      <c r="CY40">
        <v>53.66628</v>
      </c>
      <c r="CZ40">
        <v>116.5421</v>
      </c>
      <c r="DA40">
        <v>5.2101230000000003</v>
      </c>
      <c r="DB40">
        <v>2.8007559999999998</v>
      </c>
      <c r="DC40">
        <v>-66.073179999999994</v>
      </c>
      <c r="DD40">
        <v>-51.952590000000001</v>
      </c>
      <c r="DE40">
        <v>1339.731</v>
      </c>
      <c r="DF40">
        <v>-60.080359999999999</v>
      </c>
      <c r="DG40">
        <v>-99.30153</v>
      </c>
      <c r="DH40">
        <v>-8.0953649999999993</v>
      </c>
      <c r="DI40">
        <v>-99.837450000000004</v>
      </c>
      <c r="DJ40">
        <v>1451.53</v>
      </c>
      <c r="DK40">
        <v>8061.2269999999999</v>
      </c>
      <c r="DL40">
        <v>-43.206710000000001</v>
      </c>
      <c r="DM40">
        <v>6.6259779999999999</v>
      </c>
      <c r="DN40">
        <v>-74.334800000000001</v>
      </c>
      <c r="DO40">
        <v>21.740290000000002</v>
      </c>
      <c r="DP40">
        <v>1140.9580000000001</v>
      </c>
      <c r="DQ40">
        <v>115.0445</v>
      </c>
      <c r="DR40">
        <v>321.31950000000001</v>
      </c>
      <c r="DS40">
        <v>1560.009</v>
      </c>
      <c r="DT40">
        <v>7.7304999999999999E-2</v>
      </c>
      <c r="DU40">
        <v>5.8186460000000002</v>
      </c>
      <c r="DV40">
        <v>3.6979709999999999</v>
      </c>
      <c r="DW40">
        <v>7.2641030000000004</v>
      </c>
      <c r="DX40">
        <v>6.2562110000000004</v>
      </c>
      <c r="DY40">
        <v>7.0874699999999997</v>
      </c>
      <c r="DZ40">
        <v>4.7074259999999999</v>
      </c>
      <c r="EA40">
        <v>8.1555689999999998</v>
      </c>
      <c r="EB40">
        <v>11.21194</v>
      </c>
      <c r="EC40">
        <v>0</v>
      </c>
      <c r="ED40">
        <v>9.8699759999999994</v>
      </c>
      <c r="EE40">
        <v>8.1821219999999997</v>
      </c>
      <c r="EF40">
        <v>6.6292619999999998</v>
      </c>
      <c r="EG40">
        <v>5.3384989999999997</v>
      </c>
      <c r="EH40">
        <v>8.2601119999999995</v>
      </c>
      <c r="EI40">
        <v>-2.6756679999999999</v>
      </c>
      <c r="EJ40">
        <v>2.3441139999999998</v>
      </c>
      <c r="EK40">
        <v>-4.7021189999999997</v>
      </c>
      <c r="EL40">
        <v>5.9277129999999998</v>
      </c>
      <c r="EM40">
        <v>5.8075169999999998</v>
      </c>
      <c r="EN40">
        <v>-35.449860000000001</v>
      </c>
      <c r="EO40">
        <v>-21.60454</v>
      </c>
      <c r="EP40">
        <v>-14.267480000000001</v>
      </c>
      <c r="EQ40">
        <v>-10.139189999999999</v>
      </c>
      <c r="ER40">
        <v>8.4443059999999992</v>
      </c>
      <c r="ES40">
        <v>61.307110000000002</v>
      </c>
      <c r="ET40">
        <v>1.700858</v>
      </c>
      <c r="EU40">
        <v>39.10586</v>
      </c>
      <c r="EV40">
        <v>0.62574300000000005</v>
      </c>
      <c r="EW40">
        <v>2.2861289999999999</v>
      </c>
      <c r="EX40">
        <v>2.8870900000000002</v>
      </c>
      <c r="EY40">
        <v>0.91157900000000003</v>
      </c>
      <c r="EZ40">
        <v>0.120812</v>
      </c>
      <c r="FA40">
        <v>6.161397</v>
      </c>
      <c r="FB40">
        <v>1.9769190000000001</v>
      </c>
      <c r="FC40">
        <v>30.645189999999999</v>
      </c>
      <c r="FD40">
        <v>8.3389779999999991</v>
      </c>
      <c r="FE40">
        <v>0.50364100000000001</v>
      </c>
      <c r="FF40">
        <v>0.77610299999999999</v>
      </c>
      <c r="FG40">
        <v>1.3953340000000001</v>
      </c>
      <c r="FH40">
        <v>0.31374400000000002</v>
      </c>
      <c r="FI40">
        <v>4.8466360000000002</v>
      </c>
      <c r="FJ40">
        <v>30.618970000000001</v>
      </c>
      <c r="FK40">
        <v>14.782450000000001</v>
      </c>
      <c r="FL40">
        <v>18.819579999999998</v>
      </c>
      <c r="FM40">
        <v>4.3071999999999999E-2</v>
      </c>
      <c r="FN40">
        <v>2.1583209999999999</v>
      </c>
      <c r="FO40">
        <v>0.10205</v>
      </c>
      <c r="FP40">
        <v>8.4764400000000002</v>
      </c>
      <c r="FQ40">
        <v>4.1573260000000003</v>
      </c>
      <c r="FR40">
        <v>4.1613660000000001</v>
      </c>
      <c r="FS40">
        <v>2.0086149999999998</v>
      </c>
      <c r="FT40">
        <v>12.68946</v>
      </c>
      <c r="FU40">
        <v>10.87556</v>
      </c>
      <c r="FV40">
        <v>4.2842510000000003</v>
      </c>
      <c r="FW40">
        <v>1.6344669999999999</v>
      </c>
      <c r="FX40">
        <v>5.6765949999999998</v>
      </c>
      <c r="FY40">
        <v>3.076136</v>
      </c>
      <c r="FZ40">
        <v>6.1558000000000002</v>
      </c>
      <c r="GA40">
        <v>46.447609999999997</v>
      </c>
      <c r="GB40">
        <v>1.700858</v>
      </c>
      <c r="GC40">
        <v>35.164569999999998</v>
      </c>
      <c r="GD40">
        <v>0.56267699999999998</v>
      </c>
      <c r="GE40">
        <v>2.0557219999999998</v>
      </c>
      <c r="GF40">
        <v>2.5961150000000002</v>
      </c>
      <c r="GG40">
        <v>0.81970600000000005</v>
      </c>
      <c r="GH40">
        <v>0.108636</v>
      </c>
      <c r="GI40">
        <v>5.5404210000000003</v>
      </c>
      <c r="GJ40">
        <v>1.7776749999999999</v>
      </c>
      <c r="GK40">
        <v>28.88551</v>
      </c>
      <c r="GL40">
        <v>8.3389779999999991</v>
      </c>
      <c r="GM40">
        <v>0.50364100000000001</v>
      </c>
      <c r="GN40">
        <v>0.77610299999999999</v>
      </c>
      <c r="GO40">
        <v>1.3953340000000001</v>
      </c>
      <c r="GP40">
        <v>0.31374400000000002</v>
      </c>
      <c r="GQ40">
        <v>2.7370899999999998</v>
      </c>
      <c r="GR40">
        <v>17.302230000000002</v>
      </c>
      <c r="GS40">
        <v>14.782450000000001</v>
      </c>
      <c r="GT40">
        <v>16.250710000000002</v>
      </c>
      <c r="GU40">
        <v>3.7192000000000003E-2</v>
      </c>
      <c r="GV40">
        <v>1.86371</v>
      </c>
      <c r="GW40">
        <v>8.8120000000000004E-2</v>
      </c>
      <c r="GX40">
        <v>7.319407</v>
      </c>
      <c r="GY40">
        <v>3.5898509999999999</v>
      </c>
      <c r="GZ40">
        <v>3.59334</v>
      </c>
      <c r="HA40">
        <v>1.7344390000000001</v>
      </c>
      <c r="HB40">
        <v>11.11248</v>
      </c>
      <c r="HC40">
        <v>10.87556</v>
      </c>
      <c r="HD40">
        <v>4.2842510000000003</v>
      </c>
      <c r="HE40">
        <v>1.6344669999999999</v>
      </c>
      <c r="HF40">
        <v>5.6765949999999998</v>
      </c>
      <c r="HG40">
        <v>3.076136</v>
      </c>
      <c r="HH40">
        <v>6.2668270000000001</v>
      </c>
      <c r="HI40">
        <v>49.923920000000003</v>
      </c>
      <c r="HJ40">
        <v>1.700858</v>
      </c>
      <c r="HK40">
        <v>141.17449999999999</v>
      </c>
      <c r="HL40">
        <v>1.3516140000000001</v>
      </c>
      <c r="HM40">
        <v>4.9380759999999997</v>
      </c>
      <c r="HN40">
        <v>6.2361620000000002</v>
      </c>
      <c r="HO40">
        <v>0.98548500000000006</v>
      </c>
      <c r="HP40">
        <v>0.130606</v>
      </c>
      <c r="HQ40">
        <v>6.6609280000000002</v>
      </c>
      <c r="HR40">
        <v>5.7783449999999998</v>
      </c>
      <c r="HS40">
        <v>29.08398</v>
      </c>
      <c r="HT40">
        <v>8.4636969999999998</v>
      </c>
      <c r="HU40">
        <v>0.51117400000000002</v>
      </c>
      <c r="HV40">
        <v>0.78771000000000002</v>
      </c>
      <c r="HW40">
        <v>1.4162030000000001</v>
      </c>
      <c r="HX40">
        <v>0.318436</v>
      </c>
      <c r="HY40">
        <v>2.772332</v>
      </c>
      <c r="HZ40">
        <v>18.605550000000001</v>
      </c>
      <c r="IA40">
        <v>12.029629999999999</v>
      </c>
      <c r="IB40">
        <v>61.317010000000003</v>
      </c>
      <c r="IC40">
        <v>4.3083000000000003E-2</v>
      </c>
      <c r="ID40">
        <v>4.1982889999999999</v>
      </c>
      <c r="IE40">
        <v>0.102076</v>
      </c>
      <c r="IF40">
        <v>10.055009999999999</v>
      </c>
      <c r="IG40">
        <v>4.4700610000000003</v>
      </c>
      <c r="IH40">
        <v>4.4744039999999998</v>
      </c>
      <c r="II40">
        <v>6.8987949999999998</v>
      </c>
      <c r="IJ40">
        <v>11.12228</v>
      </c>
      <c r="IK40">
        <v>10.890269999999999</v>
      </c>
      <c r="IL40">
        <v>6.3179590000000001</v>
      </c>
      <c r="IM40">
        <v>1.6372770000000001</v>
      </c>
      <c r="IN40">
        <v>5.6862069999999996</v>
      </c>
      <c r="IO40">
        <v>3.0790489999999999</v>
      </c>
      <c r="IP40">
        <v>3.935438</v>
      </c>
      <c r="IQ40">
        <v>5.7168000000000001</v>
      </c>
      <c r="IR40">
        <v>0.55661499999999997</v>
      </c>
      <c r="IS40">
        <v>1.7103740000000001</v>
      </c>
      <c r="IT40">
        <v>4.1413159999999998</v>
      </c>
      <c r="IU40">
        <v>4.2426849999999998</v>
      </c>
      <c r="IV40">
        <v>4.739471</v>
      </c>
      <c r="IW40">
        <v>5.4355270000000004</v>
      </c>
      <c r="IX40">
        <v>0.864757</v>
      </c>
      <c r="IY40">
        <v>7.4442360000000001</v>
      </c>
      <c r="IZ40">
        <v>1.824935</v>
      </c>
      <c r="JA40">
        <v>8.6253309999999992</v>
      </c>
      <c r="JB40">
        <v>0.43638100000000002</v>
      </c>
      <c r="JC40">
        <v>1.6866190000000001</v>
      </c>
      <c r="JD40">
        <v>0.80747199999999997</v>
      </c>
      <c r="JE40">
        <v>15.837020000000001</v>
      </c>
      <c r="JF40">
        <v>0.287937</v>
      </c>
      <c r="JG40">
        <v>1.484659</v>
      </c>
      <c r="JH40">
        <v>20.025680000000001</v>
      </c>
      <c r="JI40">
        <v>7.2037950000000004</v>
      </c>
      <c r="JJ40">
        <v>13.29312</v>
      </c>
      <c r="JK40">
        <v>32.842939999999999</v>
      </c>
      <c r="JL40">
        <v>2.2535669999999999</v>
      </c>
      <c r="JM40">
        <v>4.6881690000000003</v>
      </c>
      <c r="JN40">
        <v>0.45258100000000001</v>
      </c>
      <c r="JO40">
        <v>1.240046</v>
      </c>
      <c r="JP40">
        <v>2.7697699999999998</v>
      </c>
      <c r="JQ40">
        <v>3.2738049999999999</v>
      </c>
      <c r="JR40">
        <v>3.2376</v>
      </c>
      <c r="JS40">
        <v>4.1305360000000002</v>
      </c>
      <c r="JT40">
        <v>0.73314999999999997</v>
      </c>
      <c r="JU40">
        <v>3.531536</v>
      </c>
      <c r="JV40">
        <v>1.104795</v>
      </c>
      <c r="JW40">
        <v>7.1417000000000002</v>
      </c>
      <c r="JX40">
        <v>0.37382900000000002</v>
      </c>
      <c r="JY40">
        <v>1.1528419999999999</v>
      </c>
      <c r="JZ40">
        <v>0.681782</v>
      </c>
      <c r="KA40">
        <v>8.4646559999999997</v>
      </c>
      <c r="KB40">
        <v>7.9311999999999994E-2</v>
      </c>
      <c r="KC40">
        <v>0.48552200000000001</v>
      </c>
      <c r="KD40">
        <v>15.748430000000001</v>
      </c>
      <c r="KE40">
        <v>5.4230109999999998</v>
      </c>
      <c r="KF40">
        <v>11.77094</v>
      </c>
      <c r="KG40">
        <v>27.22045</v>
      </c>
      <c r="KH40">
        <v>9676.8729999999996</v>
      </c>
      <c r="KI40">
        <v>9432.7520000000004</v>
      </c>
      <c r="KJ40">
        <v>5810.5129999999999</v>
      </c>
      <c r="KK40">
        <v>2523.3969999999999</v>
      </c>
      <c r="KL40">
        <v>1118.1569999999999</v>
      </c>
      <c r="KM40">
        <v>352.4649</v>
      </c>
      <c r="KN40">
        <v>372.15379999999999</v>
      </c>
      <c r="KO40">
        <v>0</v>
      </c>
      <c r="KP40">
        <v>23735.01</v>
      </c>
      <c r="KQ40">
        <v>5551.3029999999999</v>
      </c>
      <c r="KR40">
        <v>0</v>
      </c>
      <c r="KS40">
        <v>10598.37</v>
      </c>
      <c r="KT40">
        <v>7818.8469999999998</v>
      </c>
      <c r="KU40">
        <v>5247.2780000000002</v>
      </c>
      <c r="KV40">
        <v>2773.5540000000001</v>
      </c>
      <c r="KW40">
        <v>1025.7750000000001</v>
      </c>
      <c r="KX40">
        <v>322.93180000000001</v>
      </c>
      <c r="KY40">
        <v>195.0797</v>
      </c>
      <c r="KZ40">
        <v>0</v>
      </c>
      <c r="LA40">
        <v>18395.11</v>
      </c>
      <c r="LB40">
        <v>9586.723</v>
      </c>
      <c r="LC40">
        <v>0</v>
      </c>
      <c r="LD40" s="21">
        <v>152000000</v>
      </c>
      <c r="LE40" s="21">
        <v>388000000</v>
      </c>
      <c r="LF40" s="21">
        <v>906000000</v>
      </c>
      <c r="LG40" s="21">
        <v>754000000</v>
      </c>
      <c r="LH40" s="21">
        <v>524000000</v>
      </c>
      <c r="LI40" s="21">
        <v>219000000</v>
      </c>
      <c r="LJ40" s="21">
        <v>112000000</v>
      </c>
      <c r="LK40" s="21">
        <v>3.27E-6</v>
      </c>
      <c r="LL40" s="21">
        <v>6.5100000000000004E-6</v>
      </c>
      <c r="LM40" s="21">
        <v>1.2300000000000001E-5</v>
      </c>
      <c r="LN40" s="21">
        <v>2.69E-5</v>
      </c>
      <c r="LO40" s="21">
        <v>4.46E-5</v>
      </c>
      <c r="LP40" s="21">
        <v>6.8300000000000007E-5</v>
      </c>
      <c r="LQ40">
        <v>1.01E-4</v>
      </c>
      <c r="LR40" s="21">
        <v>358000000</v>
      </c>
      <c r="LS40" s="21">
        <v>528000000</v>
      </c>
      <c r="LT40" s="21">
        <v>858000000</v>
      </c>
      <c r="LU40" s="21">
        <v>619000000</v>
      </c>
      <c r="LV40" s="21">
        <v>436000000</v>
      </c>
      <c r="LW40" s="21">
        <v>171000000</v>
      </c>
      <c r="LX40">
        <v>86468516</v>
      </c>
      <c r="LY40" s="21">
        <v>7.3200000000000002E-6</v>
      </c>
      <c r="LZ40" s="21">
        <v>1.38E-5</v>
      </c>
      <c r="MA40" s="21">
        <v>2.5199999999999999E-5</v>
      </c>
      <c r="MB40" s="21">
        <v>5.3199999999999999E-5</v>
      </c>
      <c r="MC40" s="21">
        <v>7.9800000000000002E-5</v>
      </c>
      <c r="MD40">
        <v>1.16E-4</v>
      </c>
      <c r="ME40">
        <v>1.6100000000000001E-4</v>
      </c>
      <c r="MF40">
        <v>0.420516</v>
      </c>
      <c r="MG40">
        <v>0.304336</v>
      </c>
      <c r="MH40">
        <v>0.18815000000000001</v>
      </c>
      <c r="MI40">
        <v>8.6979000000000001E-2</v>
      </c>
      <c r="MJ40" s="21">
        <v>1.91E-5</v>
      </c>
      <c r="MK40">
        <v>0</v>
      </c>
      <c r="ML40">
        <v>0</v>
      </c>
      <c r="MM40">
        <v>1.424906</v>
      </c>
      <c r="MN40">
        <v>1.0071049999999999</v>
      </c>
      <c r="MO40">
        <v>0.62545099999999998</v>
      </c>
      <c r="MP40">
        <v>0.29376999999999998</v>
      </c>
      <c r="MQ40">
        <v>-1.7297E-2</v>
      </c>
      <c r="MR40">
        <v>-0.37724299999999999</v>
      </c>
      <c r="MS40">
        <v>-1.9566920000000001</v>
      </c>
      <c r="MT40">
        <v>0.46390100000000001</v>
      </c>
      <c r="MU40">
        <v>0.26825399999999999</v>
      </c>
      <c r="MV40">
        <v>0.17613599999999999</v>
      </c>
      <c r="MW40">
        <v>9.1708999999999999E-2</v>
      </c>
      <c r="MX40" s="21">
        <v>4.0299999999999997E-8</v>
      </c>
      <c r="MY40">
        <v>0</v>
      </c>
      <c r="MZ40">
        <v>0</v>
      </c>
      <c r="NA40">
        <v>2.8112550000000001</v>
      </c>
      <c r="NB40">
        <v>1.6068960000000001</v>
      </c>
      <c r="NC40">
        <v>1.054554</v>
      </c>
      <c r="ND40">
        <v>0.549485</v>
      </c>
      <c r="NE40">
        <v>-7.2369000000000003E-2</v>
      </c>
      <c r="NF40">
        <v>-0.80873200000000001</v>
      </c>
      <c r="NG40">
        <v>-4.1410900000000002</v>
      </c>
      <c r="NH40">
        <v>5.1110000000000001E-3</v>
      </c>
      <c r="NI40">
        <v>5.6340000000000001E-3</v>
      </c>
      <c r="NJ40">
        <v>8.6169999999999997E-3</v>
      </c>
      <c r="NK40">
        <v>3.594E-2</v>
      </c>
      <c r="NL40">
        <v>4.4896999999999999E-2</v>
      </c>
      <c r="NM40">
        <v>9.9094000000000002E-2</v>
      </c>
      <c r="NN40">
        <v>5.1110000000000001E-3</v>
      </c>
      <c r="NO40">
        <v>5.6340000000000001E-3</v>
      </c>
      <c r="NP40">
        <v>8.6169999999999997E-3</v>
      </c>
      <c r="NQ40">
        <v>3.594E-2</v>
      </c>
      <c r="NR40">
        <v>4.4896999999999999E-2</v>
      </c>
      <c r="NS40">
        <v>9.9094000000000002E-2</v>
      </c>
      <c r="NT40">
        <v>2.6582000000000001E-2</v>
      </c>
      <c r="NU40">
        <v>2.7122E-2</v>
      </c>
      <c r="NV40">
        <v>3.0959E-2</v>
      </c>
      <c r="NW40">
        <v>5.2044E-2</v>
      </c>
      <c r="NX40">
        <v>5.8335999999999999E-2</v>
      </c>
      <c r="NY40">
        <v>0.10960499999999999</v>
      </c>
      <c r="NZ40">
        <v>2.6582000000000001E-2</v>
      </c>
      <c r="OA40">
        <v>2.7122E-2</v>
      </c>
      <c r="OB40">
        <v>3.0959E-2</v>
      </c>
      <c r="OC40">
        <v>5.2044E-2</v>
      </c>
      <c r="OD40">
        <v>5.8335999999999999E-2</v>
      </c>
      <c r="OE40">
        <v>0.10960499999999999</v>
      </c>
      <c r="OF40">
        <v>38.852209999999999</v>
      </c>
      <c r="OG40">
        <v>22319.62</v>
      </c>
      <c r="OH40">
        <v>20173.86</v>
      </c>
      <c r="OI40">
        <v>6710.0029999999997</v>
      </c>
      <c r="OJ40">
        <v>25.079160000000002</v>
      </c>
      <c r="OK40">
        <v>17497.57</v>
      </c>
      <c r="OL40">
        <v>17295.560000000001</v>
      </c>
      <c r="OM40">
        <v>6029.6629999999996</v>
      </c>
      <c r="ON40">
        <v>1880381</v>
      </c>
      <c r="OO40">
        <v>1974080</v>
      </c>
      <c r="OP40">
        <v>14629.14</v>
      </c>
      <c r="OQ40">
        <v>8340.884</v>
      </c>
      <c r="OR40">
        <v>5910.0969999999998</v>
      </c>
      <c r="OS40">
        <v>597.21339999999998</v>
      </c>
      <c r="OT40">
        <v>1952.2729999999999</v>
      </c>
      <c r="OU40">
        <v>1450.617</v>
      </c>
      <c r="OV40">
        <v>397.49470000000002</v>
      </c>
      <c r="OW40">
        <v>1597.4010000000001</v>
      </c>
      <c r="OX40">
        <v>1510.489</v>
      </c>
      <c r="OY40">
        <v>1180.998</v>
      </c>
      <c r="OZ40">
        <v>674.50170000000003</v>
      </c>
      <c r="PA40">
        <v>23576.17</v>
      </c>
      <c r="PB40">
        <v>9104.143</v>
      </c>
      <c r="PC40">
        <v>1820.8969999999999</v>
      </c>
      <c r="PD40">
        <v>3120.8139999999999</v>
      </c>
      <c r="PE40">
        <v>8211.0580000000009</v>
      </c>
      <c r="PF40">
        <v>1630.3430000000001</v>
      </c>
      <c r="PG40">
        <v>3187.1219999999998</v>
      </c>
      <c r="PH40">
        <v>246545.3</v>
      </c>
      <c r="PI40">
        <v>105328.3</v>
      </c>
      <c r="PJ40">
        <v>2.0051869999999998</v>
      </c>
      <c r="PK40">
        <v>419.54820000000001</v>
      </c>
      <c r="PL40">
        <v>71.748599999999996</v>
      </c>
      <c r="PM40">
        <v>2774.4259999999999</v>
      </c>
      <c r="PN40">
        <v>478.06490000000002</v>
      </c>
      <c r="PO40">
        <v>174.41749999999999</v>
      </c>
      <c r="PP40">
        <v>265.63729999999998</v>
      </c>
      <c r="PQ40">
        <v>599.96680000000003</v>
      </c>
      <c r="PR40">
        <v>102.4432</v>
      </c>
      <c r="PS40">
        <v>631.52359999999999</v>
      </c>
      <c r="PT40">
        <v>1292.9090000000001</v>
      </c>
      <c r="PU40">
        <v>374.20839999999998</v>
      </c>
      <c r="PV40">
        <v>666.22659999999996</v>
      </c>
      <c r="PW40">
        <v>48.381340000000002</v>
      </c>
      <c r="PX40">
        <v>116.0581</v>
      </c>
      <c r="PY40">
        <v>584.09339999999997</v>
      </c>
      <c r="PZ40">
        <v>111.0789</v>
      </c>
      <c r="QA40">
        <v>449478</v>
      </c>
      <c r="QB40">
        <v>9114.4040000000005</v>
      </c>
      <c r="QC40">
        <v>85113.48</v>
      </c>
      <c r="QD40">
        <v>10425.4</v>
      </c>
      <c r="QE40">
        <v>8574.5810000000001</v>
      </c>
      <c r="QF40">
        <v>6286.0079999999998</v>
      </c>
      <c r="QG40">
        <v>3329.6950000000002</v>
      </c>
      <c r="QH40">
        <v>1.0170699999999999</v>
      </c>
      <c r="QI40" s="21">
        <v>9.6600000000000003E-5</v>
      </c>
      <c r="QJ40">
        <v>8.9899999999999995E-4</v>
      </c>
      <c r="QK40">
        <v>17851.38</v>
      </c>
      <c r="QL40">
        <v>9878.4650000000001</v>
      </c>
      <c r="QM40">
        <v>5668.3980000000001</v>
      </c>
      <c r="QN40">
        <v>776.99900000000002</v>
      </c>
      <c r="QO40">
        <v>3066.6779999999999</v>
      </c>
      <c r="QP40">
        <v>1709.49</v>
      </c>
      <c r="QQ40">
        <v>699.37630000000001</v>
      </c>
      <c r="QR40">
        <v>1737.0889999999999</v>
      </c>
      <c r="QS40">
        <v>1513.9860000000001</v>
      </c>
      <c r="QT40">
        <v>1772.511</v>
      </c>
      <c r="QU40">
        <v>735.08420000000001</v>
      </c>
      <c r="QV40">
        <v>24773.08</v>
      </c>
      <c r="QW40">
        <v>10212.299999999999</v>
      </c>
      <c r="QX40">
        <v>2208.9609999999998</v>
      </c>
      <c r="QY40">
        <v>4017.145</v>
      </c>
      <c r="QZ40">
        <v>13696.6</v>
      </c>
      <c r="RA40">
        <v>2505.2869999999998</v>
      </c>
      <c r="RB40">
        <v>6901.4589999999998</v>
      </c>
      <c r="RC40">
        <v>259390.6</v>
      </c>
      <c r="RD40">
        <v>108278.3</v>
      </c>
      <c r="RE40">
        <v>0.68029600000000001</v>
      </c>
      <c r="RF40">
        <v>201.5821</v>
      </c>
      <c r="RG40">
        <v>1032.9870000000001</v>
      </c>
      <c r="RH40">
        <v>1107.5409999999999</v>
      </c>
      <c r="RI40">
        <v>3.339124</v>
      </c>
      <c r="RJ40">
        <v>160.2978</v>
      </c>
      <c r="RK40">
        <v>0.43179400000000001</v>
      </c>
      <c r="RL40">
        <v>9308.6659999999993</v>
      </c>
      <c r="RM40">
        <v>8360.6239999999998</v>
      </c>
      <c r="RN40">
        <v>358.66300000000001</v>
      </c>
      <c r="RO40">
        <v>1378.577</v>
      </c>
      <c r="RP40">
        <v>96.041340000000005</v>
      </c>
      <c r="RQ40">
        <v>811.06619999999998</v>
      </c>
      <c r="RR40">
        <v>600.39229999999998</v>
      </c>
      <c r="RS40">
        <v>249.57660000000001</v>
      </c>
      <c r="RT40">
        <v>2460.8989999999999</v>
      </c>
      <c r="RU40">
        <v>1843.921</v>
      </c>
      <c r="RV40">
        <v>505368.5</v>
      </c>
      <c r="RW40">
        <v>15636.94</v>
      </c>
      <c r="RX40">
        <v>82141.64</v>
      </c>
      <c r="RY40">
        <v>10972.75</v>
      </c>
      <c r="RZ40">
        <v>7210.8490000000002</v>
      </c>
      <c r="SA40">
        <v>5614.3360000000002</v>
      </c>
      <c r="SB40">
        <v>3349.5329999999999</v>
      </c>
      <c r="SC40">
        <v>2.0530000000000001E-3</v>
      </c>
      <c r="SD40" s="21">
        <v>8.0700000000000007E-6</v>
      </c>
      <c r="SE40" s="21">
        <v>5.9299999999999998E-5</v>
      </c>
      <c r="SF40">
        <v>30807.9</v>
      </c>
      <c r="SG40">
        <v>38.852209999999999</v>
      </c>
      <c r="SH40">
        <v>5558.8289999999997</v>
      </c>
      <c r="SI40">
        <v>18500.22</v>
      </c>
      <c r="SJ40">
        <v>6710.0029999999997</v>
      </c>
      <c r="SK40">
        <v>24553.78</v>
      </c>
      <c r="SL40">
        <v>25.079160000000002</v>
      </c>
      <c r="SM40">
        <v>4092.614</v>
      </c>
      <c r="SN40">
        <v>14406.42</v>
      </c>
      <c r="SO40">
        <v>6029.6629999999996</v>
      </c>
      <c r="SP40">
        <v>138324.9</v>
      </c>
      <c r="SQ40">
        <v>63009.93</v>
      </c>
      <c r="SR40">
        <v>143313.60000000001</v>
      </c>
      <c r="SS40">
        <v>72969.929999999993</v>
      </c>
      <c r="ST40">
        <v>32.842939999999999</v>
      </c>
      <c r="SU40">
        <v>0.23400799999999999</v>
      </c>
      <c r="SV40">
        <v>4.0008879999999998</v>
      </c>
      <c r="SW40">
        <v>13.208729999999999</v>
      </c>
      <c r="SX40">
        <v>15.39931</v>
      </c>
      <c r="SY40">
        <v>27.22045</v>
      </c>
      <c r="SZ40">
        <v>0.15105199999999999</v>
      </c>
      <c r="TA40">
        <v>2.9456009999999999</v>
      </c>
      <c r="TB40">
        <v>10.28585</v>
      </c>
      <c r="TC40">
        <v>13.837949999999999</v>
      </c>
      <c r="TD40">
        <v>26796.22</v>
      </c>
      <c r="TE40">
        <v>828.47299999999996</v>
      </c>
      <c r="TF40">
        <v>538.80240000000003</v>
      </c>
      <c r="TG40">
        <v>211.3519</v>
      </c>
      <c r="TH40">
        <v>50.340899999999998</v>
      </c>
      <c r="TI40">
        <v>105.6666</v>
      </c>
      <c r="TJ40">
        <v>84.65016</v>
      </c>
      <c r="TK40">
        <v>24.48958</v>
      </c>
      <c r="TL40">
        <v>27.287140000000001</v>
      </c>
      <c r="TM40">
        <v>163.19450000000001</v>
      </c>
      <c r="TN40">
        <v>38.542079999999999</v>
      </c>
      <c r="TO40">
        <v>25.030750000000001</v>
      </c>
      <c r="TP40">
        <v>2015.7909999999999</v>
      </c>
      <c r="TQ40">
        <v>2036.8030000000001</v>
      </c>
      <c r="TR40">
        <v>107.55880000000001</v>
      </c>
      <c r="TS40">
        <v>204.9221</v>
      </c>
      <c r="TT40">
        <v>422.57530000000003</v>
      </c>
      <c r="TU40">
        <v>41.703890000000001</v>
      </c>
      <c r="TV40">
        <v>73.578720000000004</v>
      </c>
      <c r="TW40">
        <v>12873.97</v>
      </c>
      <c r="TX40">
        <v>6811.4920000000002</v>
      </c>
      <c r="TY40">
        <v>0.477462</v>
      </c>
      <c r="TZ40">
        <v>7.2884710000000004</v>
      </c>
      <c r="UA40">
        <v>3.5422250000000002</v>
      </c>
      <c r="UB40">
        <v>56.305950000000003</v>
      </c>
      <c r="UC40">
        <v>0.67975399999999997</v>
      </c>
      <c r="UD40">
        <v>2.2583959999999998</v>
      </c>
      <c r="UE40">
        <v>4.1290699999999996</v>
      </c>
      <c r="UF40">
        <v>1.52383</v>
      </c>
      <c r="UG40">
        <v>0.74240799999999996</v>
      </c>
      <c r="UH40">
        <v>9.8626719999999999</v>
      </c>
      <c r="UI40">
        <v>4.7630939999999997</v>
      </c>
      <c r="UJ40">
        <v>11.7654</v>
      </c>
      <c r="UK40">
        <v>4.4293230000000001</v>
      </c>
      <c r="UL40">
        <v>0.32381199999999999</v>
      </c>
      <c r="UM40">
        <v>0.363506</v>
      </c>
      <c r="UN40">
        <v>1.2694300000000001</v>
      </c>
      <c r="UO40">
        <v>0.27242100000000002</v>
      </c>
      <c r="UP40">
        <v>27155.46</v>
      </c>
      <c r="UQ40">
        <v>822.33079999999995</v>
      </c>
      <c r="UR40">
        <v>549.63900000000001</v>
      </c>
      <c r="US40">
        <v>202.57589999999999</v>
      </c>
      <c r="UT40">
        <v>51.663220000000003</v>
      </c>
      <c r="UU40">
        <v>117.62309999999999</v>
      </c>
      <c r="UV40">
        <v>87.736909999999995</v>
      </c>
      <c r="UW40">
        <v>23.629989999999999</v>
      </c>
      <c r="UX40">
        <v>25.77102</v>
      </c>
      <c r="UY40">
        <v>169.72489999999999</v>
      </c>
      <c r="UZ40">
        <v>38.588099999999997</v>
      </c>
      <c r="VA40">
        <v>23.064450000000001</v>
      </c>
      <c r="VB40">
        <v>1986.616</v>
      </c>
      <c r="VC40">
        <v>2165.4110000000001</v>
      </c>
      <c r="VD40">
        <v>112.15600000000001</v>
      </c>
      <c r="VE40">
        <v>219.22730000000001</v>
      </c>
      <c r="VF40">
        <v>394.61340000000001</v>
      </c>
      <c r="VG40">
        <v>33.23912</v>
      </c>
      <c r="VH40">
        <v>72.301280000000006</v>
      </c>
      <c r="VI40">
        <v>13080.56</v>
      </c>
      <c r="VJ40">
        <v>6831.049</v>
      </c>
      <c r="VK40">
        <v>0.22836600000000001</v>
      </c>
      <c r="VL40">
        <v>4.2150319999999999</v>
      </c>
      <c r="VM40">
        <v>36.641889999999997</v>
      </c>
      <c r="VN40">
        <v>26.909970000000001</v>
      </c>
      <c r="VO40">
        <v>5.4841000000000001E-2</v>
      </c>
      <c r="VP40">
        <v>2.1645500000000002</v>
      </c>
      <c r="VQ40">
        <v>0.168161</v>
      </c>
      <c r="VR40">
        <v>15.6023</v>
      </c>
      <c r="VS40">
        <v>29.215219999999999</v>
      </c>
      <c r="VT40">
        <v>6.662598</v>
      </c>
      <c r="VU40">
        <v>5.3702459999999999</v>
      </c>
      <c r="VV40">
        <v>4.6760130000000002</v>
      </c>
      <c r="VW40">
        <v>5.4118079999999997</v>
      </c>
      <c r="VX40">
        <v>2.6114790000000001</v>
      </c>
      <c r="VY40">
        <v>0.70835199999999998</v>
      </c>
      <c r="VZ40">
        <v>4.7487019999999998</v>
      </c>
      <c r="WA40">
        <v>2.5437509999999999</v>
      </c>
      <c r="WB40">
        <v>0.12518899999999999</v>
      </c>
      <c r="WC40">
        <v>0.109946</v>
      </c>
      <c r="WD40">
        <v>-2.6165000000000001E-2</v>
      </c>
      <c r="WE40">
        <v>-1.653E-2</v>
      </c>
      <c r="WF40">
        <v>0.70694500000000005</v>
      </c>
      <c r="WG40">
        <v>0.39028800000000002</v>
      </c>
      <c r="WH40">
        <v>-3.8670000000000003E-2</v>
      </c>
      <c r="WI40">
        <v>-1.6917999999999999E-2</v>
      </c>
      <c r="WJ40">
        <v>2952807</v>
      </c>
      <c r="WK40">
        <v>3002304</v>
      </c>
    </row>
    <row r="41" spans="1:609" x14ac:dyDescent="0.25">
      <c r="A41">
        <v>2042</v>
      </c>
      <c r="B41">
        <v>1.6794610000000001</v>
      </c>
      <c r="C41">
        <v>168.50890000000001</v>
      </c>
      <c r="D41">
        <v>5.9343890000000004</v>
      </c>
      <c r="E41">
        <v>12.56198</v>
      </c>
      <c r="F41">
        <v>-10.750579999999999</v>
      </c>
      <c r="G41">
        <v>5.1453680000000004</v>
      </c>
      <c r="H41">
        <v>-1.473503</v>
      </c>
      <c r="I41">
        <v>1.3090409999999999</v>
      </c>
      <c r="J41">
        <v>27.294339999999998</v>
      </c>
      <c r="K41">
        <v>0.78385000000000005</v>
      </c>
      <c r="L41">
        <v>26.304300000000001</v>
      </c>
      <c r="M41">
        <v>1.289898</v>
      </c>
      <c r="N41">
        <v>0</v>
      </c>
      <c r="O41">
        <v>-33.702750000000002</v>
      </c>
      <c r="P41">
        <v>-2.283865</v>
      </c>
      <c r="Q41">
        <v>-63.963639999999998</v>
      </c>
      <c r="R41">
        <v>30.872399999999999</v>
      </c>
      <c r="S41">
        <v>100</v>
      </c>
      <c r="T41">
        <v>773.27279999999996</v>
      </c>
      <c r="U41">
        <v>186.39599999999999</v>
      </c>
      <c r="V41">
        <v>466.64909999999998</v>
      </c>
      <c r="W41">
        <v>1.615116</v>
      </c>
      <c r="X41">
        <v>49191.92</v>
      </c>
      <c r="Y41">
        <v>0.12625500000000001</v>
      </c>
      <c r="Z41">
        <v>0.177122</v>
      </c>
      <c r="AA41">
        <v>5.1370469999999999</v>
      </c>
      <c r="AB41">
        <v>-1.16337</v>
      </c>
      <c r="AC41">
        <v>4.3327999999999998E-2</v>
      </c>
      <c r="AD41">
        <v>86200.08</v>
      </c>
      <c r="AE41">
        <v>1046156</v>
      </c>
      <c r="AF41">
        <v>1156532</v>
      </c>
      <c r="AG41">
        <v>121179.2</v>
      </c>
      <c r="AH41">
        <v>554524.19999999995</v>
      </c>
      <c r="AI41">
        <v>-5.5050000000000003E-3</v>
      </c>
      <c r="AJ41">
        <v>276.1617</v>
      </c>
      <c r="AK41">
        <v>4532.6049999999996</v>
      </c>
      <c r="AL41">
        <v>518.74469999999997</v>
      </c>
      <c r="AM41">
        <v>96.762339999999995</v>
      </c>
      <c r="AN41">
        <v>1588.1479999999999</v>
      </c>
      <c r="AO41">
        <v>181.7593</v>
      </c>
      <c r="AP41">
        <v>3491.1930000000002</v>
      </c>
      <c r="AQ41">
        <v>1223.2539999999999</v>
      </c>
      <c r="AR41">
        <v>1280.3779999999999</v>
      </c>
      <c r="AS41">
        <v>597.57960000000003</v>
      </c>
      <c r="AT41">
        <v>2781.422</v>
      </c>
      <c r="AU41">
        <v>1123.126</v>
      </c>
      <c r="AV41">
        <v>188.50120000000001</v>
      </c>
      <c r="AW41">
        <v>1.579426</v>
      </c>
      <c r="AX41">
        <v>1.257125</v>
      </c>
      <c r="AY41">
        <v>3.1746439999999998</v>
      </c>
      <c r="AZ41">
        <v>-4.9486759999999999</v>
      </c>
      <c r="BA41">
        <v>1.6618900000000001</v>
      </c>
      <c r="BB41">
        <v>8.5260750000000005</v>
      </c>
      <c r="BC41">
        <v>1.2203900000000001</v>
      </c>
      <c r="BD41">
        <v>4.3849910000000003</v>
      </c>
      <c r="BE41">
        <v>-7.1468150000000001</v>
      </c>
      <c r="BF41">
        <v>1.8037890000000001</v>
      </c>
      <c r="BG41">
        <v>2.3375460000000001</v>
      </c>
      <c r="BH41">
        <v>-6.0197830000000003</v>
      </c>
      <c r="BI41">
        <v>-1.50814</v>
      </c>
      <c r="BJ41">
        <v>6.3691829999999996</v>
      </c>
      <c r="BK41">
        <v>4.6007020000000001</v>
      </c>
      <c r="BL41">
        <v>6.0740590000000001</v>
      </c>
      <c r="BM41">
        <v>-6.3215750000000002</v>
      </c>
      <c r="BN41">
        <v>-21.6921</v>
      </c>
      <c r="BO41">
        <v>-7.3806560000000001</v>
      </c>
      <c r="BP41">
        <v>1.971814</v>
      </c>
      <c r="BQ41">
        <v>0.68508599999999997</v>
      </c>
      <c r="BR41">
        <v>-108.25020000000001</v>
      </c>
      <c r="BS41">
        <v>-46.61909</v>
      </c>
      <c r="BT41">
        <v>672.44230000000005</v>
      </c>
      <c r="BU41">
        <v>-51.35624</v>
      </c>
      <c r="BV41">
        <v>-92.948239999999998</v>
      </c>
      <c r="BW41">
        <v>-4.5090909999999997</v>
      </c>
      <c r="BX41">
        <v>-97.001360000000005</v>
      </c>
      <c r="BY41">
        <v>799.83510000000001</v>
      </c>
      <c r="BZ41">
        <v>3276.7020000000002</v>
      </c>
      <c r="CA41">
        <v>-30.684339999999999</v>
      </c>
      <c r="CB41">
        <v>-1.954367</v>
      </c>
      <c r="CC41">
        <v>-56.358499999999999</v>
      </c>
      <c r="CD41">
        <v>11.97847</v>
      </c>
      <c r="CE41">
        <v>634.43520000000001</v>
      </c>
      <c r="CF41">
        <v>83.76961</v>
      </c>
      <c r="CG41">
        <v>274.84320000000002</v>
      </c>
      <c r="CH41">
        <v>711.05269999999996</v>
      </c>
      <c r="CI41">
        <v>22.691479999999999</v>
      </c>
      <c r="CJ41">
        <v>19.21358</v>
      </c>
      <c r="CK41">
        <v>-4.4763570000000001</v>
      </c>
      <c r="CL41">
        <v>31.086760000000002</v>
      </c>
      <c r="CM41">
        <v>59.17324</v>
      </c>
      <c r="CN41">
        <v>18.629349999999999</v>
      </c>
      <c r="CO41">
        <v>78.169470000000004</v>
      </c>
      <c r="CP41">
        <v>9.559253</v>
      </c>
      <c r="CQ41">
        <v>0.34457700000000002</v>
      </c>
      <c r="CR41">
        <v>50.928530000000002</v>
      </c>
      <c r="CS41">
        <v>9.134347</v>
      </c>
      <c r="CT41">
        <v>5.1514699999999998</v>
      </c>
      <c r="CU41">
        <v>12.82104</v>
      </c>
      <c r="CV41">
        <v>21.121369999999999</v>
      </c>
      <c r="CW41">
        <v>28.964549999999999</v>
      </c>
      <c r="CX41">
        <v>69.109909999999999</v>
      </c>
      <c r="CY41">
        <v>55.465919999999997</v>
      </c>
      <c r="CZ41">
        <v>120.05370000000001</v>
      </c>
      <c r="DA41">
        <v>5.4851000000000001</v>
      </c>
      <c r="DB41">
        <v>2.9605250000000001</v>
      </c>
      <c r="DC41">
        <v>-66.068820000000002</v>
      </c>
      <c r="DD41">
        <v>-54.715940000000003</v>
      </c>
      <c r="DE41">
        <v>1545.336</v>
      </c>
      <c r="DF41">
        <v>-60.416029999999999</v>
      </c>
      <c r="DG41">
        <v>-99.435239999999993</v>
      </c>
      <c r="DH41">
        <v>-8.1473659999999999</v>
      </c>
      <c r="DI41">
        <v>-99.876469999999998</v>
      </c>
      <c r="DJ41">
        <v>1356.252</v>
      </c>
      <c r="DK41">
        <v>7754.3069999999998</v>
      </c>
      <c r="DL41">
        <v>-43.565460000000002</v>
      </c>
      <c r="DM41">
        <v>2.3157740000000002</v>
      </c>
      <c r="DN41">
        <v>-75.544880000000006</v>
      </c>
      <c r="DO41">
        <v>20.195070000000001</v>
      </c>
      <c r="DP41">
        <v>1144.566</v>
      </c>
      <c r="DQ41">
        <v>120.5234</v>
      </c>
      <c r="DR41">
        <v>364.06369999999998</v>
      </c>
      <c r="DS41">
        <v>1543.386</v>
      </c>
      <c r="DT41">
        <v>8.5292000000000007E-2</v>
      </c>
      <c r="DU41">
        <v>6.2474790000000002</v>
      </c>
      <c r="DV41">
        <v>3.839699</v>
      </c>
      <c r="DW41">
        <v>7.6534959999999996</v>
      </c>
      <c r="DX41">
        <v>6.6960280000000001</v>
      </c>
      <c r="DY41">
        <v>7.5254159999999999</v>
      </c>
      <c r="DZ41">
        <v>5.2068899999999996</v>
      </c>
      <c r="EA41">
        <v>8.7966960000000007</v>
      </c>
      <c r="EB41">
        <v>11.776619999999999</v>
      </c>
      <c r="EC41">
        <v>0</v>
      </c>
      <c r="ED41">
        <v>10.53548</v>
      </c>
      <c r="EE41">
        <v>8.7195769999999992</v>
      </c>
      <c r="EF41">
        <v>6.6350699999999998</v>
      </c>
      <c r="EG41">
        <v>4.6547549999999998</v>
      </c>
      <c r="EH41">
        <v>7.1196429999999999</v>
      </c>
      <c r="EI41">
        <v>-2.2172589999999999</v>
      </c>
      <c r="EJ41">
        <v>3.0298539999999998</v>
      </c>
      <c r="EK41">
        <v>-4.583361</v>
      </c>
      <c r="EL41">
        <v>6.2867430000000004</v>
      </c>
      <c r="EM41">
        <v>6.1514660000000001</v>
      </c>
      <c r="EN41">
        <v>-35.832380000000001</v>
      </c>
      <c r="EO41">
        <v>-21.911280000000001</v>
      </c>
      <c r="EP41">
        <v>-14.92484</v>
      </c>
      <c r="EQ41">
        <v>-10.3108</v>
      </c>
      <c r="ER41">
        <v>8.468261</v>
      </c>
      <c r="ES41">
        <v>60.095489999999998</v>
      </c>
      <c r="ET41">
        <v>1.6624099999999999</v>
      </c>
      <c r="EU41">
        <v>39.33043</v>
      </c>
      <c r="EV41">
        <v>0.62933600000000001</v>
      </c>
      <c r="EW41">
        <v>2.299258</v>
      </c>
      <c r="EX41">
        <v>2.90367</v>
      </c>
      <c r="EY41">
        <v>0.91681400000000002</v>
      </c>
      <c r="EZ41">
        <v>0.121505</v>
      </c>
      <c r="FA41">
        <v>6.1967800000000004</v>
      </c>
      <c r="FB41">
        <v>1.988272</v>
      </c>
      <c r="FC41">
        <v>30.248159999999999</v>
      </c>
      <c r="FD41">
        <v>8.2298869999999997</v>
      </c>
      <c r="FE41">
        <v>0.49705300000000002</v>
      </c>
      <c r="FF41">
        <v>0.76595000000000002</v>
      </c>
      <c r="FG41">
        <v>1.3770800000000001</v>
      </c>
      <c r="FH41">
        <v>0.309639</v>
      </c>
      <c r="FI41">
        <v>4.8406929999999999</v>
      </c>
      <c r="FJ41">
        <v>28.69754</v>
      </c>
      <c r="FK41">
        <v>15.54011</v>
      </c>
      <c r="FL41">
        <v>18.845829999999999</v>
      </c>
      <c r="FM41">
        <v>3.7727999999999998E-2</v>
      </c>
      <c r="FN41">
        <v>2.1678920000000002</v>
      </c>
      <c r="FO41">
        <v>8.7248000000000006E-2</v>
      </c>
      <c r="FP41">
        <v>8.1597329999999992</v>
      </c>
      <c r="FQ41">
        <v>4.0583070000000001</v>
      </c>
      <c r="FR41">
        <v>4.2346810000000001</v>
      </c>
      <c r="FS41">
        <v>1.927792</v>
      </c>
      <c r="FT41">
        <v>12.31012</v>
      </c>
      <c r="FU41">
        <v>10.61022</v>
      </c>
      <c r="FV41">
        <v>4.2253749999999997</v>
      </c>
      <c r="FW41">
        <v>1.6404080000000001</v>
      </c>
      <c r="FX41">
        <v>5.9673730000000003</v>
      </c>
      <c r="FY41">
        <v>3.0000939999999998</v>
      </c>
      <c r="FZ41">
        <v>6.1762110000000003</v>
      </c>
      <c r="GA41">
        <v>45.397640000000003</v>
      </c>
      <c r="GB41">
        <v>1.6624099999999999</v>
      </c>
      <c r="GC41">
        <v>35.389150000000001</v>
      </c>
      <c r="GD41">
        <v>0.56627099999999997</v>
      </c>
      <c r="GE41">
        <v>2.0688499999999999</v>
      </c>
      <c r="GF41">
        <v>2.612695</v>
      </c>
      <c r="GG41">
        <v>0.82494100000000004</v>
      </c>
      <c r="GH41">
        <v>0.109329</v>
      </c>
      <c r="GI41">
        <v>5.5758039999999998</v>
      </c>
      <c r="GJ41">
        <v>1.7890280000000001</v>
      </c>
      <c r="GK41">
        <v>28.507629999999999</v>
      </c>
      <c r="GL41">
        <v>8.2298869999999997</v>
      </c>
      <c r="GM41">
        <v>0.49705300000000002</v>
      </c>
      <c r="GN41">
        <v>0.76595000000000002</v>
      </c>
      <c r="GO41">
        <v>1.3770800000000001</v>
      </c>
      <c r="GP41">
        <v>0.309639</v>
      </c>
      <c r="GQ41">
        <v>2.7406609999999998</v>
      </c>
      <c r="GR41">
        <v>15.61087</v>
      </c>
      <c r="GS41">
        <v>15.54011</v>
      </c>
      <c r="GT41">
        <v>16.246839999999999</v>
      </c>
      <c r="GU41">
        <v>3.2524999999999998E-2</v>
      </c>
      <c r="GV41">
        <v>1.8689229999999999</v>
      </c>
      <c r="GW41">
        <v>7.5216000000000005E-2</v>
      </c>
      <c r="GX41">
        <v>7.0344439999999997</v>
      </c>
      <c r="GY41">
        <v>3.4986350000000002</v>
      </c>
      <c r="GZ41">
        <v>3.6506859999999999</v>
      </c>
      <c r="HA41">
        <v>1.6619349999999999</v>
      </c>
      <c r="HB41">
        <v>10.76038</v>
      </c>
      <c r="HC41">
        <v>10.61022</v>
      </c>
      <c r="HD41">
        <v>4.2253749999999997</v>
      </c>
      <c r="HE41">
        <v>1.6404080000000001</v>
      </c>
      <c r="HF41">
        <v>5.9673730000000003</v>
      </c>
      <c r="HG41">
        <v>3.0000939999999998</v>
      </c>
      <c r="HH41">
        <v>6.2876050000000001</v>
      </c>
      <c r="HI41">
        <v>48.795369999999998</v>
      </c>
      <c r="HJ41">
        <v>1.6624099999999999</v>
      </c>
      <c r="HK41">
        <v>141.98519999999999</v>
      </c>
      <c r="HL41">
        <v>1.3593759999999999</v>
      </c>
      <c r="HM41">
        <v>4.9664339999999996</v>
      </c>
      <c r="HN41">
        <v>6.2719740000000002</v>
      </c>
      <c r="HO41">
        <v>0.99114400000000002</v>
      </c>
      <c r="HP41">
        <v>0.131356</v>
      </c>
      <c r="HQ41">
        <v>6.699179</v>
      </c>
      <c r="HR41">
        <v>5.811528</v>
      </c>
      <c r="HS41">
        <v>28.703499999999998</v>
      </c>
      <c r="HT41">
        <v>8.3529750000000007</v>
      </c>
      <c r="HU41">
        <v>0.50448700000000002</v>
      </c>
      <c r="HV41">
        <v>0.77740600000000004</v>
      </c>
      <c r="HW41">
        <v>1.3976759999999999</v>
      </c>
      <c r="HX41">
        <v>0.31426999999999999</v>
      </c>
      <c r="HY41">
        <v>2.7759480000000001</v>
      </c>
      <c r="HZ41">
        <v>16.78687</v>
      </c>
      <c r="IA41">
        <v>12.522</v>
      </c>
      <c r="IB41">
        <v>61.4026</v>
      </c>
      <c r="IC41">
        <v>3.7737E-2</v>
      </c>
      <c r="ID41">
        <v>4.1979579999999999</v>
      </c>
      <c r="IE41">
        <v>8.7267999999999998E-2</v>
      </c>
      <c r="IF41">
        <v>9.8134420000000002</v>
      </c>
      <c r="IG41">
        <v>4.3634709999999997</v>
      </c>
      <c r="IH41">
        <v>4.5531079999999999</v>
      </c>
      <c r="II41">
        <v>6.6769860000000003</v>
      </c>
      <c r="IJ41">
        <v>10.767609999999999</v>
      </c>
      <c r="IK41">
        <v>10.62059</v>
      </c>
      <c r="IL41">
        <v>6.4520270000000002</v>
      </c>
      <c r="IM41">
        <v>1.6423840000000001</v>
      </c>
      <c r="IN41">
        <v>5.9744679999999999</v>
      </c>
      <c r="IO41">
        <v>3.00224</v>
      </c>
      <c r="IP41">
        <v>3.8516379999999999</v>
      </c>
      <c r="IQ41">
        <v>5.7161090000000003</v>
      </c>
      <c r="IR41">
        <v>0.549431</v>
      </c>
      <c r="IS41">
        <v>1.697176</v>
      </c>
      <c r="IT41">
        <v>4.133432</v>
      </c>
      <c r="IU41">
        <v>4.2340039999999997</v>
      </c>
      <c r="IV41">
        <v>4.6952660000000002</v>
      </c>
      <c r="IW41">
        <v>5.326263</v>
      </c>
      <c r="IX41">
        <v>0.86663199999999996</v>
      </c>
      <c r="IY41">
        <v>7.4762550000000001</v>
      </c>
      <c r="IZ41">
        <v>1.8158099999999999</v>
      </c>
      <c r="JA41">
        <v>8.6162410000000005</v>
      </c>
      <c r="JB41">
        <v>0.43740699999999999</v>
      </c>
      <c r="JC41">
        <v>1.7214130000000001</v>
      </c>
      <c r="JD41">
        <v>0.80199500000000001</v>
      </c>
      <c r="JE41">
        <v>15.53603</v>
      </c>
      <c r="JF41">
        <v>0.28184300000000001</v>
      </c>
      <c r="JG41">
        <v>1.449808</v>
      </c>
      <c r="JH41">
        <v>19.902329999999999</v>
      </c>
      <c r="JI41">
        <v>7.2139850000000001</v>
      </c>
      <c r="JJ41">
        <v>12.98523</v>
      </c>
      <c r="JK41">
        <v>32.551259999999999</v>
      </c>
      <c r="JL41">
        <v>2.1722920000000001</v>
      </c>
      <c r="JM41">
        <v>4.6792579999999999</v>
      </c>
      <c r="JN41">
        <v>0.44150899999999998</v>
      </c>
      <c r="JO41">
        <v>1.2240260000000001</v>
      </c>
      <c r="JP41">
        <v>2.7566890000000002</v>
      </c>
      <c r="JQ41">
        <v>3.2435420000000001</v>
      </c>
      <c r="JR41">
        <v>3.1693069999999999</v>
      </c>
      <c r="JS41">
        <v>3.9845269999999999</v>
      </c>
      <c r="JT41">
        <v>0.72818799999999995</v>
      </c>
      <c r="JU41">
        <v>3.492747</v>
      </c>
      <c r="JV41">
        <v>1.070875</v>
      </c>
      <c r="JW41">
        <v>7.1014850000000003</v>
      </c>
      <c r="JX41">
        <v>0.37898700000000002</v>
      </c>
      <c r="JY41">
        <v>1.141213</v>
      </c>
      <c r="JZ41">
        <v>0.66877200000000003</v>
      </c>
      <c r="KA41">
        <v>8.2288840000000008</v>
      </c>
      <c r="KB41">
        <v>7.7547000000000005E-2</v>
      </c>
      <c r="KC41">
        <v>0.47009099999999998</v>
      </c>
      <c r="KD41">
        <v>15.4521</v>
      </c>
      <c r="KE41">
        <v>5.352042</v>
      </c>
      <c r="KF41">
        <v>11.527060000000001</v>
      </c>
      <c r="KG41">
        <v>26.803570000000001</v>
      </c>
      <c r="KH41">
        <v>9709.1290000000008</v>
      </c>
      <c r="KI41">
        <v>9256.3430000000008</v>
      </c>
      <c r="KJ41">
        <v>5704.5140000000001</v>
      </c>
      <c r="KK41">
        <v>2489.3130000000001</v>
      </c>
      <c r="KL41">
        <v>1032.162</v>
      </c>
      <c r="KM41">
        <v>325.35219999999998</v>
      </c>
      <c r="KN41">
        <v>343.52659999999997</v>
      </c>
      <c r="KO41">
        <v>0</v>
      </c>
      <c r="KP41">
        <v>23154.11</v>
      </c>
      <c r="KQ41">
        <v>5706.23</v>
      </c>
      <c r="KR41">
        <v>0</v>
      </c>
      <c r="KS41">
        <v>10658.35</v>
      </c>
      <c r="KT41">
        <v>7717.027</v>
      </c>
      <c r="KU41">
        <v>5171.6559999999999</v>
      </c>
      <c r="KV41">
        <v>2731.2809999999999</v>
      </c>
      <c r="KW41">
        <v>946.86929999999995</v>
      </c>
      <c r="KX41">
        <v>298.09089999999998</v>
      </c>
      <c r="KY41">
        <v>180.0736</v>
      </c>
      <c r="KZ41">
        <v>0</v>
      </c>
      <c r="LA41">
        <v>17808.150000000001</v>
      </c>
      <c r="LB41">
        <v>9895.1939999999995</v>
      </c>
      <c r="LC41">
        <v>0</v>
      </c>
      <c r="LD41" s="21">
        <v>157000000</v>
      </c>
      <c r="LE41" s="21">
        <v>397000000</v>
      </c>
      <c r="LF41" s="21">
        <v>918000000</v>
      </c>
      <c r="LG41" s="21">
        <v>761000000</v>
      </c>
      <c r="LH41" s="21">
        <v>521000000</v>
      </c>
      <c r="LI41" s="21">
        <v>214000000</v>
      </c>
      <c r="LJ41" s="21">
        <v>109000000</v>
      </c>
      <c r="LK41" s="21">
        <v>3.32E-6</v>
      </c>
      <c r="LL41" s="21">
        <v>6.63E-6</v>
      </c>
      <c r="LM41" s="21">
        <v>1.26E-5</v>
      </c>
      <c r="LN41" s="21">
        <v>2.76E-5</v>
      </c>
      <c r="LO41" s="21">
        <v>4.6199999999999998E-5</v>
      </c>
      <c r="LP41" s="21">
        <v>7.1000000000000005E-5</v>
      </c>
      <c r="LQ41">
        <v>1.05E-4</v>
      </c>
      <c r="LR41" s="21">
        <v>377000000</v>
      </c>
      <c r="LS41" s="21">
        <v>541000000</v>
      </c>
      <c r="LT41" s="21">
        <v>862000000</v>
      </c>
      <c r="LU41" s="21">
        <v>617000000</v>
      </c>
      <c r="LV41" s="21">
        <v>431000000</v>
      </c>
      <c r="LW41" s="21">
        <v>166000000</v>
      </c>
      <c r="LX41">
        <v>83514715</v>
      </c>
      <c r="LY41" s="21">
        <v>7.7000000000000008E-6</v>
      </c>
      <c r="LZ41" s="21">
        <v>1.45E-5</v>
      </c>
      <c r="MA41" s="21">
        <v>2.65E-5</v>
      </c>
      <c r="MB41" s="21">
        <v>5.5899999999999997E-5</v>
      </c>
      <c r="MC41" s="21">
        <v>8.3900000000000006E-5</v>
      </c>
      <c r="MD41">
        <v>1.22E-4</v>
      </c>
      <c r="ME41">
        <v>1.6899999999999999E-4</v>
      </c>
      <c r="MF41">
        <v>0.42512699999999998</v>
      </c>
      <c r="MG41">
        <v>0.300624</v>
      </c>
      <c r="MH41">
        <v>0.186643</v>
      </c>
      <c r="MI41">
        <v>8.7596999999999994E-2</v>
      </c>
      <c r="MJ41" s="21">
        <v>9.5300000000000002E-6</v>
      </c>
      <c r="MK41">
        <v>0</v>
      </c>
      <c r="ML41">
        <v>0</v>
      </c>
      <c r="MM41">
        <v>1.5329079999999999</v>
      </c>
      <c r="MN41">
        <v>1.0591120000000001</v>
      </c>
      <c r="MO41">
        <v>0.66039700000000001</v>
      </c>
      <c r="MP41">
        <v>0.314668</v>
      </c>
      <c r="MQ41">
        <v>-2.1578E-2</v>
      </c>
      <c r="MR41">
        <v>-0.41202100000000003</v>
      </c>
      <c r="MS41">
        <v>-2.1334870000000001</v>
      </c>
      <c r="MT41">
        <v>0.467053</v>
      </c>
      <c r="MU41">
        <v>0.26661699999999999</v>
      </c>
      <c r="MV41">
        <v>0.175038</v>
      </c>
      <c r="MW41">
        <v>9.1291999999999998E-2</v>
      </c>
      <c r="MX41" s="21">
        <v>1.2499999999999999E-8</v>
      </c>
      <c r="MY41">
        <v>0</v>
      </c>
      <c r="MZ41">
        <v>0</v>
      </c>
      <c r="NA41">
        <v>2.943387</v>
      </c>
      <c r="NB41">
        <v>1.6587149999999999</v>
      </c>
      <c r="NC41">
        <v>1.088832</v>
      </c>
      <c r="ND41">
        <v>0.568851</v>
      </c>
      <c r="NE41">
        <v>-7.9731999999999997E-2</v>
      </c>
      <c r="NF41">
        <v>-0.848468</v>
      </c>
      <c r="NG41">
        <v>-4.3315830000000002</v>
      </c>
      <c r="NH41">
        <v>5.2360000000000002E-3</v>
      </c>
      <c r="NI41">
        <v>5.7910000000000001E-3</v>
      </c>
      <c r="NJ41">
        <v>8.9470000000000001E-3</v>
      </c>
      <c r="NK41">
        <v>3.6644000000000003E-2</v>
      </c>
      <c r="NL41">
        <v>4.5823999999999997E-2</v>
      </c>
      <c r="NM41">
        <v>0.10002900000000001</v>
      </c>
      <c r="NN41">
        <v>5.2360000000000002E-3</v>
      </c>
      <c r="NO41">
        <v>5.7910000000000001E-3</v>
      </c>
      <c r="NP41">
        <v>8.9470000000000001E-3</v>
      </c>
      <c r="NQ41">
        <v>3.6644000000000003E-2</v>
      </c>
      <c r="NR41">
        <v>4.5823999999999997E-2</v>
      </c>
      <c r="NS41">
        <v>0.10002900000000001</v>
      </c>
      <c r="NT41">
        <v>2.6912999999999999E-2</v>
      </c>
      <c r="NU41">
        <v>2.7456999999999999E-2</v>
      </c>
      <c r="NV41">
        <v>3.1299E-2</v>
      </c>
      <c r="NW41">
        <v>5.2278999999999999E-2</v>
      </c>
      <c r="NX41">
        <v>5.8501999999999998E-2</v>
      </c>
      <c r="NY41">
        <v>0.10984099999999999</v>
      </c>
      <c r="NZ41">
        <v>2.6912999999999999E-2</v>
      </c>
      <c r="OA41">
        <v>2.7456999999999999E-2</v>
      </c>
      <c r="OB41">
        <v>3.1299E-2</v>
      </c>
      <c r="OC41">
        <v>5.2278999999999999E-2</v>
      </c>
      <c r="OD41">
        <v>5.8501999999999998E-2</v>
      </c>
      <c r="OE41">
        <v>0.10984099999999999</v>
      </c>
      <c r="OF41">
        <v>38.162309999999998</v>
      </c>
      <c r="OG41">
        <v>21714.65</v>
      </c>
      <c r="OH41">
        <v>20306.55</v>
      </c>
      <c r="OI41">
        <v>6598.58</v>
      </c>
      <c r="OJ41">
        <v>24.487839999999998</v>
      </c>
      <c r="OK41">
        <v>16956.689999999999</v>
      </c>
      <c r="OL41">
        <v>17275.830000000002</v>
      </c>
      <c r="OM41">
        <v>5918.2139999999999</v>
      </c>
      <c r="ON41">
        <v>1909397</v>
      </c>
      <c r="OO41">
        <v>2011193</v>
      </c>
      <c r="OP41">
        <v>15021.4</v>
      </c>
      <c r="OQ41">
        <v>8538.9040000000005</v>
      </c>
      <c r="OR41">
        <v>5975.7889999999998</v>
      </c>
      <c r="OS41">
        <v>603.32979999999998</v>
      </c>
      <c r="OT41">
        <v>1987.086</v>
      </c>
      <c r="OU41">
        <v>1460.4880000000001</v>
      </c>
      <c r="OV41">
        <v>404.63099999999997</v>
      </c>
      <c r="OW41">
        <v>1640.51</v>
      </c>
      <c r="OX41">
        <v>1519.4680000000001</v>
      </c>
      <c r="OY41">
        <v>1185.7280000000001</v>
      </c>
      <c r="OZ41">
        <v>675.74639999999999</v>
      </c>
      <c r="PA41">
        <v>23784.23</v>
      </c>
      <c r="PB41">
        <v>9296.3119999999999</v>
      </c>
      <c r="PC41">
        <v>1902.066</v>
      </c>
      <c r="PD41">
        <v>3258.74</v>
      </c>
      <c r="PE41">
        <v>8460.9480000000003</v>
      </c>
      <c r="PF41">
        <v>1665.404</v>
      </c>
      <c r="PG41">
        <v>3274.8760000000002</v>
      </c>
      <c r="PH41">
        <v>250816</v>
      </c>
      <c r="PI41">
        <v>107029.3</v>
      </c>
      <c r="PJ41">
        <v>2.0145840000000002</v>
      </c>
      <c r="PK41">
        <v>407.45310000000001</v>
      </c>
      <c r="PL41">
        <v>68.501829999999998</v>
      </c>
      <c r="PM41">
        <v>2812.0459999999998</v>
      </c>
      <c r="PN41">
        <v>480.78899999999999</v>
      </c>
      <c r="PO41">
        <v>174.98910000000001</v>
      </c>
      <c r="PP41">
        <v>266.4196</v>
      </c>
      <c r="PQ41">
        <v>598.63300000000004</v>
      </c>
      <c r="PR41">
        <v>102.7761</v>
      </c>
      <c r="PS41">
        <v>632.68700000000001</v>
      </c>
      <c r="PT41">
        <v>1286.107</v>
      </c>
      <c r="PU41">
        <v>366.20080000000002</v>
      </c>
      <c r="PV41">
        <v>651.10789999999997</v>
      </c>
      <c r="PW41">
        <v>46.741869999999999</v>
      </c>
      <c r="PX41">
        <v>113.3943</v>
      </c>
      <c r="PY41">
        <v>565.7192</v>
      </c>
      <c r="PZ41">
        <v>108.4014</v>
      </c>
      <c r="QA41">
        <v>457185</v>
      </c>
      <c r="QB41">
        <v>9209.3160000000007</v>
      </c>
      <c r="QC41">
        <v>85498.91</v>
      </c>
      <c r="QD41">
        <v>10210.77</v>
      </c>
      <c r="QE41">
        <v>8205.6759999999995</v>
      </c>
      <c r="QF41">
        <v>6041.0630000000001</v>
      </c>
      <c r="QG41">
        <v>3248.6909999999998</v>
      </c>
      <c r="QH41">
        <v>0.49245699999999998</v>
      </c>
      <c r="QI41" s="21">
        <v>4.6799999999999999E-5</v>
      </c>
      <c r="QJ41">
        <v>4.3600000000000003E-4</v>
      </c>
      <c r="QK41">
        <v>18429.98</v>
      </c>
      <c r="QL41">
        <v>10179.530000000001</v>
      </c>
      <c r="QM41">
        <v>5708.2910000000002</v>
      </c>
      <c r="QN41">
        <v>790.88559999999995</v>
      </c>
      <c r="QO41">
        <v>3162.9090000000001</v>
      </c>
      <c r="QP41">
        <v>1732.567</v>
      </c>
      <c r="QQ41">
        <v>720.92899999999997</v>
      </c>
      <c r="QR41">
        <v>1797.33</v>
      </c>
      <c r="QS41">
        <v>1524.704</v>
      </c>
      <c r="QT41">
        <v>1789.6020000000001</v>
      </c>
      <c r="QU41">
        <v>737.47149999999999</v>
      </c>
      <c r="QV41">
        <v>25009.46</v>
      </c>
      <c r="QW41">
        <v>10488.2</v>
      </c>
      <c r="QX41">
        <v>2303.808</v>
      </c>
      <c r="QY41">
        <v>4202.6189999999997</v>
      </c>
      <c r="QZ41">
        <v>14308.3</v>
      </c>
      <c r="RA41">
        <v>2589.1350000000002</v>
      </c>
      <c r="RB41">
        <v>7206.4880000000003</v>
      </c>
      <c r="RC41">
        <v>264573.59999999998</v>
      </c>
      <c r="RD41">
        <v>110197.9</v>
      </c>
      <c r="RE41">
        <v>0.68357199999999996</v>
      </c>
      <c r="RF41">
        <v>184.51130000000001</v>
      </c>
      <c r="RG41">
        <v>1127.085</v>
      </c>
      <c r="RH41">
        <v>1113.1199999999999</v>
      </c>
      <c r="RI41">
        <v>2.7152949999999998</v>
      </c>
      <c r="RJ41">
        <v>160.7321</v>
      </c>
      <c r="RK41">
        <v>0.32911200000000002</v>
      </c>
      <c r="RL41">
        <v>8717.6080000000002</v>
      </c>
      <c r="RM41">
        <v>8072.348</v>
      </c>
      <c r="RN41">
        <v>357.05399999999997</v>
      </c>
      <c r="RO41">
        <v>1315.8910000000001</v>
      </c>
      <c r="RP41">
        <v>89.554850000000002</v>
      </c>
      <c r="RQ41">
        <v>782.59960000000001</v>
      </c>
      <c r="RR41">
        <v>581.73329999999999</v>
      </c>
      <c r="RS41">
        <v>250.06110000000001</v>
      </c>
      <c r="RT41">
        <v>2625.297</v>
      </c>
      <c r="RU41">
        <v>1781.454</v>
      </c>
      <c r="RV41">
        <v>514616.5</v>
      </c>
      <c r="RW41">
        <v>15688.36</v>
      </c>
      <c r="RX41">
        <v>82618.55</v>
      </c>
      <c r="RY41">
        <v>10670.05</v>
      </c>
      <c r="RZ41">
        <v>6922.0990000000002</v>
      </c>
      <c r="SA41">
        <v>5388.8239999999996</v>
      </c>
      <c r="SB41">
        <v>3220.4119999999998</v>
      </c>
      <c r="SC41">
        <v>6.1499999999999999E-4</v>
      </c>
      <c r="SD41" s="21">
        <v>3.8999999999999999E-6</v>
      </c>
      <c r="SE41" s="21">
        <v>2.87E-5</v>
      </c>
      <c r="SF41">
        <v>30652.28</v>
      </c>
      <c r="SG41">
        <v>38.162309999999998</v>
      </c>
      <c r="SH41">
        <v>5429.3119999999999</v>
      </c>
      <c r="SI41">
        <v>18586.23</v>
      </c>
      <c r="SJ41">
        <v>6598.58</v>
      </c>
      <c r="SK41">
        <v>24221.94</v>
      </c>
      <c r="SL41">
        <v>24.487839999999998</v>
      </c>
      <c r="SM41">
        <v>3985.4859999999999</v>
      </c>
      <c r="SN41">
        <v>14293.75</v>
      </c>
      <c r="SO41">
        <v>5918.2139999999999</v>
      </c>
      <c r="SP41">
        <v>140277.70000000001</v>
      </c>
      <c r="SQ41">
        <v>62877.85</v>
      </c>
      <c r="SR41">
        <v>145082.5</v>
      </c>
      <c r="SS41">
        <v>72671.72</v>
      </c>
      <c r="ST41">
        <v>32.551259999999999</v>
      </c>
      <c r="SU41">
        <v>0.229852</v>
      </c>
      <c r="SV41">
        <v>3.9076710000000001</v>
      </c>
      <c r="SW41">
        <v>13.27014</v>
      </c>
      <c r="SX41">
        <v>15.143599999999999</v>
      </c>
      <c r="SY41">
        <v>26.803570000000001</v>
      </c>
      <c r="SZ41">
        <v>0.14749100000000001</v>
      </c>
      <c r="TA41">
        <v>2.8684970000000001</v>
      </c>
      <c r="TB41">
        <v>10.205410000000001</v>
      </c>
      <c r="TC41">
        <v>13.58217</v>
      </c>
      <c r="TD41">
        <v>26859.74</v>
      </c>
      <c r="TE41">
        <v>829.92160000000001</v>
      </c>
      <c r="TF41">
        <v>541.26509999999996</v>
      </c>
      <c r="TG41">
        <v>211.2961</v>
      </c>
      <c r="TH41">
        <v>50.099339999999998</v>
      </c>
      <c r="TI41">
        <v>105.6225</v>
      </c>
      <c r="TJ41">
        <v>84.178669999999997</v>
      </c>
      <c r="TK41">
        <v>24.249379999999999</v>
      </c>
      <c r="TL41">
        <v>26.83343</v>
      </c>
      <c r="TM41">
        <v>162.3424</v>
      </c>
      <c r="TN41">
        <v>38.126710000000003</v>
      </c>
      <c r="TO41">
        <v>24.766940000000002</v>
      </c>
      <c r="TP41">
        <v>2006.357</v>
      </c>
      <c r="TQ41">
        <v>2040.6949999999999</v>
      </c>
      <c r="TR41">
        <v>108.6478</v>
      </c>
      <c r="TS41">
        <v>208.50909999999999</v>
      </c>
      <c r="TT41">
        <v>423.03019999999998</v>
      </c>
      <c r="TU41">
        <v>41.743119999999998</v>
      </c>
      <c r="TV41">
        <v>73.660160000000005</v>
      </c>
      <c r="TW41">
        <v>12911.47</v>
      </c>
      <c r="TX41">
        <v>6838.0720000000001</v>
      </c>
      <c r="TY41">
        <v>0.474134</v>
      </c>
      <c r="TZ41">
        <v>7.0877610000000004</v>
      </c>
      <c r="UA41">
        <v>3.4331070000000001</v>
      </c>
      <c r="UB41">
        <v>56.007420000000003</v>
      </c>
      <c r="UC41">
        <v>0.67610499999999996</v>
      </c>
      <c r="UD41">
        <v>2.246213</v>
      </c>
      <c r="UE41">
        <v>4.1069690000000003</v>
      </c>
      <c r="UF41">
        <v>1.5149619999999999</v>
      </c>
      <c r="UG41">
        <v>0.73831500000000005</v>
      </c>
      <c r="UH41">
        <v>9.8091980000000003</v>
      </c>
      <c r="UI41">
        <v>4.734775</v>
      </c>
      <c r="UJ41">
        <v>11.513</v>
      </c>
      <c r="UK41">
        <v>4.3330270000000004</v>
      </c>
      <c r="UL41">
        <v>0.31639699999999998</v>
      </c>
      <c r="UM41">
        <v>0.35539300000000001</v>
      </c>
      <c r="UN41">
        <v>1.240076</v>
      </c>
      <c r="UO41">
        <v>0.26640000000000003</v>
      </c>
      <c r="UP41">
        <v>27211.34</v>
      </c>
      <c r="UQ41">
        <v>822.61450000000002</v>
      </c>
      <c r="UR41">
        <v>552.49649999999997</v>
      </c>
      <c r="US41">
        <v>201.60429999999999</v>
      </c>
      <c r="UT41">
        <v>51.18009</v>
      </c>
      <c r="UU41">
        <v>117.2701</v>
      </c>
      <c r="UV41">
        <v>86.813779999999994</v>
      </c>
      <c r="UW41">
        <v>23.240829999999999</v>
      </c>
      <c r="UX41">
        <v>25.15232</v>
      </c>
      <c r="UY41">
        <v>168.12440000000001</v>
      </c>
      <c r="UZ41">
        <v>37.872169999999997</v>
      </c>
      <c r="VA41">
        <v>22.663730000000001</v>
      </c>
      <c r="VB41">
        <v>1971.7619999999999</v>
      </c>
      <c r="VC41">
        <v>2170.56</v>
      </c>
      <c r="VD41">
        <v>112.1345</v>
      </c>
      <c r="VE41">
        <v>221.44239999999999</v>
      </c>
      <c r="VF41">
        <v>392.69439999999997</v>
      </c>
      <c r="VG41">
        <v>33.065150000000003</v>
      </c>
      <c r="VH41">
        <v>71.697550000000007</v>
      </c>
      <c r="VI41">
        <v>13123.59</v>
      </c>
      <c r="VJ41">
        <v>6858.4920000000002</v>
      </c>
      <c r="VK41">
        <v>0.225832</v>
      </c>
      <c r="VL41">
        <v>3.9359150000000001</v>
      </c>
      <c r="VM41">
        <v>38.680030000000002</v>
      </c>
      <c r="VN41">
        <v>26.719159999999999</v>
      </c>
      <c r="VO41">
        <v>4.7895E-2</v>
      </c>
      <c r="VP41">
        <v>2.1559720000000002</v>
      </c>
      <c r="VQ41">
        <v>0.144208</v>
      </c>
      <c r="VR41">
        <v>14.79222</v>
      </c>
      <c r="VS41">
        <v>28.03848</v>
      </c>
      <c r="VT41">
        <v>6.7191210000000003</v>
      </c>
      <c r="VU41">
        <v>5.0891739999999999</v>
      </c>
      <c r="VV41">
        <v>4.4957909999999996</v>
      </c>
      <c r="VW41">
        <v>5.206086</v>
      </c>
      <c r="VX41">
        <v>2.531393</v>
      </c>
      <c r="VY41">
        <v>0.70078399999999996</v>
      </c>
      <c r="VZ41">
        <v>4.9513020000000001</v>
      </c>
      <c r="WA41">
        <v>2.434841</v>
      </c>
      <c r="WB41">
        <v>0.12681000000000001</v>
      </c>
      <c r="WC41">
        <v>0.11207499999999999</v>
      </c>
      <c r="WD41">
        <v>-2.7363999999999999E-2</v>
      </c>
      <c r="WE41">
        <v>-1.6830999999999999E-2</v>
      </c>
      <c r="WF41">
        <v>0.72829999999999995</v>
      </c>
      <c r="WG41">
        <v>0.39127200000000001</v>
      </c>
      <c r="WH41">
        <v>-4.0304E-2</v>
      </c>
      <c r="WI41">
        <v>-1.7465000000000001E-2</v>
      </c>
      <c r="WJ41">
        <v>2995414</v>
      </c>
      <c r="WK41">
        <v>3045721</v>
      </c>
    </row>
    <row r="42" spans="1:609" x14ac:dyDescent="0.25">
      <c r="A42">
        <v>2043</v>
      </c>
      <c r="B42">
        <v>1.707454</v>
      </c>
      <c r="C42">
        <v>171.023</v>
      </c>
      <c r="D42">
        <v>6.3156319999999999</v>
      </c>
      <c r="E42">
        <v>12.71959</v>
      </c>
      <c r="F42">
        <v>-11.427759999999999</v>
      </c>
      <c r="G42">
        <v>5.5091979999999996</v>
      </c>
      <c r="H42">
        <v>-1.4445030000000001</v>
      </c>
      <c r="I42">
        <v>1.29776</v>
      </c>
      <c r="J42">
        <v>28.975249999999999</v>
      </c>
      <c r="K42">
        <v>0.81283300000000003</v>
      </c>
      <c r="L42">
        <v>27.93535</v>
      </c>
      <c r="M42">
        <v>1.3081670000000001</v>
      </c>
      <c r="N42">
        <v>0</v>
      </c>
      <c r="O42">
        <v>-35.847029999999997</v>
      </c>
      <c r="P42">
        <v>-2.402431</v>
      </c>
      <c r="Q42">
        <v>-65.351709999999997</v>
      </c>
      <c r="R42">
        <v>29.33202</v>
      </c>
      <c r="S42">
        <v>100</v>
      </c>
      <c r="T42">
        <v>816.9375</v>
      </c>
      <c r="U42">
        <v>193.36349999999999</v>
      </c>
      <c r="V42">
        <v>476.39179999999999</v>
      </c>
      <c r="W42">
        <v>1.5245629999999999</v>
      </c>
      <c r="X42">
        <v>47126.720000000001</v>
      </c>
      <c r="Y42">
        <v>0.12681000000000001</v>
      </c>
      <c r="Z42">
        <v>0.18796099999999999</v>
      </c>
      <c r="AA42">
        <v>5.7646810000000004</v>
      </c>
      <c r="AB42">
        <v>-1.15134</v>
      </c>
      <c r="AC42">
        <v>4.3327999999999998E-2</v>
      </c>
      <c r="AD42">
        <v>85413.38</v>
      </c>
      <c r="AE42">
        <v>1156333</v>
      </c>
      <c r="AF42">
        <v>1273938</v>
      </c>
      <c r="AG42">
        <v>139287.79999999999</v>
      </c>
      <c r="AH42">
        <v>600919.9</v>
      </c>
      <c r="AI42">
        <v>-5.3930000000000002E-3</v>
      </c>
      <c r="AJ42">
        <v>283.36540000000002</v>
      </c>
      <c r="AK42">
        <v>5428.37</v>
      </c>
      <c r="AL42">
        <v>551.95680000000004</v>
      </c>
      <c r="AM42">
        <v>96.531649999999999</v>
      </c>
      <c r="AN42">
        <v>1849.2360000000001</v>
      </c>
      <c r="AO42">
        <v>188.03039999999999</v>
      </c>
      <c r="AP42">
        <v>3978.6579999999999</v>
      </c>
      <c r="AQ42">
        <v>1355.375</v>
      </c>
      <c r="AR42">
        <v>1358.9849999999999</v>
      </c>
      <c r="AS42">
        <v>591.46100000000001</v>
      </c>
      <c r="AT42">
        <v>3006.36</v>
      </c>
      <c r="AU42">
        <v>1181.7360000000001</v>
      </c>
      <c r="AV42">
        <v>193.01509999999999</v>
      </c>
      <c r="AW42">
        <v>1.580964</v>
      </c>
      <c r="AX42">
        <v>1.087235</v>
      </c>
      <c r="AY42">
        <v>3.293396</v>
      </c>
      <c r="AZ42">
        <v>-5.5144019999999996</v>
      </c>
      <c r="BA42">
        <v>1.272349</v>
      </c>
      <c r="BB42">
        <v>8.3758839999999992</v>
      </c>
      <c r="BC42">
        <v>0.83285600000000004</v>
      </c>
      <c r="BD42">
        <v>3.6019480000000001</v>
      </c>
      <c r="BE42">
        <v>-7.7625320000000002</v>
      </c>
      <c r="BF42">
        <v>1.463765</v>
      </c>
      <c r="BG42">
        <v>1.75352</v>
      </c>
      <c r="BH42">
        <v>-6.5947810000000002</v>
      </c>
      <c r="BI42">
        <v>-1.7344269999999999</v>
      </c>
      <c r="BJ42">
        <v>6.4929540000000001</v>
      </c>
      <c r="BK42">
        <v>3.6946319999999999</v>
      </c>
      <c r="BL42">
        <v>5.5301299999999998</v>
      </c>
      <c r="BM42">
        <v>-6.915349</v>
      </c>
      <c r="BN42">
        <v>-22.206810000000001</v>
      </c>
      <c r="BO42">
        <v>-8.1868459999999992</v>
      </c>
      <c r="BP42">
        <v>2.0671089999999999</v>
      </c>
      <c r="BQ42">
        <v>0.71040899999999996</v>
      </c>
      <c r="BR42">
        <v>-109.7333</v>
      </c>
      <c r="BS42">
        <v>-48.425530000000002</v>
      </c>
      <c r="BT42">
        <v>828.49249999999995</v>
      </c>
      <c r="BU42">
        <v>-51.526629999999997</v>
      </c>
      <c r="BV42">
        <v>-93.874660000000006</v>
      </c>
      <c r="BW42">
        <v>-4.6781540000000001</v>
      </c>
      <c r="BX42">
        <v>-97.521640000000005</v>
      </c>
      <c r="BY42">
        <v>761.85119999999995</v>
      </c>
      <c r="BZ42">
        <v>3176.6660000000002</v>
      </c>
      <c r="CA42">
        <v>-29.827439999999999</v>
      </c>
      <c r="CB42">
        <v>-6.5062139999999999</v>
      </c>
      <c r="CC42">
        <v>-56.674770000000002</v>
      </c>
      <c r="CD42">
        <v>10.41522</v>
      </c>
      <c r="CE42">
        <v>630.4588</v>
      </c>
      <c r="CF42">
        <v>85.901120000000006</v>
      </c>
      <c r="CG42">
        <v>295.1893</v>
      </c>
      <c r="CH42">
        <v>697.50450000000001</v>
      </c>
      <c r="CI42">
        <v>23.359459999999999</v>
      </c>
      <c r="CJ42">
        <v>20.05575</v>
      </c>
      <c r="CK42">
        <v>-4.9399369999999996</v>
      </c>
      <c r="CL42">
        <v>32.086449999999999</v>
      </c>
      <c r="CM42">
        <v>61.23048</v>
      </c>
      <c r="CN42">
        <v>19.467749999999999</v>
      </c>
      <c r="CO42">
        <v>80.403310000000005</v>
      </c>
      <c r="CP42">
        <v>10.56531</v>
      </c>
      <c r="CQ42">
        <v>0.50276399999999999</v>
      </c>
      <c r="CR42">
        <v>51.729799999999997</v>
      </c>
      <c r="CS42">
        <v>9.3161590000000007</v>
      </c>
      <c r="CT42">
        <v>5.2687210000000002</v>
      </c>
      <c r="CU42">
        <v>13.5914</v>
      </c>
      <c r="CV42">
        <v>20.950900000000001</v>
      </c>
      <c r="CW42">
        <v>29.36336</v>
      </c>
      <c r="CX42">
        <v>71.269289999999998</v>
      </c>
      <c r="CY42">
        <v>57.082189999999997</v>
      </c>
      <c r="CZ42">
        <v>123.0879</v>
      </c>
      <c r="DA42">
        <v>5.8088509999999998</v>
      </c>
      <c r="DB42">
        <v>3.1315140000000001</v>
      </c>
      <c r="DC42">
        <v>-66.016559999999998</v>
      </c>
      <c r="DD42">
        <v>-57.34299</v>
      </c>
      <c r="DE42">
        <v>1755.002</v>
      </c>
      <c r="DF42">
        <v>-60.716679999999997</v>
      </c>
      <c r="DG42">
        <v>-99.553100000000001</v>
      </c>
      <c r="DH42">
        <v>-8.3208190000000002</v>
      </c>
      <c r="DI42">
        <v>-99.909139999999994</v>
      </c>
      <c r="DJ42">
        <v>1262.1780000000001</v>
      </c>
      <c r="DK42">
        <v>7417.0529999999999</v>
      </c>
      <c r="DL42">
        <v>-43.862319999999997</v>
      </c>
      <c r="DM42">
        <v>-2.322975</v>
      </c>
      <c r="DN42">
        <v>-76.634230000000002</v>
      </c>
      <c r="DO42">
        <v>18.530370000000001</v>
      </c>
      <c r="DP42">
        <v>1143.231</v>
      </c>
      <c r="DQ42">
        <v>125.6534</v>
      </c>
      <c r="DR42">
        <v>407.4348</v>
      </c>
      <c r="DS42">
        <v>1519.3440000000001</v>
      </c>
      <c r="DT42">
        <v>9.4286999999999996E-2</v>
      </c>
      <c r="DU42">
        <v>6.7313840000000003</v>
      </c>
      <c r="DV42">
        <v>3.405132</v>
      </c>
      <c r="DW42">
        <v>8.0998850000000004</v>
      </c>
      <c r="DX42">
        <v>7.192971</v>
      </c>
      <c r="DY42">
        <v>8.0185829999999996</v>
      </c>
      <c r="DZ42">
        <v>5.7580679999999997</v>
      </c>
      <c r="EA42">
        <v>9.4711180000000006</v>
      </c>
      <c r="EB42">
        <v>12.39659</v>
      </c>
      <c r="EC42">
        <v>0</v>
      </c>
      <c r="ED42">
        <v>11.25902</v>
      </c>
      <c r="EE42">
        <v>9.3125180000000007</v>
      </c>
      <c r="EF42">
        <v>6.6896250000000004</v>
      </c>
      <c r="EG42">
        <v>4.090509</v>
      </c>
      <c r="EH42">
        <v>6.1850120000000004</v>
      </c>
      <c r="EI42">
        <v>-1.70624</v>
      </c>
      <c r="EJ42">
        <v>3.7875269999999999</v>
      </c>
      <c r="EK42">
        <v>-4.4887839999999999</v>
      </c>
      <c r="EL42">
        <v>6.6996460000000004</v>
      </c>
      <c r="EM42">
        <v>6.5505209999999998</v>
      </c>
      <c r="EN42">
        <v>-36.164850000000001</v>
      </c>
      <c r="EO42">
        <v>-22.276759999999999</v>
      </c>
      <c r="EP42">
        <v>-15.60005</v>
      </c>
      <c r="EQ42">
        <v>-10.439500000000001</v>
      </c>
      <c r="ER42">
        <v>8.4935080000000003</v>
      </c>
      <c r="ES42">
        <v>58.861789999999999</v>
      </c>
      <c r="ET42">
        <v>1.6229690000000001</v>
      </c>
      <c r="EU42">
        <v>39.548090000000002</v>
      </c>
      <c r="EV42">
        <v>0.63281900000000002</v>
      </c>
      <c r="EW42">
        <v>2.311982</v>
      </c>
      <c r="EX42">
        <v>2.9197389999999999</v>
      </c>
      <c r="EY42">
        <v>0.92188800000000004</v>
      </c>
      <c r="EZ42">
        <v>0.12217799999999999</v>
      </c>
      <c r="FA42">
        <v>6.2310739999999996</v>
      </c>
      <c r="FB42">
        <v>1.9992749999999999</v>
      </c>
      <c r="FC42">
        <v>29.83886</v>
      </c>
      <c r="FD42">
        <v>8.1170810000000007</v>
      </c>
      <c r="FE42">
        <v>0.49024000000000001</v>
      </c>
      <c r="FF42">
        <v>0.75545099999999998</v>
      </c>
      <c r="FG42">
        <v>1.3582050000000001</v>
      </c>
      <c r="FH42">
        <v>0.30539500000000003</v>
      </c>
      <c r="FI42">
        <v>4.8367760000000004</v>
      </c>
      <c r="FJ42">
        <v>26.900369999999999</v>
      </c>
      <c r="FK42">
        <v>16.141380000000002</v>
      </c>
      <c r="FL42">
        <v>18.860040000000001</v>
      </c>
      <c r="FM42">
        <v>3.2481000000000003E-2</v>
      </c>
      <c r="FN42">
        <v>2.1734439999999999</v>
      </c>
      <c r="FO42">
        <v>7.2550000000000003E-2</v>
      </c>
      <c r="FP42">
        <v>7.8448880000000001</v>
      </c>
      <c r="FQ42">
        <v>3.9525299999999999</v>
      </c>
      <c r="FR42">
        <v>4.304583</v>
      </c>
      <c r="FS42">
        <v>1.845391</v>
      </c>
      <c r="FT42">
        <v>11.96518</v>
      </c>
      <c r="FU42">
        <v>10.33981</v>
      </c>
      <c r="FV42">
        <v>4.1564410000000001</v>
      </c>
      <c r="FW42">
        <v>1.6419349999999999</v>
      </c>
      <c r="FX42">
        <v>6.2237369999999999</v>
      </c>
      <c r="FY42">
        <v>2.9190529999999999</v>
      </c>
      <c r="FZ42">
        <v>6.1968420000000002</v>
      </c>
      <c r="GA42">
        <v>44.320590000000003</v>
      </c>
      <c r="GB42">
        <v>1.6229690000000001</v>
      </c>
      <c r="GC42">
        <v>35.6068</v>
      </c>
      <c r="GD42">
        <v>0.56975399999999998</v>
      </c>
      <c r="GE42">
        <v>2.081575</v>
      </c>
      <c r="GF42">
        <v>2.6287639999999999</v>
      </c>
      <c r="GG42">
        <v>0.83001400000000003</v>
      </c>
      <c r="GH42">
        <v>0.110002</v>
      </c>
      <c r="GI42">
        <v>5.6100979999999998</v>
      </c>
      <c r="GJ42">
        <v>1.8000309999999999</v>
      </c>
      <c r="GK42">
        <v>28.116879999999998</v>
      </c>
      <c r="GL42">
        <v>8.1170810000000007</v>
      </c>
      <c r="GM42">
        <v>0.49024000000000001</v>
      </c>
      <c r="GN42">
        <v>0.75545099999999998</v>
      </c>
      <c r="GO42">
        <v>1.3582050000000001</v>
      </c>
      <c r="GP42">
        <v>0.30539500000000003</v>
      </c>
      <c r="GQ42">
        <v>2.7452869999999998</v>
      </c>
      <c r="GR42">
        <v>14.040789999999999</v>
      </c>
      <c r="GS42">
        <v>16.141380000000002</v>
      </c>
      <c r="GT42">
        <v>16.230260000000001</v>
      </c>
      <c r="GU42">
        <v>2.7952000000000001E-2</v>
      </c>
      <c r="GV42">
        <v>1.8703860000000001</v>
      </c>
      <c r="GW42">
        <v>6.2434000000000003E-2</v>
      </c>
      <c r="GX42">
        <v>6.7510250000000003</v>
      </c>
      <c r="GY42">
        <v>3.4014030000000002</v>
      </c>
      <c r="GZ42">
        <v>3.704367</v>
      </c>
      <c r="HA42">
        <v>1.588077</v>
      </c>
      <c r="HB42">
        <v>10.44234</v>
      </c>
      <c r="HC42">
        <v>10.33981</v>
      </c>
      <c r="HD42">
        <v>4.1564410000000001</v>
      </c>
      <c r="HE42">
        <v>1.6419349999999999</v>
      </c>
      <c r="HF42">
        <v>6.2237369999999999</v>
      </c>
      <c r="HG42">
        <v>2.9190529999999999</v>
      </c>
      <c r="HH42">
        <v>6.3086080000000004</v>
      </c>
      <c r="HI42">
        <v>47.637709999999998</v>
      </c>
      <c r="HJ42">
        <v>1.6229690000000001</v>
      </c>
      <c r="HK42">
        <v>142.77090000000001</v>
      </c>
      <c r="HL42">
        <v>1.3668990000000001</v>
      </c>
      <c r="HM42">
        <v>4.993919</v>
      </c>
      <c r="HN42">
        <v>6.3066839999999997</v>
      </c>
      <c r="HO42">
        <v>0.99662899999999999</v>
      </c>
      <c r="HP42">
        <v>0.13208300000000001</v>
      </c>
      <c r="HQ42">
        <v>6.7362539999999997</v>
      </c>
      <c r="HR42">
        <v>5.8436899999999996</v>
      </c>
      <c r="HS42">
        <v>28.31006</v>
      </c>
      <c r="HT42">
        <v>8.2384810000000002</v>
      </c>
      <c r="HU42">
        <v>0.49757200000000001</v>
      </c>
      <c r="HV42">
        <v>0.76675000000000004</v>
      </c>
      <c r="HW42">
        <v>1.3785179999999999</v>
      </c>
      <c r="HX42">
        <v>0.30996299999999999</v>
      </c>
      <c r="HY42">
        <v>2.7806340000000001</v>
      </c>
      <c r="HZ42">
        <v>15.09859</v>
      </c>
      <c r="IA42">
        <v>12.858000000000001</v>
      </c>
      <c r="IB42">
        <v>61.448999999999998</v>
      </c>
      <c r="IC42">
        <v>3.2487000000000002E-2</v>
      </c>
      <c r="ID42">
        <v>4.189902</v>
      </c>
      <c r="IE42">
        <v>7.2565000000000004E-2</v>
      </c>
      <c r="IF42">
        <v>9.5785560000000007</v>
      </c>
      <c r="IG42">
        <v>4.2496340000000004</v>
      </c>
      <c r="IH42">
        <v>4.6281509999999999</v>
      </c>
      <c r="II42">
        <v>6.4456439999999997</v>
      </c>
      <c r="IJ42">
        <v>10.44768</v>
      </c>
      <c r="IK42">
        <v>10.347099999999999</v>
      </c>
      <c r="IL42">
        <v>6.575825</v>
      </c>
      <c r="IM42">
        <v>1.643321</v>
      </c>
      <c r="IN42">
        <v>6.2289329999999996</v>
      </c>
      <c r="IO42">
        <v>2.9206289999999999</v>
      </c>
      <c r="IP42">
        <v>3.7628840000000001</v>
      </c>
      <c r="IQ42">
        <v>5.7123010000000001</v>
      </c>
      <c r="IR42">
        <v>0.54263799999999995</v>
      </c>
      <c r="IS42">
        <v>1.683996</v>
      </c>
      <c r="IT42">
        <v>4.1241380000000003</v>
      </c>
      <c r="IU42">
        <v>4.2263130000000002</v>
      </c>
      <c r="IV42">
        <v>4.6517869999999997</v>
      </c>
      <c r="IW42">
        <v>5.214626</v>
      </c>
      <c r="IX42">
        <v>0.86858000000000002</v>
      </c>
      <c r="IY42">
        <v>7.5094060000000002</v>
      </c>
      <c r="IZ42">
        <v>1.806991</v>
      </c>
      <c r="JA42">
        <v>8.6067739999999997</v>
      </c>
      <c r="JB42">
        <v>0.43818000000000001</v>
      </c>
      <c r="JC42">
        <v>1.757911</v>
      </c>
      <c r="JD42">
        <v>0.79563200000000001</v>
      </c>
      <c r="JE42">
        <v>15.21909</v>
      </c>
      <c r="JF42">
        <v>0.27554600000000001</v>
      </c>
      <c r="JG42">
        <v>1.413564</v>
      </c>
      <c r="JH42">
        <v>19.758130000000001</v>
      </c>
      <c r="JI42">
        <v>7.2181030000000002</v>
      </c>
      <c r="JJ42">
        <v>12.67376</v>
      </c>
      <c r="JK42">
        <v>32.260339999999999</v>
      </c>
      <c r="JL42">
        <v>2.086039</v>
      </c>
      <c r="JM42">
        <v>4.6655749999999996</v>
      </c>
      <c r="JN42">
        <v>0.43037300000000001</v>
      </c>
      <c r="JO42">
        <v>1.207684</v>
      </c>
      <c r="JP42">
        <v>2.7421449999999998</v>
      </c>
      <c r="JQ42">
        <v>3.213257</v>
      </c>
      <c r="JR42">
        <v>3.0999310000000002</v>
      </c>
      <c r="JS42">
        <v>3.8334440000000001</v>
      </c>
      <c r="JT42">
        <v>0.72284999999999999</v>
      </c>
      <c r="JU42">
        <v>3.4529399999999999</v>
      </c>
      <c r="JV42">
        <v>1.036794</v>
      </c>
      <c r="JW42">
        <v>7.0582089999999997</v>
      </c>
      <c r="JX42">
        <v>0.38397799999999999</v>
      </c>
      <c r="JY42">
        <v>1.1291359999999999</v>
      </c>
      <c r="JZ42">
        <v>0.65489799999999998</v>
      </c>
      <c r="KA42">
        <v>7.9802730000000004</v>
      </c>
      <c r="KB42">
        <v>7.5829999999999995E-2</v>
      </c>
      <c r="KC42">
        <v>0.45433200000000001</v>
      </c>
      <c r="KD42">
        <v>15.124560000000001</v>
      </c>
      <c r="KE42">
        <v>5.2698150000000004</v>
      </c>
      <c r="KF42">
        <v>11.26976</v>
      </c>
      <c r="KG42">
        <v>26.394870000000001</v>
      </c>
      <c r="KH42">
        <v>9721.2009999999991</v>
      </c>
      <c r="KI42">
        <v>9068.9670000000006</v>
      </c>
      <c r="KJ42">
        <v>5592.7430000000004</v>
      </c>
      <c r="KK42">
        <v>2453.5300000000002</v>
      </c>
      <c r="KL42">
        <v>952.77350000000001</v>
      </c>
      <c r="KM42">
        <v>300.32510000000002</v>
      </c>
      <c r="KN42">
        <v>317.10149999999999</v>
      </c>
      <c r="KO42">
        <v>0</v>
      </c>
      <c r="KP42">
        <v>22556.82</v>
      </c>
      <c r="KQ42">
        <v>5849.8230000000003</v>
      </c>
      <c r="KR42">
        <v>0</v>
      </c>
      <c r="KS42">
        <v>10685.49</v>
      </c>
      <c r="KT42">
        <v>7599.9759999999997</v>
      </c>
      <c r="KU42">
        <v>5086.7820000000002</v>
      </c>
      <c r="KV42">
        <v>2684.8339999999998</v>
      </c>
      <c r="KW42">
        <v>874.03319999999997</v>
      </c>
      <c r="KX42">
        <v>275.16079999999999</v>
      </c>
      <c r="KY42">
        <v>166.2218</v>
      </c>
      <c r="KZ42">
        <v>0</v>
      </c>
      <c r="LA42">
        <v>17197.16</v>
      </c>
      <c r="LB42">
        <v>10175.33</v>
      </c>
      <c r="LC42">
        <v>0</v>
      </c>
      <c r="LD42" s="21">
        <v>163000000</v>
      </c>
      <c r="LE42" s="21">
        <v>405000000</v>
      </c>
      <c r="LF42" s="21">
        <v>931000000</v>
      </c>
      <c r="LG42" s="21">
        <v>767000000</v>
      </c>
      <c r="LH42" s="21">
        <v>518000000</v>
      </c>
      <c r="LI42" s="21">
        <v>210000000</v>
      </c>
      <c r="LJ42" s="21">
        <v>107000000</v>
      </c>
      <c r="LK42" s="21">
        <v>3.36E-6</v>
      </c>
      <c r="LL42" s="21">
        <v>6.7399999999999998E-6</v>
      </c>
      <c r="LM42" s="21">
        <v>1.2799999999999999E-5</v>
      </c>
      <c r="LN42" s="21">
        <v>2.83E-5</v>
      </c>
      <c r="LO42" s="21">
        <v>4.7800000000000003E-5</v>
      </c>
      <c r="LP42" s="21">
        <v>7.3899999999999994E-5</v>
      </c>
      <c r="LQ42">
        <v>1.1E-4</v>
      </c>
      <c r="LR42" s="21">
        <v>397000000</v>
      </c>
      <c r="LS42" s="21">
        <v>554000000</v>
      </c>
      <c r="LT42" s="21">
        <v>866000000</v>
      </c>
      <c r="LU42" s="21">
        <v>615000000</v>
      </c>
      <c r="LV42" s="21">
        <v>427000000</v>
      </c>
      <c r="LW42" s="21">
        <v>161000000</v>
      </c>
      <c r="LX42">
        <v>80658431</v>
      </c>
      <c r="LY42" s="21">
        <v>8.0900000000000005E-6</v>
      </c>
      <c r="LZ42" s="21">
        <v>1.52E-5</v>
      </c>
      <c r="MA42" s="21">
        <v>2.7800000000000001E-5</v>
      </c>
      <c r="MB42" s="21">
        <v>5.8799999999999999E-5</v>
      </c>
      <c r="MC42" s="21">
        <v>8.8200000000000003E-5</v>
      </c>
      <c r="MD42">
        <v>1.2799999999999999E-4</v>
      </c>
      <c r="ME42">
        <v>1.7699999999999999E-4</v>
      </c>
      <c r="MF42">
        <v>0.42966399999999999</v>
      </c>
      <c r="MG42">
        <v>0.29702899999999999</v>
      </c>
      <c r="MH42">
        <v>0.18515100000000001</v>
      </c>
      <c r="MI42">
        <v>8.8150999999999993E-2</v>
      </c>
      <c r="MJ42" s="21">
        <v>4.7600000000000002E-6</v>
      </c>
      <c r="MK42">
        <v>0</v>
      </c>
      <c r="ML42">
        <v>0</v>
      </c>
      <c r="MM42">
        <v>1.6505000000000001</v>
      </c>
      <c r="MN42">
        <v>1.115408</v>
      </c>
      <c r="MO42">
        <v>0.69813000000000003</v>
      </c>
      <c r="MP42">
        <v>0.33718599999999999</v>
      </c>
      <c r="MQ42">
        <v>-2.6331E-2</v>
      </c>
      <c r="MR42">
        <v>-0.44980500000000001</v>
      </c>
      <c r="MS42">
        <v>-2.325088</v>
      </c>
      <c r="MT42">
        <v>0.47051500000000002</v>
      </c>
      <c r="MU42">
        <v>0.26473400000000002</v>
      </c>
      <c r="MV42">
        <v>0.173842</v>
      </c>
      <c r="MW42">
        <v>9.0909000000000004E-2</v>
      </c>
      <c r="MX42">
        <v>0</v>
      </c>
      <c r="MY42">
        <v>0</v>
      </c>
      <c r="MZ42">
        <v>0</v>
      </c>
      <c r="NA42">
        <v>3.114455</v>
      </c>
      <c r="NB42">
        <v>1.727169</v>
      </c>
      <c r="NC42">
        <v>1.134439</v>
      </c>
      <c r="ND42">
        <v>0.59483600000000003</v>
      </c>
      <c r="NE42">
        <v>-8.8916999999999996E-2</v>
      </c>
      <c r="NF42">
        <v>-0.90024999999999999</v>
      </c>
      <c r="NG42">
        <v>-4.5817329999999998</v>
      </c>
      <c r="NH42">
        <v>5.3639999999999998E-3</v>
      </c>
      <c r="NI42">
        <v>5.9540000000000001E-3</v>
      </c>
      <c r="NJ42">
        <v>9.2910000000000006E-3</v>
      </c>
      <c r="NK42">
        <v>3.7378000000000002E-2</v>
      </c>
      <c r="NL42">
        <v>4.6788999999999997E-2</v>
      </c>
      <c r="NM42">
        <v>0.101011</v>
      </c>
      <c r="NN42">
        <v>5.3639999999999998E-3</v>
      </c>
      <c r="NO42">
        <v>5.9540000000000001E-3</v>
      </c>
      <c r="NP42">
        <v>9.2910000000000006E-3</v>
      </c>
      <c r="NQ42">
        <v>3.7378000000000002E-2</v>
      </c>
      <c r="NR42">
        <v>4.6788999999999997E-2</v>
      </c>
      <c r="NS42">
        <v>0.101011</v>
      </c>
      <c r="NT42">
        <v>2.7300000000000001E-2</v>
      </c>
      <c r="NU42">
        <v>2.7851999999999998E-2</v>
      </c>
      <c r="NV42">
        <v>3.1729E-2</v>
      </c>
      <c r="NW42">
        <v>5.2644000000000003E-2</v>
      </c>
      <c r="NX42">
        <v>5.8834999999999998E-2</v>
      </c>
      <c r="NY42">
        <v>0.110234</v>
      </c>
      <c r="NZ42">
        <v>2.7300000000000001E-2</v>
      </c>
      <c r="OA42">
        <v>2.7851999999999998E-2</v>
      </c>
      <c r="OB42">
        <v>3.1729E-2</v>
      </c>
      <c r="OC42">
        <v>5.2644000000000003E-2</v>
      </c>
      <c r="OD42">
        <v>5.8834999999999998E-2</v>
      </c>
      <c r="OE42">
        <v>0.110234</v>
      </c>
      <c r="OF42">
        <v>37.47343</v>
      </c>
      <c r="OG42">
        <v>21109.54</v>
      </c>
      <c r="OH42">
        <v>20436.990000000002</v>
      </c>
      <c r="OI42">
        <v>6486.7089999999998</v>
      </c>
      <c r="OJ42">
        <v>23.921220000000002</v>
      </c>
      <c r="OK42">
        <v>16407.009999999998</v>
      </c>
      <c r="OL42">
        <v>17248.810000000001</v>
      </c>
      <c r="OM42">
        <v>5809.5290000000005</v>
      </c>
      <c r="ON42">
        <v>1938811</v>
      </c>
      <c r="OO42">
        <v>2049753</v>
      </c>
      <c r="OP42">
        <v>15444.93</v>
      </c>
      <c r="OQ42">
        <v>8747.4789999999994</v>
      </c>
      <c r="OR42">
        <v>6047.5039999999999</v>
      </c>
      <c r="OS42">
        <v>609.99649999999997</v>
      </c>
      <c r="OT42">
        <v>2024.799</v>
      </c>
      <c r="OU42">
        <v>1471.36</v>
      </c>
      <c r="OV42">
        <v>412.70420000000001</v>
      </c>
      <c r="OW42">
        <v>1691.2339999999999</v>
      </c>
      <c r="OX42">
        <v>1529.299</v>
      </c>
      <c r="OY42">
        <v>1191.383</v>
      </c>
      <c r="OZ42">
        <v>677.42139999999995</v>
      </c>
      <c r="PA42">
        <v>24010.29</v>
      </c>
      <c r="PB42">
        <v>9502.0040000000008</v>
      </c>
      <c r="PC42">
        <v>1989.9179999999999</v>
      </c>
      <c r="PD42">
        <v>3409.68</v>
      </c>
      <c r="PE42">
        <v>8740.7240000000002</v>
      </c>
      <c r="PF42">
        <v>1704.3620000000001</v>
      </c>
      <c r="PG42">
        <v>3372.5819999999999</v>
      </c>
      <c r="PH42">
        <v>255278.6</v>
      </c>
      <c r="PI42">
        <v>108765.2</v>
      </c>
      <c r="PJ42">
        <v>2.0237430000000001</v>
      </c>
      <c r="PK42">
        <v>395.29410000000001</v>
      </c>
      <c r="PL42">
        <v>65.27628</v>
      </c>
      <c r="PM42">
        <v>2844.4209999999998</v>
      </c>
      <c r="PN42">
        <v>483.53</v>
      </c>
      <c r="PO42">
        <v>175.51089999999999</v>
      </c>
      <c r="PP42">
        <v>267.1583</v>
      </c>
      <c r="PQ42">
        <v>596.97199999999998</v>
      </c>
      <c r="PR42">
        <v>103.0882</v>
      </c>
      <c r="PS42">
        <v>633.66129999999998</v>
      </c>
      <c r="PT42">
        <v>1278.7339999999999</v>
      </c>
      <c r="PU42">
        <v>358.084</v>
      </c>
      <c r="PV42">
        <v>635.79200000000003</v>
      </c>
      <c r="PW42">
        <v>45.099550000000001</v>
      </c>
      <c r="PX42">
        <v>110.6754</v>
      </c>
      <c r="PY42">
        <v>547.23850000000004</v>
      </c>
      <c r="PZ42">
        <v>105.6858</v>
      </c>
      <c r="QA42">
        <v>465269.7</v>
      </c>
      <c r="QB42">
        <v>9310.7019999999993</v>
      </c>
      <c r="QC42">
        <v>85888.97</v>
      </c>
      <c r="QD42">
        <v>9985.4940000000006</v>
      </c>
      <c r="QE42">
        <v>7844.9359999999997</v>
      </c>
      <c r="QF42">
        <v>5798.6629999999996</v>
      </c>
      <c r="QG42">
        <v>3163.3440000000001</v>
      </c>
      <c r="QH42">
        <v>0.238041</v>
      </c>
      <c r="QI42" s="21">
        <v>2.27E-5</v>
      </c>
      <c r="QJ42">
        <v>2.1100000000000001E-4</v>
      </c>
      <c r="QK42">
        <v>19052.79</v>
      </c>
      <c r="QL42">
        <v>10501.85</v>
      </c>
      <c r="QM42">
        <v>5748.7610000000004</v>
      </c>
      <c r="QN42">
        <v>805.72270000000003</v>
      </c>
      <c r="QO42">
        <v>3264.5929999999998</v>
      </c>
      <c r="QP42">
        <v>1757.8009999999999</v>
      </c>
      <c r="QQ42">
        <v>744.53210000000001</v>
      </c>
      <c r="QR42">
        <v>1869.9179999999999</v>
      </c>
      <c r="QS42">
        <v>1536.9880000000001</v>
      </c>
      <c r="QT42">
        <v>1807.682</v>
      </c>
      <c r="QU42">
        <v>740.53099999999995</v>
      </c>
      <c r="QV42">
        <v>25275.33</v>
      </c>
      <c r="QW42">
        <v>10793.46</v>
      </c>
      <c r="QX42">
        <v>2406.8240000000001</v>
      </c>
      <c r="QY42">
        <v>4410.8770000000004</v>
      </c>
      <c r="QZ42">
        <v>14970.17</v>
      </c>
      <c r="RA42">
        <v>2677.25</v>
      </c>
      <c r="RB42">
        <v>7523.8209999999999</v>
      </c>
      <c r="RC42">
        <v>270107.40000000002</v>
      </c>
      <c r="RD42">
        <v>112171.2</v>
      </c>
      <c r="RE42">
        <v>0.68773700000000004</v>
      </c>
      <c r="RF42">
        <v>168.6207</v>
      </c>
      <c r="RG42">
        <v>1210.876</v>
      </c>
      <c r="RH42">
        <v>1117.383</v>
      </c>
      <c r="RI42">
        <v>2.160917</v>
      </c>
      <c r="RJ42">
        <v>160.90700000000001</v>
      </c>
      <c r="RK42">
        <v>0.24274399999999999</v>
      </c>
      <c r="RL42">
        <v>8131.8239999999996</v>
      </c>
      <c r="RM42">
        <v>7749.1980000000003</v>
      </c>
      <c r="RN42">
        <v>355.72269999999997</v>
      </c>
      <c r="RO42">
        <v>1249.029</v>
      </c>
      <c r="RP42">
        <v>83.669079999999994</v>
      </c>
      <c r="RQ42">
        <v>753.60659999999996</v>
      </c>
      <c r="RR42">
        <v>560.69140000000004</v>
      </c>
      <c r="RS42">
        <v>249.74270000000001</v>
      </c>
      <c r="RT42">
        <v>2776.8789999999999</v>
      </c>
      <c r="RU42">
        <v>1711.4159999999999</v>
      </c>
      <c r="RV42">
        <v>524450.1</v>
      </c>
      <c r="RW42">
        <v>15782.7</v>
      </c>
      <c r="RX42">
        <v>83109.100000000006</v>
      </c>
      <c r="RY42">
        <v>10299.4</v>
      </c>
      <c r="RZ42">
        <v>6585.6490000000003</v>
      </c>
      <c r="SA42">
        <v>5128.0749999999998</v>
      </c>
      <c r="SB42">
        <v>3072.732</v>
      </c>
      <c r="SC42" s="21">
        <v>-7.08E-5</v>
      </c>
      <c r="SD42" s="21">
        <v>1.8700000000000001E-6</v>
      </c>
      <c r="SE42" s="21">
        <v>1.3699999999999999E-5</v>
      </c>
      <c r="SF42">
        <v>30498.7</v>
      </c>
      <c r="SG42">
        <v>37.47343</v>
      </c>
      <c r="SH42">
        <v>5301.1189999999997</v>
      </c>
      <c r="SI42">
        <v>18673.400000000001</v>
      </c>
      <c r="SJ42">
        <v>6486.7089999999998</v>
      </c>
      <c r="SK42">
        <v>23895.25</v>
      </c>
      <c r="SL42">
        <v>23.921220000000002</v>
      </c>
      <c r="SM42">
        <v>3879.471</v>
      </c>
      <c r="SN42">
        <v>14182.33</v>
      </c>
      <c r="SO42">
        <v>5809.5290000000005</v>
      </c>
      <c r="SP42">
        <v>142287.20000000001</v>
      </c>
      <c r="SQ42">
        <v>62764.3</v>
      </c>
      <c r="SR42">
        <v>146992.79999999999</v>
      </c>
      <c r="SS42">
        <v>72336.14</v>
      </c>
      <c r="ST42">
        <v>32.260339999999999</v>
      </c>
      <c r="SU42">
        <v>0.22570299999999999</v>
      </c>
      <c r="SV42">
        <v>3.8154059999999999</v>
      </c>
      <c r="SW42">
        <v>13.332380000000001</v>
      </c>
      <c r="SX42">
        <v>14.88686</v>
      </c>
      <c r="SY42">
        <v>26.394870000000001</v>
      </c>
      <c r="SZ42">
        <v>0.14407800000000001</v>
      </c>
      <c r="TA42">
        <v>2.7921939999999998</v>
      </c>
      <c r="TB42">
        <v>10.12585</v>
      </c>
      <c r="TC42">
        <v>13.332739999999999</v>
      </c>
      <c r="TD42">
        <v>26930.61</v>
      </c>
      <c r="TE42">
        <v>831.70299999999997</v>
      </c>
      <c r="TF42">
        <v>543.87130000000002</v>
      </c>
      <c r="TG42">
        <v>211.40459999999999</v>
      </c>
      <c r="TH42">
        <v>49.885190000000001</v>
      </c>
      <c r="TI42">
        <v>105.6262</v>
      </c>
      <c r="TJ42">
        <v>83.756640000000004</v>
      </c>
      <c r="TK42">
        <v>24.027370000000001</v>
      </c>
      <c r="TL42">
        <v>26.401340000000001</v>
      </c>
      <c r="TM42">
        <v>161.5831</v>
      </c>
      <c r="TN42">
        <v>37.739319999999999</v>
      </c>
      <c r="TO42">
        <v>24.521599999999999</v>
      </c>
      <c r="TP42">
        <v>1998.059</v>
      </c>
      <c r="TQ42">
        <v>2045.21</v>
      </c>
      <c r="TR42">
        <v>109.8327</v>
      </c>
      <c r="TS42">
        <v>212.31729999999999</v>
      </c>
      <c r="TT42">
        <v>423.74630000000002</v>
      </c>
      <c r="TU42">
        <v>41.81277</v>
      </c>
      <c r="TV42">
        <v>73.786249999999995</v>
      </c>
      <c r="TW42">
        <v>12952.65</v>
      </c>
      <c r="TX42">
        <v>6864.9930000000004</v>
      </c>
      <c r="TY42">
        <v>0.470775</v>
      </c>
      <c r="TZ42">
        <v>6.8879339999999996</v>
      </c>
      <c r="UA42">
        <v>3.3240259999999999</v>
      </c>
      <c r="UB42">
        <v>55.694200000000002</v>
      </c>
      <c r="UC42">
        <v>0.67229300000000003</v>
      </c>
      <c r="UD42">
        <v>2.2334710000000002</v>
      </c>
      <c r="UE42">
        <v>4.0838320000000001</v>
      </c>
      <c r="UF42">
        <v>1.505808</v>
      </c>
      <c r="UG42">
        <v>0.73405600000000004</v>
      </c>
      <c r="UH42">
        <v>9.7533630000000002</v>
      </c>
      <c r="UI42">
        <v>4.7056329999999997</v>
      </c>
      <c r="UJ42">
        <v>11.26057</v>
      </c>
      <c r="UK42">
        <v>4.2366910000000004</v>
      </c>
      <c r="UL42">
        <v>0.30899199999999999</v>
      </c>
      <c r="UM42">
        <v>0.34728799999999999</v>
      </c>
      <c r="UN42">
        <v>1.210801</v>
      </c>
      <c r="UO42">
        <v>0.26038299999999998</v>
      </c>
      <c r="UP42">
        <v>27280.11</v>
      </c>
      <c r="UQ42">
        <v>823.39170000000001</v>
      </c>
      <c r="UR42">
        <v>555.69240000000002</v>
      </c>
      <c r="US42">
        <v>200.6437</v>
      </c>
      <c r="UT42">
        <v>50.738390000000003</v>
      </c>
      <c r="UU42">
        <v>116.9952</v>
      </c>
      <c r="UV42">
        <v>85.967299999999994</v>
      </c>
      <c r="UW42">
        <v>22.875250000000001</v>
      </c>
      <c r="UX42">
        <v>24.558589999999999</v>
      </c>
      <c r="UY42">
        <v>166.6353</v>
      </c>
      <c r="UZ42">
        <v>37.191650000000003</v>
      </c>
      <c r="VA42">
        <v>22.284759999999999</v>
      </c>
      <c r="VB42">
        <v>1958.4480000000001</v>
      </c>
      <c r="VC42">
        <v>2177.0810000000001</v>
      </c>
      <c r="VD42">
        <v>112.21599999999999</v>
      </c>
      <c r="VE42">
        <v>224.04650000000001</v>
      </c>
      <c r="VF42">
        <v>391.10559999999998</v>
      </c>
      <c r="VG42">
        <v>32.937460000000002</v>
      </c>
      <c r="VH42">
        <v>71.162629999999993</v>
      </c>
      <c r="VI42">
        <v>13174.11</v>
      </c>
      <c r="VJ42">
        <v>6886.6639999999998</v>
      </c>
      <c r="VK42">
        <v>0.22341900000000001</v>
      </c>
      <c r="VL42">
        <v>3.6748409999999998</v>
      </c>
      <c r="VM42">
        <v>40.286099999999998</v>
      </c>
      <c r="VN42">
        <v>26.524930000000001</v>
      </c>
      <c r="VO42">
        <v>4.1091999999999997E-2</v>
      </c>
      <c r="VP42">
        <v>2.1437580000000001</v>
      </c>
      <c r="VQ42">
        <v>0.120361</v>
      </c>
      <c r="VR42">
        <v>14.003220000000001</v>
      </c>
      <c r="VS42">
        <v>26.845569999999999</v>
      </c>
      <c r="VT42">
        <v>6.7761779999999998</v>
      </c>
      <c r="VU42">
        <v>4.8066449999999996</v>
      </c>
      <c r="VV42">
        <v>4.3328790000000001</v>
      </c>
      <c r="VW42">
        <v>5.0033539999999999</v>
      </c>
      <c r="VX42">
        <v>2.4475380000000002</v>
      </c>
      <c r="VY42">
        <v>0.69163300000000005</v>
      </c>
      <c r="VZ42">
        <v>5.1198370000000004</v>
      </c>
      <c r="WA42">
        <v>2.3251559999999998</v>
      </c>
      <c r="WB42">
        <v>0.12812100000000001</v>
      </c>
      <c r="WC42">
        <v>0.113676</v>
      </c>
      <c r="WD42">
        <v>-2.8548E-2</v>
      </c>
      <c r="WE42">
        <v>-1.7028999999999999E-2</v>
      </c>
      <c r="WF42">
        <v>0.75120399999999998</v>
      </c>
      <c r="WG42">
        <v>0.392733</v>
      </c>
      <c r="WH42">
        <v>-4.1933999999999999E-2</v>
      </c>
      <c r="WI42">
        <v>-1.7909000000000001E-2</v>
      </c>
      <c r="WJ42">
        <v>3039269</v>
      </c>
      <c r="WK42">
        <v>3091163</v>
      </c>
    </row>
    <row r="43" spans="1:609" x14ac:dyDescent="0.25">
      <c r="A43">
        <v>2044</v>
      </c>
      <c r="B43">
        <v>1.761854</v>
      </c>
      <c r="C43">
        <v>173.65119999999999</v>
      </c>
      <c r="D43">
        <v>6.7364480000000002</v>
      </c>
      <c r="E43">
        <v>12.924189999999999</v>
      </c>
      <c r="F43">
        <v>-12.105930000000001</v>
      </c>
      <c r="G43">
        <v>5.8968809999999996</v>
      </c>
      <c r="H43">
        <v>-1.440482</v>
      </c>
      <c r="I43">
        <v>1.3092569999999999</v>
      </c>
      <c r="J43">
        <v>30.721150000000002</v>
      </c>
      <c r="K43">
        <v>0.84296499999999996</v>
      </c>
      <c r="L43">
        <v>29.628430000000002</v>
      </c>
      <c r="M43">
        <v>1.3397559999999999</v>
      </c>
      <c r="N43">
        <v>0</v>
      </c>
      <c r="O43">
        <v>-38.114870000000003</v>
      </c>
      <c r="P43">
        <v>-2.5354420000000002</v>
      </c>
      <c r="Q43">
        <v>-66.602040000000002</v>
      </c>
      <c r="R43">
        <v>27.924710000000001</v>
      </c>
      <c r="S43">
        <v>100</v>
      </c>
      <c r="T43">
        <v>863.06769999999995</v>
      </c>
      <c r="U43">
        <v>200.59139999999999</v>
      </c>
      <c r="V43">
        <v>485.11160000000001</v>
      </c>
      <c r="W43">
        <v>1.4371560000000001</v>
      </c>
      <c r="X43">
        <v>45107.54</v>
      </c>
      <c r="Y43">
        <v>0.12733700000000001</v>
      </c>
      <c r="Z43">
        <v>0.19853299999999999</v>
      </c>
      <c r="AA43">
        <v>6.419581</v>
      </c>
      <c r="AB43">
        <v>-1.143645</v>
      </c>
      <c r="AC43">
        <v>4.3327999999999998E-2</v>
      </c>
      <c r="AD43">
        <v>84527.06</v>
      </c>
      <c r="AE43">
        <v>1275483</v>
      </c>
      <c r="AF43">
        <v>1401625</v>
      </c>
      <c r="AG43">
        <v>158628</v>
      </c>
      <c r="AH43">
        <v>652578.19999999995</v>
      </c>
      <c r="AI43">
        <v>-5.2469999999999999E-3</v>
      </c>
      <c r="AJ43">
        <v>290.66430000000003</v>
      </c>
      <c r="AK43">
        <v>6555.6239999999998</v>
      </c>
      <c r="AL43">
        <v>587.11569999999995</v>
      </c>
      <c r="AM43">
        <v>96.303319999999999</v>
      </c>
      <c r="AN43">
        <v>2172.018</v>
      </c>
      <c r="AO43">
        <v>194.524</v>
      </c>
      <c r="AP43">
        <v>4545.2020000000002</v>
      </c>
      <c r="AQ43">
        <v>1505.923</v>
      </c>
      <c r="AR43">
        <v>1450.8330000000001</v>
      </c>
      <c r="AS43">
        <v>585.41880000000003</v>
      </c>
      <c r="AT43">
        <v>3280.2930000000001</v>
      </c>
      <c r="AU43">
        <v>1244.1379999999999</v>
      </c>
      <c r="AV43">
        <v>198.1448</v>
      </c>
      <c r="AW43">
        <v>1.6081430000000001</v>
      </c>
      <c r="AX43">
        <v>0.94400499999999998</v>
      </c>
      <c r="AY43">
        <v>3.4477060000000002</v>
      </c>
      <c r="AZ43">
        <v>-6.1533160000000002</v>
      </c>
      <c r="BA43">
        <v>0.90707199999999999</v>
      </c>
      <c r="BB43">
        <v>8.2632860000000008</v>
      </c>
      <c r="BC43">
        <v>0.47065899999999999</v>
      </c>
      <c r="BD43">
        <v>2.8595359999999999</v>
      </c>
      <c r="BE43">
        <v>-8.3828750000000003</v>
      </c>
      <c r="BF43">
        <v>1.1244460000000001</v>
      </c>
      <c r="BG43">
        <v>1.1685479999999999</v>
      </c>
      <c r="BH43">
        <v>-7.168533</v>
      </c>
      <c r="BI43">
        <v>-1.93866</v>
      </c>
      <c r="BJ43">
        <v>6.6581320000000002</v>
      </c>
      <c r="BK43">
        <v>2.859944</v>
      </c>
      <c r="BL43">
        <v>5.15062</v>
      </c>
      <c r="BM43">
        <v>-7.4922719999999998</v>
      </c>
      <c r="BN43">
        <v>-22.678830000000001</v>
      </c>
      <c r="BO43">
        <v>-8.9532640000000008</v>
      </c>
      <c r="BP43">
        <v>2.193349</v>
      </c>
      <c r="BQ43">
        <v>0.74046299999999998</v>
      </c>
      <c r="BR43">
        <v>-111.0744</v>
      </c>
      <c r="BS43">
        <v>-50.036380000000001</v>
      </c>
      <c r="BT43">
        <v>983.45029999999997</v>
      </c>
      <c r="BU43">
        <v>-51.742629999999998</v>
      </c>
      <c r="BV43">
        <v>-94.77628</v>
      </c>
      <c r="BW43">
        <v>-5.0262380000000002</v>
      </c>
      <c r="BX43">
        <v>-98.015839999999997</v>
      </c>
      <c r="BY43">
        <v>725.27030000000002</v>
      </c>
      <c r="BZ43">
        <v>3075.2330000000002</v>
      </c>
      <c r="CA43">
        <v>-29.092099999999999</v>
      </c>
      <c r="CB43">
        <v>-10.95926</v>
      </c>
      <c r="CC43">
        <v>-56.977069999999998</v>
      </c>
      <c r="CD43">
        <v>8.8728630000000006</v>
      </c>
      <c r="CE43">
        <v>625.43280000000004</v>
      </c>
      <c r="CF43">
        <v>87.676190000000005</v>
      </c>
      <c r="CG43">
        <v>313.66910000000001</v>
      </c>
      <c r="CH43">
        <v>683.36659999999995</v>
      </c>
      <c r="CI43">
        <v>24.056000000000001</v>
      </c>
      <c r="CJ43">
        <v>20.97634</v>
      </c>
      <c r="CK43">
        <v>-5.4843679999999999</v>
      </c>
      <c r="CL43">
        <v>33.124310000000001</v>
      </c>
      <c r="CM43">
        <v>63.305100000000003</v>
      </c>
      <c r="CN43">
        <v>20.378419999999998</v>
      </c>
      <c r="CO43">
        <v>82.694739999999996</v>
      </c>
      <c r="CP43">
        <v>11.83306</v>
      </c>
      <c r="CQ43">
        <v>0.71217600000000003</v>
      </c>
      <c r="CR43">
        <v>52.497019999999999</v>
      </c>
      <c r="CS43">
        <v>9.5314530000000008</v>
      </c>
      <c r="CT43">
        <v>5.4407930000000002</v>
      </c>
      <c r="CU43">
        <v>14.514749999999999</v>
      </c>
      <c r="CV43">
        <v>20.846620000000001</v>
      </c>
      <c r="CW43">
        <v>30.014099999999999</v>
      </c>
      <c r="CX43">
        <v>73.351140000000001</v>
      </c>
      <c r="CY43">
        <v>58.550890000000003</v>
      </c>
      <c r="CZ43">
        <v>125.7189</v>
      </c>
      <c r="DA43">
        <v>6.1906679999999996</v>
      </c>
      <c r="DB43">
        <v>3.3160970000000001</v>
      </c>
      <c r="DC43">
        <v>-65.913839999999993</v>
      </c>
      <c r="DD43">
        <v>-59.808329999999998</v>
      </c>
      <c r="DE43">
        <v>1962.8430000000001</v>
      </c>
      <c r="DF43">
        <v>-61.007150000000003</v>
      </c>
      <c r="DG43">
        <v>-99.654250000000005</v>
      </c>
      <c r="DH43">
        <v>-8.6474829999999994</v>
      </c>
      <c r="DI43">
        <v>-99.935640000000006</v>
      </c>
      <c r="DJ43">
        <v>1170.893</v>
      </c>
      <c r="DK43">
        <v>7060.5169999999998</v>
      </c>
      <c r="DL43">
        <v>-44.16066</v>
      </c>
      <c r="DM43">
        <v>-7.1339519999999998</v>
      </c>
      <c r="DN43">
        <v>-77.616429999999994</v>
      </c>
      <c r="DO43">
        <v>16.78267</v>
      </c>
      <c r="DP43">
        <v>1137.527</v>
      </c>
      <c r="DQ43">
        <v>130.35210000000001</v>
      </c>
      <c r="DR43">
        <v>450.58280000000002</v>
      </c>
      <c r="DS43">
        <v>1489.336</v>
      </c>
      <c r="DT43">
        <v>0.104328</v>
      </c>
      <c r="DU43">
        <v>7.2725439999999999</v>
      </c>
      <c r="DV43">
        <v>2.2752340000000002</v>
      </c>
      <c r="DW43">
        <v>8.6052</v>
      </c>
      <c r="DX43">
        <v>7.7478530000000001</v>
      </c>
      <c r="DY43">
        <v>8.5693230000000007</v>
      </c>
      <c r="DZ43">
        <v>6.3614119999999996</v>
      </c>
      <c r="EA43">
        <v>10.17625</v>
      </c>
      <c r="EB43">
        <v>13.075340000000001</v>
      </c>
      <c r="EC43">
        <v>0</v>
      </c>
      <c r="ED43">
        <v>12.045820000000001</v>
      </c>
      <c r="EE43">
        <v>9.9643929999999994</v>
      </c>
      <c r="EF43">
        <v>6.7942359999999997</v>
      </c>
      <c r="EG43">
        <v>3.6852450000000001</v>
      </c>
      <c r="EH43">
        <v>5.5089689999999996</v>
      </c>
      <c r="EI43">
        <v>-1.151899</v>
      </c>
      <c r="EJ43">
        <v>4.615272</v>
      </c>
      <c r="EK43">
        <v>-4.4273059999999997</v>
      </c>
      <c r="EL43">
        <v>7.1686779999999999</v>
      </c>
      <c r="EM43">
        <v>7.0065710000000001</v>
      </c>
      <c r="EN43">
        <v>-36.458080000000002</v>
      </c>
      <c r="EO43">
        <v>-22.73105</v>
      </c>
      <c r="EP43">
        <v>-16.299849999999999</v>
      </c>
      <c r="EQ43">
        <v>-10.537000000000001</v>
      </c>
      <c r="ER43">
        <v>8.520016</v>
      </c>
      <c r="ES43">
        <v>57.606409999999997</v>
      </c>
      <c r="ET43">
        <v>1.5825670000000001</v>
      </c>
      <c r="EU43">
        <v>39.758450000000003</v>
      </c>
      <c r="EV43">
        <v>0.636185</v>
      </c>
      <c r="EW43">
        <v>2.3242799999999999</v>
      </c>
      <c r="EX43">
        <v>2.9352689999999999</v>
      </c>
      <c r="EY43">
        <v>0.92679199999999995</v>
      </c>
      <c r="EZ43">
        <v>0.12282800000000001</v>
      </c>
      <c r="FA43">
        <v>6.2642179999999996</v>
      </c>
      <c r="FB43">
        <v>2.0099089999999999</v>
      </c>
      <c r="FC43">
        <v>29.41704</v>
      </c>
      <c r="FD43">
        <v>8.0005030000000001</v>
      </c>
      <c r="FE43">
        <v>0.48319899999999999</v>
      </c>
      <c r="FF43">
        <v>0.74460099999999996</v>
      </c>
      <c r="FG43">
        <v>1.3386979999999999</v>
      </c>
      <c r="FH43">
        <v>0.30100900000000003</v>
      </c>
      <c r="FI43">
        <v>4.8346400000000003</v>
      </c>
      <c r="FJ43">
        <v>25.232990000000001</v>
      </c>
      <c r="FK43">
        <v>16.560669999999998</v>
      </c>
      <c r="FL43">
        <v>18.852509999999999</v>
      </c>
      <c r="FM43">
        <v>2.7483E-2</v>
      </c>
      <c r="FN43">
        <v>2.1743939999999999</v>
      </c>
      <c r="FO43">
        <v>5.8439999999999999E-2</v>
      </c>
      <c r="FP43">
        <v>7.538297</v>
      </c>
      <c r="FQ43">
        <v>3.843207</v>
      </c>
      <c r="FR43">
        <v>4.366492</v>
      </c>
      <c r="FS43">
        <v>1.7637579999999999</v>
      </c>
      <c r="FT43">
        <v>11.6487</v>
      </c>
      <c r="FU43">
        <v>10.06719</v>
      </c>
      <c r="FV43">
        <v>4.0791599999999999</v>
      </c>
      <c r="FW43">
        <v>1.6387050000000001</v>
      </c>
      <c r="FX43">
        <v>6.4391990000000003</v>
      </c>
      <c r="FY43">
        <v>2.8349540000000002</v>
      </c>
      <c r="FZ43">
        <v>6.2177350000000002</v>
      </c>
      <c r="GA43">
        <v>43.217260000000003</v>
      </c>
      <c r="GB43">
        <v>1.5825670000000001</v>
      </c>
      <c r="GC43">
        <v>35.817160000000001</v>
      </c>
      <c r="GD43">
        <v>0.57311999999999996</v>
      </c>
      <c r="GE43">
        <v>2.0938720000000002</v>
      </c>
      <c r="GF43">
        <v>2.6442939999999999</v>
      </c>
      <c r="GG43">
        <v>0.83491800000000005</v>
      </c>
      <c r="GH43">
        <v>0.110652</v>
      </c>
      <c r="GI43">
        <v>5.6432409999999997</v>
      </c>
      <c r="GJ43">
        <v>1.8106660000000001</v>
      </c>
      <c r="GK43">
        <v>27.713059999999999</v>
      </c>
      <c r="GL43">
        <v>8.0005030000000001</v>
      </c>
      <c r="GM43">
        <v>0.48319899999999999</v>
      </c>
      <c r="GN43">
        <v>0.74460099999999996</v>
      </c>
      <c r="GO43">
        <v>1.3386979999999999</v>
      </c>
      <c r="GP43">
        <v>0.30100900000000003</v>
      </c>
      <c r="GQ43">
        <v>2.7508210000000002</v>
      </c>
      <c r="GR43">
        <v>12.599320000000001</v>
      </c>
      <c r="GS43">
        <v>16.560669999999998</v>
      </c>
      <c r="GT43">
        <v>16.19239</v>
      </c>
      <c r="GU43">
        <v>2.3605000000000001E-2</v>
      </c>
      <c r="GV43">
        <v>1.867583</v>
      </c>
      <c r="GW43">
        <v>5.0194000000000003E-2</v>
      </c>
      <c r="GX43">
        <v>6.4746290000000002</v>
      </c>
      <c r="GY43">
        <v>3.3009240000000002</v>
      </c>
      <c r="GZ43">
        <v>3.750372</v>
      </c>
      <c r="HA43">
        <v>1.514888</v>
      </c>
      <c r="HB43">
        <v>10.152609999999999</v>
      </c>
      <c r="HC43">
        <v>10.06719</v>
      </c>
      <c r="HD43">
        <v>4.0791599999999999</v>
      </c>
      <c r="HE43">
        <v>1.6387050000000001</v>
      </c>
      <c r="HF43">
        <v>6.4391990000000003</v>
      </c>
      <c r="HG43">
        <v>2.8349540000000002</v>
      </c>
      <c r="HH43">
        <v>6.3298779999999999</v>
      </c>
      <c r="HI43">
        <v>46.451799999999999</v>
      </c>
      <c r="HJ43">
        <v>1.5825670000000001</v>
      </c>
      <c r="HK43">
        <v>143.53039999999999</v>
      </c>
      <c r="HL43">
        <v>1.3741699999999999</v>
      </c>
      <c r="HM43">
        <v>5.0204820000000003</v>
      </c>
      <c r="HN43">
        <v>6.3402289999999999</v>
      </c>
      <c r="HO43">
        <v>1.00193</v>
      </c>
      <c r="HP43">
        <v>0.13278599999999999</v>
      </c>
      <c r="HQ43">
        <v>6.7720840000000004</v>
      </c>
      <c r="HR43">
        <v>5.8747730000000002</v>
      </c>
      <c r="HS43">
        <v>27.903469999999999</v>
      </c>
      <c r="HT43">
        <v>8.1201600000000003</v>
      </c>
      <c r="HU43">
        <v>0.490425</v>
      </c>
      <c r="HV43">
        <v>0.75573800000000002</v>
      </c>
      <c r="HW43">
        <v>1.3587199999999999</v>
      </c>
      <c r="HX43">
        <v>0.30551099999999998</v>
      </c>
      <c r="HY43">
        <v>2.7862390000000001</v>
      </c>
      <c r="HZ43">
        <v>13.548590000000001</v>
      </c>
      <c r="IA43">
        <v>13.01201</v>
      </c>
      <c r="IB43">
        <v>61.424579999999999</v>
      </c>
      <c r="IC43">
        <v>2.7487999999999999E-2</v>
      </c>
      <c r="ID43">
        <v>4.173108</v>
      </c>
      <c r="IE43">
        <v>5.8451000000000003E-2</v>
      </c>
      <c r="IF43">
        <v>9.3582780000000003</v>
      </c>
      <c r="IG43">
        <v>4.1320040000000002</v>
      </c>
      <c r="IH43">
        <v>4.6946110000000001</v>
      </c>
      <c r="II43">
        <v>6.2128139999999998</v>
      </c>
      <c r="IJ43">
        <v>10.15657</v>
      </c>
      <c r="IK43">
        <v>10.07231</v>
      </c>
      <c r="IL43">
        <v>6.6910800000000004</v>
      </c>
      <c r="IM43">
        <v>1.639675</v>
      </c>
      <c r="IN43">
        <v>6.4429730000000003</v>
      </c>
      <c r="IO43">
        <v>2.8361100000000001</v>
      </c>
      <c r="IP43">
        <v>3.669387</v>
      </c>
      <c r="IQ43">
        <v>5.7053320000000003</v>
      </c>
      <c r="IR43">
        <v>0.53622800000000004</v>
      </c>
      <c r="IS43">
        <v>1.670804</v>
      </c>
      <c r="IT43">
        <v>4.1134149999999998</v>
      </c>
      <c r="IU43">
        <v>4.2195669999999996</v>
      </c>
      <c r="IV43">
        <v>4.6089270000000004</v>
      </c>
      <c r="IW43">
        <v>5.100568</v>
      </c>
      <c r="IX43">
        <v>0.87058500000000005</v>
      </c>
      <c r="IY43">
        <v>7.5437709999999996</v>
      </c>
      <c r="IZ43">
        <v>1.798521</v>
      </c>
      <c r="JA43">
        <v>8.5969130000000007</v>
      </c>
      <c r="JB43">
        <v>0.43868499999999999</v>
      </c>
      <c r="JC43">
        <v>1.7961290000000001</v>
      </c>
      <c r="JD43">
        <v>0.78827599999999998</v>
      </c>
      <c r="JE43">
        <v>14.885770000000001</v>
      </c>
      <c r="JF43">
        <v>0.269038</v>
      </c>
      <c r="JG43">
        <v>1.3759239999999999</v>
      </c>
      <c r="JH43">
        <v>19.592949999999998</v>
      </c>
      <c r="JI43">
        <v>7.2162009999999999</v>
      </c>
      <c r="JJ43">
        <v>12.35914</v>
      </c>
      <c r="JK43">
        <v>31.97043</v>
      </c>
      <c r="JL43">
        <v>1.9935659999999999</v>
      </c>
      <c r="JM43">
        <v>4.6463150000000004</v>
      </c>
      <c r="JN43">
        <v>0.419157</v>
      </c>
      <c r="JO43">
        <v>1.1908019999999999</v>
      </c>
      <c r="JP43">
        <v>2.7251370000000001</v>
      </c>
      <c r="JQ43">
        <v>3.1826460000000001</v>
      </c>
      <c r="JR43">
        <v>3.0288050000000002</v>
      </c>
      <c r="JS43">
        <v>3.6761200000000001</v>
      </c>
      <c r="JT43">
        <v>0.71705600000000003</v>
      </c>
      <c r="JU43">
        <v>3.4119649999999999</v>
      </c>
      <c r="JV43">
        <v>1.002594</v>
      </c>
      <c r="JW43">
        <v>7.0115550000000004</v>
      </c>
      <c r="JX43">
        <v>0.38877200000000001</v>
      </c>
      <c r="JY43">
        <v>1.1166849999999999</v>
      </c>
      <c r="JZ43">
        <v>0.63991399999999998</v>
      </c>
      <c r="KA43">
        <v>7.7086050000000004</v>
      </c>
      <c r="KB43">
        <v>7.4011999999999994E-2</v>
      </c>
      <c r="KC43">
        <v>0.43730200000000002</v>
      </c>
      <c r="KD43">
        <v>14.763159999999999</v>
      </c>
      <c r="KE43">
        <v>5.1759060000000003</v>
      </c>
      <c r="KF43">
        <v>10.995430000000001</v>
      </c>
      <c r="KG43">
        <v>25.991700000000002</v>
      </c>
      <c r="KH43">
        <v>9713.8739999999998</v>
      </c>
      <c r="KI43">
        <v>8872.0650000000005</v>
      </c>
      <c r="KJ43">
        <v>5475.8249999999998</v>
      </c>
      <c r="KK43">
        <v>2415.989</v>
      </c>
      <c r="KL43">
        <v>879.4873</v>
      </c>
      <c r="KM43">
        <v>277.22320000000002</v>
      </c>
      <c r="KN43">
        <v>292.709</v>
      </c>
      <c r="KO43">
        <v>0</v>
      </c>
      <c r="KP43">
        <v>21945.45</v>
      </c>
      <c r="KQ43">
        <v>5981.7250000000004</v>
      </c>
      <c r="KR43">
        <v>0</v>
      </c>
      <c r="KS43">
        <v>10676.05</v>
      </c>
      <c r="KT43">
        <v>7465.143</v>
      </c>
      <c r="KU43">
        <v>4991.009</v>
      </c>
      <c r="KV43">
        <v>2633.4009999999998</v>
      </c>
      <c r="KW43">
        <v>806.79989999999998</v>
      </c>
      <c r="KX43">
        <v>253.99459999999999</v>
      </c>
      <c r="KY43">
        <v>153.43549999999999</v>
      </c>
      <c r="KZ43">
        <v>0</v>
      </c>
      <c r="LA43">
        <v>16558.7</v>
      </c>
      <c r="LB43">
        <v>10421.129999999999</v>
      </c>
      <c r="LC43">
        <v>0</v>
      </c>
      <c r="LD43" s="21">
        <v>168000000</v>
      </c>
      <c r="LE43" s="21">
        <v>414000000</v>
      </c>
      <c r="LF43" s="21">
        <v>943000000</v>
      </c>
      <c r="LG43" s="21">
        <v>773000000</v>
      </c>
      <c r="LH43" s="21">
        <v>514000000</v>
      </c>
      <c r="LI43" s="21">
        <v>205000000</v>
      </c>
      <c r="LJ43" s="21">
        <v>104000000</v>
      </c>
      <c r="LK43" s="21">
        <v>3.4000000000000001E-6</v>
      </c>
      <c r="LL43" s="21">
        <v>6.8600000000000004E-6</v>
      </c>
      <c r="LM43" s="21">
        <v>1.31E-5</v>
      </c>
      <c r="LN43" s="21">
        <v>2.9E-5</v>
      </c>
      <c r="LO43" s="21">
        <v>4.9400000000000001E-5</v>
      </c>
      <c r="LP43" s="21">
        <v>7.6899999999999999E-5</v>
      </c>
      <c r="LQ43">
        <v>1.1400000000000001E-4</v>
      </c>
      <c r="LR43" s="21">
        <v>416000000</v>
      </c>
      <c r="LS43" s="21">
        <v>566000000</v>
      </c>
      <c r="LT43" s="21">
        <v>870000000</v>
      </c>
      <c r="LU43" s="21">
        <v>612000000</v>
      </c>
      <c r="LV43" s="21">
        <v>422000000</v>
      </c>
      <c r="LW43" s="21">
        <v>156000000</v>
      </c>
      <c r="LX43">
        <v>77884981</v>
      </c>
      <c r="LY43" s="21">
        <v>8.5099999999999998E-6</v>
      </c>
      <c r="LZ43" s="21">
        <v>1.5999999999999999E-5</v>
      </c>
      <c r="MA43" s="21">
        <v>2.9200000000000002E-5</v>
      </c>
      <c r="MB43" s="21">
        <v>6.1799999999999998E-5</v>
      </c>
      <c r="MC43" s="21">
        <v>9.2999999999999997E-5</v>
      </c>
      <c r="MD43">
        <v>1.35E-4</v>
      </c>
      <c r="ME43">
        <v>1.8699999999999999E-4</v>
      </c>
      <c r="MF43">
        <v>0.43411899999999998</v>
      </c>
      <c r="MG43">
        <v>0.29355900000000001</v>
      </c>
      <c r="MH43">
        <v>0.18367900000000001</v>
      </c>
      <c r="MI43">
        <v>8.8640999999999998E-2</v>
      </c>
      <c r="MJ43" s="21">
        <v>2.3800000000000001E-6</v>
      </c>
      <c r="MK43">
        <v>0</v>
      </c>
      <c r="ML43">
        <v>0</v>
      </c>
      <c r="MM43">
        <v>1.7783230000000001</v>
      </c>
      <c r="MN43">
        <v>1.1762509999999999</v>
      </c>
      <c r="MO43">
        <v>0.73880900000000005</v>
      </c>
      <c r="MP43">
        <v>0.36141299999999998</v>
      </c>
      <c r="MQ43">
        <v>-3.1597E-2</v>
      </c>
      <c r="MR43">
        <v>-0.49078899999999998</v>
      </c>
      <c r="MS43">
        <v>-2.53241</v>
      </c>
      <c r="MT43">
        <v>0.474352</v>
      </c>
      <c r="MU43">
        <v>0.26258199999999998</v>
      </c>
      <c r="MV43">
        <v>0.17252300000000001</v>
      </c>
      <c r="MW43">
        <v>9.0542999999999998E-2</v>
      </c>
      <c r="MX43">
        <v>0</v>
      </c>
      <c r="MY43">
        <v>0</v>
      </c>
      <c r="MZ43">
        <v>0</v>
      </c>
      <c r="NA43">
        <v>3.335156</v>
      </c>
      <c r="NB43">
        <v>1.8163800000000001</v>
      </c>
      <c r="NC43">
        <v>1.194072</v>
      </c>
      <c r="ND43">
        <v>0.62895100000000004</v>
      </c>
      <c r="NE43">
        <v>-0.10054200000000001</v>
      </c>
      <c r="NF43">
        <v>-0.967275</v>
      </c>
      <c r="NG43">
        <v>-4.9067420000000004</v>
      </c>
      <c r="NH43">
        <v>5.496E-3</v>
      </c>
      <c r="NI43">
        <v>6.1219999999999998E-3</v>
      </c>
      <c r="NJ43">
        <v>9.6520000000000009E-3</v>
      </c>
      <c r="NK43">
        <v>3.8143999999999997E-2</v>
      </c>
      <c r="NL43">
        <v>4.7794999999999997E-2</v>
      </c>
      <c r="NM43">
        <v>0.102045</v>
      </c>
      <c r="NN43">
        <v>5.496E-3</v>
      </c>
      <c r="NO43">
        <v>6.1219999999999998E-3</v>
      </c>
      <c r="NP43">
        <v>9.6520000000000009E-3</v>
      </c>
      <c r="NQ43">
        <v>3.8143999999999997E-2</v>
      </c>
      <c r="NR43">
        <v>4.7794999999999997E-2</v>
      </c>
      <c r="NS43">
        <v>0.102045</v>
      </c>
      <c r="NT43">
        <v>2.7747999999999998E-2</v>
      </c>
      <c r="NU43">
        <v>2.8312E-2</v>
      </c>
      <c r="NV43">
        <v>3.2261999999999999E-2</v>
      </c>
      <c r="NW43">
        <v>5.3166999999999999E-2</v>
      </c>
      <c r="NX43">
        <v>5.9375999999999998E-2</v>
      </c>
      <c r="NY43">
        <v>0.11082699999999999</v>
      </c>
      <c r="NZ43">
        <v>2.7747999999999998E-2</v>
      </c>
      <c r="OA43">
        <v>2.8312E-2</v>
      </c>
      <c r="OB43">
        <v>3.2261999999999999E-2</v>
      </c>
      <c r="OC43">
        <v>5.3166999999999999E-2</v>
      </c>
      <c r="OD43">
        <v>5.9375999999999998E-2</v>
      </c>
      <c r="OE43">
        <v>0.11082699999999999</v>
      </c>
      <c r="OF43">
        <v>36.786630000000002</v>
      </c>
      <c r="OG43">
        <v>20505.13</v>
      </c>
      <c r="OH43">
        <v>20564.939999999999</v>
      </c>
      <c r="OI43">
        <v>6374.482</v>
      </c>
      <c r="OJ43">
        <v>23.374929999999999</v>
      </c>
      <c r="OK43">
        <v>15844.1</v>
      </c>
      <c r="OL43">
        <v>17212.88</v>
      </c>
      <c r="OM43">
        <v>5702.8029999999999</v>
      </c>
      <c r="ON43">
        <v>1968569</v>
      </c>
      <c r="OO43">
        <v>2089759</v>
      </c>
      <c r="OP43">
        <v>15901.78</v>
      </c>
      <c r="OQ43">
        <v>8967.0300000000007</v>
      </c>
      <c r="OR43">
        <v>6125.5789999999997</v>
      </c>
      <c r="OS43">
        <v>617.25019999999995</v>
      </c>
      <c r="OT43">
        <v>2065.6770000000001</v>
      </c>
      <c r="OU43">
        <v>1483.299</v>
      </c>
      <c r="OV43">
        <v>421.80309999999997</v>
      </c>
      <c r="OW43">
        <v>1750.6869999999999</v>
      </c>
      <c r="OX43">
        <v>1540.039</v>
      </c>
      <c r="OY43">
        <v>1198.001</v>
      </c>
      <c r="OZ43">
        <v>679.54520000000002</v>
      </c>
      <c r="PA43">
        <v>24255.45</v>
      </c>
      <c r="PB43">
        <v>9722.4349999999995</v>
      </c>
      <c r="PC43">
        <v>2084.848</v>
      </c>
      <c r="PD43">
        <v>3574.665</v>
      </c>
      <c r="PE43">
        <v>9053.7489999999998</v>
      </c>
      <c r="PF43">
        <v>1747.5119999999999</v>
      </c>
      <c r="PG43">
        <v>3481.232</v>
      </c>
      <c r="PH43">
        <v>259940.3</v>
      </c>
      <c r="PI43">
        <v>110537.7</v>
      </c>
      <c r="PJ43">
        <v>2.0326740000000001</v>
      </c>
      <c r="PK43">
        <v>383.09640000000002</v>
      </c>
      <c r="PL43">
        <v>62.082929999999998</v>
      </c>
      <c r="PM43">
        <v>2871.6120000000001</v>
      </c>
      <c r="PN43">
        <v>486.2792</v>
      </c>
      <c r="PO43">
        <v>175.9829</v>
      </c>
      <c r="PP43">
        <v>267.8519</v>
      </c>
      <c r="PQ43">
        <v>595.00490000000002</v>
      </c>
      <c r="PR43">
        <v>103.3794</v>
      </c>
      <c r="PS43">
        <v>634.44659999999999</v>
      </c>
      <c r="PT43">
        <v>1270.8530000000001</v>
      </c>
      <c r="PU43">
        <v>349.8648</v>
      </c>
      <c r="PV43">
        <v>620.29639999999995</v>
      </c>
      <c r="PW43">
        <v>43.459400000000002</v>
      </c>
      <c r="PX43">
        <v>107.90730000000001</v>
      </c>
      <c r="PY43">
        <v>528.70870000000002</v>
      </c>
      <c r="PZ43">
        <v>102.93680000000001</v>
      </c>
      <c r="QA43">
        <v>473754.4</v>
      </c>
      <c r="QB43">
        <v>9419.4279999999999</v>
      </c>
      <c r="QC43">
        <v>86284.92</v>
      </c>
      <c r="QD43">
        <v>9751.1669999999995</v>
      </c>
      <c r="QE43">
        <v>7493.6580000000004</v>
      </c>
      <c r="QF43">
        <v>5559.9170000000004</v>
      </c>
      <c r="QG43">
        <v>3074.4360000000001</v>
      </c>
      <c r="QH43">
        <v>0.114816</v>
      </c>
      <c r="QI43" s="21">
        <v>1.0900000000000001E-5</v>
      </c>
      <c r="QJ43">
        <v>1.02E-4</v>
      </c>
      <c r="QK43">
        <v>19727.11</v>
      </c>
      <c r="QL43">
        <v>10847.98</v>
      </c>
      <c r="QM43">
        <v>5789.6289999999999</v>
      </c>
      <c r="QN43">
        <v>821.71010000000001</v>
      </c>
      <c r="QO43">
        <v>3373.3560000000002</v>
      </c>
      <c r="QP43">
        <v>1785.5719999999999</v>
      </c>
      <c r="QQ43">
        <v>770.61210000000005</v>
      </c>
      <c r="QR43">
        <v>1957.847</v>
      </c>
      <c r="QS43">
        <v>1551.0070000000001</v>
      </c>
      <c r="QT43">
        <v>1826.9159999999999</v>
      </c>
      <c r="QU43">
        <v>744.31579999999997</v>
      </c>
      <c r="QV43">
        <v>25575.14</v>
      </c>
      <c r="QW43">
        <v>11133.62</v>
      </c>
      <c r="QX43">
        <v>2519.4679999999998</v>
      </c>
      <c r="QY43">
        <v>4647.5690000000004</v>
      </c>
      <c r="QZ43">
        <v>15694.78</v>
      </c>
      <c r="RA43">
        <v>2770.6959999999999</v>
      </c>
      <c r="RB43">
        <v>7857.7969999999996</v>
      </c>
      <c r="RC43">
        <v>276032.3</v>
      </c>
      <c r="RD43">
        <v>114203.3</v>
      </c>
      <c r="RE43">
        <v>0.69286099999999995</v>
      </c>
      <c r="RF43">
        <v>153.97280000000001</v>
      </c>
      <c r="RG43">
        <v>1280.674</v>
      </c>
      <c r="RH43">
        <v>1119.723</v>
      </c>
      <c r="RI43">
        <v>1.6813020000000001</v>
      </c>
      <c r="RJ43">
        <v>160.76480000000001</v>
      </c>
      <c r="RK43">
        <v>0.17238899999999999</v>
      </c>
      <c r="RL43">
        <v>7561.875</v>
      </c>
      <c r="RM43">
        <v>7402.4970000000003</v>
      </c>
      <c r="RN43">
        <v>354.27080000000001</v>
      </c>
      <c r="RO43">
        <v>1180.191</v>
      </c>
      <c r="RP43">
        <v>78.312219999999996</v>
      </c>
      <c r="RQ43">
        <v>724.39869999999996</v>
      </c>
      <c r="RR43">
        <v>537.82190000000003</v>
      </c>
      <c r="RS43">
        <v>248.5668</v>
      </c>
      <c r="RT43">
        <v>2910.9789999999998</v>
      </c>
      <c r="RU43">
        <v>1636.0119999999999</v>
      </c>
      <c r="RV43">
        <v>534983.30000000005</v>
      </c>
      <c r="RW43">
        <v>15924.58</v>
      </c>
      <c r="RX43">
        <v>83613.16</v>
      </c>
      <c r="RY43">
        <v>9854.0239999999994</v>
      </c>
      <c r="RZ43">
        <v>6199.0860000000002</v>
      </c>
      <c r="SA43">
        <v>4829.7079999999996</v>
      </c>
      <c r="SB43">
        <v>2904.3560000000002</v>
      </c>
      <c r="SC43">
        <v>-1.27E-4</v>
      </c>
      <c r="SD43" s="21">
        <v>8.8599999999999997E-7</v>
      </c>
      <c r="SE43" s="21">
        <v>6.5200000000000003E-6</v>
      </c>
      <c r="SF43">
        <v>30347.279999999999</v>
      </c>
      <c r="SG43">
        <v>36.786630000000002</v>
      </c>
      <c r="SH43">
        <v>5174.4139999999998</v>
      </c>
      <c r="SI43">
        <v>18761.599999999999</v>
      </c>
      <c r="SJ43">
        <v>6374.482</v>
      </c>
      <c r="SK43">
        <v>23571.82</v>
      </c>
      <c r="SL43">
        <v>23.374929999999999</v>
      </c>
      <c r="SM43">
        <v>3773.308</v>
      </c>
      <c r="SN43">
        <v>14072.34</v>
      </c>
      <c r="SO43">
        <v>5702.8029999999999</v>
      </c>
      <c r="SP43">
        <v>144344</v>
      </c>
      <c r="SQ43">
        <v>62668.62</v>
      </c>
      <c r="SR43">
        <v>149034.1</v>
      </c>
      <c r="SS43">
        <v>71963.11</v>
      </c>
      <c r="ST43">
        <v>31.97043</v>
      </c>
      <c r="SU43">
        <v>0.22156600000000001</v>
      </c>
      <c r="SV43">
        <v>3.7242109999999999</v>
      </c>
      <c r="SW43">
        <v>13.395350000000001</v>
      </c>
      <c r="SX43">
        <v>14.629300000000001</v>
      </c>
      <c r="SY43">
        <v>25.991700000000002</v>
      </c>
      <c r="SZ43">
        <v>0.140788</v>
      </c>
      <c r="TA43">
        <v>2.7157849999999999</v>
      </c>
      <c r="TB43">
        <v>10.047319999999999</v>
      </c>
      <c r="TC43">
        <v>13.087809999999999</v>
      </c>
      <c r="TD43">
        <v>27008.27</v>
      </c>
      <c r="TE43">
        <v>833.78880000000004</v>
      </c>
      <c r="TF43">
        <v>546.60239999999999</v>
      </c>
      <c r="TG43">
        <v>211.6754</v>
      </c>
      <c r="TH43">
        <v>49.696599999999997</v>
      </c>
      <c r="TI43">
        <v>105.6758</v>
      </c>
      <c r="TJ43">
        <v>83.380790000000005</v>
      </c>
      <c r="TK43">
        <v>23.822420000000001</v>
      </c>
      <c r="TL43">
        <v>25.98986</v>
      </c>
      <c r="TM43">
        <v>160.91120000000001</v>
      </c>
      <c r="TN43">
        <v>37.377980000000001</v>
      </c>
      <c r="TO43">
        <v>24.293510000000001</v>
      </c>
      <c r="TP43">
        <v>1990.838</v>
      </c>
      <c r="TQ43">
        <v>2050.3310000000001</v>
      </c>
      <c r="TR43">
        <v>111.10850000000001</v>
      </c>
      <c r="TS43">
        <v>216.3312</v>
      </c>
      <c r="TT43">
        <v>424.702</v>
      </c>
      <c r="TU43">
        <v>41.910130000000002</v>
      </c>
      <c r="TV43">
        <v>73.953320000000005</v>
      </c>
      <c r="TW43">
        <v>12997.17</v>
      </c>
      <c r="TX43">
        <v>6892.1980000000003</v>
      </c>
      <c r="TY43">
        <v>0.46738400000000002</v>
      </c>
      <c r="TZ43">
        <v>6.6891930000000004</v>
      </c>
      <c r="UA43">
        <v>3.2150620000000001</v>
      </c>
      <c r="UB43">
        <v>55.367640000000002</v>
      </c>
      <c r="UC43">
        <v>0.66832899999999995</v>
      </c>
      <c r="UD43">
        <v>2.2202199999999999</v>
      </c>
      <c r="UE43">
        <v>4.0597450000000004</v>
      </c>
      <c r="UF43">
        <v>1.496383</v>
      </c>
      <c r="UG43">
        <v>0.72964099999999998</v>
      </c>
      <c r="UH43">
        <v>9.6953499999999995</v>
      </c>
      <c r="UI43">
        <v>4.6757099999999996</v>
      </c>
      <c r="UJ43">
        <v>11.008089999999999</v>
      </c>
      <c r="UK43">
        <v>4.140269</v>
      </c>
      <c r="UL43">
        <v>0.30159200000000003</v>
      </c>
      <c r="UM43">
        <v>0.33918300000000001</v>
      </c>
      <c r="UN43">
        <v>1.1815800000000001</v>
      </c>
      <c r="UO43">
        <v>0.25436599999999998</v>
      </c>
      <c r="UP43">
        <v>27361.88</v>
      </c>
      <c r="UQ43">
        <v>824.65290000000005</v>
      </c>
      <c r="UR43">
        <v>559.22270000000003</v>
      </c>
      <c r="US43">
        <v>199.68109999999999</v>
      </c>
      <c r="UT43">
        <v>50.33755</v>
      </c>
      <c r="UU43">
        <v>116.80710000000001</v>
      </c>
      <c r="UV43">
        <v>85.197109999999995</v>
      </c>
      <c r="UW43">
        <v>22.531890000000001</v>
      </c>
      <c r="UX43">
        <v>23.987259999999999</v>
      </c>
      <c r="UY43">
        <v>165.25489999999999</v>
      </c>
      <c r="UZ43">
        <v>36.544780000000003</v>
      </c>
      <c r="VA43">
        <v>21.92604</v>
      </c>
      <c r="VB43">
        <v>1946.6769999999999</v>
      </c>
      <c r="VC43">
        <v>2185.1170000000002</v>
      </c>
      <c r="VD43">
        <v>112.4248</v>
      </c>
      <c r="VE43">
        <v>227.1172</v>
      </c>
      <c r="VF43">
        <v>389.79199999999997</v>
      </c>
      <c r="VG43">
        <v>32.849910000000001</v>
      </c>
      <c r="VH43">
        <v>70.69</v>
      </c>
      <c r="VI43">
        <v>13232.15</v>
      </c>
      <c r="VJ43">
        <v>6915.5159999999996</v>
      </c>
      <c r="VK43">
        <v>0.22115099999999999</v>
      </c>
      <c r="VL43">
        <v>3.4329779999999999</v>
      </c>
      <c r="VM43">
        <v>41.41169</v>
      </c>
      <c r="VN43">
        <v>26.31204</v>
      </c>
      <c r="VO43">
        <v>3.4626999999999998E-2</v>
      </c>
      <c r="VP43">
        <v>2.1273659999999999</v>
      </c>
      <c r="VQ43">
        <v>9.7456000000000001E-2</v>
      </c>
      <c r="VR43">
        <v>13.245839999999999</v>
      </c>
      <c r="VS43">
        <v>25.65953</v>
      </c>
      <c r="VT43">
        <v>6.8255210000000002</v>
      </c>
      <c r="VU43">
        <v>4.5292940000000002</v>
      </c>
      <c r="VV43">
        <v>4.1848150000000004</v>
      </c>
      <c r="VW43">
        <v>4.8051050000000002</v>
      </c>
      <c r="VX43">
        <v>2.361326</v>
      </c>
      <c r="VY43">
        <v>0.68086199999999997</v>
      </c>
      <c r="VZ43">
        <v>5.2501030000000002</v>
      </c>
      <c r="WA43">
        <v>2.2164709999999999</v>
      </c>
      <c r="WB43">
        <v>0.12914700000000001</v>
      </c>
      <c r="WC43">
        <v>0.114742</v>
      </c>
      <c r="WD43">
        <v>-2.9707999999999998E-2</v>
      </c>
      <c r="WE43">
        <v>-1.711E-2</v>
      </c>
      <c r="WF43">
        <v>0.77554400000000001</v>
      </c>
      <c r="WG43">
        <v>0.39439600000000002</v>
      </c>
      <c r="WH43">
        <v>-4.3565E-2</v>
      </c>
      <c r="WI43">
        <v>-1.8211000000000001E-2</v>
      </c>
      <c r="WJ43">
        <v>3084325</v>
      </c>
      <c r="WK43">
        <v>3138666</v>
      </c>
    </row>
    <row r="44" spans="1:609" x14ac:dyDescent="0.25">
      <c r="A44">
        <v>2045</v>
      </c>
      <c r="B44">
        <v>1.8436680000000001</v>
      </c>
      <c r="C44">
        <v>176.3991</v>
      </c>
      <c r="D44">
        <v>7.1970169999999998</v>
      </c>
      <c r="E44">
        <v>13.19303</v>
      </c>
      <c r="F44">
        <v>-12.789110000000001</v>
      </c>
      <c r="G44">
        <v>6.3123889999999996</v>
      </c>
      <c r="H44">
        <v>-1.463835</v>
      </c>
      <c r="I44">
        <v>1.3453930000000001</v>
      </c>
      <c r="J44">
        <v>32.555340000000001</v>
      </c>
      <c r="K44">
        <v>0.87639800000000001</v>
      </c>
      <c r="L44">
        <v>31.40372</v>
      </c>
      <c r="M44">
        <v>1.3857759999999999</v>
      </c>
      <c r="N44">
        <v>0</v>
      </c>
      <c r="O44">
        <v>-40.51972</v>
      </c>
      <c r="P44">
        <v>-2.6817890000000002</v>
      </c>
      <c r="Q44">
        <v>-67.709580000000003</v>
      </c>
      <c r="R44">
        <v>26.654350000000001</v>
      </c>
      <c r="S44">
        <v>100</v>
      </c>
      <c r="T44">
        <v>911.80280000000005</v>
      </c>
      <c r="U44">
        <v>208.08959999999999</v>
      </c>
      <c r="V44">
        <v>492.99669999999998</v>
      </c>
      <c r="W44">
        <v>1.3544940000000001</v>
      </c>
      <c r="X44">
        <v>43185.81</v>
      </c>
      <c r="Y44">
        <v>0.12782399999999999</v>
      </c>
      <c r="Z44">
        <v>0.208588</v>
      </c>
      <c r="AA44">
        <v>7.1072069999999998</v>
      </c>
      <c r="AB44">
        <v>-1.1416759999999999</v>
      </c>
      <c r="AC44">
        <v>4.3327999999999998E-2</v>
      </c>
      <c r="AD44">
        <v>83630.27</v>
      </c>
      <c r="AE44">
        <v>1405135</v>
      </c>
      <c r="AF44">
        <v>1541218</v>
      </c>
      <c r="AG44">
        <v>179282.9</v>
      </c>
      <c r="AH44">
        <v>710480.4</v>
      </c>
      <c r="AI44">
        <v>-5.0530000000000002E-3</v>
      </c>
      <c r="AJ44">
        <v>298.13909999999998</v>
      </c>
      <c r="AK44">
        <v>7974.4849999999997</v>
      </c>
      <c r="AL44">
        <v>624.4973</v>
      </c>
      <c r="AM44">
        <v>96.071190000000001</v>
      </c>
      <c r="AN44">
        <v>2569.6669999999999</v>
      </c>
      <c r="AO44">
        <v>201.23560000000001</v>
      </c>
      <c r="AP44">
        <v>5202.8630000000003</v>
      </c>
      <c r="AQ44">
        <v>1676.5509999999999</v>
      </c>
      <c r="AR44">
        <v>1558.2819999999999</v>
      </c>
      <c r="AS44">
        <v>579.54520000000002</v>
      </c>
      <c r="AT44">
        <v>3615.7719999999999</v>
      </c>
      <c r="AU44">
        <v>1310.164</v>
      </c>
      <c r="AV44">
        <v>203.88329999999999</v>
      </c>
      <c r="AW44">
        <v>1.66245</v>
      </c>
      <c r="AX44">
        <v>0.82938299999999998</v>
      </c>
      <c r="AY44">
        <v>3.6387689999999999</v>
      </c>
      <c r="AZ44">
        <v>-6.869872</v>
      </c>
      <c r="BA44">
        <v>0.56733299999999998</v>
      </c>
      <c r="BB44">
        <v>8.1958590000000004</v>
      </c>
      <c r="BC44">
        <v>0.135411</v>
      </c>
      <c r="BD44">
        <v>2.1610990000000001</v>
      </c>
      <c r="BE44">
        <v>-9.0138479999999994</v>
      </c>
      <c r="BF44">
        <v>0.78496900000000003</v>
      </c>
      <c r="BG44">
        <v>0.58074000000000003</v>
      </c>
      <c r="BH44">
        <v>-7.7446409999999997</v>
      </c>
      <c r="BI44">
        <v>-2.11951</v>
      </c>
      <c r="BJ44">
        <v>6.8696970000000004</v>
      </c>
      <c r="BK44">
        <v>2.1257169999999999</v>
      </c>
      <c r="BL44">
        <v>4.9764989999999996</v>
      </c>
      <c r="BM44">
        <v>-8.0643290000000007</v>
      </c>
      <c r="BN44">
        <v>-23.121400000000001</v>
      </c>
      <c r="BO44">
        <v>-9.6846999999999994</v>
      </c>
      <c r="BP44">
        <v>2.3518650000000001</v>
      </c>
      <c r="BQ44">
        <v>0.77539400000000003</v>
      </c>
      <c r="BR44">
        <v>-112.33920000000001</v>
      </c>
      <c r="BS44">
        <v>-51.42398</v>
      </c>
      <c r="BT44">
        <v>1134.9760000000001</v>
      </c>
      <c r="BU44">
        <v>-52.025179999999999</v>
      </c>
      <c r="BV44">
        <v>-95.628100000000003</v>
      </c>
      <c r="BW44">
        <v>-5.5709739999999996</v>
      </c>
      <c r="BX44">
        <v>-98.468630000000005</v>
      </c>
      <c r="BY44">
        <v>690.74760000000003</v>
      </c>
      <c r="BZ44">
        <v>2975.0129999999999</v>
      </c>
      <c r="CA44">
        <v>-28.544630000000002</v>
      </c>
      <c r="CB44">
        <v>-15.201420000000001</v>
      </c>
      <c r="CC44">
        <v>-57.277410000000003</v>
      </c>
      <c r="CD44">
        <v>7.3776659999999996</v>
      </c>
      <c r="CE44">
        <v>619.60659999999996</v>
      </c>
      <c r="CF44">
        <v>89.049520000000001</v>
      </c>
      <c r="CG44">
        <v>329.85329999999999</v>
      </c>
      <c r="CH44">
        <v>669.11120000000005</v>
      </c>
      <c r="CI44">
        <v>24.809640000000002</v>
      </c>
      <c r="CJ44">
        <v>21.991869999999999</v>
      </c>
      <c r="CK44">
        <v>-6.1138510000000004</v>
      </c>
      <c r="CL44">
        <v>34.22401</v>
      </c>
      <c r="CM44">
        <v>65.459990000000005</v>
      </c>
      <c r="CN44">
        <v>21.380790000000001</v>
      </c>
      <c r="CO44">
        <v>85.096329999999995</v>
      </c>
      <c r="CP44">
        <v>13.449339999999999</v>
      </c>
      <c r="CQ44">
        <v>0.978437</v>
      </c>
      <c r="CR44">
        <v>53.23377</v>
      </c>
      <c r="CS44">
        <v>9.7815750000000001</v>
      </c>
      <c r="CT44">
        <v>5.679824</v>
      </c>
      <c r="CU44">
        <v>15.62701</v>
      </c>
      <c r="CV44">
        <v>20.859300000000001</v>
      </c>
      <c r="CW44">
        <v>31.02703</v>
      </c>
      <c r="CX44">
        <v>75.435609999999997</v>
      </c>
      <c r="CY44">
        <v>59.914909999999999</v>
      </c>
      <c r="CZ44">
        <v>128.0403</v>
      </c>
      <c r="DA44">
        <v>6.6399140000000001</v>
      </c>
      <c r="DB44">
        <v>3.5165489999999999</v>
      </c>
      <c r="DC44">
        <v>-65.758089999999996</v>
      </c>
      <c r="DD44">
        <v>-62.08878</v>
      </c>
      <c r="DE44">
        <v>2161.8040000000001</v>
      </c>
      <c r="DF44">
        <v>-61.310429999999997</v>
      </c>
      <c r="DG44">
        <v>-99.738489999999999</v>
      </c>
      <c r="DH44">
        <v>-9.1555339999999994</v>
      </c>
      <c r="DI44">
        <v>-99.956360000000004</v>
      </c>
      <c r="DJ44">
        <v>1083.8050000000001</v>
      </c>
      <c r="DK44">
        <v>6695.1679999999997</v>
      </c>
      <c r="DL44">
        <v>-44.518210000000003</v>
      </c>
      <c r="DM44">
        <v>-11.96064</v>
      </c>
      <c r="DN44">
        <v>-78.504459999999995</v>
      </c>
      <c r="DO44">
        <v>14.98795</v>
      </c>
      <c r="DP44">
        <v>1128.0429999999999</v>
      </c>
      <c r="DQ44">
        <v>134.5282</v>
      </c>
      <c r="DR44">
        <v>492.51220000000001</v>
      </c>
      <c r="DS44">
        <v>1454.838</v>
      </c>
      <c r="DT44">
        <v>0.11545999999999999</v>
      </c>
      <c r="DU44">
        <v>7.8743699999999999</v>
      </c>
      <c r="DV44">
        <v>0.27183400000000002</v>
      </c>
      <c r="DW44">
        <v>9.1728900000000007</v>
      </c>
      <c r="DX44">
        <v>8.3626550000000002</v>
      </c>
      <c r="DY44">
        <v>9.181457</v>
      </c>
      <c r="DZ44">
        <v>7.0186250000000001</v>
      </c>
      <c r="EA44">
        <v>10.911060000000001</v>
      </c>
      <c r="EB44">
        <v>13.81842</v>
      </c>
      <c r="EC44">
        <v>0</v>
      </c>
      <c r="ED44">
        <v>12.90307</v>
      </c>
      <c r="EE44">
        <v>10.680210000000001</v>
      </c>
      <c r="EF44">
        <v>6.9492070000000004</v>
      </c>
      <c r="EG44">
        <v>3.481786</v>
      </c>
      <c r="EH44">
        <v>5.1483280000000002</v>
      </c>
      <c r="EI44">
        <v>-0.56411599999999995</v>
      </c>
      <c r="EJ44">
        <v>5.5123740000000003</v>
      </c>
      <c r="EK44">
        <v>-4.4077590000000004</v>
      </c>
      <c r="EL44">
        <v>7.6973659999999997</v>
      </c>
      <c r="EM44">
        <v>7.522894</v>
      </c>
      <c r="EN44">
        <v>-36.72428</v>
      </c>
      <c r="EO44">
        <v>-23.307880000000001</v>
      </c>
      <c r="EP44">
        <v>-17.025500000000001</v>
      </c>
      <c r="EQ44">
        <v>-10.616849999999999</v>
      </c>
      <c r="ER44">
        <v>8.5483360000000008</v>
      </c>
      <c r="ES44">
        <v>56.336950000000002</v>
      </c>
      <c r="ET44">
        <v>1.5414920000000001</v>
      </c>
      <c r="EU44">
        <v>39.961680000000001</v>
      </c>
      <c r="EV44">
        <v>0.63943700000000003</v>
      </c>
      <c r="EW44">
        <v>2.3361610000000002</v>
      </c>
      <c r="EX44">
        <v>2.9502730000000001</v>
      </c>
      <c r="EY44">
        <v>0.93152900000000005</v>
      </c>
      <c r="EZ44">
        <v>0.123456</v>
      </c>
      <c r="FA44">
        <v>6.2962379999999998</v>
      </c>
      <c r="FB44">
        <v>2.0201829999999998</v>
      </c>
      <c r="FC44">
        <v>28.982759999999999</v>
      </c>
      <c r="FD44">
        <v>7.8801819999999996</v>
      </c>
      <c r="FE44">
        <v>0.47593200000000002</v>
      </c>
      <c r="FF44">
        <v>0.73340300000000003</v>
      </c>
      <c r="FG44">
        <v>1.318565</v>
      </c>
      <c r="FH44">
        <v>0.29648200000000002</v>
      </c>
      <c r="FI44">
        <v>4.8342929999999997</v>
      </c>
      <c r="FJ44">
        <v>23.702069999999999</v>
      </c>
      <c r="FK44">
        <v>16.776199999999999</v>
      </c>
      <c r="FL44">
        <v>18.814889999999998</v>
      </c>
      <c r="FM44">
        <v>2.2883000000000001E-2</v>
      </c>
      <c r="FN44">
        <v>2.1703039999999998</v>
      </c>
      <c r="FO44">
        <v>4.5388999999999999E-2</v>
      </c>
      <c r="FP44">
        <v>7.246454</v>
      </c>
      <c r="FQ44">
        <v>3.7336299999999998</v>
      </c>
      <c r="FR44">
        <v>4.4162359999999996</v>
      </c>
      <c r="FS44">
        <v>1.685235</v>
      </c>
      <c r="FT44">
        <v>11.354799999999999</v>
      </c>
      <c r="FU44">
        <v>9.7950359999999996</v>
      </c>
      <c r="FV44">
        <v>3.9951629999999998</v>
      </c>
      <c r="FW44">
        <v>1.6303840000000001</v>
      </c>
      <c r="FX44">
        <v>6.6075049999999997</v>
      </c>
      <c r="FY44">
        <v>2.7496510000000001</v>
      </c>
      <c r="FZ44">
        <v>6.2393200000000002</v>
      </c>
      <c r="GA44">
        <v>42.095570000000002</v>
      </c>
      <c r="GB44">
        <v>1.5414920000000001</v>
      </c>
      <c r="GC44">
        <v>36.020389999999999</v>
      </c>
      <c r="GD44">
        <v>0.57637099999999997</v>
      </c>
      <c r="GE44">
        <v>2.105753</v>
      </c>
      <c r="GF44">
        <v>2.6592980000000002</v>
      </c>
      <c r="GG44">
        <v>0.83965500000000004</v>
      </c>
      <c r="GH44">
        <v>0.11128</v>
      </c>
      <c r="GI44">
        <v>5.675262</v>
      </c>
      <c r="GJ44">
        <v>1.82094</v>
      </c>
      <c r="GK44">
        <v>27.296279999999999</v>
      </c>
      <c r="GL44">
        <v>7.8801819999999996</v>
      </c>
      <c r="GM44">
        <v>0.47593200000000002</v>
      </c>
      <c r="GN44">
        <v>0.73340300000000003</v>
      </c>
      <c r="GO44">
        <v>1.318565</v>
      </c>
      <c r="GP44">
        <v>0.29648200000000002</v>
      </c>
      <c r="GQ44">
        <v>2.7572139999999998</v>
      </c>
      <c r="GR44">
        <v>11.294980000000001</v>
      </c>
      <c r="GS44">
        <v>16.776199999999999</v>
      </c>
      <c r="GT44">
        <v>16.126000000000001</v>
      </c>
      <c r="GU44">
        <v>1.9612000000000001E-2</v>
      </c>
      <c r="GV44">
        <v>1.860139</v>
      </c>
      <c r="GW44">
        <v>3.8901999999999999E-2</v>
      </c>
      <c r="GX44">
        <v>6.210839</v>
      </c>
      <c r="GY44">
        <v>3.2000449999999998</v>
      </c>
      <c r="GZ44">
        <v>3.7850980000000001</v>
      </c>
      <c r="HA44">
        <v>1.444393</v>
      </c>
      <c r="HB44">
        <v>9.8855369999999994</v>
      </c>
      <c r="HC44">
        <v>9.7950359999999996</v>
      </c>
      <c r="HD44">
        <v>3.9951629999999998</v>
      </c>
      <c r="HE44">
        <v>1.6303840000000001</v>
      </c>
      <c r="HF44">
        <v>6.6075049999999997</v>
      </c>
      <c r="HG44">
        <v>2.7496510000000001</v>
      </c>
      <c r="HH44">
        <v>6.3518530000000002</v>
      </c>
      <c r="HI44">
        <v>45.246169999999999</v>
      </c>
      <c r="HJ44">
        <v>1.5414920000000001</v>
      </c>
      <c r="HK44">
        <v>144.26400000000001</v>
      </c>
      <c r="HL44">
        <v>1.381194</v>
      </c>
      <c r="HM44">
        <v>5.0461450000000001</v>
      </c>
      <c r="HN44">
        <v>6.3726380000000002</v>
      </c>
      <c r="HO44">
        <v>1.0070520000000001</v>
      </c>
      <c r="HP44">
        <v>0.133465</v>
      </c>
      <c r="HQ44">
        <v>6.8067010000000003</v>
      </c>
      <c r="HR44">
        <v>5.9048030000000002</v>
      </c>
      <c r="HS44">
        <v>27.483830000000001</v>
      </c>
      <c r="HT44">
        <v>7.9980399999999996</v>
      </c>
      <c r="HU44">
        <v>0.48304999999999998</v>
      </c>
      <c r="HV44">
        <v>0.74437200000000003</v>
      </c>
      <c r="HW44">
        <v>1.3382860000000001</v>
      </c>
      <c r="HX44">
        <v>0.30091600000000002</v>
      </c>
      <c r="HY44">
        <v>2.7927140000000001</v>
      </c>
      <c r="HZ44">
        <v>12.14603</v>
      </c>
      <c r="IA44">
        <v>12.962249999999999</v>
      </c>
      <c r="IB44">
        <v>61.302120000000002</v>
      </c>
      <c r="IC44">
        <v>2.2886E-2</v>
      </c>
      <c r="ID44">
        <v>4.1468550000000004</v>
      </c>
      <c r="IE44">
        <v>4.5395999999999999E-2</v>
      </c>
      <c r="IF44">
        <v>9.1609689999999997</v>
      </c>
      <c r="IG44">
        <v>4.0141150000000003</v>
      </c>
      <c r="IH44">
        <v>4.7480000000000002</v>
      </c>
      <c r="II44">
        <v>5.9868079999999999</v>
      </c>
      <c r="IJ44">
        <v>9.8884729999999994</v>
      </c>
      <c r="IK44">
        <v>9.7986380000000004</v>
      </c>
      <c r="IL44">
        <v>6.7994370000000002</v>
      </c>
      <c r="IM44">
        <v>1.63106</v>
      </c>
      <c r="IN44">
        <v>6.6102239999999997</v>
      </c>
      <c r="IO44">
        <v>2.7504979999999999</v>
      </c>
      <c r="IP44">
        <v>3.5712899999999999</v>
      </c>
      <c r="IQ44">
        <v>5.6948420000000004</v>
      </c>
      <c r="IR44">
        <v>0.53078400000000003</v>
      </c>
      <c r="IS44">
        <v>1.657632</v>
      </c>
      <c r="IT44">
        <v>4.1012810000000002</v>
      </c>
      <c r="IU44">
        <v>4.2136509999999996</v>
      </c>
      <c r="IV44">
        <v>4.5665880000000003</v>
      </c>
      <c r="IW44">
        <v>4.9840479999999996</v>
      </c>
      <c r="IX44">
        <v>0.87270099999999995</v>
      </c>
      <c r="IY44">
        <v>7.5800640000000001</v>
      </c>
      <c r="IZ44">
        <v>1.790419</v>
      </c>
      <c r="JA44">
        <v>8.5867599999999999</v>
      </c>
      <c r="JB44">
        <v>0.43890800000000002</v>
      </c>
      <c r="JC44">
        <v>1.8356589999999999</v>
      </c>
      <c r="JD44">
        <v>0.77935500000000002</v>
      </c>
      <c r="JE44">
        <v>14.536770000000001</v>
      </c>
      <c r="JF44">
        <v>0.26232899999999998</v>
      </c>
      <c r="JG44">
        <v>1.3369519999999999</v>
      </c>
      <c r="JH44">
        <v>19.406590000000001</v>
      </c>
      <c r="JI44">
        <v>7.208272</v>
      </c>
      <c r="JJ44">
        <v>12.049609999999999</v>
      </c>
      <c r="JK44">
        <v>31.68169</v>
      </c>
      <c r="JL44">
        <v>1.893772</v>
      </c>
      <c r="JM44">
        <v>4.6204609999999997</v>
      </c>
      <c r="JN44">
        <v>0.408302</v>
      </c>
      <c r="JO44">
        <v>1.1731689999999999</v>
      </c>
      <c r="JP44">
        <v>2.704488</v>
      </c>
      <c r="JQ44">
        <v>3.151284</v>
      </c>
      <c r="JR44">
        <v>2.9552390000000002</v>
      </c>
      <c r="JS44">
        <v>3.511479</v>
      </c>
      <c r="JT44">
        <v>0.71077299999999999</v>
      </c>
      <c r="JU44">
        <v>3.369983</v>
      </c>
      <c r="JV44">
        <v>0.96833599999999997</v>
      </c>
      <c r="JW44">
        <v>6.9613189999999996</v>
      </c>
      <c r="JX44">
        <v>0.39333400000000002</v>
      </c>
      <c r="JY44">
        <v>1.1037079999999999</v>
      </c>
      <c r="JZ44">
        <v>0.62319199999999997</v>
      </c>
      <c r="KA44">
        <v>7.403702</v>
      </c>
      <c r="KB44">
        <v>7.1932999999999997E-2</v>
      </c>
      <c r="KC44">
        <v>0.41802600000000001</v>
      </c>
      <c r="KD44">
        <v>14.36558</v>
      </c>
      <c r="KE44">
        <v>5.0700380000000003</v>
      </c>
      <c r="KF44">
        <v>10.707269999999999</v>
      </c>
      <c r="KG44">
        <v>25.59131</v>
      </c>
      <c r="KH44">
        <v>9696.5110000000004</v>
      </c>
      <c r="KI44">
        <v>8672.6769999999997</v>
      </c>
      <c r="KJ44">
        <v>5357.933</v>
      </c>
      <c r="KK44">
        <v>2378.4029999999998</v>
      </c>
      <c r="KL44">
        <v>811.83640000000003</v>
      </c>
      <c r="KM44">
        <v>255.89830000000001</v>
      </c>
      <c r="KN44">
        <v>270.19299999999998</v>
      </c>
      <c r="KO44">
        <v>0</v>
      </c>
      <c r="KP44">
        <v>21336.52</v>
      </c>
      <c r="KQ44">
        <v>6106.9279999999999</v>
      </c>
      <c r="KR44">
        <v>0</v>
      </c>
      <c r="KS44">
        <v>10634.84</v>
      </c>
      <c r="KT44">
        <v>7314.8819999999996</v>
      </c>
      <c r="KU44">
        <v>4885.8729999999996</v>
      </c>
      <c r="KV44">
        <v>2577.7950000000001</v>
      </c>
      <c r="KW44">
        <v>744.73829999999998</v>
      </c>
      <c r="KX44">
        <v>234.45660000000001</v>
      </c>
      <c r="KY44">
        <v>141.6328</v>
      </c>
      <c r="KZ44">
        <v>0</v>
      </c>
      <c r="LA44">
        <v>15899.53</v>
      </c>
      <c r="LB44">
        <v>10634.68</v>
      </c>
      <c r="LC44">
        <v>0</v>
      </c>
      <c r="LD44" s="21">
        <v>173000000</v>
      </c>
      <c r="LE44" s="21">
        <v>423000000</v>
      </c>
      <c r="LF44" s="21">
        <v>955000000</v>
      </c>
      <c r="LG44" s="21">
        <v>779000000</v>
      </c>
      <c r="LH44" s="21">
        <v>511000000</v>
      </c>
      <c r="LI44" s="21">
        <v>200000000</v>
      </c>
      <c r="LJ44" s="21">
        <v>101000000</v>
      </c>
      <c r="LK44" s="21">
        <v>3.4400000000000001E-6</v>
      </c>
      <c r="LL44" s="21">
        <v>6.9700000000000002E-6</v>
      </c>
      <c r="LM44" s="21">
        <v>1.33E-5</v>
      </c>
      <c r="LN44" s="21">
        <v>2.97E-5</v>
      </c>
      <c r="LO44" s="21">
        <v>5.1199999999999998E-5</v>
      </c>
      <c r="LP44" s="21">
        <v>8.0099999999999995E-5</v>
      </c>
      <c r="LQ44">
        <v>1.1900000000000001E-4</v>
      </c>
      <c r="LR44" s="21">
        <v>437000000</v>
      </c>
      <c r="LS44" s="21">
        <v>578000000</v>
      </c>
      <c r="LT44" s="21">
        <v>873000000</v>
      </c>
      <c r="LU44" s="21">
        <v>610000000</v>
      </c>
      <c r="LV44" s="21">
        <v>418000000</v>
      </c>
      <c r="LW44" s="21">
        <v>152000000</v>
      </c>
      <c r="LX44">
        <v>75177692</v>
      </c>
      <c r="LY44" s="21">
        <v>8.9500000000000007E-6</v>
      </c>
      <c r="LZ44" s="21">
        <v>1.6799999999999998E-5</v>
      </c>
      <c r="MA44" s="21">
        <v>3.0800000000000003E-5</v>
      </c>
      <c r="MB44" s="21">
        <v>6.5099999999999997E-5</v>
      </c>
      <c r="MC44" s="21">
        <v>9.8200000000000002E-5</v>
      </c>
      <c r="MD44">
        <v>1.4300000000000001E-4</v>
      </c>
      <c r="ME44">
        <v>1.9699999999999999E-4</v>
      </c>
      <c r="MF44">
        <v>0.43847900000000001</v>
      </c>
      <c r="MG44">
        <v>0.29021999999999998</v>
      </c>
      <c r="MH44">
        <v>0.18223</v>
      </c>
      <c r="MI44">
        <v>8.9069999999999996E-2</v>
      </c>
      <c r="MJ44" s="21">
        <v>1.1799999999999999E-6</v>
      </c>
      <c r="MK44">
        <v>0</v>
      </c>
      <c r="ML44">
        <v>0</v>
      </c>
      <c r="MM44">
        <v>1.9170450000000001</v>
      </c>
      <c r="MN44">
        <v>1.241908</v>
      </c>
      <c r="MO44">
        <v>0.78259800000000002</v>
      </c>
      <c r="MP44">
        <v>0.38743699999999998</v>
      </c>
      <c r="MQ44">
        <v>-3.7415999999999998E-2</v>
      </c>
      <c r="MR44">
        <v>-0.53517499999999996</v>
      </c>
      <c r="MS44">
        <v>-2.7563970000000002</v>
      </c>
      <c r="MT44">
        <v>0.47861300000000001</v>
      </c>
      <c r="MU44">
        <v>0.26014999999999999</v>
      </c>
      <c r="MV44">
        <v>0.17106099999999999</v>
      </c>
      <c r="MW44">
        <v>9.0175000000000005E-2</v>
      </c>
      <c r="MX44">
        <v>0</v>
      </c>
      <c r="MY44">
        <v>0</v>
      </c>
      <c r="MZ44">
        <v>0</v>
      </c>
      <c r="NA44">
        <v>3.6189969999999998</v>
      </c>
      <c r="NB44">
        <v>1.931519</v>
      </c>
      <c r="NC44">
        <v>1.271099</v>
      </c>
      <c r="ND44">
        <v>0.67307300000000003</v>
      </c>
      <c r="NE44">
        <v>-0.11540300000000001</v>
      </c>
      <c r="NF44">
        <v>-1.0535730000000001</v>
      </c>
      <c r="NG44">
        <v>-5.3257130000000004</v>
      </c>
      <c r="NH44">
        <v>5.6360000000000004E-3</v>
      </c>
      <c r="NI44">
        <v>6.3010000000000002E-3</v>
      </c>
      <c r="NJ44">
        <v>1.0031999999999999E-2</v>
      </c>
      <c r="NK44">
        <v>3.8947000000000002E-2</v>
      </c>
      <c r="NL44">
        <v>4.8846000000000001E-2</v>
      </c>
      <c r="NM44">
        <v>0.10313600000000001</v>
      </c>
      <c r="NN44">
        <v>5.6360000000000004E-3</v>
      </c>
      <c r="NO44">
        <v>6.3010000000000002E-3</v>
      </c>
      <c r="NP44">
        <v>1.0031999999999999E-2</v>
      </c>
      <c r="NQ44">
        <v>3.8947000000000002E-2</v>
      </c>
      <c r="NR44">
        <v>4.8846000000000001E-2</v>
      </c>
      <c r="NS44">
        <v>0.10313600000000001</v>
      </c>
      <c r="NT44">
        <v>2.8257999999999998E-2</v>
      </c>
      <c r="NU44">
        <v>2.8840999999999999E-2</v>
      </c>
      <c r="NV44">
        <v>3.2911999999999997E-2</v>
      </c>
      <c r="NW44">
        <v>5.3879999999999997E-2</v>
      </c>
      <c r="NX44">
        <v>6.0170000000000001E-2</v>
      </c>
      <c r="NY44">
        <v>0.111666</v>
      </c>
      <c r="NZ44">
        <v>2.8257999999999998E-2</v>
      </c>
      <c r="OA44">
        <v>2.8840999999999999E-2</v>
      </c>
      <c r="OB44">
        <v>3.2911999999999997E-2</v>
      </c>
      <c r="OC44">
        <v>5.3879999999999997E-2</v>
      </c>
      <c r="OD44">
        <v>6.0170000000000001E-2</v>
      </c>
      <c r="OE44">
        <v>0.111666</v>
      </c>
      <c r="OF44">
        <v>36.102789999999999</v>
      </c>
      <c r="OG44">
        <v>19911.47</v>
      </c>
      <c r="OH44">
        <v>20691.689999999999</v>
      </c>
      <c r="OI44">
        <v>6261.9920000000002</v>
      </c>
      <c r="OJ44">
        <v>22.8443</v>
      </c>
      <c r="OK44">
        <v>15270.53</v>
      </c>
      <c r="OL44">
        <v>17168.82</v>
      </c>
      <c r="OM44">
        <v>5597.1660000000002</v>
      </c>
      <c r="ON44">
        <v>1998612</v>
      </c>
      <c r="OO44">
        <v>2131229</v>
      </c>
      <c r="OP44">
        <v>16393.63</v>
      </c>
      <c r="OQ44">
        <v>9197.5740000000005</v>
      </c>
      <c r="OR44">
        <v>6215.7470000000003</v>
      </c>
      <c r="OS44">
        <v>625.14290000000005</v>
      </c>
      <c r="OT44">
        <v>2110.0129999999999</v>
      </c>
      <c r="OU44">
        <v>1496.3440000000001</v>
      </c>
      <c r="OV44">
        <v>432.02510000000001</v>
      </c>
      <c r="OW44">
        <v>1820.1469999999999</v>
      </c>
      <c r="OX44">
        <v>1551.8330000000001</v>
      </c>
      <c r="OY44">
        <v>1205.693</v>
      </c>
      <c r="OZ44">
        <v>682.13369999999998</v>
      </c>
      <c r="PA44">
        <v>24520.94</v>
      </c>
      <c r="PB44">
        <v>9958.8760000000002</v>
      </c>
      <c r="PC44">
        <v>2186.8719999999998</v>
      </c>
      <c r="PD44">
        <v>3752.9830000000002</v>
      </c>
      <c r="PE44">
        <v>9404.098</v>
      </c>
      <c r="PF44">
        <v>1795.21</v>
      </c>
      <c r="PG44">
        <v>3601.9580000000001</v>
      </c>
      <c r="PH44">
        <v>264805.90000000002</v>
      </c>
      <c r="PI44">
        <v>112348</v>
      </c>
      <c r="PJ44">
        <v>2.041426</v>
      </c>
      <c r="PK44">
        <v>370.90679999999998</v>
      </c>
      <c r="PL44">
        <v>58.937069999999999</v>
      </c>
      <c r="PM44">
        <v>2893.7249999999999</v>
      </c>
      <c r="PN44">
        <v>489.03059999999999</v>
      </c>
      <c r="PO44">
        <v>176.4057</v>
      </c>
      <c r="PP44">
        <v>268.5</v>
      </c>
      <c r="PQ44">
        <v>592.75519999999995</v>
      </c>
      <c r="PR44">
        <v>103.64960000000001</v>
      </c>
      <c r="PS44">
        <v>635.04639999999995</v>
      </c>
      <c r="PT44">
        <v>1262.528</v>
      </c>
      <c r="PU44">
        <v>341.55180000000001</v>
      </c>
      <c r="PV44">
        <v>604.6422</v>
      </c>
      <c r="PW44">
        <v>41.826210000000003</v>
      </c>
      <c r="PX44">
        <v>105.09690000000001</v>
      </c>
      <c r="PY44">
        <v>510.18529999999998</v>
      </c>
      <c r="PZ44">
        <v>100.1596</v>
      </c>
      <c r="QA44">
        <v>482662.1</v>
      </c>
      <c r="QB44">
        <v>9537.0360000000001</v>
      </c>
      <c r="QC44">
        <v>86687.96</v>
      </c>
      <c r="QD44">
        <v>9621.9830000000002</v>
      </c>
      <c r="QE44">
        <v>7237.5959999999995</v>
      </c>
      <c r="QF44">
        <v>5388.8559999999998</v>
      </c>
      <c r="QG44">
        <v>3018.0540000000001</v>
      </c>
      <c r="QH44">
        <v>5.5858999999999999E-2</v>
      </c>
      <c r="QI44" s="21">
        <v>5.3499999999999996E-6</v>
      </c>
      <c r="QJ44" s="21">
        <v>4.9799999999999998E-5</v>
      </c>
      <c r="QK44">
        <v>20460.830000000002</v>
      </c>
      <c r="QL44">
        <v>11220.29</v>
      </c>
      <c r="QM44">
        <v>5835.7250000000004</v>
      </c>
      <c r="QN44">
        <v>839.09190000000001</v>
      </c>
      <c r="QO44">
        <v>3491.2260000000001</v>
      </c>
      <c r="QP44">
        <v>1816.2739999999999</v>
      </c>
      <c r="QQ44">
        <v>799.66269999999997</v>
      </c>
      <c r="QR44">
        <v>2064.944</v>
      </c>
      <c r="QS44">
        <v>1567.0170000000001</v>
      </c>
      <c r="QT44">
        <v>1847.529</v>
      </c>
      <c r="QU44">
        <v>748.85709999999995</v>
      </c>
      <c r="QV44">
        <v>25913.68</v>
      </c>
      <c r="QW44">
        <v>11515.15</v>
      </c>
      <c r="QX44">
        <v>2643.038</v>
      </c>
      <c r="QY44">
        <v>4917.4229999999998</v>
      </c>
      <c r="QZ44">
        <v>16498.14</v>
      </c>
      <c r="RA44">
        <v>2870.808</v>
      </c>
      <c r="RB44">
        <v>8213.9179999999997</v>
      </c>
      <c r="RC44">
        <v>282388.8</v>
      </c>
      <c r="RD44">
        <v>116298.8</v>
      </c>
      <c r="RE44">
        <v>0.69902299999999995</v>
      </c>
      <c r="RF44">
        <v>140.61529999999999</v>
      </c>
      <c r="RG44">
        <v>1333.0409999999999</v>
      </c>
      <c r="RH44">
        <v>1119.57</v>
      </c>
      <c r="RI44">
        <v>1.2788459999999999</v>
      </c>
      <c r="RJ44">
        <v>160.25479999999999</v>
      </c>
      <c r="RK44">
        <v>0.117173</v>
      </c>
      <c r="RL44">
        <v>7017.0659999999998</v>
      </c>
      <c r="RM44">
        <v>7043.1610000000001</v>
      </c>
      <c r="RN44">
        <v>352.33510000000001</v>
      </c>
      <c r="RO44">
        <v>1111.5219999999999</v>
      </c>
      <c r="RP44">
        <v>73.418390000000002</v>
      </c>
      <c r="RQ44">
        <v>695.26559999999995</v>
      </c>
      <c r="RR44">
        <v>513.64359999999999</v>
      </c>
      <c r="RS44">
        <v>246.48179999999999</v>
      </c>
      <c r="RT44">
        <v>3022.91</v>
      </c>
      <c r="RU44">
        <v>1557.32</v>
      </c>
      <c r="RV44">
        <v>546339.9</v>
      </c>
      <c r="RW44">
        <v>16118.82</v>
      </c>
      <c r="RX44">
        <v>84132.04</v>
      </c>
      <c r="RY44">
        <v>9434.2669999999998</v>
      </c>
      <c r="RZ44">
        <v>5827.7039999999997</v>
      </c>
      <c r="SA44">
        <v>4543.982</v>
      </c>
      <c r="SB44">
        <v>2744.6680000000001</v>
      </c>
      <c r="SC44">
        <v>-2.5999999999999998E-4</v>
      </c>
      <c r="SD44" s="21">
        <v>4.2100000000000002E-7</v>
      </c>
      <c r="SE44" s="21">
        <v>3.0900000000000001E-6</v>
      </c>
      <c r="SF44">
        <v>30198.06</v>
      </c>
      <c r="SG44">
        <v>36.102789999999999</v>
      </c>
      <c r="SH44">
        <v>5049.335</v>
      </c>
      <c r="SI44">
        <v>18850.63</v>
      </c>
      <c r="SJ44">
        <v>6261.9920000000002</v>
      </c>
      <c r="SK44">
        <v>23249.759999999998</v>
      </c>
      <c r="SL44">
        <v>22.8443</v>
      </c>
      <c r="SM44">
        <v>3665.81</v>
      </c>
      <c r="SN44">
        <v>13963.94</v>
      </c>
      <c r="SO44">
        <v>5597.1660000000002</v>
      </c>
      <c r="SP44">
        <v>146438.9</v>
      </c>
      <c r="SQ44">
        <v>62828.87</v>
      </c>
      <c r="SR44">
        <v>151196</v>
      </c>
      <c r="SS44">
        <v>71756.06</v>
      </c>
      <c r="ST44">
        <v>31.68169</v>
      </c>
      <c r="SU44">
        <v>0.217448</v>
      </c>
      <c r="SV44">
        <v>3.634188</v>
      </c>
      <c r="SW44">
        <v>13.458920000000001</v>
      </c>
      <c r="SX44">
        <v>14.37114</v>
      </c>
      <c r="SY44">
        <v>25.59131</v>
      </c>
      <c r="SZ44">
        <v>0.13759199999999999</v>
      </c>
      <c r="TA44">
        <v>2.6384150000000002</v>
      </c>
      <c r="TB44">
        <v>9.9699290000000005</v>
      </c>
      <c r="TC44">
        <v>12.845370000000001</v>
      </c>
      <c r="TD44">
        <v>27092.05</v>
      </c>
      <c r="TE44">
        <v>836.13369999999998</v>
      </c>
      <c r="TF44">
        <v>549.4203</v>
      </c>
      <c r="TG44">
        <v>212.24440000000001</v>
      </c>
      <c r="TH44">
        <v>49.532380000000003</v>
      </c>
      <c r="TI44">
        <v>105.76949999999999</v>
      </c>
      <c r="TJ44">
        <v>83.046469999999999</v>
      </c>
      <c r="TK44">
        <v>23.63325</v>
      </c>
      <c r="TL44">
        <v>25.597729999999999</v>
      </c>
      <c r="TM44">
        <v>160.328</v>
      </c>
      <c r="TN44">
        <v>37.042259999999999</v>
      </c>
      <c r="TO44">
        <v>24.081289999999999</v>
      </c>
      <c r="TP44">
        <v>1984.635</v>
      </c>
      <c r="TQ44">
        <v>2056.0410000000002</v>
      </c>
      <c r="TR44">
        <v>112.4552</v>
      </c>
      <c r="TS44">
        <v>220.4546</v>
      </c>
      <c r="TT44">
        <v>425.88729999999998</v>
      </c>
      <c r="TU44">
        <v>42.033200000000001</v>
      </c>
      <c r="TV44">
        <v>74.158590000000004</v>
      </c>
      <c r="TW44">
        <v>13044.61</v>
      </c>
      <c r="TX44">
        <v>6919.6279999999997</v>
      </c>
      <c r="TY44">
        <v>0.46397699999999997</v>
      </c>
      <c r="TZ44">
        <v>6.4920309999999999</v>
      </c>
      <c r="UA44">
        <v>3.1065200000000002</v>
      </c>
      <c r="UB44">
        <v>55.028889999999997</v>
      </c>
      <c r="UC44">
        <v>0.66422400000000004</v>
      </c>
      <c r="UD44">
        <v>2.206499</v>
      </c>
      <c r="UE44">
        <v>4.0347819999999999</v>
      </c>
      <c r="UF44">
        <v>1.486699</v>
      </c>
      <c r="UG44">
        <v>0.72507999999999995</v>
      </c>
      <c r="UH44">
        <v>9.635313</v>
      </c>
      <c r="UI44">
        <v>4.6450389999999997</v>
      </c>
      <c r="UJ44">
        <v>10.75562</v>
      </c>
      <c r="UK44">
        <v>4.0437469999999998</v>
      </c>
      <c r="UL44">
        <v>0.29419499999999998</v>
      </c>
      <c r="UM44">
        <v>0.33107799999999998</v>
      </c>
      <c r="UN44">
        <v>1.1523939999999999</v>
      </c>
      <c r="UO44">
        <v>0.24834800000000001</v>
      </c>
      <c r="UP44">
        <v>27456.54</v>
      </c>
      <c r="UQ44">
        <v>826.36580000000004</v>
      </c>
      <c r="UR44">
        <v>563.05989999999997</v>
      </c>
      <c r="US44">
        <v>198.83189999999999</v>
      </c>
      <c r="UT44">
        <v>49.977089999999997</v>
      </c>
      <c r="UU44">
        <v>116.714</v>
      </c>
      <c r="UV44">
        <v>84.500590000000003</v>
      </c>
      <c r="UW44">
        <v>22.209019999999999</v>
      </c>
      <c r="UX44">
        <v>23.43544</v>
      </c>
      <c r="UY44">
        <v>163.9854</v>
      </c>
      <c r="UZ44">
        <v>35.930709999999998</v>
      </c>
      <c r="VA44">
        <v>21.58559</v>
      </c>
      <c r="VB44">
        <v>1936.431</v>
      </c>
      <c r="VC44">
        <v>2194.8020000000001</v>
      </c>
      <c r="VD44">
        <v>112.7722</v>
      </c>
      <c r="VE44">
        <v>230.6591</v>
      </c>
      <c r="VF44">
        <v>388.69189999999998</v>
      </c>
      <c r="VG44">
        <v>32.795760000000001</v>
      </c>
      <c r="VH44">
        <v>70.272549999999995</v>
      </c>
      <c r="VI44">
        <v>13297.6</v>
      </c>
      <c r="VJ44">
        <v>6944.9870000000001</v>
      </c>
      <c r="VK44">
        <v>0.219054</v>
      </c>
      <c r="VL44">
        <v>3.2114289999999999</v>
      </c>
      <c r="VM44">
        <v>42.01876</v>
      </c>
      <c r="VN44">
        <v>26.067</v>
      </c>
      <c r="VO44">
        <v>2.8677000000000001E-2</v>
      </c>
      <c r="VP44">
        <v>2.1063679999999998</v>
      </c>
      <c r="VQ44">
        <v>7.6241000000000003E-2</v>
      </c>
      <c r="VR44">
        <v>12.529870000000001</v>
      </c>
      <c r="VS44">
        <v>24.501619999999999</v>
      </c>
      <c r="VT44">
        <v>6.8596329999999996</v>
      </c>
      <c r="VU44">
        <v>4.2631750000000004</v>
      </c>
      <c r="VV44">
        <v>4.0492730000000003</v>
      </c>
      <c r="VW44">
        <v>4.6126269999999998</v>
      </c>
      <c r="VX44">
        <v>2.2739850000000001</v>
      </c>
      <c r="VY44">
        <v>0.66843900000000001</v>
      </c>
      <c r="VZ44">
        <v>5.3384960000000001</v>
      </c>
      <c r="WA44">
        <v>2.1103200000000002</v>
      </c>
      <c r="WB44">
        <v>0.129915</v>
      </c>
      <c r="WC44">
        <v>0.115276</v>
      </c>
      <c r="WD44">
        <v>-3.09E-2</v>
      </c>
      <c r="WE44">
        <v>-1.7108999999999999E-2</v>
      </c>
      <c r="WF44">
        <v>0.80115599999999998</v>
      </c>
      <c r="WG44">
        <v>0.39595900000000001</v>
      </c>
      <c r="WH44">
        <v>-4.5171000000000003E-2</v>
      </c>
      <c r="WI44">
        <v>-1.8353000000000001E-2</v>
      </c>
      <c r="WJ44">
        <v>3130616</v>
      </c>
      <c r="WK44">
        <v>3188334</v>
      </c>
    </row>
    <row r="45" spans="1:609" x14ac:dyDescent="0.25">
      <c r="A45">
        <v>2046</v>
      </c>
      <c r="B45">
        <v>1.9541170000000001</v>
      </c>
      <c r="C45">
        <v>179.2587</v>
      </c>
      <c r="D45">
        <v>7.703328</v>
      </c>
      <c r="E45">
        <v>13.544029999999999</v>
      </c>
      <c r="F45">
        <v>-13.482710000000001</v>
      </c>
      <c r="G45">
        <v>6.7700009999999997</v>
      </c>
      <c r="H45">
        <v>-1.516256</v>
      </c>
      <c r="I45">
        <v>1.407483</v>
      </c>
      <c r="J45">
        <v>34.50403</v>
      </c>
      <c r="K45">
        <v>0.912323</v>
      </c>
      <c r="L45">
        <v>33.28801</v>
      </c>
      <c r="M45">
        <v>1.450467</v>
      </c>
      <c r="N45">
        <v>0</v>
      </c>
      <c r="O45">
        <v>-43.082929999999998</v>
      </c>
      <c r="P45">
        <v>-2.846015</v>
      </c>
      <c r="Q45">
        <v>-68.67004</v>
      </c>
      <c r="R45">
        <v>25.520009999999999</v>
      </c>
      <c r="S45">
        <v>100</v>
      </c>
      <c r="T45">
        <v>963.28989999999999</v>
      </c>
      <c r="U45">
        <v>215.86799999999999</v>
      </c>
      <c r="V45">
        <v>500.37310000000002</v>
      </c>
      <c r="W45">
        <v>1.2781180000000001</v>
      </c>
      <c r="X45">
        <v>41411.269999999997</v>
      </c>
      <c r="Y45">
        <v>0.12825700000000001</v>
      </c>
      <c r="Z45">
        <v>0.21784899999999999</v>
      </c>
      <c r="AA45">
        <v>7.834193</v>
      </c>
      <c r="AB45">
        <v>-1.1468769999999999</v>
      </c>
      <c r="AC45">
        <v>4.3327999999999998E-2</v>
      </c>
      <c r="AD45">
        <v>82823.820000000007</v>
      </c>
      <c r="AE45">
        <v>1547058</v>
      </c>
      <c r="AF45">
        <v>1694905</v>
      </c>
      <c r="AG45">
        <v>201384.5</v>
      </c>
      <c r="AH45">
        <v>775691.9</v>
      </c>
      <c r="AI45">
        <v>-4.8799999999999998E-3</v>
      </c>
      <c r="AJ45">
        <v>305.8904</v>
      </c>
      <c r="AK45">
        <v>9753.8310000000001</v>
      </c>
      <c r="AL45">
        <v>664.45259999999996</v>
      </c>
      <c r="AM45">
        <v>95.831879999999998</v>
      </c>
      <c r="AN45">
        <v>3055.761</v>
      </c>
      <c r="AO45">
        <v>208.1652</v>
      </c>
      <c r="AP45">
        <v>5964.3829999999998</v>
      </c>
      <c r="AQ45">
        <v>1868.5709999999999</v>
      </c>
      <c r="AR45">
        <v>1683.9939999999999</v>
      </c>
      <c r="AS45">
        <v>573.93409999999994</v>
      </c>
      <c r="AT45">
        <v>4028.768</v>
      </c>
      <c r="AU45">
        <v>1379.579</v>
      </c>
      <c r="AV45">
        <v>210.2217</v>
      </c>
      <c r="AW45">
        <v>1.7448570000000001</v>
      </c>
      <c r="AX45">
        <v>0.74195299999999997</v>
      </c>
      <c r="AY45">
        <v>3.8619479999999999</v>
      </c>
      <c r="AZ45">
        <v>-7.6104240000000001</v>
      </c>
      <c r="BA45">
        <v>0.25557600000000003</v>
      </c>
      <c r="BB45">
        <v>8.1814520000000002</v>
      </c>
      <c r="BC45">
        <v>-0.17285200000000001</v>
      </c>
      <c r="BD45">
        <v>1.509568</v>
      </c>
      <c r="BE45">
        <v>-9.6630140000000004</v>
      </c>
      <c r="BF45">
        <v>0.44900099999999998</v>
      </c>
      <c r="BG45">
        <v>-6.8019999999999999E-3</v>
      </c>
      <c r="BH45">
        <v>-8.3273050000000008</v>
      </c>
      <c r="BI45">
        <v>-2.2754859999999999</v>
      </c>
      <c r="BJ45">
        <v>7.1318460000000004</v>
      </c>
      <c r="BK45">
        <v>1.511285</v>
      </c>
      <c r="BL45">
        <v>5.0213679999999998</v>
      </c>
      <c r="BM45">
        <v>-8.6427949999999996</v>
      </c>
      <c r="BN45">
        <v>-23.547370000000001</v>
      </c>
      <c r="BO45">
        <v>-10.386240000000001</v>
      </c>
      <c r="BP45">
        <v>2.5425759999999999</v>
      </c>
      <c r="BQ45">
        <v>0.81504600000000005</v>
      </c>
      <c r="BR45">
        <v>-113.59059999999999</v>
      </c>
      <c r="BS45">
        <v>-52.550989999999999</v>
      </c>
      <c r="BT45">
        <v>1279.921</v>
      </c>
      <c r="BU45">
        <v>-52.394509999999997</v>
      </c>
      <c r="BV45">
        <v>-96.407799999999995</v>
      </c>
      <c r="BW45">
        <v>-6.3299110000000001</v>
      </c>
      <c r="BX45">
        <v>-98.865660000000005</v>
      </c>
      <c r="BY45">
        <v>658.88789999999995</v>
      </c>
      <c r="BZ45">
        <v>2878.4369999999999</v>
      </c>
      <c r="CA45">
        <v>-28.247540000000001</v>
      </c>
      <c r="CB45">
        <v>-19.12829</v>
      </c>
      <c r="CC45">
        <v>-57.58907</v>
      </c>
      <c r="CD45">
        <v>5.954307</v>
      </c>
      <c r="CE45">
        <v>613.2174</v>
      </c>
      <c r="CF45">
        <v>89.972319999999996</v>
      </c>
      <c r="CG45">
        <v>343.30059999999997</v>
      </c>
      <c r="CH45">
        <v>655.19860000000006</v>
      </c>
      <c r="CI45">
        <v>25.649650000000001</v>
      </c>
      <c r="CJ45">
        <v>23.11664</v>
      </c>
      <c r="CK45">
        <v>-6.8050850000000001</v>
      </c>
      <c r="CL45">
        <v>35.41431</v>
      </c>
      <c r="CM45">
        <v>67.773099999999999</v>
      </c>
      <c r="CN45">
        <v>22.496739999999999</v>
      </c>
      <c r="CO45">
        <v>87.667990000000003</v>
      </c>
      <c r="CP45">
        <v>15.520960000000001</v>
      </c>
      <c r="CQ45">
        <v>1.3098050000000001</v>
      </c>
      <c r="CR45">
        <v>53.943629999999999</v>
      </c>
      <c r="CS45">
        <v>10.065329999999999</v>
      </c>
      <c r="CT45">
        <v>5.9985720000000002</v>
      </c>
      <c r="CU45">
        <v>16.969080000000002</v>
      </c>
      <c r="CV45">
        <v>21.03641</v>
      </c>
      <c r="CW45">
        <v>32.503889999999998</v>
      </c>
      <c r="CX45">
        <v>77.623779999999996</v>
      </c>
      <c r="CY45">
        <v>61.22898</v>
      </c>
      <c r="CZ45">
        <v>130.1662</v>
      </c>
      <c r="DA45">
        <v>7.1654249999999999</v>
      </c>
      <c r="DB45">
        <v>3.7348170000000001</v>
      </c>
      <c r="DC45">
        <v>-65.546840000000003</v>
      </c>
      <c r="DD45">
        <v>-64.161850000000001</v>
      </c>
      <c r="DE45">
        <v>2343.85</v>
      </c>
      <c r="DF45">
        <v>-61.64864</v>
      </c>
      <c r="DG45">
        <v>-99.806219999999996</v>
      </c>
      <c r="DH45">
        <v>-9.8714429999999993</v>
      </c>
      <c r="DI45">
        <v>-99.971850000000003</v>
      </c>
      <c r="DJ45">
        <v>1002.1</v>
      </c>
      <c r="DK45">
        <v>6330.4859999999999</v>
      </c>
      <c r="DL45">
        <v>-44.988860000000003</v>
      </c>
      <c r="DM45">
        <v>-16.653189999999999</v>
      </c>
      <c r="DN45">
        <v>-79.310779999999994</v>
      </c>
      <c r="DO45">
        <v>13.18126</v>
      </c>
      <c r="DP45">
        <v>1115.366</v>
      </c>
      <c r="DQ45">
        <v>138.0823</v>
      </c>
      <c r="DR45">
        <v>532.08659999999998</v>
      </c>
      <c r="DS45">
        <v>1417.317</v>
      </c>
      <c r="DT45">
        <v>0.127632</v>
      </c>
      <c r="DU45">
        <v>8.5336409999999994</v>
      </c>
      <c r="DV45">
        <v>-2.348776</v>
      </c>
      <c r="DW45">
        <v>9.7997130000000006</v>
      </c>
      <c r="DX45">
        <v>9.0324240000000007</v>
      </c>
      <c r="DY45">
        <v>9.8521280000000004</v>
      </c>
      <c r="DZ45">
        <v>7.7245780000000002</v>
      </c>
      <c r="EA45">
        <v>11.66779</v>
      </c>
      <c r="EB45">
        <v>14.62486</v>
      </c>
      <c r="EC45">
        <v>0</v>
      </c>
      <c r="ED45">
        <v>13.83154</v>
      </c>
      <c r="EE45">
        <v>11.458360000000001</v>
      </c>
      <c r="EF45">
        <v>7.1532710000000002</v>
      </c>
      <c r="EG45">
        <v>3.495981</v>
      </c>
      <c r="EH45">
        <v>5.1157950000000003</v>
      </c>
      <c r="EI45">
        <v>3.8968999999999997E-2</v>
      </c>
      <c r="EJ45">
        <v>6.4713609999999999</v>
      </c>
      <c r="EK45">
        <v>-4.4383290000000004</v>
      </c>
      <c r="EL45">
        <v>8.2826550000000001</v>
      </c>
      <c r="EM45">
        <v>8.0963130000000003</v>
      </c>
      <c r="EN45">
        <v>-36.977139999999999</v>
      </c>
      <c r="EO45">
        <v>-24.031330000000001</v>
      </c>
      <c r="EP45">
        <v>-17.780760000000001</v>
      </c>
      <c r="EQ45">
        <v>-10.69384</v>
      </c>
      <c r="ER45">
        <v>8.5778479999999995</v>
      </c>
      <c r="ES45">
        <v>55.052599999999998</v>
      </c>
      <c r="ET45">
        <v>1.499744</v>
      </c>
      <c r="EU45">
        <v>40.155700000000003</v>
      </c>
      <c r="EV45">
        <v>0.64254199999999995</v>
      </c>
      <c r="EW45">
        <v>2.3475030000000001</v>
      </c>
      <c r="EX45">
        <v>2.9645980000000001</v>
      </c>
      <c r="EY45">
        <v>0.936052</v>
      </c>
      <c r="EZ45">
        <v>0.124055</v>
      </c>
      <c r="FA45">
        <v>6.3268069999999996</v>
      </c>
      <c r="FB45">
        <v>2.029992</v>
      </c>
      <c r="FC45">
        <v>28.535520000000002</v>
      </c>
      <c r="FD45">
        <v>7.7560000000000002</v>
      </c>
      <c r="FE45">
        <v>0.46843200000000002</v>
      </c>
      <c r="FF45">
        <v>0.72184599999999999</v>
      </c>
      <c r="FG45">
        <v>1.2977860000000001</v>
      </c>
      <c r="FH45">
        <v>0.29181000000000001</v>
      </c>
      <c r="FI45">
        <v>4.8351379999999997</v>
      </c>
      <c r="FJ45">
        <v>22.310320000000001</v>
      </c>
      <c r="FK45">
        <v>16.76641</v>
      </c>
      <c r="FL45">
        <v>18.738219999999998</v>
      </c>
      <c r="FM45">
        <v>1.882E-2</v>
      </c>
      <c r="FN45">
        <v>2.1606480000000001</v>
      </c>
      <c r="FO45">
        <v>3.3834999999999997E-2</v>
      </c>
      <c r="FP45">
        <v>6.9750829999999997</v>
      </c>
      <c r="FQ45">
        <v>3.6267299999999998</v>
      </c>
      <c r="FR45">
        <v>4.4496180000000001</v>
      </c>
      <c r="FS45">
        <v>1.6119509999999999</v>
      </c>
      <c r="FT45">
        <v>11.077400000000001</v>
      </c>
      <c r="FU45">
        <v>9.5255949999999991</v>
      </c>
      <c r="FV45">
        <v>3.9058899999999999</v>
      </c>
      <c r="FW45">
        <v>1.616606</v>
      </c>
      <c r="FX45">
        <v>6.7225679999999999</v>
      </c>
      <c r="FY45">
        <v>2.664828</v>
      </c>
      <c r="FZ45">
        <v>6.261266</v>
      </c>
      <c r="GA45">
        <v>40.955509999999997</v>
      </c>
      <c r="GB45">
        <v>1.499744</v>
      </c>
      <c r="GC45">
        <v>36.214419999999997</v>
      </c>
      <c r="GD45">
        <v>0.57947599999999999</v>
      </c>
      <c r="GE45">
        <v>2.1170960000000001</v>
      </c>
      <c r="GF45">
        <v>2.6736219999999999</v>
      </c>
      <c r="GG45">
        <v>0.84417799999999998</v>
      </c>
      <c r="GH45">
        <v>0.11187900000000001</v>
      </c>
      <c r="GI45">
        <v>5.7058309999999999</v>
      </c>
      <c r="GJ45">
        <v>1.830748</v>
      </c>
      <c r="GK45">
        <v>26.866119999999999</v>
      </c>
      <c r="GL45">
        <v>7.7560000000000002</v>
      </c>
      <c r="GM45">
        <v>0.46843200000000002</v>
      </c>
      <c r="GN45">
        <v>0.72184599999999999</v>
      </c>
      <c r="GO45">
        <v>1.2977860000000001</v>
      </c>
      <c r="GP45">
        <v>0.29181000000000001</v>
      </c>
      <c r="GQ45">
        <v>2.7641490000000002</v>
      </c>
      <c r="GR45">
        <v>10.13274</v>
      </c>
      <c r="GS45">
        <v>16.76641</v>
      </c>
      <c r="GT45">
        <v>16.023250000000001</v>
      </c>
      <c r="GU45">
        <v>1.6093E-2</v>
      </c>
      <c r="GV45">
        <v>1.847593</v>
      </c>
      <c r="GW45">
        <v>2.8933E-2</v>
      </c>
      <c r="GX45">
        <v>5.9644680000000001</v>
      </c>
      <c r="GY45">
        <v>3.1012550000000001</v>
      </c>
      <c r="GZ45">
        <v>3.804916</v>
      </c>
      <c r="HA45">
        <v>1.3783970000000001</v>
      </c>
      <c r="HB45">
        <v>9.6353150000000003</v>
      </c>
      <c r="HC45">
        <v>9.5255949999999991</v>
      </c>
      <c r="HD45">
        <v>3.9058899999999999</v>
      </c>
      <c r="HE45">
        <v>1.616606</v>
      </c>
      <c r="HF45">
        <v>6.7225679999999999</v>
      </c>
      <c r="HG45">
        <v>2.664828</v>
      </c>
      <c r="HH45">
        <v>6.3741940000000001</v>
      </c>
      <c r="HI45">
        <v>44.020769999999999</v>
      </c>
      <c r="HJ45">
        <v>1.499744</v>
      </c>
      <c r="HK45">
        <v>144.96449999999999</v>
      </c>
      <c r="HL45">
        <v>1.3878999999999999</v>
      </c>
      <c r="HM45">
        <v>5.0706449999999998</v>
      </c>
      <c r="HN45">
        <v>6.4035789999999997</v>
      </c>
      <c r="HO45">
        <v>1.011941</v>
      </c>
      <c r="HP45">
        <v>0.13411300000000001</v>
      </c>
      <c r="HQ45">
        <v>6.8397490000000003</v>
      </c>
      <c r="HR45">
        <v>5.9334720000000001</v>
      </c>
      <c r="HS45">
        <v>27.050719999999998</v>
      </c>
      <c r="HT45">
        <v>7.8719999999999999</v>
      </c>
      <c r="HU45">
        <v>0.47543800000000003</v>
      </c>
      <c r="HV45">
        <v>0.73264200000000002</v>
      </c>
      <c r="HW45">
        <v>1.317196</v>
      </c>
      <c r="HX45">
        <v>0.29617399999999999</v>
      </c>
      <c r="HY45">
        <v>2.7997390000000002</v>
      </c>
      <c r="HZ45">
        <v>10.896269999999999</v>
      </c>
      <c r="IA45">
        <v>12.68717</v>
      </c>
      <c r="IB45">
        <v>61.052390000000003</v>
      </c>
      <c r="IC45">
        <v>1.8822999999999999E-2</v>
      </c>
      <c r="ID45">
        <v>4.1102660000000002</v>
      </c>
      <c r="IE45">
        <v>3.3840000000000002E-2</v>
      </c>
      <c r="IF45">
        <v>8.9945830000000004</v>
      </c>
      <c r="IG45">
        <v>3.8991159999999998</v>
      </c>
      <c r="IH45">
        <v>4.7838070000000004</v>
      </c>
      <c r="II45">
        <v>5.7754539999999999</v>
      </c>
      <c r="IJ45">
        <v>9.6374940000000002</v>
      </c>
      <c r="IK45">
        <v>9.5281249999999993</v>
      </c>
      <c r="IL45">
        <v>6.9023510000000003</v>
      </c>
      <c r="IM45">
        <v>1.617076</v>
      </c>
      <c r="IN45">
        <v>6.7245109999999997</v>
      </c>
      <c r="IO45">
        <v>2.6654469999999999</v>
      </c>
      <c r="IP45">
        <v>3.468861</v>
      </c>
      <c r="IQ45">
        <v>5.6808360000000002</v>
      </c>
      <c r="IR45">
        <v>0.52574699999999996</v>
      </c>
      <c r="IS45">
        <v>1.6443490000000001</v>
      </c>
      <c r="IT45">
        <v>4.087612</v>
      </c>
      <c r="IU45">
        <v>4.2084039999999998</v>
      </c>
      <c r="IV45">
        <v>4.5244530000000003</v>
      </c>
      <c r="IW45">
        <v>4.8648449999999999</v>
      </c>
      <c r="IX45">
        <v>0.87482800000000005</v>
      </c>
      <c r="IY45">
        <v>7.6176430000000002</v>
      </c>
      <c r="IZ45">
        <v>1.782613</v>
      </c>
      <c r="JA45">
        <v>8.5759129999999999</v>
      </c>
      <c r="JB45">
        <v>0.43883499999999998</v>
      </c>
      <c r="JC45">
        <v>1.87632</v>
      </c>
      <c r="JD45">
        <v>0.76878000000000002</v>
      </c>
      <c r="JE45">
        <v>14.17102</v>
      </c>
      <c r="JF45">
        <v>0.25541000000000003</v>
      </c>
      <c r="JG45">
        <v>1.296635</v>
      </c>
      <c r="JH45">
        <v>19.198540000000001</v>
      </c>
      <c r="JI45">
        <v>7.1942810000000001</v>
      </c>
      <c r="JJ45">
        <v>11.74558</v>
      </c>
      <c r="JK45">
        <v>31.394259999999999</v>
      </c>
      <c r="JL45">
        <v>1.7858719999999999</v>
      </c>
      <c r="JM45">
        <v>4.5871630000000003</v>
      </c>
      <c r="JN45">
        <v>0.39750400000000002</v>
      </c>
      <c r="JO45">
        <v>1.154436</v>
      </c>
      <c r="JP45">
        <v>2.6787260000000002</v>
      </c>
      <c r="JQ45">
        <v>3.1186180000000001</v>
      </c>
      <c r="JR45">
        <v>2.8783859999999999</v>
      </c>
      <c r="JS45">
        <v>3.3384819999999999</v>
      </c>
      <c r="JT45">
        <v>0.70387</v>
      </c>
      <c r="JU45">
        <v>3.3266580000000001</v>
      </c>
      <c r="JV45">
        <v>0.93405800000000005</v>
      </c>
      <c r="JW45">
        <v>6.9069459999999996</v>
      </c>
      <c r="JX45">
        <v>0.39762199999999998</v>
      </c>
      <c r="JY45">
        <v>1.0901479999999999</v>
      </c>
      <c r="JZ45">
        <v>0.60435499999999998</v>
      </c>
      <c r="KA45">
        <v>7.0548900000000003</v>
      </c>
      <c r="KB45">
        <v>6.9419999999999996E-2</v>
      </c>
      <c r="KC45">
        <v>0.39550999999999997</v>
      </c>
      <c r="KD45">
        <v>13.92967</v>
      </c>
      <c r="KE45">
        <v>4.9520939999999998</v>
      </c>
      <c r="KF45">
        <v>10.40353</v>
      </c>
      <c r="KG45">
        <v>25.191040000000001</v>
      </c>
      <c r="KH45">
        <v>9670.1080000000002</v>
      </c>
      <c r="KI45">
        <v>8471.9760000000006</v>
      </c>
      <c r="KJ45">
        <v>5239.6120000000001</v>
      </c>
      <c r="KK45">
        <v>2340.7910000000002</v>
      </c>
      <c r="KL45">
        <v>749.38840000000005</v>
      </c>
      <c r="KM45">
        <v>236.21379999999999</v>
      </c>
      <c r="KN45">
        <v>249.40889999999999</v>
      </c>
      <c r="KO45">
        <v>0</v>
      </c>
      <c r="KP45">
        <v>20731.830000000002</v>
      </c>
      <c r="KQ45">
        <v>6225.6629999999996</v>
      </c>
      <c r="KR45">
        <v>0</v>
      </c>
      <c r="KS45">
        <v>10560.08</v>
      </c>
      <c r="KT45">
        <v>7148.1329999999998</v>
      </c>
      <c r="KU45">
        <v>4770.6310000000003</v>
      </c>
      <c r="KV45">
        <v>2517.5810000000001</v>
      </c>
      <c r="KW45">
        <v>687.45079999999996</v>
      </c>
      <c r="KX45">
        <v>216.42140000000001</v>
      </c>
      <c r="KY45">
        <v>130.7379</v>
      </c>
      <c r="KZ45">
        <v>0</v>
      </c>
      <c r="LA45">
        <v>15219.15</v>
      </c>
      <c r="LB45">
        <v>10811.89</v>
      </c>
      <c r="LC45">
        <v>0</v>
      </c>
      <c r="LD45" s="21">
        <v>179000000</v>
      </c>
      <c r="LE45" s="21">
        <v>432000000</v>
      </c>
      <c r="LF45" s="21">
        <v>967000000</v>
      </c>
      <c r="LG45" s="21">
        <v>784000000</v>
      </c>
      <c r="LH45" s="21">
        <v>508000000</v>
      </c>
      <c r="LI45" s="21">
        <v>196000000</v>
      </c>
      <c r="LJ45">
        <v>98022565</v>
      </c>
      <c r="LK45" s="21">
        <v>3.49E-6</v>
      </c>
      <c r="LL45" s="21">
        <v>7.0899999999999999E-6</v>
      </c>
      <c r="LM45" s="21">
        <v>1.36E-5</v>
      </c>
      <c r="LN45" s="21">
        <v>3.0499999999999999E-5</v>
      </c>
      <c r="LO45" s="21">
        <v>5.3000000000000001E-5</v>
      </c>
      <c r="LP45" s="21">
        <v>8.3399999999999994E-5</v>
      </c>
      <c r="LQ45">
        <v>1.2400000000000001E-4</v>
      </c>
      <c r="LR45" s="21">
        <v>457000000</v>
      </c>
      <c r="LS45" s="21">
        <v>590000000</v>
      </c>
      <c r="LT45" s="21">
        <v>877000000</v>
      </c>
      <c r="LU45" s="21">
        <v>607000000</v>
      </c>
      <c r="LV45" s="21">
        <v>414000000</v>
      </c>
      <c r="LW45" s="21">
        <v>148000000</v>
      </c>
      <c r="LX45">
        <v>72518195</v>
      </c>
      <c r="LY45" s="21">
        <v>9.4099999999999997E-6</v>
      </c>
      <c r="LZ45" s="21">
        <v>1.77E-5</v>
      </c>
      <c r="MA45" s="21">
        <v>3.2400000000000001E-5</v>
      </c>
      <c r="MB45" s="21">
        <v>6.8700000000000003E-5</v>
      </c>
      <c r="MC45">
        <v>1.0399999999999999E-4</v>
      </c>
      <c r="MD45">
        <v>1.5200000000000001E-4</v>
      </c>
      <c r="ME45">
        <v>2.0900000000000001E-4</v>
      </c>
      <c r="MF45">
        <v>0.44273699999999999</v>
      </c>
      <c r="MG45">
        <v>0.287018</v>
      </c>
      <c r="MH45">
        <v>0.180808</v>
      </c>
      <c r="MI45">
        <v>8.9437000000000003E-2</v>
      </c>
      <c r="MJ45" s="21">
        <v>5.8699999999999995E-7</v>
      </c>
      <c r="MK45">
        <v>0</v>
      </c>
      <c r="ML45">
        <v>0</v>
      </c>
      <c r="MM45">
        <v>2.0673149999999998</v>
      </c>
      <c r="MN45">
        <v>1.3126279999999999</v>
      </c>
      <c r="MO45">
        <v>0.82964499999999997</v>
      </c>
      <c r="MP45">
        <v>0.41533700000000001</v>
      </c>
      <c r="MQ45">
        <v>-4.3832000000000003E-2</v>
      </c>
      <c r="MR45">
        <v>-0.58315600000000001</v>
      </c>
      <c r="MS45">
        <v>-2.9979369999999999</v>
      </c>
      <c r="MT45">
        <v>0.483323</v>
      </c>
      <c r="MU45">
        <v>0.25744899999999998</v>
      </c>
      <c r="MV45">
        <v>0.16944600000000001</v>
      </c>
      <c r="MW45">
        <v>8.9782000000000001E-2</v>
      </c>
      <c r="MX45" s="21">
        <v>-1.2499999999999999E-8</v>
      </c>
      <c r="MY45">
        <v>0</v>
      </c>
      <c r="MZ45">
        <v>0</v>
      </c>
      <c r="NA45">
        <v>3.9830199999999998</v>
      </c>
      <c r="NB45">
        <v>2.0790929999999999</v>
      </c>
      <c r="NC45">
        <v>1.3697319999999999</v>
      </c>
      <c r="ND45">
        <v>0.72953999999999997</v>
      </c>
      <c r="NE45">
        <v>-0.13451399999999999</v>
      </c>
      <c r="NF45">
        <v>-1.1642239999999999</v>
      </c>
      <c r="NG45">
        <v>-5.8626469999999999</v>
      </c>
      <c r="NH45">
        <v>5.7879999999999997E-3</v>
      </c>
      <c r="NI45">
        <v>6.4949999999999999E-3</v>
      </c>
      <c r="NJ45">
        <v>1.0437E-2</v>
      </c>
      <c r="NK45">
        <v>3.9787999999999997E-2</v>
      </c>
      <c r="NL45">
        <v>4.9944000000000002E-2</v>
      </c>
      <c r="NM45">
        <v>0.10428800000000001</v>
      </c>
      <c r="NN45">
        <v>5.7879999999999997E-3</v>
      </c>
      <c r="NO45">
        <v>6.4949999999999999E-3</v>
      </c>
      <c r="NP45">
        <v>1.0437E-2</v>
      </c>
      <c r="NQ45">
        <v>3.9787999999999997E-2</v>
      </c>
      <c r="NR45">
        <v>4.9944000000000002E-2</v>
      </c>
      <c r="NS45">
        <v>0.10428800000000001</v>
      </c>
      <c r="NT45">
        <v>2.8835E-2</v>
      </c>
      <c r="NU45">
        <v>2.9444000000000001E-2</v>
      </c>
      <c r="NV45">
        <v>3.3690999999999999E-2</v>
      </c>
      <c r="NW45">
        <v>5.4810999999999999E-2</v>
      </c>
      <c r="NX45">
        <v>6.1261999999999997E-2</v>
      </c>
      <c r="NY45">
        <v>0.112803</v>
      </c>
      <c r="NZ45">
        <v>2.8835E-2</v>
      </c>
      <c r="OA45">
        <v>2.9444000000000001E-2</v>
      </c>
      <c r="OB45">
        <v>3.3690999999999999E-2</v>
      </c>
      <c r="OC45">
        <v>5.4810999999999999E-2</v>
      </c>
      <c r="OD45">
        <v>6.1261999999999997E-2</v>
      </c>
      <c r="OE45">
        <v>0.112803</v>
      </c>
      <c r="OF45">
        <v>35.422640000000001</v>
      </c>
      <c r="OG45">
        <v>19329.2</v>
      </c>
      <c r="OH45">
        <v>20817.09</v>
      </c>
      <c r="OI45">
        <v>6149.3289999999997</v>
      </c>
      <c r="OJ45">
        <v>22.324359999999999</v>
      </c>
      <c r="OK45">
        <v>14684.14</v>
      </c>
      <c r="OL45">
        <v>17115.66</v>
      </c>
      <c r="OM45">
        <v>5491.73</v>
      </c>
      <c r="ON45">
        <v>2028888</v>
      </c>
      <c r="OO45">
        <v>2174117</v>
      </c>
      <c r="OP45">
        <v>16922.38</v>
      </c>
      <c r="OQ45">
        <v>9439.4660000000003</v>
      </c>
      <c r="OR45">
        <v>6315.1360000000004</v>
      </c>
      <c r="OS45">
        <v>633.68579999999997</v>
      </c>
      <c r="OT45">
        <v>2158.0709999999999</v>
      </c>
      <c r="OU45">
        <v>1510.518</v>
      </c>
      <c r="OV45">
        <v>443.46190000000001</v>
      </c>
      <c r="OW45">
        <v>1901.0360000000001</v>
      </c>
      <c r="OX45">
        <v>1564.646</v>
      </c>
      <c r="OY45">
        <v>1214.42</v>
      </c>
      <c r="OZ45">
        <v>685.18179999999995</v>
      </c>
      <c r="PA45">
        <v>24806.94</v>
      </c>
      <c r="PB45">
        <v>10212.66</v>
      </c>
      <c r="PC45">
        <v>2296.1190000000001</v>
      </c>
      <c r="PD45">
        <v>3944.9430000000002</v>
      </c>
      <c r="PE45">
        <v>9795.4629999999997</v>
      </c>
      <c r="PF45">
        <v>1847.7380000000001</v>
      </c>
      <c r="PG45">
        <v>3735.8270000000002</v>
      </c>
      <c r="PH45">
        <v>269875.7</v>
      </c>
      <c r="PI45">
        <v>114197.3</v>
      </c>
      <c r="PJ45">
        <v>2.0499670000000001</v>
      </c>
      <c r="PK45">
        <v>358.75290000000001</v>
      </c>
      <c r="PL45">
        <v>55.848799999999997</v>
      </c>
      <c r="PM45">
        <v>2910.799</v>
      </c>
      <c r="PN45">
        <v>491.76150000000001</v>
      </c>
      <c r="PO45">
        <v>176.77430000000001</v>
      </c>
      <c r="PP45">
        <v>269.09320000000002</v>
      </c>
      <c r="PQ45">
        <v>590.22619999999995</v>
      </c>
      <c r="PR45">
        <v>103.8955</v>
      </c>
      <c r="PS45">
        <v>635.44330000000002</v>
      </c>
      <c r="PT45">
        <v>1253.7809999999999</v>
      </c>
      <c r="PU45">
        <v>333.14909999999998</v>
      </c>
      <c r="PV45">
        <v>588.8424</v>
      </c>
      <c r="PW45">
        <v>40.203789999999998</v>
      </c>
      <c r="PX45">
        <v>102.24890000000001</v>
      </c>
      <c r="PY45">
        <v>491.7124</v>
      </c>
      <c r="PZ45">
        <v>97.357939999999999</v>
      </c>
      <c r="QA45">
        <v>492002.6</v>
      </c>
      <c r="QB45">
        <v>9665.3649999999998</v>
      </c>
      <c r="QC45">
        <v>87098.63</v>
      </c>
      <c r="QD45">
        <v>9496.2019999999993</v>
      </c>
      <c r="QE45">
        <v>6996.2370000000001</v>
      </c>
      <c r="QF45">
        <v>5226.1580000000004</v>
      </c>
      <c r="QG45">
        <v>2962.116</v>
      </c>
      <c r="QH45">
        <v>2.7064999999999999E-2</v>
      </c>
      <c r="QI45" s="21">
        <v>2.61E-6</v>
      </c>
      <c r="QJ45" s="21">
        <v>2.4300000000000001E-5</v>
      </c>
      <c r="QK45">
        <v>21262.91</v>
      </c>
      <c r="QL45">
        <v>11621.55</v>
      </c>
      <c r="QM45">
        <v>5885.3860000000004</v>
      </c>
      <c r="QN45">
        <v>858.10119999999995</v>
      </c>
      <c r="QO45">
        <v>3620.663</v>
      </c>
      <c r="QP45">
        <v>1850.336</v>
      </c>
      <c r="QQ45">
        <v>832.23609999999996</v>
      </c>
      <c r="QR45">
        <v>2196.0949999999998</v>
      </c>
      <c r="QS45">
        <v>1585.1389999999999</v>
      </c>
      <c r="QT45">
        <v>1869.5219999999999</v>
      </c>
      <c r="QU45">
        <v>754.14760000000001</v>
      </c>
      <c r="QV45">
        <v>26295</v>
      </c>
      <c r="QW45">
        <v>11945.66</v>
      </c>
      <c r="QX45">
        <v>2779.14</v>
      </c>
      <c r="QY45">
        <v>5227.2039999999997</v>
      </c>
      <c r="QZ45">
        <v>17399.07</v>
      </c>
      <c r="RA45">
        <v>2979.0889999999999</v>
      </c>
      <c r="RB45">
        <v>8598.6119999999992</v>
      </c>
      <c r="RC45">
        <v>289213.40000000002</v>
      </c>
      <c r="RD45">
        <v>118462.39999999999</v>
      </c>
      <c r="RE45">
        <v>0.70627799999999996</v>
      </c>
      <c r="RF45">
        <v>128.57040000000001</v>
      </c>
      <c r="RG45">
        <v>1364.8610000000001</v>
      </c>
      <c r="RH45">
        <v>1116.3309999999999</v>
      </c>
      <c r="RI45">
        <v>0.95293799999999995</v>
      </c>
      <c r="RJ45">
        <v>159.32409999999999</v>
      </c>
      <c r="RK45">
        <v>7.5745999999999994E-2</v>
      </c>
      <c r="RL45">
        <v>6504.8810000000003</v>
      </c>
      <c r="RM45">
        <v>6680.9880000000003</v>
      </c>
      <c r="RN45">
        <v>349.56459999999998</v>
      </c>
      <c r="RO45">
        <v>1044.9860000000001</v>
      </c>
      <c r="RP45">
        <v>68.92595</v>
      </c>
      <c r="RQ45">
        <v>666.45920000000001</v>
      </c>
      <c r="RR45">
        <v>488.62310000000002</v>
      </c>
      <c r="RS45">
        <v>243.4366</v>
      </c>
      <c r="RT45">
        <v>3108.0479999999998</v>
      </c>
      <c r="RU45">
        <v>1477.2280000000001</v>
      </c>
      <c r="RV45">
        <v>558639.6</v>
      </c>
      <c r="RW45">
        <v>16369.7</v>
      </c>
      <c r="RX45">
        <v>84665.16</v>
      </c>
      <c r="RY45">
        <v>8964.0360000000001</v>
      </c>
      <c r="RZ45">
        <v>5426.3459999999995</v>
      </c>
      <c r="SA45">
        <v>4235.0550000000003</v>
      </c>
      <c r="SB45">
        <v>2571.2040000000002</v>
      </c>
      <c r="SC45">
        <v>-4.9799999999999996E-4</v>
      </c>
      <c r="SD45" s="21">
        <v>1.98E-7</v>
      </c>
      <c r="SE45" s="21">
        <v>1.4500000000000001E-6</v>
      </c>
      <c r="SF45">
        <v>30051.02</v>
      </c>
      <c r="SG45">
        <v>35.422640000000001</v>
      </c>
      <c r="SH45">
        <v>4926.0060000000003</v>
      </c>
      <c r="SI45">
        <v>18940.259999999998</v>
      </c>
      <c r="SJ45">
        <v>6149.3289999999997</v>
      </c>
      <c r="SK45">
        <v>22927.360000000001</v>
      </c>
      <c r="SL45">
        <v>22.324359999999999</v>
      </c>
      <c r="SM45">
        <v>3555.9279999999999</v>
      </c>
      <c r="SN45">
        <v>13857.38</v>
      </c>
      <c r="SO45">
        <v>5491.73</v>
      </c>
      <c r="SP45">
        <v>148562.70000000001</v>
      </c>
      <c r="SQ45">
        <v>63055.42</v>
      </c>
      <c r="SR45">
        <v>153463.1</v>
      </c>
      <c r="SS45">
        <v>71617.5</v>
      </c>
      <c r="ST45">
        <v>31.394259999999999</v>
      </c>
      <c r="SU45">
        <v>0.21335100000000001</v>
      </c>
      <c r="SV45">
        <v>3.545423</v>
      </c>
      <c r="SW45">
        <v>13.52291</v>
      </c>
      <c r="SX45">
        <v>14.112579999999999</v>
      </c>
      <c r="SY45">
        <v>25.191040000000001</v>
      </c>
      <c r="SZ45">
        <v>0.13446</v>
      </c>
      <c r="TA45">
        <v>2.559329</v>
      </c>
      <c r="TB45">
        <v>9.8938500000000005</v>
      </c>
      <c r="TC45">
        <v>12.603400000000001</v>
      </c>
      <c r="TD45">
        <v>27180.86</v>
      </c>
      <c r="TE45">
        <v>838.69809999999995</v>
      </c>
      <c r="TF45">
        <v>552.29999999999995</v>
      </c>
      <c r="TG45">
        <v>213.0444</v>
      </c>
      <c r="TH45">
        <v>49.38897</v>
      </c>
      <c r="TI45">
        <v>105.90389999999999</v>
      </c>
      <c r="TJ45">
        <v>82.748220000000003</v>
      </c>
      <c r="TK45">
        <v>23.45796</v>
      </c>
      <c r="TL45">
        <v>25.22316</v>
      </c>
      <c r="TM45">
        <v>159.82149999999999</v>
      </c>
      <c r="TN45">
        <v>36.728580000000001</v>
      </c>
      <c r="TO45">
        <v>23.883050000000001</v>
      </c>
      <c r="TP45">
        <v>1979.329</v>
      </c>
      <c r="TQ45">
        <v>2062.3180000000002</v>
      </c>
      <c r="TR45">
        <v>113.8558</v>
      </c>
      <c r="TS45">
        <v>224.62739999999999</v>
      </c>
      <c r="TT45">
        <v>427.26499999999999</v>
      </c>
      <c r="TU45">
        <v>42.178400000000003</v>
      </c>
      <c r="TV45">
        <v>74.396609999999995</v>
      </c>
      <c r="TW45">
        <v>13094.36</v>
      </c>
      <c r="TX45">
        <v>6947.2290000000003</v>
      </c>
      <c r="TY45">
        <v>0.460536</v>
      </c>
      <c r="TZ45">
        <v>6.2967380000000004</v>
      </c>
      <c r="UA45">
        <v>2.998596</v>
      </c>
      <c r="UB45">
        <v>54.677509999999998</v>
      </c>
      <c r="UC45">
        <v>0.659968</v>
      </c>
      <c r="UD45">
        <v>2.1922869999999999</v>
      </c>
      <c r="UE45">
        <v>4.0089059999999996</v>
      </c>
      <c r="UF45">
        <v>1.476729</v>
      </c>
      <c r="UG45">
        <v>0.72036100000000003</v>
      </c>
      <c r="UH45">
        <v>9.5731409999999997</v>
      </c>
      <c r="UI45">
        <v>4.6135320000000002</v>
      </c>
      <c r="UJ45">
        <v>10.50309</v>
      </c>
      <c r="UK45">
        <v>3.9470839999999998</v>
      </c>
      <c r="UL45">
        <v>0.286796</v>
      </c>
      <c r="UM45">
        <v>0.32296599999999998</v>
      </c>
      <c r="UN45">
        <v>1.1232219999999999</v>
      </c>
      <c r="UO45">
        <v>0.24232500000000001</v>
      </c>
      <c r="UP45">
        <v>27563.43</v>
      </c>
      <c r="UQ45">
        <v>828.49099999999999</v>
      </c>
      <c r="UR45">
        <v>567.17600000000004</v>
      </c>
      <c r="US45">
        <v>198.0615</v>
      </c>
      <c r="UT45">
        <v>49.654159999999997</v>
      </c>
      <c r="UU45">
        <v>116.7222</v>
      </c>
      <c r="UV45">
        <v>83.873490000000004</v>
      </c>
      <c r="UW45">
        <v>21.904199999999999</v>
      </c>
      <c r="UX45">
        <v>22.899709999999999</v>
      </c>
      <c r="UY45">
        <v>162.81780000000001</v>
      </c>
      <c r="UZ45">
        <v>35.345779999999998</v>
      </c>
      <c r="VA45">
        <v>21.260770000000001</v>
      </c>
      <c r="VB45">
        <v>1927.624</v>
      </c>
      <c r="VC45">
        <v>2206.252</v>
      </c>
      <c r="VD45">
        <v>113.27</v>
      </c>
      <c r="VE45">
        <v>234.69489999999999</v>
      </c>
      <c r="VF45">
        <v>387.71249999999998</v>
      </c>
      <c r="VG45">
        <v>32.766350000000003</v>
      </c>
      <c r="VH45">
        <v>69.900229999999993</v>
      </c>
      <c r="VI45">
        <v>13370.01</v>
      </c>
      <c r="VJ45">
        <v>6975.0219999999999</v>
      </c>
      <c r="VK45">
        <v>0.21714</v>
      </c>
      <c r="VL45">
        <v>3.0110739999999998</v>
      </c>
      <c r="VM45">
        <v>42.07826</v>
      </c>
      <c r="VN45">
        <v>25.777080000000002</v>
      </c>
      <c r="VO45">
        <v>2.3396E-2</v>
      </c>
      <c r="VP45">
        <v>2.080362</v>
      </c>
      <c r="VQ45">
        <v>5.7371999999999999E-2</v>
      </c>
      <c r="VR45">
        <v>11.86382</v>
      </c>
      <c r="VS45">
        <v>23.390350000000002</v>
      </c>
      <c r="VT45">
        <v>6.8715140000000003</v>
      </c>
      <c r="VU45">
        <v>4.0135880000000004</v>
      </c>
      <c r="VV45">
        <v>3.9239929999999998</v>
      </c>
      <c r="VW45">
        <v>4.426965</v>
      </c>
      <c r="VX45">
        <v>2.1865559999999999</v>
      </c>
      <c r="VY45">
        <v>0.65432900000000005</v>
      </c>
      <c r="VZ45">
        <v>5.3819840000000001</v>
      </c>
      <c r="WA45">
        <v>2.0080040000000001</v>
      </c>
      <c r="WB45">
        <v>0.130466</v>
      </c>
      <c r="WC45">
        <v>0.115304</v>
      </c>
      <c r="WD45">
        <v>-3.2065000000000003E-2</v>
      </c>
      <c r="WE45">
        <v>-1.6982000000000001E-2</v>
      </c>
      <c r="WF45">
        <v>0.82799999999999996</v>
      </c>
      <c r="WG45">
        <v>0.397171</v>
      </c>
      <c r="WH45">
        <v>-4.6809000000000003E-2</v>
      </c>
      <c r="WI45">
        <v>-1.8349000000000001E-2</v>
      </c>
      <c r="WJ45">
        <v>3177919</v>
      </c>
      <c r="WK45">
        <v>3240019</v>
      </c>
    </row>
    <row r="46" spans="1:609" x14ac:dyDescent="0.25">
      <c r="A46">
        <v>2047</v>
      </c>
      <c r="B46">
        <v>2.0922390000000002</v>
      </c>
      <c r="C46">
        <v>182.22309999999999</v>
      </c>
      <c r="D46">
        <v>8.2570929999999993</v>
      </c>
      <c r="E46">
        <v>13.99212</v>
      </c>
      <c r="F46">
        <v>-14.19309</v>
      </c>
      <c r="G46">
        <v>7.2807519999999997</v>
      </c>
      <c r="H46">
        <v>-1.598617</v>
      </c>
      <c r="I46">
        <v>1.4961089999999999</v>
      </c>
      <c r="J46">
        <v>36.59337</v>
      </c>
      <c r="K46">
        <v>0.94016699999999997</v>
      </c>
      <c r="L46">
        <v>35.321129999999997</v>
      </c>
      <c r="M46">
        <v>1.542629</v>
      </c>
      <c r="N46">
        <v>0</v>
      </c>
      <c r="O46">
        <v>-45.825490000000002</v>
      </c>
      <c r="P46">
        <v>-3.028616</v>
      </c>
      <c r="Q46">
        <v>-69.459729999999993</v>
      </c>
      <c r="R46">
        <v>24.54992</v>
      </c>
      <c r="S46">
        <v>100</v>
      </c>
      <c r="T46">
        <v>1017.684</v>
      </c>
      <c r="U46">
        <v>223.93719999999999</v>
      </c>
      <c r="V46">
        <v>508.69200000000001</v>
      </c>
      <c r="W46">
        <v>1.2137089999999999</v>
      </c>
      <c r="X46">
        <v>39974.730000000003</v>
      </c>
      <c r="Y46">
        <v>0.12856999999999999</v>
      </c>
      <c r="Z46">
        <v>0.22580500000000001</v>
      </c>
      <c r="AA46">
        <v>8.6068510000000007</v>
      </c>
      <c r="AB46">
        <v>-1.1647890000000001</v>
      </c>
      <c r="AC46">
        <v>4.3327999999999998E-2</v>
      </c>
      <c r="AD46">
        <v>82246.25</v>
      </c>
      <c r="AE46">
        <v>1703494</v>
      </c>
      <c r="AF46">
        <v>1865153</v>
      </c>
      <c r="AG46">
        <v>224680.7</v>
      </c>
      <c r="AH46">
        <v>850123.6</v>
      </c>
      <c r="AI46">
        <v>-4.7410000000000004E-3</v>
      </c>
      <c r="AJ46">
        <v>314.07150000000001</v>
      </c>
      <c r="AK46">
        <v>11940.95</v>
      </c>
      <c r="AL46">
        <v>707.49170000000004</v>
      </c>
      <c r="AM46">
        <v>95.588809999999995</v>
      </c>
      <c r="AN46">
        <v>3634.2710000000002</v>
      </c>
      <c r="AO46">
        <v>215.32769999999999</v>
      </c>
      <c r="AP46">
        <v>6839.799</v>
      </c>
      <c r="AQ46">
        <v>2081.7179999999998</v>
      </c>
      <c r="AR46">
        <v>1832.069</v>
      </c>
      <c r="AS46">
        <v>568.69889999999998</v>
      </c>
      <c r="AT46">
        <v>4532.9849999999997</v>
      </c>
      <c r="AU46">
        <v>1451.825</v>
      </c>
      <c r="AV46">
        <v>217.05009999999999</v>
      </c>
      <c r="AW46">
        <v>1.853866</v>
      </c>
      <c r="AX46">
        <v>0.67818299999999998</v>
      </c>
      <c r="AY46">
        <v>4.112457</v>
      </c>
      <c r="AZ46">
        <v>-8.3593220000000006</v>
      </c>
      <c r="BA46">
        <v>-2.7647000000000001E-2</v>
      </c>
      <c r="BB46">
        <v>8.2279339999999994</v>
      </c>
      <c r="BC46">
        <v>-0.45485199999999998</v>
      </c>
      <c r="BD46">
        <v>0.90667500000000001</v>
      </c>
      <c r="BE46">
        <v>-10.336970000000001</v>
      </c>
      <c r="BF46">
        <v>0.12124799999999999</v>
      </c>
      <c r="BG46">
        <v>-0.59482800000000002</v>
      </c>
      <c r="BH46">
        <v>-8.9217289999999991</v>
      </c>
      <c r="BI46">
        <v>-2.4073359999999999</v>
      </c>
      <c r="BJ46">
        <v>7.4495079999999998</v>
      </c>
      <c r="BK46">
        <v>1.031094</v>
      </c>
      <c r="BL46">
        <v>5.2867240000000004</v>
      </c>
      <c r="BM46">
        <v>-9.2457220000000007</v>
      </c>
      <c r="BN46">
        <v>-23.973669999999998</v>
      </c>
      <c r="BO46">
        <v>-11.065799999999999</v>
      </c>
      <c r="BP46">
        <v>2.763973</v>
      </c>
      <c r="BQ46">
        <v>0.85907</v>
      </c>
      <c r="BR46">
        <v>-114.88249999999999</v>
      </c>
      <c r="BS46">
        <v>-53.405050000000003</v>
      </c>
      <c r="BT46">
        <v>1398.346</v>
      </c>
      <c r="BU46">
        <v>-52.931359999999998</v>
      </c>
      <c r="BV46">
        <v>-97.095479999999995</v>
      </c>
      <c r="BW46">
        <v>-7.4464509999999997</v>
      </c>
      <c r="BX46">
        <v>-99.194659999999999</v>
      </c>
      <c r="BY46">
        <v>629.39089999999999</v>
      </c>
      <c r="BZ46">
        <v>2784.3319999999999</v>
      </c>
      <c r="CA46">
        <v>-28.342860000000002</v>
      </c>
      <c r="CB46">
        <v>-22.73423</v>
      </c>
      <c r="CC46">
        <v>-57.935130000000001</v>
      </c>
      <c r="CD46">
        <v>4.6204879999999999</v>
      </c>
      <c r="CE46">
        <v>606.45280000000002</v>
      </c>
      <c r="CF46">
        <v>90.383300000000006</v>
      </c>
      <c r="CG46">
        <v>353.53980000000001</v>
      </c>
      <c r="CH46">
        <v>642.03520000000003</v>
      </c>
      <c r="CI46">
        <v>26.60454</v>
      </c>
      <c r="CJ46">
        <v>24.363700000000001</v>
      </c>
      <c r="CK46">
        <v>-7.5338130000000003</v>
      </c>
      <c r="CL46">
        <v>36.72757</v>
      </c>
      <c r="CM46">
        <v>70.339160000000007</v>
      </c>
      <c r="CN46">
        <v>23.75074</v>
      </c>
      <c r="CO46">
        <v>90.477630000000005</v>
      </c>
      <c r="CP46">
        <v>18.17689</v>
      </c>
      <c r="CQ46">
        <v>1.7163060000000001</v>
      </c>
      <c r="CR46">
        <v>54.62791</v>
      </c>
      <c r="CS46">
        <v>10.378439999999999</v>
      </c>
      <c r="CT46">
        <v>6.4089770000000001</v>
      </c>
      <c r="CU46">
        <v>18.587710000000001</v>
      </c>
      <c r="CV46">
        <v>21.42174</v>
      </c>
      <c r="CW46">
        <v>34.54074</v>
      </c>
      <c r="CX46">
        <v>80.029259999999994</v>
      </c>
      <c r="CY46">
        <v>62.55641</v>
      </c>
      <c r="CZ46">
        <v>132.22290000000001</v>
      </c>
      <c r="DA46">
        <v>7.774864</v>
      </c>
      <c r="DB46">
        <v>3.9723060000000001</v>
      </c>
      <c r="DC46">
        <v>-65.273129999999995</v>
      </c>
      <c r="DD46">
        <v>-66.010750000000002</v>
      </c>
      <c r="DE46">
        <v>2503.223</v>
      </c>
      <c r="DF46">
        <v>-62.073250000000002</v>
      </c>
      <c r="DG46">
        <v>-99.858519999999999</v>
      </c>
      <c r="DH46">
        <v>-10.89067</v>
      </c>
      <c r="DI46">
        <v>-99.982810000000001</v>
      </c>
      <c r="DJ46">
        <v>925.91359999999997</v>
      </c>
      <c r="DK46">
        <v>5969.96</v>
      </c>
      <c r="DL46">
        <v>-45.666220000000003</v>
      </c>
      <c r="DM46">
        <v>-21.135249999999999</v>
      </c>
      <c r="DN46">
        <v>-80.047839999999994</v>
      </c>
      <c r="DO46">
        <v>11.392239999999999</v>
      </c>
      <c r="DP46">
        <v>1100.0340000000001</v>
      </c>
      <c r="DQ46">
        <v>140.89869999999999</v>
      </c>
      <c r="DR46">
        <v>568.0163</v>
      </c>
      <c r="DS46">
        <v>1378.1389999999999</v>
      </c>
      <c r="DT46">
        <v>0.14075299999999999</v>
      </c>
      <c r="DU46">
        <v>9.2454040000000006</v>
      </c>
      <c r="DV46">
        <v>-5.4534770000000004</v>
      </c>
      <c r="DW46">
        <v>10.48122</v>
      </c>
      <c r="DX46">
        <v>9.7504620000000006</v>
      </c>
      <c r="DY46">
        <v>10.577019999999999</v>
      </c>
      <c r="DZ46">
        <v>8.4722120000000007</v>
      </c>
      <c r="EA46">
        <v>12.437110000000001</v>
      </c>
      <c r="EB46">
        <v>15.492620000000001</v>
      </c>
      <c r="EC46">
        <v>0</v>
      </c>
      <c r="ED46">
        <v>14.83052</v>
      </c>
      <c r="EE46">
        <v>12.2956</v>
      </c>
      <c r="EF46">
        <v>7.4092969999999996</v>
      </c>
      <c r="EG46">
        <v>3.73088</v>
      </c>
      <c r="EH46">
        <v>5.4057329999999997</v>
      </c>
      <c r="EI46">
        <v>0.63551999999999997</v>
      </c>
      <c r="EJ46">
        <v>7.4826439999999996</v>
      </c>
      <c r="EK46">
        <v>-4.5248569999999999</v>
      </c>
      <c r="EL46">
        <v>8.9199260000000002</v>
      </c>
      <c r="EM46">
        <v>8.7222159999999995</v>
      </c>
      <c r="EN46">
        <v>-37.232500000000002</v>
      </c>
      <c r="EO46">
        <v>-24.513449999999999</v>
      </c>
      <c r="EP46">
        <v>-18.765750000000001</v>
      </c>
      <c r="EQ46">
        <v>-10.783670000000001</v>
      </c>
      <c r="ER46">
        <v>8.6081719999999997</v>
      </c>
      <c r="ES46">
        <v>53.806040000000003</v>
      </c>
      <c r="ET46">
        <v>1.459279</v>
      </c>
      <c r="EU46">
        <v>40.315530000000003</v>
      </c>
      <c r="EV46">
        <v>0.64509899999999998</v>
      </c>
      <c r="EW46">
        <v>2.3568470000000001</v>
      </c>
      <c r="EX46">
        <v>2.9763980000000001</v>
      </c>
      <c r="EY46">
        <v>0.939778</v>
      </c>
      <c r="EZ46">
        <v>0.12454900000000001</v>
      </c>
      <c r="FA46">
        <v>6.3519899999999998</v>
      </c>
      <c r="FB46">
        <v>2.0380720000000001</v>
      </c>
      <c r="FC46">
        <v>28.075030000000002</v>
      </c>
      <c r="FD46">
        <v>7.6279029999999999</v>
      </c>
      <c r="FE46">
        <v>0.46069500000000002</v>
      </c>
      <c r="FF46">
        <v>0.709924</v>
      </c>
      <c r="FG46">
        <v>1.2763519999999999</v>
      </c>
      <c r="FH46">
        <v>0.28699000000000002</v>
      </c>
      <c r="FI46">
        <v>4.8365939999999998</v>
      </c>
      <c r="FJ46">
        <v>21.093360000000001</v>
      </c>
      <c r="FK46">
        <v>16.577000000000002</v>
      </c>
      <c r="FL46">
        <v>18.586089999999999</v>
      </c>
      <c r="FM46">
        <v>1.5401E-2</v>
      </c>
      <c r="FN46">
        <v>2.1417199999999998</v>
      </c>
      <c r="FO46">
        <v>2.4157999999999999E-2</v>
      </c>
      <c r="FP46">
        <v>6.7194310000000002</v>
      </c>
      <c r="FQ46">
        <v>3.519984</v>
      </c>
      <c r="FR46">
        <v>4.4559899999999999</v>
      </c>
      <c r="FS46">
        <v>1.5435890000000001</v>
      </c>
      <c r="FT46">
        <v>10.81061</v>
      </c>
      <c r="FU46">
        <v>9.2608920000000001</v>
      </c>
      <c r="FV46">
        <v>3.8126989999999998</v>
      </c>
      <c r="FW46">
        <v>1.5970390000000001</v>
      </c>
      <c r="FX46">
        <v>6.7788009999999996</v>
      </c>
      <c r="FY46">
        <v>2.582058</v>
      </c>
      <c r="FZ46">
        <v>6.283385</v>
      </c>
      <c r="GA46">
        <v>39.850490000000001</v>
      </c>
      <c r="GB46">
        <v>1.459279</v>
      </c>
      <c r="GC46">
        <v>36.374250000000004</v>
      </c>
      <c r="GD46">
        <v>0.58203400000000005</v>
      </c>
      <c r="GE46">
        <v>2.1264400000000001</v>
      </c>
      <c r="GF46">
        <v>2.685422</v>
      </c>
      <c r="GG46">
        <v>0.84790399999999999</v>
      </c>
      <c r="GH46">
        <v>0.112373</v>
      </c>
      <c r="GI46">
        <v>5.7310140000000001</v>
      </c>
      <c r="GJ46">
        <v>1.8388279999999999</v>
      </c>
      <c r="GK46">
        <v>26.4224</v>
      </c>
      <c r="GL46">
        <v>7.6279029999999999</v>
      </c>
      <c r="GM46">
        <v>0.46069500000000002</v>
      </c>
      <c r="GN46">
        <v>0.709924</v>
      </c>
      <c r="GO46">
        <v>1.2763519999999999</v>
      </c>
      <c r="GP46">
        <v>0.28699000000000002</v>
      </c>
      <c r="GQ46">
        <v>2.7712539999999999</v>
      </c>
      <c r="GR46">
        <v>9.1500990000000009</v>
      </c>
      <c r="GS46">
        <v>16.577000000000002</v>
      </c>
      <c r="GT46">
        <v>15.848879999999999</v>
      </c>
      <c r="GU46">
        <v>1.3133000000000001E-2</v>
      </c>
      <c r="GV46">
        <v>1.8263050000000001</v>
      </c>
      <c r="GW46">
        <v>2.06E-2</v>
      </c>
      <c r="GX46">
        <v>5.7298470000000004</v>
      </c>
      <c r="GY46">
        <v>3.0015890000000001</v>
      </c>
      <c r="GZ46">
        <v>3.799747</v>
      </c>
      <c r="HA46">
        <v>1.3162609999999999</v>
      </c>
      <c r="HB46">
        <v>9.3962780000000006</v>
      </c>
      <c r="HC46">
        <v>9.2608920000000001</v>
      </c>
      <c r="HD46">
        <v>3.8126989999999998</v>
      </c>
      <c r="HE46">
        <v>1.5970390000000001</v>
      </c>
      <c r="HF46">
        <v>6.7788009999999996</v>
      </c>
      <c r="HG46">
        <v>2.582058</v>
      </c>
      <c r="HH46">
        <v>6.396712</v>
      </c>
      <c r="HI46">
        <v>42.83305</v>
      </c>
      <c r="HJ46">
        <v>1.459279</v>
      </c>
      <c r="HK46">
        <v>145.54150000000001</v>
      </c>
      <c r="HL46">
        <v>1.393424</v>
      </c>
      <c r="HM46">
        <v>5.0908280000000001</v>
      </c>
      <c r="HN46">
        <v>6.4290669999999999</v>
      </c>
      <c r="HO46">
        <v>1.0159689999999999</v>
      </c>
      <c r="HP46">
        <v>0.13464699999999999</v>
      </c>
      <c r="HQ46">
        <v>6.8669729999999998</v>
      </c>
      <c r="HR46">
        <v>5.9570889999999999</v>
      </c>
      <c r="HS46">
        <v>26.603950000000001</v>
      </c>
      <c r="HT46">
        <v>7.741987</v>
      </c>
      <c r="HU46">
        <v>0.46758499999999997</v>
      </c>
      <c r="HV46">
        <v>0.72054099999999999</v>
      </c>
      <c r="HW46">
        <v>1.2954410000000001</v>
      </c>
      <c r="HX46">
        <v>0.29128300000000001</v>
      </c>
      <c r="HY46">
        <v>2.8069350000000002</v>
      </c>
      <c r="HZ46">
        <v>9.8396340000000002</v>
      </c>
      <c r="IA46">
        <v>12.23249</v>
      </c>
      <c r="IB46">
        <v>60.556820000000002</v>
      </c>
      <c r="IC46">
        <v>1.5403E-2</v>
      </c>
      <c r="ID46">
        <v>4.0564609999999997</v>
      </c>
      <c r="IE46">
        <v>2.4160999999999998E-2</v>
      </c>
      <c r="IF46">
        <v>8.8558819999999994</v>
      </c>
      <c r="IG46">
        <v>3.7842950000000002</v>
      </c>
      <c r="IH46">
        <v>4.7905850000000001</v>
      </c>
      <c r="II46">
        <v>5.578004</v>
      </c>
      <c r="IJ46">
        <v>9.3978970000000004</v>
      </c>
      <c r="IK46">
        <v>9.2626679999999997</v>
      </c>
      <c r="IL46">
        <v>7.0012020000000001</v>
      </c>
      <c r="IM46">
        <v>1.597364</v>
      </c>
      <c r="IN46">
        <v>6.780176</v>
      </c>
      <c r="IO46">
        <v>2.5825109999999998</v>
      </c>
      <c r="IP46">
        <v>3.3623120000000002</v>
      </c>
      <c r="IQ46">
        <v>5.6630609999999999</v>
      </c>
      <c r="IR46">
        <v>0.52103299999999997</v>
      </c>
      <c r="IS46">
        <v>1.6308549999999999</v>
      </c>
      <c r="IT46">
        <v>4.0722740000000002</v>
      </c>
      <c r="IU46">
        <v>4.2035999999999998</v>
      </c>
      <c r="IV46">
        <v>4.4822259999999998</v>
      </c>
      <c r="IW46">
        <v>4.7427549999999998</v>
      </c>
      <c r="IX46">
        <v>0.87690000000000001</v>
      </c>
      <c r="IY46">
        <v>7.6561849999999998</v>
      </c>
      <c r="IZ46">
        <v>1.7750410000000001</v>
      </c>
      <c r="JA46">
        <v>8.5639909999999997</v>
      </c>
      <c r="JB46">
        <v>0.43844699999999998</v>
      </c>
      <c r="JC46">
        <v>1.9180280000000001</v>
      </c>
      <c r="JD46">
        <v>0.75652299999999995</v>
      </c>
      <c r="JE46">
        <v>13.78828</v>
      </c>
      <c r="JF46">
        <v>0.24829100000000001</v>
      </c>
      <c r="JG46">
        <v>1.254996</v>
      </c>
      <c r="JH46">
        <v>18.96829</v>
      </c>
      <c r="JI46">
        <v>7.1742290000000004</v>
      </c>
      <c r="JJ46">
        <v>11.469950000000001</v>
      </c>
      <c r="JK46">
        <v>31.108419999999999</v>
      </c>
      <c r="JL46">
        <v>1.6694960000000001</v>
      </c>
      <c r="JM46">
        <v>4.5453830000000002</v>
      </c>
      <c r="JN46">
        <v>0.38679599999999997</v>
      </c>
      <c r="JO46">
        <v>1.134225</v>
      </c>
      <c r="JP46">
        <v>2.6461950000000001</v>
      </c>
      <c r="JQ46">
        <v>3.0839500000000002</v>
      </c>
      <c r="JR46">
        <v>2.797399</v>
      </c>
      <c r="JS46">
        <v>3.156453</v>
      </c>
      <c r="JT46">
        <v>0.69625599999999999</v>
      </c>
      <c r="JU46">
        <v>3.281803</v>
      </c>
      <c r="JV46">
        <v>0.89983999999999997</v>
      </c>
      <c r="JW46">
        <v>6.8478190000000003</v>
      </c>
      <c r="JX46">
        <v>0.40157700000000002</v>
      </c>
      <c r="JY46">
        <v>1.0759890000000001</v>
      </c>
      <c r="JZ46">
        <v>0.58302500000000002</v>
      </c>
      <c r="KA46">
        <v>6.6531209999999996</v>
      </c>
      <c r="KB46">
        <v>6.6308000000000006E-2</v>
      </c>
      <c r="KC46">
        <v>0.36889899999999998</v>
      </c>
      <c r="KD46">
        <v>13.45397</v>
      </c>
      <c r="KE46">
        <v>4.8222300000000002</v>
      </c>
      <c r="KF46">
        <v>10.122629999999999</v>
      </c>
      <c r="KG46">
        <v>24.78912</v>
      </c>
      <c r="KH46">
        <v>9632.6219999999994</v>
      </c>
      <c r="KI46">
        <v>8271.9169999999995</v>
      </c>
      <c r="KJ46">
        <v>5122.683</v>
      </c>
      <c r="KK46">
        <v>2304.2640000000001</v>
      </c>
      <c r="KL46">
        <v>691.74360000000001</v>
      </c>
      <c r="KM46">
        <v>218.04349999999999</v>
      </c>
      <c r="KN46">
        <v>230.2236</v>
      </c>
      <c r="KO46">
        <v>0</v>
      </c>
      <c r="KP46">
        <v>20278.330000000002</v>
      </c>
      <c r="KQ46">
        <v>6193.1689999999999</v>
      </c>
      <c r="KR46">
        <v>0</v>
      </c>
      <c r="KS46">
        <v>10448.15</v>
      </c>
      <c r="KT46">
        <v>6965.8860000000004</v>
      </c>
      <c r="KU46">
        <v>4646.5039999999999</v>
      </c>
      <c r="KV46">
        <v>2453.7179999999998</v>
      </c>
      <c r="KW46">
        <v>634.56989999999996</v>
      </c>
      <c r="KX46">
        <v>199.77359999999999</v>
      </c>
      <c r="KY46">
        <v>120.6812</v>
      </c>
      <c r="KZ46">
        <v>0</v>
      </c>
      <c r="LA46">
        <v>14777.32</v>
      </c>
      <c r="LB46">
        <v>10691.97</v>
      </c>
      <c r="LC46">
        <v>0</v>
      </c>
      <c r="LD46" s="21">
        <v>185000000</v>
      </c>
      <c r="LE46" s="21">
        <v>441000000</v>
      </c>
      <c r="LF46" s="21">
        <v>979000000</v>
      </c>
      <c r="LG46" s="21">
        <v>790000000</v>
      </c>
      <c r="LH46" s="21">
        <v>505000000</v>
      </c>
      <c r="LI46" s="21">
        <v>191000000</v>
      </c>
      <c r="LJ46">
        <v>95182341</v>
      </c>
      <c r="LK46" s="21">
        <v>3.5300000000000001E-6</v>
      </c>
      <c r="LL46" s="21">
        <v>7.1999999999999997E-6</v>
      </c>
      <c r="LM46" s="21">
        <v>1.38E-5</v>
      </c>
      <c r="LN46" s="21">
        <v>3.1199999999999999E-5</v>
      </c>
      <c r="LO46" s="21">
        <v>5.49E-5</v>
      </c>
      <c r="LP46" s="21">
        <v>8.7000000000000001E-5</v>
      </c>
      <c r="LQ46">
        <v>1.2999999999999999E-4</v>
      </c>
      <c r="LR46" s="21">
        <v>478000000</v>
      </c>
      <c r="LS46" s="21">
        <v>602000000</v>
      </c>
      <c r="LT46" s="21">
        <v>879000000</v>
      </c>
      <c r="LU46" s="21">
        <v>604000000</v>
      </c>
      <c r="LV46" s="21">
        <v>410000000</v>
      </c>
      <c r="LW46" s="21">
        <v>143000000</v>
      </c>
      <c r="LX46">
        <v>69886666</v>
      </c>
      <c r="LY46" s="21">
        <v>9.91E-6</v>
      </c>
      <c r="LZ46" s="21">
        <v>1.8700000000000001E-5</v>
      </c>
      <c r="MA46" s="21">
        <v>3.4199999999999998E-5</v>
      </c>
      <c r="MB46" s="21">
        <v>7.2700000000000005E-5</v>
      </c>
      <c r="MC46">
        <v>1.1E-4</v>
      </c>
      <c r="MD46">
        <v>1.6200000000000001E-4</v>
      </c>
      <c r="ME46">
        <v>2.23E-4</v>
      </c>
      <c r="MF46">
        <v>0.44491399999999998</v>
      </c>
      <c r="MG46">
        <v>0.28446500000000002</v>
      </c>
      <c r="MH46">
        <v>0.18021499999999999</v>
      </c>
      <c r="MI46">
        <v>9.0407000000000001E-2</v>
      </c>
      <c r="MJ46" s="21">
        <v>2.8799999999999998E-7</v>
      </c>
      <c r="MK46">
        <v>0</v>
      </c>
      <c r="ML46">
        <v>0</v>
      </c>
      <c r="MM46">
        <v>2.2034250000000002</v>
      </c>
      <c r="MN46">
        <v>1.3893629999999999</v>
      </c>
      <c r="MO46">
        <v>0.885239</v>
      </c>
      <c r="MP46">
        <v>0.45033400000000001</v>
      </c>
      <c r="MQ46">
        <v>-4.5754999999999997E-2</v>
      </c>
      <c r="MR46">
        <v>-0.62979499999999999</v>
      </c>
      <c r="MS46">
        <v>-3.2528109999999999</v>
      </c>
      <c r="MT46">
        <v>0.48616300000000001</v>
      </c>
      <c r="MU46">
        <v>0.25517200000000001</v>
      </c>
      <c r="MV46">
        <v>0.168568</v>
      </c>
      <c r="MW46">
        <v>9.0096999999999997E-2</v>
      </c>
      <c r="MX46">
        <v>0</v>
      </c>
      <c r="MY46">
        <v>0</v>
      </c>
      <c r="MZ46">
        <v>0</v>
      </c>
      <c r="NA46">
        <v>4.390447</v>
      </c>
      <c r="NB46">
        <v>2.2705820000000001</v>
      </c>
      <c r="NC46">
        <v>1.5055879999999999</v>
      </c>
      <c r="ND46">
        <v>0.81175600000000003</v>
      </c>
      <c r="NE46">
        <v>-0.14844599999999999</v>
      </c>
      <c r="NF46">
        <v>-1.2946059999999999</v>
      </c>
      <c r="NG46">
        <v>-6.5353209999999997</v>
      </c>
      <c r="NH46">
        <v>5.9569999999999996E-3</v>
      </c>
      <c r="NI46">
        <v>6.7080000000000004E-3</v>
      </c>
      <c r="NJ46">
        <v>1.0869999999999999E-2</v>
      </c>
      <c r="NK46">
        <v>4.0672E-2</v>
      </c>
      <c r="NL46">
        <v>5.1091999999999999E-2</v>
      </c>
      <c r="NM46">
        <v>0.105506</v>
      </c>
      <c r="NN46">
        <v>5.9569999999999996E-3</v>
      </c>
      <c r="NO46">
        <v>6.7080000000000004E-3</v>
      </c>
      <c r="NP46">
        <v>1.0869999999999999E-2</v>
      </c>
      <c r="NQ46">
        <v>4.0672E-2</v>
      </c>
      <c r="NR46">
        <v>5.1091999999999999E-2</v>
      </c>
      <c r="NS46">
        <v>0.105506</v>
      </c>
      <c r="NT46">
        <v>2.9481E-2</v>
      </c>
      <c r="NU46">
        <v>3.0124000000000001E-2</v>
      </c>
      <c r="NV46">
        <v>3.4611999999999997E-2</v>
      </c>
      <c r="NW46">
        <v>5.5993000000000001E-2</v>
      </c>
      <c r="NX46">
        <v>6.2700000000000006E-2</v>
      </c>
      <c r="NY46">
        <v>0.114292</v>
      </c>
      <c r="NZ46">
        <v>2.9481E-2</v>
      </c>
      <c r="OA46">
        <v>3.0124000000000001E-2</v>
      </c>
      <c r="OB46">
        <v>3.4611999999999997E-2</v>
      </c>
      <c r="OC46">
        <v>5.5993000000000001E-2</v>
      </c>
      <c r="OD46">
        <v>6.2700000000000006E-2</v>
      </c>
      <c r="OE46">
        <v>0.114292</v>
      </c>
      <c r="OF46">
        <v>34.747120000000002</v>
      </c>
      <c r="OG46">
        <v>18834.79</v>
      </c>
      <c r="OH46">
        <v>20897.310000000001</v>
      </c>
      <c r="OI46">
        <v>6036.6390000000001</v>
      </c>
      <c r="OJ46">
        <v>21.809899999999999</v>
      </c>
      <c r="OK46">
        <v>14217.73</v>
      </c>
      <c r="OL46">
        <v>16975.78</v>
      </c>
      <c r="OM46">
        <v>5385.6670000000004</v>
      </c>
      <c r="ON46">
        <v>2059237</v>
      </c>
      <c r="OO46">
        <v>2218298</v>
      </c>
      <c r="OP46">
        <v>17489.66</v>
      </c>
      <c r="OQ46">
        <v>9692.7639999999992</v>
      </c>
      <c r="OR46">
        <v>6422.8280000000004</v>
      </c>
      <c r="OS46">
        <v>642.88499999999999</v>
      </c>
      <c r="OT46">
        <v>2210.1190000000001</v>
      </c>
      <c r="OU46">
        <v>1525.818</v>
      </c>
      <c r="OV46">
        <v>456.20920000000001</v>
      </c>
      <c r="OW46">
        <v>1995.0070000000001</v>
      </c>
      <c r="OX46">
        <v>1578.44</v>
      </c>
      <c r="OY46">
        <v>1224.1400000000001</v>
      </c>
      <c r="OZ46">
        <v>688.67629999999997</v>
      </c>
      <c r="PA46">
        <v>25113.26</v>
      </c>
      <c r="PB46">
        <v>10485.15</v>
      </c>
      <c r="PC46">
        <v>2412.8040000000001</v>
      </c>
      <c r="PD46">
        <v>4151.2359999999999</v>
      </c>
      <c r="PE46">
        <v>10232.1</v>
      </c>
      <c r="PF46">
        <v>1905.473</v>
      </c>
      <c r="PG46">
        <v>3884.0140000000001</v>
      </c>
      <c r="PH46">
        <v>275145.09999999998</v>
      </c>
      <c r="PI46">
        <v>116086.3</v>
      </c>
      <c r="PJ46">
        <v>2.0579170000000002</v>
      </c>
      <c r="PK46">
        <v>346.82420000000002</v>
      </c>
      <c r="PL46">
        <v>52.864939999999997</v>
      </c>
      <c r="PM46">
        <v>2921.4</v>
      </c>
      <c r="PN46">
        <v>494.19659999999999</v>
      </c>
      <c r="PO46">
        <v>176.9931</v>
      </c>
      <c r="PP46">
        <v>269.4846</v>
      </c>
      <c r="PQ46">
        <v>587.12049999999999</v>
      </c>
      <c r="PR46">
        <v>104.0608</v>
      </c>
      <c r="PS46">
        <v>635.29470000000003</v>
      </c>
      <c r="PT46">
        <v>1243.991</v>
      </c>
      <c r="PU46">
        <v>324.65539999999999</v>
      </c>
      <c r="PV46">
        <v>572.89970000000005</v>
      </c>
      <c r="PW46">
        <v>38.594859999999997</v>
      </c>
      <c r="PX46">
        <v>99.366579999999999</v>
      </c>
      <c r="PY46">
        <v>473.32159999999999</v>
      </c>
      <c r="PZ46">
        <v>94.533779999999993</v>
      </c>
      <c r="QA46">
        <v>501779.6</v>
      </c>
      <c r="QB46">
        <v>9805.5830000000005</v>
      </c>
      <c r="QC46">
        <v>87512.11</v>
      </c>
      <c r="QD46">
        <v>9333.4779999999992</v>
      </c>
      <c r="QE46">
        <v>6781.8310000000001</v>
      </c>
      <c r="QF46">
        <v>5094.701</v>
      </c>
      <c r="QG46">
        <v>2928.5189999999998</v>
      </c>
      <c r="QH46">
        <v>1.3008E-2</v>
      </c>
      <c r="QI46" s="21">
        <v>1.28E-6</v>
      </c>
      <c r="QJ46" s="21">
        <v>1.19E-5</v>
      </c>
      <c r="QK46">
        <v>22142.7</v>
      </c>
      <c r="QL46">
        <v>12054.28</v>
      </c>
      <c r="QM46">
        <v>5938.9440000000004</v>
      </c>
      <c r="QN46">
        <v>879.00099999999998</v>
      </c>
      <c r="QO46">
        <v>3764.6970000000001</v>
      </c>
      <c r="QP46">
        <v>1888.211</v>
      </c>
      <c r="QQ46">
        <v>868.97649999999999</v>
      </c>
      <c r="QR46">
        <v>2357.6370000000002</v>
      </c>
      <c r="QS46">
        <v>1605.5309999999999</v>
      </c>
      <c r="QT46">
        <v>1892.8620000000001</v>
      </c>
      <c r="QU46">
        <v>760.15020000000004</v>
      </c>
      <c r="QV46">
        <v>26722.77</v>
      </c>
      <c r="QW46">
        <v>12434.1</v>
      </c>
      <c r="QX46">
        <v>2929.6689999999999</v>
      </c>
      <c r="QY46">
        <v>5585.1030000000001</v>
      </c>
      <c r="QZ46">
        <v>18420.78</v>
      </c>
      <c r="RA46">
        <v>3097.4679999999998</v>
      </c>
      <c r="RB46">
        <v>9019.5679999999993</v>
      </c>
      <c r="RC46">
        <v>296537.2</v>
      </c>
      <c r="RD46">
        <v>120697.60000000001</v>
      </c>
      <c r="RE46">
        <v>0.71465000000000001</v>
      </c>
      <c r="RF46">
        <v>117.88290000000001</v>
      </c>
      <c r="RG46">
        <v>1376.193</v>
      </c>
      <c r="RH46">
        <v>1107.992</v>
      </c>
      <c r="RI46">
        <v>0.69921</v>
      </c>
      <c r="RJ46">
        <v>157.7174</v>
      </c>
      <c r="RK46">
        <v>4.6331999999999998E-2</v>
      </c>
      <c r="RL46">
        <v>6023.3490000000002</v>
      </c>
      <c r="RM46">
        <v>6316.4480000000003</v>
      </c>
      <c r="RN46">
        <v>345.17959999999999</v>
      </c>
      <c r="RO46">
        <v>981.07060000000001</v>
      </c>
      <c r="RP46">
        <v>64.775760000000005</v>
      </c>
      <c r="RQ46">
        <v>638.16589999999997</v>
      </c>
      <c r="RR46">
        <v>463.1515</v>
      </c>
      <c r="RS46">
        <v>239.37280000000001</v>
      </c>
      <c r="RT46">
        <v>3161.8649999999998</v>
      </c>
      <c r="RU46">
        <v>1397.34</v>
      </c>
      <c r="RV46">
        <v>571989.19999999995</v>
      </c>
      <c r="RW46">
        <v>16678.93</v>
      </c>
      <c r="RX46">
        <v>85200.66</v>
      </c>
      <c r="RY46">
        <v>8417.9889999999996</v>
      </c>
      <c r="RZ46">
        <v>5021.2240000000002</v>
      </c>
      <c r="SA46">
        <v>3933.36</v>
      </c>
      <c r="SB46">
        <v>2408.8989999999999</v>
      </c>
      <c r="SC46">
        <v>-1.95E-4</v>
      </c>
      <c r="SD46" s="21">
        <v>9.2299999999999999E-8</v>
      </c>
      <c r="SE46" s="21">
        <v>6.7899999999999998E-7</v>
      </c>
      <c r="SF46">
        <v>29906.21</v>
      </c>
      <c r="SG46">
        <v>34.747120000000002</v>
      </c>
      <c r="SH46">
        <v>4804.5249999999996</v>
      </c>
      <c r="SI46">
        <v>19030.3</v>
      </c>
      <c r="SJ46">
        <v>6036.6390000000001</v>
      </c>
      <c r="SK46">
        <v>22604.03</v>
      </c>
      <c r="SL46">
        <v>21.809899999999999</v>
      </c>
      <c r="SM46">
        <v>3442.8960000000002</v>
      </c>
      <c r="SN46">
        <v>13753.66</v>
      </c>
      <c r="SO46">
        <v>5385.6670000000004</v>
      </c>
      <c r="SP46">
        <v>150696.9</v>
      </c>
      <c r="SQ46">
        <v>63547.99</v>
      </c>
      <c r="SR46">
        <v>155796.4</v>
      </c>
      <c r="SS46">
        <v>72037.89</v>
      </c>
      <c r="ST46">
        <v>31.108419999999999</v>
      </c>
      <c r="SU46">
        <v>0.209283</v>
      </c>
      <c r="SV46">
        <v>3.457989</v>
      </c>
      <c r="SW46">
        <v>13.587199999999999</v>
      </c>
      <c r="SX46">
        <v>13.853949999999999</v>
      </c>
      <c r="SY46">
        <v>24.78912</v>
      </c>
      <c r="SZ46">
        <v>0.13136100000000001</v>
      </c>
      <c r="TA46">
        <v>2.4779749999999998</v>
      </c>
      <c r="TB46">
        <v>9.8197939999999999</v>
      </c>
      <c r="TC46">
        <v>12.35999</v>
      </c>
      <c r="TD46">
        <v>27273.45</v>
      </c>
      <c r="TE46">
        <v>841.43380000000002</v>
      </c>
      <c r="TF46">
        <v>555.20600000000002</v>
      </c>
      <c r="TG46">
        <v>214.03450000000001</v>
      </c>
      <c r="TH46">
        <v>49.262300000000003</v>
      </c>
      <c r="TI46">
        <v>106.0744</v>
      </c>
      <c r="TJ46">
        <v>82.479560000000006</v>
      </c>
      <c r="TK46">
        <v>23.29447</v>
      </c>
      <c r="TL46">
        <v>24.864249999999998</v>
      </c>
      <c r="TM46">
        <v>159.37860000000001</v>
      </c>
      <c r="TN46">
        <v>36.433149999999998</v>
      </c>
      <c r="TO46">
        <v>23.696770000000001</v>
      </c>
      <c r="TP46">
        <v>1974.777</v>
      </c>
      <c r="TQ46">
        <v>2069.1280000000002</v>
      </c>
      <c r="TR46">
        <v>115.29770000000001</v>
      </c>
      <c r="TS46">
        <v>228.80840000000001</v>
      </c>
      <c r="TT46">
        <v>428.79880000000003</v>
      </c>
      <c r="TU46">
        <v>42.343179999999997</v>
      </c>
      <c r="TV46">
        <v>74.661810000000003</v>
      </c>
      <c r="TW46">
        <v>13145.68</v>
      </c>
      <c r="TX46">
        <v>6974.9459999999999</v>
      </c>
      <c r="TY46">
        <v>0.45694600000000002</v>
      </c>
      <c r="TZ46">
        <v>6.1057259999999998</v>
      </c>
      <c r="UA46">
        <v>2.8930310000000001</v>
      </c>
      <c r="UB46">
        <v>54.291969999999999</v>
      </c>
      <c r="UC46">
        <v>0.65529999999999999</v>
      </c>
      <c r="UD46">
        <v>2.1767180000000002</v>
      </c>
      <c r="UE46">
        <v>3.9805299999999999</v>
      </c>
      <c r="UF46">
        <v>1.465878</v>
      </c>
      <c r="UG46">
        <v>0.71519699999999997</v>
      </c>
      <c r="UH46">
        <v>9.5050349999999995</v>
      </c>
      <c r="UI46">
        <v>4.5793299999999997</v>
      </c>
      <c r="UJ46">
        <v>10.250310000000001</v>
      </c>
      <c r="UK46">
        <v>3.8502010000000002</v>
      </c>
      <c r="UL46">
        <v>0.279389</v>
      </c>
      <c r="UM46">
        <v>0.31484200000000001</v>
      </c>
      <c r="UN46">
        <v>1.0940350000000001</v>
      </c>
      <c r="UO46">
        <v>0.236291</v>
      </c>
      <c r="UP46">
        <v>27681.49</v>
      </c>
      <c r="UQ46">
        <v>830.96900000000005</v>
      </c>
      <c r="UR46">
        <v>571.52189999999996</v>
      </c>
      <c r="US46">
        <v>197.36959999999999</v>
      </c>
      <c r="UT46">
        <v>49.365310000000001</v>
      </c>
      <c r="UU46">
        <v>116.8385</v>
      </c>
      <c r="UV46">
        <v>83.310329999999993</v>
      </c>
      <c r="UW46">
        <v>21.614809999999999</v>
      </c>
      <c r="UX46">
        <v>22.376999999999999</v>
      </c>
      <c r="UY46">
        <v>161.7449</v>
      </c>
      <c r="UZ46">
        <v>34.786320000000003</v>
      </c>
      <c r="VA46">
        <v>20.948619999999998</v>
      </c>
      <c r="VB46">
        <v>1920.127</v>
      </c>
      <c r="VC46">
        <v>2219.578</v>
      </c>
      <c r="VD46">
        <v>113.93129999999999</v>
      </c>
      <c r="VE46">
        <v>239.24420000000001</v>
      </c>
      <c r="VF46">
        <v>386.74869999999999</v>
      </c>
      <c r="VG46">
        <v>32.752949999999998</v>
      </c>
      <c r="VH46">
        <v>69.562989999999999</v>
      </c>
      <c r="VI46">
        <v>13448.67</v>
      </c>
      <c r="VJ46">
        <v>7005.5559999999996</v>
      </c>
      <c r="VK46">
        <v>0.21541299999999999</v>
      </c>
      <c r="VL46">
        <v>2.8333710000000001</v>
      </c>
      <c r="VM46">
        <v>41.631819999999998</v>
      </c>
      <c r="VN46">
        <v>25.405989999999999</v>
      </c>
      <c r="VO46">
        <v>1.8896E-2</v>
      </c>
      <c r="VP46">
        <v>2.0470100000000002</v>
      </c>
      <c r="VQ46">
        <v>4.1383000000000003E-2</v>
      </c>
      <c r="VR46">
        <v>11.244199999999999</v>
      </c>
      <c r="VS46">
        <v>22.320409999999999</v>
      </c>
      <c r="VT46">
        <v>6.8481709999999998</v>
      </c>
      <c r="VU46">
        <v>3.7815029999999998</v>
      </c>
      <c r="VV46">
        <v>3.8066939999999998</v>
      </c>
      <c r="VW46">
        <v>4.2488419999999998</v>
      </c>
      <c r="VX46">
        <v>2.0998649999999999</v>
      </c>
      <c r="VY46">
        <v>0.63848700000000003</v>
      </c>
      <c r="VZ46">
        <v>5.3779979999999998</v>
      </c>
      <c r="WA46">
        <v>1.9105650000000001</v>
      </c>
      <c r="WB46">
        <v>0.130853</v>
      </c>
      <c r="WC46">
        <v>0.114867</v>
      </c>
      <c r="WD46">
        <v>-3.3234E-2</v>
      </c>
      <c r="WE46">
        <v>-1.6759E-2</v>
      </c>
      <c r="WF46">
        <v>0.85600900000000002</v>
      </c>
      <c r="WG46">
        <v>0.397754</v>
      </c>
      <c r="WH46">
        <v>-4.8473000000000002E-2</v>
      </c>
      <c r="WI46">
        <v>-1.8186999999999998E-2</v>
      </c>
      <c r="WJ46">
        <v>3226102</v>
      </c>
      <c r="WK46">
        <v>3293600</v>
      </c>
    </row>
    <row r="47" spans="1:609" x14ac:dyDescent="0.25">
      <c r="A47">
        <v>2048</v>
      </c>
      <c r="B47">
        <v>2.2566739999999998</v>
      </c>
      <c r="C47">
        <v>185.2911</v>
      </c>
      <c r="D47">
        <v>8.8562799999999999</v>
      </c>
      <c r="E47">
        <v>14.558020000000001</v>
      </c>
      <c r="F47">
        <v>-14.92765</v>
      </c>
      <c r="G47">
        <v>7.8522819999999998</v>
      </c>
      <c r="H47">
        <v>-1.7110860000000001</v>
      </c>
      <c r="I47">
        <v>1.611194</v>
      </c>
      <c r="J47">
        <v>38.860970000000002</v>
      </c>
      <c r="K47">
        <v>0.969356</v>
      </c>
      <c r="L47">
        <v>37.527839999999998</v>
      </c>
      <c r="M47">
        <v>1.649016</v>
      </c>
      <c r="N47">
        <v>0</v>
      </c>
      <c r="O47">
        <v>-48.762140000000002</v>
      </c>
      <c r="P47">
        <v>-3.2292930000000002</v>
      </c>
      <c r="Q47">
        <v>-70.102770000000007</v>
      </c>
      <c r="R47">
        <v>23.705860000000001</v>
      </c>
      <c r="S47">
        <v>100</v>
      </c>
      <c r="T47">
        <v>1075.1500000000001</v>
      </c>
      <c r="U47">
        <v>232.30799999999999</v>
      </c>
      <c r="V47">
        <v>517.84410000000003</v>
      </c>
      <c r="W47">
        <v>1.1581870000000001</v>
      </c>
      <c r="X47">
        <v>38788.29</v>
      </c>
      <c r="Y47">
        <v>0.12880900000000001</v>
      </c>
      <c r="Z47">
        <v>0.23241200000000001</v>
      </c>
      <c r="AA47">
        <v>9.437322</v>
      </c>
      <c r="AB47">
        <v>-1.191845</v>
      </c>
      <c r="AC47">
        <v>4.3327999999999998E-2</v>
      </c>
      <c r="AD47">
        <v>81985.820000000007</v>
      </c>
      <c r="AE47">
        <v>1876961</v>
      </c>
      <c r="AF47">
        <v>2054593</v>
      </c>
      <c r="AG47">
        <v>249803.6</v>
      </c>
      <c r="AH47">
        <v>934537.9</v>
      </c>
      <c r="AI47">
        <v>-4.6350000000000002E-3</v>
      </c>
      <c r="AJ47">
        <v>322.77089999999998</v>
      </c>
      <c r="AK47">
        <v>14611.31</v>
      </c>
      <c r="AL47">
        <v>754.03219999999999</v>
      </c>
      <c r="AM47">
        <v>95.330179999999999</v>
      </c>
      <c r="AN47">
        <v>4315.4409999999998</v>
      </c>
      <c r="AO47">
        <v>222.7029</v>
      </c>
      <c r="AP47">
        <v>7845.2619999999997</v>
      </c>
      <c r="AQ47">
        <v>2317.0929999999998</v>
      </c>
      <c r="AR47">
        <v>2004.9670000000001</v>
      </c>
      <c r="AS47">
        <v>563.8809</v>
      </c>
      <c r="AT47">
        <v>5157.027</v>
      </c>
      <c r="AU47">
        <v>1526.58</v>
      </c>
      <c r="AV47">
        <v>224.41249999999999</v>
      </c>
      <c r="AW47">
        <v>1.9890000000000001</v>
      </c>
      <c r="AX47">
        <v>0.63388599999999995</v>
      </c>
      <c r="AY47">
        <v>4.3868320000000001</v>
      </c>
      <c r="AZ47">
        <v>-9.1284679999999998</v>
      </c>
      <c r="BA47">
        <v>-0.28311799999999998</v>
      </c>
      <c r="BB47">
        <v>8.3402809999999992</v>
      </c>
      <c r="BC47">
        <v>-0.71162700000000001</v>
      </c>
      <c r="BD47">
        <v>0.35004999999999997</v>
      </c>
      <c r="BE47">
        <v>-11.05247</v>
      </c>
      <c r="BF47">
        <v>-0.20257900000000001</v>
      </c>
      <c r="BG47">
        <v>-1.188809</v>
      </c>
      <c r="BH47">
        <v>-9.5352250000000005</v>
      </c>
      <c r="BI47">
        <v>-2.5149659999999998</v>
      </c>
      <c r="BJ47">
        <v>7.8248920000000002</v>
      </c>
      <c r="BK47">
        <v>0.69750500000000004</v>
      </c>
      <c r="BL47">
        <v>5.7749560000000004</v>
      </c>
      <c r="BM47">
        <v>-9.8992869999999993</v>
      </c>
      <c r="BN47">
        <v>-24.422129999999999</v>
      </c>
      <c r="BO47">
        <v>-11.737349999999999</v>
      </c>
      <c r="BP47">
        <v>3.0146299999999999</v>
      </c>
      <c r="BQ47">
        <v>0.90719000000000005</v>
      </c>
      <c r="BR47">
        <v>-116.27290000000001</v>
      </c>
      <c r="BS47">
        <v>-53.946150000000003</v>
      </c>
      <c r="BT47">
        <v>1519.0409999999999</v>
      </c>
      <c r="BU47">
        <v>-53.582230000000003</v>
      </c>
      <c r="BV47">
        <v>-97.680329999999998</v>
      </c>
      <c r="BW47">
        <v>-8.7842920000000007</v>
      </c>
      <c r="BX47">
        <v>-99.441739999999996</v>
      </c>
      <c r="BY47">
        <v>603.68820000000005</v>
      </c>
      <c r="BZ47">
        <v>2698.5230000000001</v>
      </c>
      <c r="CA47">
        <v>-28.797519999999999</v>
      </c>
      <c r="CB47">
        <v>-25.830829999999999</v>
      </c>
      <c r="CC47">
        <v>-58.311360000000001</v>
      </c>
      <c r="CD47">
        <v>3.4027229999999999</v>
      </c>
      <c r="CE47">
        <v>599.56579999999997</v>
      </c>
      <c r="CF47">
        <v>90.239750000000001</v>
      </c>
      <c r="CG47">
        <v>360.14920000000001</v>
      </c>
      <c r="CH47">
        <v>630.08989999999994</v>
      </c>
      <c r="CI47">
        <v>27.703479999999999</v>
      </c>
      <c r="CJ47">
        <v>25.74775</v>
      </c>
      <c r="CK47">
        <v>-8.2897130000000008</v>
      </c>
      <c r="CL47">
        <v>38.201889999999999</v>
      </c>
      <c r="CM47">
        <v>73.271259999999998</v>
      </c>
      <c r="CN47">
        <v>25.172899999999998</v>
      </c>
      <c r="CO47">
        <v>93.600170000000006</v>
      </c>
      <c r="CP47">
        <v>21.570499999999999</v>
      </c>
      <c r="CQ47">
        <v>2.2056969999999998</v>
      </c>
      <c r="CR47">
        <v>55.281350000000003</v>
      </c>
      <c r="CS47">
        <v>10.71353</v>
      </c>
      <c r="CT47">
        <v>6.9241149999999996</v>
      </c>
      <c r="CU47">
        <v>20.536760000000001</v>
      </c>
      <c r="CV47">
        <v>22.05904</v>
      </c>
      <c r="CW47">
        <v>37.243899999999996</v>
      </c>
      <c r="CX47">
        <v>82.772289999999998</v>
      </c>
      <c r="CY47">
        <v>63.963729999999998</v>
      </c>
      <c r="CZ47">
        <v>134.33789999999999</v>
      </c>
      <c r="DA47">
        <v>8.4761290000000002</v>
      </c>
      <c r="DB47">
        <v>4.2304539999999999</v>
      </c>
      <c r="DC47">
        <v>-64.93732</v>
      </c>
      <c r="DD47">
        <v>-67.619150000000005</v>
      </c>
      <c r="DE47">
        <v>2629.7739999999999</v>
      </c>
      <c r="DF47">
        <v>-62.585709999999999</v>
      </c>
      <c r="DG47">
        <v>-99.896730000000005</v>
      </c>
      <c r="DH47">
        <v>-12.19082</v>
      </c>
      <c r="DI47">
        <v>-99.98997</v>
      </c>
      <c r="DJ47">
        <v>856.59</v>
      </c>
      <c r="DK47">
        <v>5624.2179999999998</v>
      </c>
      <c r="DL47">
        <v>-46.569540000000003</v>
      </c>
      <c r="DM47">
        <v>-25.236270000000001</v>
      </c>
      <c r="DN47">
        <v>-80.726569999999995</v>
      </c>
      <c r="DO47">
        <v>9.6554590000000005</v>
      </c>
      <c r="DP47">
        <v>1082.646</v>
      </c>
      <c r="DQ47">
        <v>142.87139999999999</v>
      </c>
      <c r="DR47">
        <v>598.94600000000003</v>
      </c>
      <c r="DS47">
        <v>1338.6959999999999</v>
      </c>
      <c r="DT47">
        <v>0.15479699999999999</v>
      </c>
      <c r="DU47">
        <v>10.0084</v>
      </c>
      <c r="DV47">
        <v>-9.0798190000000005</v>
      </c>
      <c r="DW47">
        <v>11.21597</v>
      </c>
      <c r="DX47">
        <v>10.51309</v>
      </c>
      <c r="DY47">
        <v>11.35506</v>
      </c>
      <c r="DZ47">
        <v>9.2575129999999994</v>
      </c>
      <c r="EA47">
        <v>13.21251</v>
      </c>
      <c r="EB47">
        <v>16.42352</v>
      </c>
      <c r="EC47">
        <v>0</v>
      </c>
      <c r="ED47">
        <v>15.90375</v>
      </c>
      <c r="EE47">
        <v>13.19271</v>
      </c>
      <c r="EF47">
        <v>7.7107729999999997</v>
      </c>
      <c r="EG47">
        <v>4.1908820000000002</v>
      </c>
      <c r="EH47">
        <v>6.0153489999999996</v>
      </c>
      <c r="EI47">
        <v>1.2048540000000001</v>
      </c>
      <c r="EJ47">
        <v>8.5402459999999998</v>
      </c>
      <c r="EK47">
        <v>-4.6740430000000002</v>
      </c>
      <c r="EL47">
        <v>9.6082610000000006</v>
      </c>
      <c r="EM47">
        <v>9.3996630000000003</v>
      </c>
      <c r="EN47">
        <v>-37.506320000000002</v>
      </c>
      <c r="EO47">
        <v>-25.156939999999999</v>
      </c>
      <c r="EP47">
        <v>-19.78059</v>
      </c>
      <c r="EQ47">
        <v>-10.905010000000001</v>
      </c>
      <c r="ER47">
        <v>8.6391120000000008</v>
      </c>
      <c r="ES47">
        <v>52.546300000000002</v>
      </c>
      <c r="ET47">
        <v>1.4182589999999999</v>
      </c>
      <c r="EU47">
        <v>40.462519999999998</v>
      </c>
      <c r="EV47">
        <v>0.647451</v>
      </c>
      <c r="EW47">
        <v>2.36544</v>
      </c>
      <c r="EX47">
        <v>2.9872489999999998</v>
      </c>
      <c r="EY47">
        <v>0.94320400000000004</v>
      </c>
      <c r="EZ47">
        <v>0.125003</v>
      </c>
      <c r="FA47">
        <v>6.3751490000000004</v>
      </c>
      <c r="FB47">
        <v>2.0455019999999999</v>
      </c>
      <c r="FC47">
        <v>27.601479999999999</v>
      </c>
      <c r="FD47">
        <v>7.4959619999999996</v>
      </c>
      <c r="FE47">
        <v>0.45272600000000002</v>
      </c>
      <c r="FF47">
        <v>0.69764400000000004</v>
      </c>
      <c r="FG47">
        <v>1.254275</v>
      </c>
      <c r="FH47">
        <v>0.282026</v>
      </c>
      <c r="FI47">
        <v>4.8381369999999997</v>
      </c>
      <c r="FJ47">
        <v>20.011669999999999</v>
      </c>
      <c r="FK47">
        <v>16.13993</v>
      </c>
      <c r="FL47">
        <v>18.379570000000001</v>
      </c>
      <c r="FM47">
        <v>1.2777999999999999E-2</v>
      </c>
      <c r="FN47">
        <v>2.1164200000000002</v>
      </c>
      <c r="FO47">
        <v>1.6798E-2</v>
      </c>
      <c r="FP47">
        <v>6.4953010000000004</v>
      </c>
      <c r="FQ47">
        <v>3.4216289999999998</v>
      </c>
      <c r="FR47">
        <v>4.4385320000000004</v>
      </c>
      <c r="FS47">
        <v>1.4845269999999999</v>
      </c>
      <c r="FT47">
        <v>10.54875</v>
      </c>
      <c r="FU47">
        <v>9.002796</v>
      </c>
      <c r="FV47">
        <v>3.7168909999999999</v>
      </c>
      <c r="FW47">
        <v>1.571407</v>
      </c>
      <c r="FX47">
        <v>6.7713660000000004</v>
      </c>
      <c r="FY47">
        <v>2.502802</v>
      </c>
      <c r="FZ47">
        <v>6.3056320000000001</v>
      </c>
      <c r="GA47">
        <v>38.7303</v>
      </c>
      <c r="GB47">
        <v>1.4182589999999999</v>
      </c>
      <c r="GC47">
        <v>36.521230000000003</v>
      </c>
      <c r="GD47">
        <v>0.58438599999999996</v>
      </c>
      <c r="GE47">
        <v>2.1350319999999998</v>
      </c>
      <c r="GF47">
        <v>2.6962739999999998</v>
      </c>
      <c r="GG47">
        <v>0.85133000000000003</v>
      </c>
      <c r="GH47">
        <v>0.112827</v>
      </c>
      <c r="GI47">
        <v>5.7541719999999996</v>
      </c>
      <c r="GJ47">
        <v>1.8462590000000001</v>
      </c>
      <c r="GK47">
        <v>25.96537</v>
      </c>
      <c r="GL47">
        <v>7.4959619999999996</v>
      </c>
      <c r="GM47">
        <v>0.45272600000000002</v>
      </c>
      <c r="GN47">
        <v>0.69764400000000004</v>
      </c>
      <c r="GO47">
        <v>1.254275</v>
      </c>
      <c r="GP47">
        <v>0.282026</v>
      </c>
      <c r="GQ47">
        <v>2.778241</v>
      </c>
      <c r="GR47">
        <v>8.3100330000000007</v>
      </c>
      <c r="GS47">
        <v>16.13993</v>
      </c>
      <c r="GT47">
        <v>15.625080000000001</v>
      </c>
      <c r="GU47">
        <v>1.0862999999999999E-2</v>
      </c>
      <c r="GV47">
        <v>1.7992379999999999</v>
      </c>
      <c r="GW47">
        <v>1.4281E-2</v>
      </c>
      <c r="GX47">
        <v>5.5218689999999997</v>
      </c>
      <c r="GY47">
        <v>2.908839</v>
      </c>
      <c r="GZ47">
        <v>3.773342</v>
      </c>
      <c r="HA47">
        <v>1.2620450000000001</v>
      </c>
      <c r="HB47">
        <v>9.1630269999999996</v>
      </c>
      <c r="HC47">
        <v>9.002796</v>
      </c>
      <c r="HD47">
        <v>3.7168909999999999</v>
      </c>
      <c r="HE47">
        <v>1.571407</v>
      </c>
      <c r="HF47">
        <v>6.7713660000000004</v>
      </c>
      <c r="HG47">
        <v>2.502802</v>
      </c>
      <c r="HH47">
        <v>6.4193610000000003</v>
      </c>
      <c r="HI47">
        <v>41.629019999999997</v>
      </c>
      <c r="HJ47">
        <v>1.4182589999999999</v>
      </c>
      <c r="HK47">
        <v>146.07210000000001</v>
      </c>
      <c r="HL47">
        <v>1.3985050000000001</v>
      </c>
      <c r="HM47">
        <v>5.109388</v>
      </c>
      <c r="HN47">
        <v>6.4525059999999996</v>
      </c>
      <c r="HO47">
        <v>1.0196730000000001</v>
      </c>
      <c r="HP47">
        <v>0.13513700000000001</v>
      </c>
      <c r="HQ47">
        <v>6.8920089999999998</v>
      </c>
      <c r="HR47">
        <v>5.9788079999999999</v>
      </c>
      <c r="HS47">
        <v>26.14378</v>
      </c>
      <c r="HT47">
        <v>7.6080730000000001</v>
      </c>
      <c r="HU47">
        <v>0.45949699999999999</v>
      </c>
      <c r="HV47">
        <v>0.70807799999999999</v>
      </c>
      <c r="HW47">
        <v>1.273034</v>
      </c>
      <c r="HX47">
        <v>0.286244</v>
      </c>
      <c r="HY47">
        <v>2.8140130000000001</v>
      </c>
      <c r="HZ47">
        <v>8.9363069999999993</v>
      </c>
      <c r="IA47">
        <v>11.530139999999999</v>
      </c>
      <c r="IB47">
        <v>59.884059999999998</v>
      </c>
      <c r="IC47">
        <v>1.278E-2</v>
      </c>
      <c r="ID47">
        <v>3.9911310000000002</v>
      </c>
      <c r="IE47">
        <v>1.6799999999999999E-2</v>
      </c>
      <c r="IF47">
        <v>8.7653479999999995</v>
      </c>
      <c r="IG47">
        <v>3.6785049999999999</v>
      </c>
      <c r="IH47">
        <v>4.7717510000000001</v>
      </c>
      <c r="II47">
        <v>5.4108090000000004</v>
      </c>
      <c r="IJ47">
        <v>9.1642299999999999</v>
      </c>
      <c r="IK47">
        <v>9.0040429999999994</v>
      </c>
      <c r="IL47">
        <v>7.0973129999999998</v>
      </c>
      <c r="IM47">
        <v>1.571631</v>
      </c>
      <c r="IN47">
        <v>6.7723300000000002</v>
      </c>
      <c r="IO47">
        <v>2.5031340000000002</v>
      </c>
      <c r="IP47">
        <v>3.251989</v>
      </c>
      <c r="IQ47">
        <v>5.6415449999999998</v>
      </c>
      <c r="IR47">
        <v>0.51657600000000004</v>
      </c>
      <c r="IS47">
        <v>1.6170979999999999</v>
      </c>
      <c r="IT47">
        <v>4.0552049999999999</v>
      </c>
      <c r="IU47">
        <v>4.1990980000000002</v>
      </c>
      <c r="IV47">
        <v>4.439635</v>
      </c>
      <c r="IW47">
        <v>4.6175480000000002</v>
      </c>
      <c r="IX47">
        <v>0.87887300000000002</v>
      </c>
      <c r="IY47">
        <v>7.6954659999999997</v>
      </c>
      <c r="IZ47">
        <v>1.7676050000000001</v>
      </c>
      <c r="JA47">
        <v>8.5508299999999995</v>
      </c>
      <c r="JB47">
        <v>0.43773800000000002</v>
      </c>
      <c r="JC47">
        <v>1.9606669999999999</v>
      </c>
      <c r="JD47">
        <v>0.74260000000000004</v>
      </c>
      <c r="JE47">
        <v>13.38876</v>
      </c>
      <c r="JF47">
        <v>0.24096799999999999</v>
      </c>
      <c r="JG47">
        <v>1.2121059999999999</v>
      </c>
      <c r="JH47">
        <v>18.716090000000001</v>
      </c>
      <c r="JI47">
        <v>7.148066</v>
      </c>
      <c r="JJ47">
        <v>11.20125</v>
      </c>
      <c r="JK47">
        <v>30.823989999999998</v>
      </c>
      <c r="JL47">
        <v>1.5448459999999999</v>
      </c>
      <c r="JM47">
        <v>4.4944540000000002</v>
      </c>
      <c r="JN47">
        <v>0.37614300000000001</v>
      </c>
      <c r="JO47">
        <v>1.1121829999999999</v>
      </c>
      <c r="JP47">
        <v>2.6051760000000002</v>
      </c>
      <c r="JQ47">
        <v>3.0466299999999999</v>
      </c>
      <c r="JR47">
        <v>2.7114660000000002</v>
      </c>
      <c r="JS47">
        <v>2.964788</v>
      </c>
      <c r="JT47">
        <v>0.68782399999999999</v>
      </c>
      <c r="JU47">
        <v>3.2352639999999999</v>
      </c>
      <c r="JV47">
        <v>0.86574499999999999</v>
      </c>
      <c r="JW47">
        <v>6.7836530000000002</v>
      </c>
      <c r="JX47">
        <v>0.40514600000000001</v>
      </c>
      <c r="JY47">
        <v>1.061177</v>
      </c>
      <c r="JZ47">
        <v>0.55890099999999998</v>
      </c>
      <c r="KA47">
        <v>6.1919079999999997</v>
      </c>
      <c r="KB47">
        <v>6.2449999999999999E-2</v>
      </c>
      <c r="KC47">
        <v>0.33765299999999998</v>
      </c>
      <c r="KD47">
        <v>12.938330000000001</v>
      </c>
      <c r="KE47">
        <v>4.6807480000000004</v>
      </c>
      <c r="KF47">
        <v>9.8253350000000008</v>
      </c>
      <c r="KG47">
        <v>24.38223</v>
      </c>
      <c r="KH47">
        <v>9583.9150000000009</v>
      </c>
      <c r="KI47">
        <v>8073.5810000000001</v>
      </c>
      <c r="KJ47">
        <v>5007.8940000000002</v>
      </c>
      <c r="KK47">
        <v>2269.134</v>
      </c>
      <c r="KL47">
        <v>638.53279999999995</v>
      </c>
      <c r="KM47">
        <v>201.27099999999999</v>
      </c>
      <c r="KN47">
        <v>212.51410000000001</v>
      </c>
      <c r="KO47">
        <v>0</v>
      </c>
      <c r="KP47">
        <v>19832.810000000001</v>
      </c>
      <c r="KQ47">
        <v>6154.0280000000002</v>
      </c>
      <c r="KR47">
        <v>0</v>
      </c>
      <c r="KS47">
        <v>10297.6</v>
      </c>
      <c r="KT47">
        <v>6768.223</v>
      </c>
      <c r="KU47">
        <v>4513.5349999999999</v>
      </c>
      <c r="KV47">
        <v>2386.1489999999999</v>
      </c>
      <c r="KW47">
        <v>585.75689999999997</v>
      </c>
      <c r="KX47">
        <v>184.40639999999999</v>
      </c>
      <c r="KY47">
        <v>111.398</v>
      </c>
      <c r="KZ47">
        <v>0</v>
      </c>
      <c r="LA47">
        <v>14314.03</v>
      </c>
      <c r="LB47">
        <v>10533.04</v>
      </c>
      <c r="LC47">
        <v>0</v>
      </c>
      <c r="LD47" s="21">
        <v>191000000</v>
      </c>
      <c r="LE47" s="21">
        <v>451000000</v>
      </c>
      <c r="LF47" s="21">
        <v>991000000</v>
      </c>
      <c r="LG47" s="21">
        <v>795000000</v>
      </c>
      <c r="LH47" s="21">
        <v>502000000</v>
      </c>
      <c r="LI47" s="21">
        <v>187000000</v>
      </c>
      <c r="LJ47">
        <v>92352028</v>
      </c>
      <c r="LK47" s="21">
        <v>3.5700000000000001E-6</v>
      </c>
      <c r="LL47" s="21">
        <v>7.3200000000000002E-6</v>
      </c>
      <c r="LM47" s="21">
        <v>1.4100000000000001E-5</v>
      </c>
      <c r="LN47" s="21">
        <v>3.1999999999999999E-5</v>
      </c>
      <c r="LO47" s="21">
        <v>5.6900000000000001E-5</v>
      </c>
      <c r="LP47" s="21">
        <v>9.0699999999999996E-5</v>
      </c>
      <c r="LQ47">
        <v>1.35E-4</v>
      </c>
      <c r="LR47" s="21">
        <v>500000000</v>
      </c>
      <c r="LS47" s="21">
        <v>614000000</v>
      </c>
      <c r="LT47" s="21">
        <v>882000000</v>
      </c>
      <c r="LU47" s="21">
        <v>601000000</v>
      </c>
      <c r="LV47" s="21">
        <v>406000000</v>
      </c>
      <c r="LW47" s="21">
        <v>139000000</v>
      </c>
      <c r="LX47">
        <v>67262030</v>
      </c>
      <c r="LY47" s="21">
        <v>1.04E-5</v>
      </c>
      <c r="LZ47" s="21">
        <v>1.9700000000000001E-5</v>
      </c>
      <c r="MA47" s="21">
        <v>3.6100000000000003E-5</v>
      </c>
      <c r="MB47" s="21">
        <v>7.7000000000000001E-5</v>
      </c>
      <c r="MC47">
        <v>1.18E-4</v>
      </c>
      <c r="MD47">
        <v>1.73E-4</v>
      </c>
      <c r="ME47">
        <v>2.3800000000000001E-4</v>
      </c>
      <c r="MF47">
        <v>0.44615700000000003</v>
      </c>
      <c r="MG47">
        <v>0.28226400000000001</v>
      </c>
      <c r="MH47">
        <v>0.179983</v>
      </c>
      <c r="MI47">
        <v>9.1594999999999996E-2</v>
      </c>
      <c r="MJ47" s="21">
        <v>1.3899999999999999E-7</v>
      </c>
      <c r="MK47">
        <v>0</v>
      </c>
      <c r="ML47">
        <v>0</v>
      </c>
      <c r="MM47">
        <v>2.3511229999999999</v>
      </c>
      <c r="MN47">
        <v>1.4717530000000001</v>
      </c>
      <c r="MO47">
        <v>0.944604</v>
      </c>
      <c r="MP47">
        <v>0.48758699999999999</v>
      </c>
      <c r="MQ47">
        <v>-4.8136999999999999E-2</v>
      </c>
      <c r="MR47">
        <v>-0.68018199999999995</v>
      </c>
      <c r="MS47">
        <v>-3.5267469999999999</v>
      </c>
      <c r="MT47">
        <v>0.488535</v>
      </c>
      <c r="MU47">
        <v>0.25294299999999997</v>
      </c>
      <c r="MV47">
        <v>0.16788400000000001</v>
      </c>
      <c r="MW47">
        <v>9.0637999999999996E-2</v>
      </c>
      <c r="MX47">
        <v>0</v>
      </c>
      <c r="MY47">
        <v>0</v>
      </c>
      <c r="MZ47">
        <v>0</v>
      </c>
      <c r="NA47">
        <v>4.9204150000000002</v>
      </c>
      <c r="NB47">
        <v>2.5129359999999998</v>
      </c>
      <c r="NC47">
        <v>1.6758630000000001</v>
      </c>
      <c r="ND47">
        <v>0.91389200000000004</v>
      </c>
      <c r="NE47">
        <v>-0.16844600000000001</v>
      </c>
      <c r="NF47">
        <v>-1.4625349999999999</v>
      </c>
      <c r="NG47">
        <v>-7.3921250000000001</v>
      </c>
      <c r="NH47">
        <v>6.1469999999999997E-3</v>
      </c>
      <c r="NI47">
        <v>6.9449999999999998E-3</v>
      </c>
      <c r="NJ47">
        <v>1.1336000000000001E-2</v>
      </c>
      <c r="NK47">
        <v>4.1598999999999997E-2</v>
      </c>
      <c r="NL47">
        <v>5.2290999999999997E-2</v>
      </c>
      <c r="NM47">
        <v>0.106791</v>
      </c>
      <c r="NN47">
        <v>6.1469999999999997E-3</v>
      </c>
      <c r="NO47">
        <v>6.9449999999999998E-3</v>
      </c>
      <c r="NP47">
        <v>1.1336000000000001E-2</v>
      </c>
      <c r="NQ47">
        <v>4.1598999999999997E-2</v>
      </c>
      <c r="NR47">
        <v>5.2290999999999997E-2</v>
      </c>
      <c r="NS47">
        <v>0.106791</v>
      </c>
      <c r="NT47">
        <v>3.0196000000000001E-2</v>
      </c>
      <c r="NU47">
        <v>3.0884000000000002E-2</v>
      </c>
      <c r="NV47">
        <v>3.5686000000000002E-2</v>
      </c>
      <c r="NW47">
        <v>5.7458000000000002E-2</v>
      </c>
      <c r="NX47">
        <v>6.4535999999999996E-2</v>
      </c>
      <c r="NY47">
        <v>0.116198</v>
      </c>
      <c r="NZ47">
        <v>3.0196000000000001E-2</v>
      </c>
      <c r="OA47">
        <v>3.0884000000000002E-2</v>
      </c>
      <c r="OB47">
        <v>3.5686000000000002E-2</v>
      </c>
      <c r="OC47">
        <v>5.7458000000000002E-2</v>
      </c>
      <c r="OD47">
        <v>6.4535999999999996E-2</v>
      </c>
      <c r="OE47">
        <v>0.116198</v>
      </c>
      <c r="OF47">
        <v>34.076250000000002</v>
      </c>
      <c r="OG47">
        <v>18353.97</v>
      </c>
      <c r="OH47">
        <v>20975.57</v>
      </c>
      <c r="OI47">
        <v>5923.9359999999997</v>
      </c>
      <c r="OJ47">
        <v>21.295500000000001</v>
      </c>
      <c r="OK47">
        <v>13736.67</v>
      </c>
      <c r="OL47">
        <v>16826.48</v>
      </c>
      <c r="OM47">
        <v>5277.93</v>
      </c>
      <c r="ON47">
        <v>2089706</v>
      </c>
      <c r="OO47">
        <v>2263826</v>
      </c>
      <c r="OP47">
        <v>18097.310000000001</v>
      </c>
      <c r="OQ47">
        <v>9957.8439999999991</v>
      </c>
      <c r="OR47">
        <v>6538.3909999999996</v>
      </c>
      <c r="OS47">
        <v>652.76020000000005</v>
      </c>
      <c r="OT47">
        <v>2266.4670000000001</v>
      </c>
      <c r="OU47">
        <v>1542.259</v>
      </c>
      <c r="OV47">
        <v>470.37619999999998</v>
      </c>
      <c r="OW47">
        <v>2103.9540000000002</v>
      </c>
      <c r="OX47">
        <v>1593.2080000000001</v>
      </c>
      <c r="OY47">
        <v>1234.8230000000001</v>
      </c>
      <c r="OZ47">
        <v>692.60379999999998</v>
      </c>
      <c r="PA47">
        <v>25440.15</v>
      </c>
      <c r="PB47">
        <v>10777.89</v>
      </c>
      <c r="PC47">
        <v>2537.163</v>
      </c>
      <c r="PD47">
        <v>4372.7830000000004</v>
      </c>
      <c r="PE47">
        <v>10718.73</v>
      </c>
      <c r="PF47">
        <v>1968.7190000000001</v>
      </c>
      <c r="PG47">
        <v>4047.7950000000001</v>
      </c>
      <c r="PH47">
        <v>280615.8</v>
      </c>
      <c r="PI47">
        <v>118016.1</v>
      </c>
      <c r="PJ47">
        <v>2.0654020000000002</v>
      </c>
      <c r="PK47">
        <v>335.03530000000001</v>
      </c>
      <c r="PL47">
        <v>49.966279999999998</v>
      </c>
      <c r="PM47">
        <v>2926.46</v>
      </c>
      <c r="PN47">
        <v>496.4547</v>
      </c>
      <c r="PO47">
        <v>177.10890000000001</v>
      </c>
      <c r="PP47">
        <v>269.74349999999998</v>
      </c>
      <c r="PQ47">
        <v>583.6173</v>
      </c>
      <c r="PR47">
        <v>104.17230000000001</v>
      </c>
      <c r="PS47">
        <v>634.77020000000005</v>
      </c>
      <c r="PT47">
        <v>1233.5519999999999</v>
      </c>
      <c r="PU47">
        <v>316.0822</v>
      </c>
      <c r="PV47">
        <v>556.84010000000001</v>
      </c>
      <c r="PW47">
        <v>37.003369999999997</v>
      </c>
      <c r="PX47">
        <v>96.456760000000003</v>
      </c>
      <c r="PY47">
        <v>455.05959999999999</v>
      </c>
      <c r="PZ47">
        <v>91.692809999999994</v>
      </c>
      <c r="QA47">
        <v>512011.2</v>
      </c>
      <c r="QB47">
        <v>9959.65</v>
      </c>
      <c r="QC47">
        <v>87933.72</v>
      </c>
      <c r="QD47">
        <v>9156.9809999999998</v>
      </c>
      <c r="QE47">
        <v>6583.7079999999996</v>
      </c>
      <c r="QF47">
        <v>4978.0169999999998</v>
      </c>
      <c r="QG47">
        <v>2902.806</v>
      </c>
      <c r="QH47">
        <v>6.1409999999999998E-3</v>
      </c>
      <c r="QI47" s="21">
        <v>6.2500000000000005E-7</v>
      </c>
      <c r="QJ47" s="21">
        <v>5.8200000000000002E-6</v>
      </c>
      <c r="QK47">
        <v>23110.89</v>
      </c>
      <c r="QL47">
        <v>12521.76</v>
      </c>
      <c r="QM47">
        <v>5996.3770000000004</v>
      </c>
      <c r="QN47">
        <v>902.12689999999998</v>
      </c>
      <c r="QO47">
        <v>3927.136</v>
      </c>
      <c r="QP47">
        <v>1930.491</v>
      </c>
      <c r="QQ47">
        <v>910.64919999999995</v>
      </c>
      <c r="QR47">
        <v>2557.788</v>
      </c>
      <c r="QS47">
        <v>1628.3489999999999</v>
      </c>
      <c r="QT47">
        <v>1917.45</v>
      </c>
      <c r="QU47">
        <v>766.80610000000001</v>
      </c>
      <c r="QV47">
        <v>27201.65</v>
      </c>
      <c r="QW47">
        <v>12991.32</v>
      </c>
      <c r="QX47">
        <v>3096.837</v>
      </c>
      <c r="QY47">
        <v>6001.3779999999997</v>
      </c>
      <c r="QZ47">
        <v>19590.87</v>
      </c>
      <c r="RA47">
        <v>3227.9859999999999</v>
      </c>
      <c r="RB47">
        <v>9485.518</v>
      </c>
      <c r="RC47">
        <v>304401.09999999998</v>
      </c>
      <c r="RD47">
        <v>123008.7</v>
      </c>
      <c r="RE47">
        <v>0.72418499999999997</v>
      </c>
      <c r="RF47">
        <v>108.4873</v>
      </c>
      <c r="RG47">
        <v>1363.9659999999999</v>
      </c>
      <c r="RH47">
        <v>1094.914</v>
      </c>
      <c r="RI47">
        <v>0.51270099999999996</v>
      </c>
      <c r="RJ47">
        <v>155.5179</v>
      </c>
      <c r="RK47">
        <v>2.7052E-2</v>
      </c>
      <c r="RL47">
        <v>5582.8249999999998</v>
      </c>
      <c r="RM47">
        <v>5963.0519999999997</v>
      </c>
      <c r="RN47">
        <v>339.16059999999999</v>
      </c>
      <c r="RO47">
        <v>922.24990000000003</v>
      </c>
      <c r="RP47">
        <v>60.919890000000002</v>
      </c>
      <c r="RQ47">
        <v>610.60559999999998</v>
      </c>
      <c r="RR47">
        <v>437.61900000000003</v>
      </c>
      <c r="RS47">
        <v>234.26589999999999</v>
      </c>
      <c r="RT47">
        <v>3180.6210000000001</v>
      </c>
      <c r="RU47">
        <v>1319.18</v>
      </c>
      <c r="RV47">
        <v>586549.9</v>
      </c>
      <c r="RW47">
        <v>17052.02</v>
      </c>
      <c r="RX47">
        <v>85750.25</v>
      </c>
      <c r="RY47">
        <v>7820.7169999999996</v>
      </c>
      <c r="RZ47">
        <v>4601.76</v>
      </c>
      <c r="SA47">
        <v>3621.777</v>
      </c>
      <c r="SB47">
        <v>2240.48</v>
      </c>
      <c r="SC47" s="21">
        <v>-3.57E-5</v>
      </c>
      <c r="SD47" s="21">
        <v>4.2699999999999999E-8</v>
      </c>
      <c r="SE47" s="21">
        <v>3.1399999999999998E-7</v>
      </c>
      <c r="SF47">
        <v>29763.360000000001</v>
      </c>
      <c r="SG47">
        <v>34.076250000000002</v>
      </c>
      <c r="SH47">
        <v>4684.9620000000004</v>
      </c>
      <c r="SI47">
        <v>19120.38</v>
      </c>
      <c r="SJ47">
        <v>5923.9359999999997</v>
      </c>
      <c r="SK47">
        <v>22277.48</v>
      </c>
      <c r="SL47">
        <v>21.295500000000001</v>
      </c>
      <c r="SM47">
        <v>3325.9830000000002</v>
      </c>
      <c r="SN47">
        <v>13652.27</v>
      </c>
      <c r="SO47">
        <v>5277.93</v>
      </c>
      <c r="SP47">
        <v>152842.5</v>
      </c>
      <c r="SQ47">
        <v>64131.46</v>
      </c>
      <c r="SR47">
        <v>158198.9</v>
      </c>
      <c r="SS47">
        <v>72654.3</v>
      </c>
      <c r="ST47">
        <v>30.823989999999998</v>
      </c>
      <c r="SU47">
        <v>0.20524200000000001</v>
      </c>
      <c r="SV47">
        <v>3.3719350000000001</v>
      </c>
      <c r="SW47">
        <v>13.65151</v>
      </c>
      <c r="SX47">
        <v>13.5953</v>
      </c>
      <c r="SY47">
        <v>24.38223</v>
      </c>
      <c r="SZ47">
        <v>0.12826299999999999</v>
      </c>
      <c r="TA47">
        <v>2.3938290000000002</v>
      </c>
      <c r="TB47">
        <v>9.7474059999999998</v>
      </c>
      <c r="TC47">
        <v>12.112730000000001</v>
      </c>
      <c r="TD47">
        <v>27368.95</v>
      </c>
      <c r="TE47">
        <v>844.30269999999996</v>
      </c>
      <c r="TF47">
        <v>558.11680000000001</v>
      </c>
      <c r="TG47">
        <v>215.18350000000001</v>
      </c>
      <c r="TH47">
        <v>49.149050000000003</v>
      </c>
      <c r="TI47">
        <v>106.2777</v>
      </c>
      <c r="TJ47">
        <v>82.234989999999996</v>
      </c>
      <c r="TK47">
        <v>23.140799999999999</v>
      </c>
      <c r="TL47">
        <v>24.519030000000001</v>
      </c>
      <c r="TM47">
        <v>158.98820000000001</v>
      </c>
      <c r="TN47">
        <v>36.152520000000003</v>
      </c>
      <c r="TO47">
        <v>23.520479999999999</v>
      </c>
      <c r="TP47">
        <v>1970.8610000000001</v>
      </c>
      <c r="TQ47">
        <v>2076.4499999999998</v>
      </c>
      <c r="TR47">
        <v>116.77079999999999</v>
      </c>
      <c r="TS47">
        <v>232.97069999999999</v>
      </c>
      <c r="TT47">
        <v>430.45400000000001</v>
      </c>
      <c r="TU47">
        <v>42.52364</v>
      </c>
      <c r="TV47">
        <v>74.948859999999996</v>
      </c>
      <c r="TW47">
        <v>13198.07</v>
      </c>
      <c r="TX47">
        <v>7002.7479999999996</v>
      </c>
      <c r="TY47">
        <v>0.45329599999999998</v>
      </c>
      <c r="TZ47">
        <v>5.9181039999999996</v>
      </c>
      <c r="UA47">
        <v>2.7891919999999999</v>
      </c>
      <c r="UB47">
        <v>53.88064</v>
      </c>
      <c r="UC47">
        <v>0.65032100000000004</v>
      </c>
      <c r="UD47">
        <v>2.1601249999999999</v>
      </c>
      <c r="UE47">
        <v>3.9502649999999999</v>
      </c>
      <c r="UF47">
        <v>1.454364</v>
      </c>
      <c r="UG47">
        <v>0.70969599999999999</v>
      </c>
      <c r="UH47">
        <v>9.4324440000000003</v>
      </c>
      <c r="UI47">
        <v>4.5431100000000004</v>
      </c>
      <c r="UJ47">
        <v>9.9973700000000001</v>
      </c>
      <c r="UK47">
        <v>3.7531379999999999</v>
      </c>
      <c r="UL47">
        <v>0.27197500000000002</v>
      </c>
      <c r="UM47">
        <v>0.30670700000000001</v>
      </c>
      <c r="UN47">
        <v>1.064837</v>
      </c>
      <c r="UO47">
        <v>0.23024900000000001</v>
      </c>
      <c r="UP47">
        <v>27809.919999999998</v>
      </c>
      <c r="UQ47">
        <v>833.74450000000002</v>
      </c>
      <c r="UR47">
        <v>576.05999999999995</v>
      </c>
      <c r="US47">
        <v>196.74590000000001</v>
      </c>
      <c r="UT47">
        <v>49.107370000000003</v>
      </c>
      <c r="UU47">
        <v>117.0694</v>
      </c>
      <c r="UV47">
        <v>82.806089999999998</v>
      </c>
      <c r="UW47">
        <v>21.338059999999999</v>
      </c>
      <c r="UX47">
        <v>21.863600000000002</v>
      </c>
      <c r="UY47">
        <v>160.75739999999999</v>
      </c>
      <c r="UZ47">
        <v>34.24823</v>
      </c>
      <c r="VA47">
        <v>20.64601</v>
      </c>
      <c r="VB47">
        <v>1913.83</v>
      </c>
      <c r="VC47">
        <v>2234.8850000000002</v>
      </c>
      <c r="VD47">
        <v>114.7687</v>
      </c>
      <c r="VE47">
        <v>244.33019999999999</v>
      </c>
      <c r="VF47">
        <v>385.6764</v>
      </c>
      <c r="VG47">
        <v>32.744419999999998</v>
      </c>
      <c r="VH47">
        <v>69.249210000000005</v>
      </c>
      <c r="VI47">
        <v>13533.03</v>
      </c>
      <c r="VJ47">
        <v>7036.5519999999997</v>
      </c>
      <c r="VK47">
        <v>0.21388499999999999</v>
      </c>
      <c r="VL47">
        <v>2.67808</v>
      </c>
      <c r="VM47">
        <v>40.652070000000002</v>
      </c>
      <c r="VN47">
        <v>24.9557</v>
      </c>
      <c r="VO47">
        <v>1.5299E-2</v>
      </c>
      <c r="VP47">
        <v>2.0070239999999999</v>
      </c>
      <c r="VQ47">
        <v>2.8819999999999998E-2</v>
      </c>
      <c r="VR47">
        <v>10.68361</v>
      </c>
      <c r="VS47">
        <v>21.318190000000001</v>
      </c>
      <c r="VT47">
        <v>6.7871519999999999</v>
      </c>
      <c r="VU47">
        <v>3.5730689999999998</v>
      </c>
      <c r="VV47">
        <v>3.6954410000000002</v>
      </c>
      <c r="VW47">
        <v>4.0790660000000001</v>
      </c>
      <c r="VX47">
        <v>2.0147430000000002</v>
      </c>
      <c r="VY47">
        <v>0.62091799999999997</v>
      </c>
      <c r="VZ47">
        <v>5.3250039999999998</v>
      </c>
      <c r="WA47">
        <v>1.8189770000000001</v>
      </c>
      <c r="WB47">
        <v>0.13111300000000001</v>
      </c>
      <c r="WC47">
        <v>0.11400200000000001</v>
      </c>
      <c r="WD47">
        <v>-3.4368000000000003E-2</v>
      </c>
      <c r="WE47">
        <v>-1.6397999999999999E-2</v>
      </c>
      <c r="WF47">
        <v>0.88510599999999995</v>
      </c>
      <c r="WG47">
        <v>0.39748499999999998</v>
      </c>
      <c r="WH47">
        <v>-5.0181999999999997E-2</v>
      </c>
      <c r="WI47">
        <v>-1.7888999999999999E-2</v>
      </c>
      <c r="WJ47">
        <v>3275144</v>
      </c>
      <c r="WK47">
        <v>3349053</v>
      </c>
    </row>
    <row r="48" spans="1:609" x14ac:dyDescent="0.25">
      <c r="A48">
        <v>2049</v>
      </c>
      <c r="B48">
        <v>2.4467449999999999</v>
      </c>
      <c r="C48">
        <v>188.4623</v>
      </c>
      <c r="D48">
        <v>9.5030999999999999</v>
      </c>
      <c r="E48">
        <v>15.261990000000001</v>
      </c>
      <c r="F48">
        <v>-15.69472</v>
      </c>
      <c r="G48">
        <v>8.4992429999999999</v>
      </c>
      <c r="H48">
        <v>-1.85368</v>
      </c>
      <c r="I48">
        <v>1.7525839999999999</v>
      </c>
      <c r="J48">
        <v>41.34543</v>
      </c>
      <c r="K48">
        <v>0.99910900000000002</v>
      </c>
      <c r="L48">
        <v>39.947209999999998</v>
      </c>
      <c r="M48">
        <v>1.778929</v>
      </c>
      <c r="N48">
        <v>0</v>
      </c>
      <c r="O48">
        <v>-51.908209999999997</v>
      </c>
      <c r="P48">
        <v>-3.4477350000000002</v>
      </c>
      <c r="Q48">
        <v>-70.600260000000006</v>
      </c>
      <c r="R48">
        <v>22.983329999999999</v>
      </c>
      <c r="S48">
        <v>100</v>
      </c>
      <c r="T48">
        <v>1135.8610000000001</v>
      </c>
      <c r="U48">
        <v>240.99170000000001</v>
      </c>
      <c r="V48">
        <v>528.64189999999996</v>
      </c>
      <c r="W48">
        <v>1.112697</v>
      </c>
      <c r="X48">
        <v>37902.57</v>
      </c>
      <c r="Y48">
        <v>0.12896199999999999</v>
      </c>
      <c r="Z48">
        <v>0.23741300000000001</v>
      </c>
      <c r="AA48">
        <v>10.33779</v>
      </c>
      <c r="AB48">
        <v>-1.2290700000000001</v>
      </c>
      <c r="AC48">
        <v>4.3327999999999998E-2</v>
      </c>
      <c r="AD48">
        <v>82157.16</v>
      </c>
      <c r="AE48">
        <v>2070511</v>
      </c>
      <c r="AF48">
        <v>2266487</v>
      </c>
      <c r="AG48">
        <v>277036.90000000002</v>
      </c>
      <c r="AH48">
        <v>1030535</v>
      </c>
      <c r="AI48">
        <v>-4.5909999999999996E-3</v>
      </c>
      <c r="AJ48">
        <v>332.13220000000001</v>
      </c>
      <c r="AK48">
        <v>17808.689999999999</v>
      </c>
      <c r="AL48">
        <v>804.66849999999999</v>
      </c>
      <c r="AM48">
        <v>95.050839999999994</v>
      </c>
      <c r="AN48">
        <v>5096.5590000000002</v>
      </c>
      <c r="AO48">
        <v>230.28309999999999</v>
      </c>
      <c r="AP48">
        <v>8994.2360000000008</v>
      </c>
      <c r="AQ48">
        <v>2574.0039999999999</v>
      </c>
      <c r="AR48">
        <v>2206.451</v>
      </c>
      <c r="AS48">
        <v>559.52859999999998</v>
      </c>
      <c r="AT48">
        <v>5932.1379999999999</v>
      </c>
      <c r="AU48">
        <v>1603.318</v>
      </c>
      <c r="AV48">
        <v>232.28540000000001</v>
      </c>
      <c r="AW48">
        <v>2.1494689999999999</v>
      </c>
      <c r="AX48">
        <v>0.603047</v>
      </c>
      <c r="AY48">
        <v>4.6802159999999997</v>
      </c>
      <c r="AZ48">
        <v>-9.8818520000000003</v>
      </c>
      <c r="BA48">
        <v>-0.51117699999999999</v>
      </c>
      <c r="BB48">
        <v>8.5241509999999998</v>
      </c>
      <c r="BC48">
        <v>-0.94488000000000005</v>
      </c>
      <c r="BD48">
        <v>-0.16289300000000001</v>
      </c>
      <c r="BE48">
        <v>-11.825559999999999</v>
      </c>
      <c r="BF48">
        <v>-0.52023799999999998</v>
      </c>
      <c r="BG48">
        <v>-1.7905070000000001</v>
      </c>
      <c r="BH48">
        <v>-10.174630000000001</v>
      </c>
      <c r="BI48">
        <v>-2.598096</v>
      </c>
      <c r="BJ48">
        <v>8.2618510000000001</v>
      </c>
      <c r="BK48">
        <v>0.51791500000000001</v>
      </c>
      <c r="BL48">
        <v>6.4749030000000003</v>
      </c>
      <c r="BM48">
        <v>-10.635120000000001</v>
      </c>
      <c r="BN48">
        <v>-24.916540000000001</v>
      </c>
      <c r="BO48">
        <v>-12.41831</v>
      </c>
      <c r="BP48">
        <v>3.2934030000000001</v>
      </c>
      <c r="BQ48">
        <v>0.95908800000000005</v>
      </c>
      <c r="BR48">
        <v>-117.8181</v>
      </c>
      <c r="BS48">
        <v>-54.15992</v>
      </c>
      <c r="BT48">
        <v>1621.809</v>
      </c>
      <c r="BU48">
        <v>-54.36542</v>
      </c>
      <c r="BV48">
        <v>-98.149730000000005</v>
      </c>
      <c r="BW48">
        <v>-10.3657</v>
      </c>
      <c r="BX48">
        <v>-99.596209999999999</v>
      </c>
      <c r="BY48">
        <v>582.24429999999995</v>
      </c>
      <c r="BZ48">
        <v>2622.95</v>
      </c>
      <c r="CA48">
        <v>-29.654299999999999</v>
      </c>
      <c r="CB48">
        <v>-28.337589999999999</v>
      </c>
      <c r="CC48">
        <v>-58.732550000000003</v>
      </c>
      <c r="CD48">
        <v>2.322581</v>
      </c>
      <c r="CE48">
        <v>592.77629999999999</v>
      </c>
      <c r="CF48">
        <v>89.494900000000001</v>
      </c>
      <c r="CG48">
        <v>362.71109999999999</v>
      </c>
      <c r="CH48">
        <v>619.78750000000002</v>
      </c>
      <c r="CI48">
        <v>28.973089999999999</v>
      </c>
      <c r="CJ48">
        <v>27.283860000000001</v>
      </c>
      <c r="CK48">
        <v>-9.049811</v>
      </c>
      <c r="CL48">
        <v>39.882399999999997</v>
      </c>
      <c r="CM48">
        <v>76.704840000000004</v>
      </c>
      <c r="CN48">
        <v>26.799309999999998</v>
      </c>
      <c r="CO48">
        <v>97.120069999999998</v>
      </c>
      <c r="CP48">
        <v>25.882110000000001</v>
      </c>
      <c r="CQ48">
        <v>2.7885270000000002</v>
      </c>
      <c r="CR48">
        <v>55.89716</v>
      </c>
      <c r="CS48">
        <v>11.060589999999999</v>
      </c>
      <c r="CT48">
        <v>7.558141</v>
      </c>
      <c r="CU48">
        <v>22.87933</v>
      </c>
      <c r="CV48">
        <v>22.989930000000001</v>
      </c>
      <c r="CW48">
        <v>40.721640000000001</v>
      </c>
      <c r="CX48">
        <v>85.972189999999998</v>
      </c>
      <c r="CY48">
        <v>65.518929999999997</v>
      </c>
      <c r="CZ48">
        <v>136.6275</v>
      </c>
      <c r="DA48">
        <v>9.2772760000000005</v>
      </c>
      <c r="DB48">
        <v>4.5103970000000002</v>
      </c>
      <c r="DC48">
        <v>-64.53886</v>
      </c>
      <c r="DD48">
        <v>-68.975229999999996</v>
      </c>
      <c r="DE48">
        <v>2714.4369999999999</v>
      </c>
      <c r="DF48">
        <v>-63.196820000000002</v>
      </c>
      <c r="DG48">
        <v>-99.922749999999994</v>
      </c>
      <c r="DH48">
        <v>-13.771319999999999</v>
      </c>
      <c r="DI48">
        <v>-99.994159999999994</v>
      </c>
      <c r="DJ48">
        <v>794.86320000000001</v>
      </c>
      <c r="DK48">
        <v>5300.45</v>
      </c>
      <c r="DL48">
        <v>-47.728969999999997</v>
      </c>
      <c r="DM48">
        <v>-28.82985</v>
      </c>
      <c r="DN48">
        <v>-81.357280000000003</v>
      </c>
      <c r="DO48">
        <v>8.0034890000000001</v>
      </c>
      <c r="DP48">
        <v>1063.7829999999999</v>
      </c>
      <c r="DQ48">
        <v>143.8939</v>
      </c>
      <c r="DR48">
        <v>623.45849999999996</v>
      </c>
      <c r="DS48">
        <v>1300.28</v>
      </c>
      <c r="DT48">
        <v>0.169707</v>
      </c>
      <c r="DU48">
        <v>10.819380000000001</v>
      </c>
      <c r="DV48">
        <v>-13.029310000000001</v>
      </c>
      <c r="DW48">
        <v>12.00014</v>
      </c>
      <c r="DX48">
        <v>11.31414</v>
      </c>
      <c r="DY48">
        <v>12.18282</v>
      </c>
      <c r="DZ48">
        <v>10.073829999999999</v>
      </c>
      <c r="EA48">
        <v>13.9838</v>
      </c>
      <c r="EB48">
        <v>17.417200000000001</v>
      </c>
      <c r="EC48">
        <v>0</v>
      </c>
      <c r="ED48">
        <v>17.053380000000001</v>
      </c>
      <c r="EE48">
        <v>14.148529999999999</v>
      </c>
      <c r="EF48">
        <v>8.0544340000000005</v>
      </c>
      <c r="EG48">
        <v>4.8667899999999999</v>
      </c>
      <c r="EH48">
        <v>6.9233690000000001</v>
      </c>
      <c r="EI48">
        <v>1.721986</v>
      </c>
      <c r="EJ48">
        <v>9.6362199999999998</v>
      </c>
      <c r="EK48">
        <v>-4.889481</v>
      </c>
      <c r="EL48">
        <v>10.34482</v>
      </c>
      <c r="EM48">
        <v>10.125830000000001</v>
      </c>
      <c r="EN48">
        <v>-37.816809999999997</v>
      </c>
      <c r="EO48">
        <v>-25.975249999999999</v>
      </c>
      <c r="EP48">
        <v>-20.821940000000001</v>
      </c>
      <c r="EQ48">
        <v>-11.07733</v>
      </c>
      <c r="ER48">
        <v>8.6705240000000003</v>
      </c>
      <c r="ES48">
        <v>51.27478</v>
      </c>
      <c r="ET48">
        <v>1.37676</v>
      </c>
      <c r="EU48">
        <v>40.594810000000003</v>
      </c>
      <c r="EV48">
        <v>0.64956800000000003</v>
      </c>
      <c r="EW48">
        <v>2.3731740000000001</v>
      </c>
      <c r="EX48">
        <v>2.9970159999999999</v>
      </c>
      <c r="EY48">
        <v>0.94628800000000002</v>
      </c>
      <c r="EZ48">
        <v>0.125412</v>
      </c>
      <c r="FA48">
        <v>6.3959929999999998</v>
      </c>
      <c r="FB48">
        <v>2.05219</v>
      </c>
      <c r="FC48">
        <v>27.115300000000001</v>
      </c>
      <c r="FD48">
        <v>7.3603310000000004</v>
      </c>
      <c r="FE48">
        <v>0.44453500000000001</v>
      </c>
      <c r="FF48">
        <v>0.68502099999999999</v>
      </c>
      <c r="FG48">
        <v>1.2315799999999999</v>
      </c>
      <c r="FH48">
        <v>0.27692299999999997</v>
      </c>
      <c r="FI48">
        <v>4.8393129999999998</v>
      </c>
      <c r="FJ48">
        <v>19.061330000000002</v>
      </c>
      <c r="FK48">
        <v>15.455030000000001</v>
      </c>
      <c r="FL48">
        <v>18.112870000000001</v>
      </c>
      <c r="FM48">
        <v>1.1055000000000001E-2</v>
      </c>
      <c r="FN48">
        <v>2.084517</v>
      </c>
      <c r="FO48">
        <v>1.209E-2</v>
      </c>
      <c r="FP48">
        <v>6.3072840000000001</v>
      </c>
      <c r="FQ48">
        <v>3.3341720000000001</v>
      </c>
      <c r="FR48">
        <v>4.3943079999999997</v>
      </c>
      <c r="FS48">
        <v>1.43648</v>
      </c>
      <c r="FT48">
        <v>10.28654</v>
      </c>
      <c r="FU48">
        <v>8.7530429999999999</v>
      </c>
      <c r="FV48">
        <v>3.619729</v>
      </c>
      <c r="FW48">
        <v>1.5395300000000001</v>
      </c>
      <c r="FX48">
        <v>6.6964560000000004</v>
      </c>
      <c r="FY48">
        <v>2.428401</v>
      </c>
      <c r="FZ48">
        <v>6.3279969999999999</v>
      </c>
      <c r="GA48">
        <v>37.597009999999997</v>
      </c>
      <c r="GB48">
        <v>1.37676</v>
      </c>
      <c r="GC48">
        <v>36.653530000000003</v>
      </c>
      <c r="GD48">
        <v>0.58650199999999997</v>
      </c>
      <c r="GE48">
        <v>2.1427659999999999</v>
      </c>
      <c r="GF48">
        <v>2.7060409999999999</v>
      </c>
      <c r="GG48">
        <v>0.85441400000000001</v>
      </c>
      <c r="GH48">
        <v>0.113236</v>
      </c>
      <c r="GI48">
        <v>5.7750170000000001</v>
      </c>
      <c r="GJ48">
        <v>1.8529469999999999</v>
      </c>
      <c r="GK48">
        <v>25.495560000000001</v>
      </c>
      <c r="GL48">
        <v>7.3603310000000004</v>
      </c>
      <c r="GM48">
        <v>0.44453500000000001</v>
      </c>
      <c r="GN48">
        <v>0.68502099999999999</v>
      </c>
      <c r="GO48">
        <v>1.2315799999999999</v>
      </c>
      <c r="GP48">
        <v>0.27692299999999997</v>
      </c>
      <c r="GQ48">
        <v>2.7848489999999999</v>
      </c>
      <c r="GR48">
        <v>7.6108909999999996</v>
      </c>
      <c r="GS48">
        <v>15.455030000000001</v>
      </c>
      <c r="GT48">
        <v>15.34718</v>
      </c>
      <c r="GU48">
        <v>9.3670000000000003E-3</v>
      </c>
      <c r="GV48">
        <v>1.7662279999999999</v>
      </c>
      <c r="GW48">
        <v>1.0244E-2</v>
      </c>
      <c r="GX48">
        <v>5.3442119999999997</v>
      </c>
      <c r="GY48">
        <v>2.8250709999999999</v>
      </c>
      <c r="GZ48">
        <v>3.7233320000000001</v>
      </c>
      <c r="HA48">
        <v>1.217141</v>
      </c>
      <c r="HB48">
        <v>8.9305620000000001</v>
      </c>
      <c r="HC48">
        <v>8.7530429999999999</v>
      </c>
      <c r="HD48">
        <v>3.619729</v>
      </c>
      <c r="HE48">
        <v>1.5395300000000001</v>
      </c>
      <c r="HF48">
        <v>6.6964560000000004</v>
      </c>
      <c r="HG48">
        <v>2.428401</v>
      </c>
      <c r="HH48">
        <v>6.4421290000000004</v>
      </c>
      <c r="HI48">
        <v>40.410910000000001</v>
      </c>
      <c r="HJ48">
        <v>1.37676</v>
      </c>
      <c r="HK48">
        <v>146.5497</v>
      </c>
      <c r="HL48">
        <v>1.4030769999999999</v>
      </c>
      <c r="HM48">
        <v>5.1260940000000002</v>
      </c>
      <c r="HN48">
        <v>6.4736039999999999</v>
      </c>
      <c r="HO48">
        <v>1.023007</v>
      </c>
      <c r="HP48">
        <v>0.13557900000000001</v>
      </c>
      <c r="HQ48">
        <v>6.9145430000000001</v>
      </c>
      <c r="HR48">
        <v>5.9983560000000002</v>
      </c>
      <c r="HS48">
        <v>25.670739999999999</v>
      </c>
      <c r="HT48">
        <v>7.4704139999999999</v>
      </c>
      <c r="HU48">
        <v>0.451183</v>
      </c>
      <c r="HV48">
        <v>0.69526600000000005</v>
      </c>
      <c r="HW48">
        <v>1.25</v>
      </c>
      <c r="HX48">
        <v>0.28106500000000001</v>
      </c>
      <c r="HY48">
        <v>2.8207049999999998</v>
      </c>
      <c r="HZ48">
        <v>8.1845149999999993</v>
      </c>
      <c r="IA48">
        <v>10.57996</v>
      </c>
      <c r="IB48">
        <v>59.015189999999997</v>
      </c>
      <c r="IC48">
        <v>1.1056E-2</v>
      </c>
      <c r="ID48">
        <v>3.9139919999999999</v>
      </c>
      <c r="IE48">
        <v>1.2090999999999999E-2</v>
      </c>
      <c r="IF48">
        <v>8.7321690000000007</v>
      </c>
      <c r="IG48">
        <v>3.5844390000000002</v>
      </c>
      <c r="IH48">
        <v>4.7241499999999998</v>
      </c>
      <c r="II48">
        <v>5.2809720000000002</v>
      </c>
      <c r="IJ48">
        <v>8.9314549999999997</v>
      </c>
      <c r="IK48">
        <v>8.7539189999999998</v>
      </c>
      <c r="IL48">
        <v>7.1919719999999998</v>
      </c>
      <c r="IM48">
        <v>1.5396840000000001</v>
      </c>
      <c r="IN48">
        <v>6.6971249999999998</v>
      </c>
      <c r="IO48">
        <v>2.4286439999999998</v>
      </c>
      <c r="IP48">
        <v>3.1382699999999999</v>
      </c>
      <c r="IQ48">
        <v>5.6162900000000002</v>
      </c>
      <c r="IR48">
        <v>0.51234299999999999</v>
      </c>
      <c r="IS48">
        <v>1.603035</v>
      </c>
      <c r="IT48">
        <v>4.0363559999999996</v>
      </c>
      <c r="IU48">
        <v>4.1947510000000001</v>
      </c>
      <c r="IV48">
        <v>4.3964109999999996</v>
      </c>
      <c r="IW48">
        <v>4.4890040000000004</v>
      </c>
      <c r="IX48">
        <v>0.88070700000000002</v>
      </c>
      <c r="IY48">
        <v>7.7352889999999999</v>
      </c>
      <c r="IZ48">
        <v>1.760192</v>
      </c>
      <c r="JA48">
        <v>8.5362650000000002</v>
      </c>
      <c r="JB48">
        <v>0.43670100000000001</v>
      </c>
      <c r="JC48">
        <v>2.0041009999999999</v>
      </c>
      <c r="JD48">
        <v>0.72704599999999997</v>
      </c>
      <c r="JE48">
        <v>12.973129999999999</v>
      </c>
      <c r="JF48">
        <v>0.23345299999999999</v>
      </c>
      <c r="JG48">
        <v>1.168064</v>
      </c>
      <c r="JH48">
        <v>18.442329999999998</v>
      </c>
      <c r="JI48">
        <v>7.1157190000000003</v>
      </c>
      <c r="JJ48">
        <v>10.939769999999999</v>
      </c>
      <c r="JK48">
        <v>30.540939999999999</v>
      </c>
      <c r="JL48">
        <v>1.4127879999999999</v>
      </c>
      <c r="JM48">
        <v>4.4337980000000003</v>
      </c>
      <c r="JN48">
        <v>0.36561700000000003</v>
      </c>
      <c r="JO48">
        <v>1.0879700000000001</v>
      </c>
      <c r="JP48">
        <v>2.5539969999999999</v>
      </c>
      <c r="JQ48">
        <v>3.0059960000000001</v>
      </c>
      <c r="JR48">
        <v>2.61985</v>
      </c>
      <c r="JS48">
        <v>2.7633070000000002</v>
      </c>
      <c r="JT48">
        <v>0.67850500000000002</v>
      </c>
      <c r="JU48">
        <v>3.1870099999999999</v>
      </c>
      <c r="JV48">
        <v>0.83184800000000003</v>
      </c>
      <c r="JW48">
        <v>6.714264</v>
      </c>
      <c r="JX48">
        <v>0.408273</v>
      </c>
      <c r="JY48">
        <v>1.045633</v>
      </c>
      <c r="JZ48">
        <v>0.531721</v>
      </c>
      <c r="KA48">
        <v>5.6691469999999997</v>
      </c>
      <c r="KB48">
        <v>5.7762000000000001E-2</v>
      </c>
      <c r="KC48">
        <v>0.30174099999999998</v>
      </c>
      <c r="KD48">
        <v>12.38377</v>
      </c>
      <c r="KE48">
        <v>4.5281750000000001</v>
      </c>
      <c r="KF48">
        <v>9.5121610000000008</v>
      </c>
      <c r="KG48">
        <v>23.967939999999999</v>
      </c>
      <c r="KH48">
        <v>9524.9429999999993</v>
      </c>
      <c r="KI48">
        <v>7877.8</v>
      </c>
      <c r="KJ48">
        <v>4895.6239999999998</v>
      </c>
      <c r="KK48">
        <v>2235.4259999999999</v>
      </c>
      <c r="KL48">
        <v>589.41489999999999</v>
      </c>
      <c r="KM48">
        <v>185.7886</v>
      </c>
      <c r="KN48">
        <v>196.16679999999999</v>
      </c>
      <c r="KO48">
        <v>0</v>
      </c>
      <c r="KP48">
        <v>19396.310000000001</v>
      </c>
      <c r="KQ48">
        <v>6108.8559999999998</v>
      </c>
      <c r="KR48">
        <v>0</v>
      </c>
      <c r="KS48">
        <v>10109.99</v>
      </c>
      <c r="KT48">
        <v>6556.1229999999996</v>
      </c>
      <c r="KU48">
        <v>4372.1139999999996</v>
      </c>
      <c r="KV48">
        <v>2314.8339999999998</v>
      </c>
      <c r="KW48">
        <v>540.69860000000006</v>
      </c>
      <c r="KX48">
        <v>170.22130000000001</v>
      </c>
      <c r="KY48">
        <v>102.8289</v>
      </c>
      <c r="KZ48">
        <v>0</v>
      </c>
      <c r="LA48">
        <v>13830.11</v>
      </c>
      <c r="LB48">
        <v>10336.69</v>
      </c>
      <c r="LC48">
        <v>0</v>
      </c>
      <c r="LD48" s="21">
        <v>198000000</v>
      </c>
      <c r="LE48" s="21">
        <v>461000000</v>
      </c>
      <c r="LF48" s="21">
        <v>1000000000</v>
      </c>
      <c r="LG48" s="21">
        <v>800000000</v>
      </c>
      <c r="LH48" s="21">
        <v>499000000</v>
      </c>
      <c r="LI48" s="21">
        <v>183000000</v>
      </c>
      <c r="LJ48">
        <v>89533792</v>
      </c>
      <c r="LK48" s="21">
        <v>3.6100000000000002E-6</v>
      </c>
      <c r="LL48" s="21">
        <v>7.4499999999999998E-6</v>
      </c>
      <c r="LM48" s="21">
        <v>1.4399999999999999E-5</v>
      </c>
      <c r="LN48" s="21">
        <v>3.29E-5</v>
      </c>
      <c r="LO48" s="21">
        <v>5.91E-5</v>
      </c>
      <c r="LP48" s="21">
        <v>9.4699999999999998E-5</v>
      </c>
      <c r="LQ48">
        <v>1.4100000000000001E-4</v>
      </c>
      <c r="LR48" s="21">
        <v>523000000</v>
      </c>
      <c r="LS48" s="21">
        <v>626000000</v>
      </c>
      <c r="LT48" s="21">
        <v>885000000</v>
      </c>
      <c r="LU48" s="21">
        <v>598000000</v>
      </c>
      <c r="LV48" s="21">
        <v>402000000</v>
      </c>
      <c r="LW48" s="21">
        <v>135000000</v>
      </c>
      <c r="LX48">
        <v>64622092</v>
      </c>
      <c r="LY48" s="21">
        <v>1.1E-5</v>
      </c>
      <c r="LZ48" s="21">
        <v>2.0800000000000001E-5</v>
      </c>
      <c r="MA48" s="21">
        <v>3.8099999999999998E-5</v>
      </c>
      <c r="MB48" s="21">
        <v>8.1699999999999994E-5</v>
      </c>
      <c r="MC48">
        <v>1.26E-4</v>
      </c>
      <c r="MD48">
        <v>1.8599999999999999E-4</v>
      </c>
      <c r="ME48">
        <v>2.5599999999999999E-4</v>
      </c>
      <c r="MF48">
        <v>0.44701000000000002</v>
      </c>
      <c r="MG48">
        <v>0.280275</v>
      </c>
      <c r="MH48">
        <v>0.179892</v>
      </c>
      <c r="MI48">
        <v>9.2823000000000003E-2</v>
      </c>
      <c r="MJ48" s="21">
        <v>6.4500000000000002E-8</v>
      </c>
      <c r="MK48">
        <v>0</v>
      </c>
      <c r="ML48">
        <v>0</v>
      </c>
      <c r="MM48">
        <v>2.5106320000000002</v>
      </c>
      <c r="MN48">
        <v>1.560019</v>
      </c>
      <c r="MO48">
        <v>1.007935</v>
      </c>
      <c r="MP48">
        <v>0.52723200000000003</v>
      </c>
      <c r="MQ48">
        <v>-5.0950000000000002E-2</v>
      </c>
      <c r="MR48">
        <v>-0.73441699999999999</v>
      </c>
      <c r="MS48">
        <v>-3.8204509999999998</v>
      </c>
      <c r="MT48">
        <v>0.49105199999999999</v>
      </c>
      <c r="MU48">
        <v>0.25062499999999999</v>
      </c>
      <c r="MV48">
        <v>0.167153</v>
      </c>
      <c r="MW48">
        <v>9.1170000000000001E-2</v>
      </c>
      <c r="MX48" s="21">
        <v>-1.7E-8</v>
      </c>
      <c r="MY48">
        <v>0</v>
      </c>
      <c r="MZ48">
        <v>0</v>
      </c>
      <c r="NA48">
        <v>5.6032310000000001</v>
      </c>
      <c r="NB48">
        <v>2.8188870000000001</v>
      </c>
      <c r="NC48">
        <v>1.8892929999999999</v>
      </c>
      <c r="ND48">
        <v>1.0410440000000001</v>
      </c>
      <c r="NE48">
        <v>-0.19594200000000001</v>
      </c>
      <c r="NF48">
        <v>-1.6773359999999999</v>
      </c>
      <c r="NG48">
        <v>-8.479177</v>
      </c>
      <c r="NH48">
        <v>6.3629999999999997E-3</v>
      </c>
      <c r="NI48">
        <v>7.2100000000000003E-3</v>
      </c>
      <c r="NJ48">
        <v>1.1838E-2</v>
      </c>
      <c r="NK48">
        <v>4.2571999999999999E-2</v>
      </c>
      <c r="NL48">
        <v>5.3541999999999999E-2</v>
      </c>
      <c r="NM48">
        <v>0.10814699999999999</v>
      </c>
      <c r="NN48">
        <v>6.3629999999999997E-3</v>
      </c>
      <c r="NO48">
        <v>7.2100000000000003E-3</v>
      </c>
      <c r="NP48">
        <v>1.1838E-2</v>
      </c>
      <c r="NQ48">
        <v>4.2571999999999999E-2</v>
      </c>
      <c r="NR48">
        <v>5.3541999999999999E-2</v>
      </c>
      <c r="NS48">
        <v>0.10814699999999999</v>
      </c>
      <c r="NT48">
        <v>3.0981000000000002E-2</v>
      </c>
      <c r="NU48">
        <v>3.1724000000000002E-2</v>
      </c>
      <c r="NV48">
        <v>3.6928999999999997E-2</v>
      </c>
      <c r="NW48">
        <v>5.9235000000000003E-2</v>
      </c>
      <c r="NX48">
        <v>6.6823999999999995E-2</v>
      </c>
      <c r="NY48">
        <v>0.11859599999999999</v>
      </c>
      <c r="NZ48">
        <v>3.0981000000000002E-2</v>
      </c>
      <c r="OA48">
        <v>3.1724000000000002E-2</v>
      </c>
      <c r="OB48">
        <v>3.6928999999999997E-2</v>
      </c>
      <c r="OC48">
        <v>5.9235000000000003E-2</v>
      </c>
      <c r="OD48">
        <v>6.6823999999999995E-2</v>
      </c>
      <c r="OE48">
        <v>0.11859599999999999</v>
      </c>
      <c r="OF48">
        <v>33.410350000000001</v>
      </c>
      <c r="OG48">
        <v>17887.009999999998</v>
      </c>
      <c r="OH48">
        <v>21051.68</v>
      </c>
      <c r="OI48">
        <v>5811.299</v>
      </c>
      <c r="OJ48">
        <v>20.77562</v>
      </c>
      <c r="OK48">
        <v>13240.81</v>
      </c>
      <c r="OL48">
        <v>16668.310000000001</v>
      </c>
      <c r="OM48">
        <v>5167.5619999999999</v>
      </c>
      <c r="ON48">
        <v>2120268</v>
      </c>
      <c r="OO48">
        <v>2310684</v>
      </c>
      <c r="OP48">
        <v>18747.16</v>
      </c>
      <c r="OQ48">
        <v>10235.129999999999</v>
      </c>
      <c r="OR48">
        <v>6661.7860000000001</v>
      </c>
      <c r="OS48">
        <v>663.33590000000004</v>
      </c>
      <c r="OT48">
        <v>2327.4650000000001</v>
      </c>
      <c r="OU48">
        <v>1559.866</v>
      </c>
      <c r="OV48">
        <v>486.0849</v>
      </c>
      <c r="OW48">
        <v>2230.0749999999998</v>
      </c>
      <c r="OX48">
        <v>1608.9570000000001</v>
      </c>
      <c r="OY48">
        <v>1246.4459999999999</v>
      </c>
      <c r="OZ48">
        <v>696.94899999999996</v>
      </c>
      <c r="PA48">
        <v>25787.91</v>
      </c>
      <c r="PB48">
        <v>11092.56</v>
      </c>
      <c r="PC48">
        <v>2669.4290000000001</v>
      </c>
      <c r="PD48">
        <v>4610.5919999999996</v>
      </c>
      <c r="PE48">
        <v>11260.66</v>
      </c>
      <c r="PF48">
        <v>2037.829</v>
      </c>
      <c r="PG48">
        <v>4228.5460000000003</v>
      </c>
      <c r="PH48">
        <v>286291.20000000001</v>
      </c>
      <c r="PI48">
        <v>119987.8</v>
      </c>
      <c r="PJ48">
        <v>2.0724849999999999</v>
      </c>
      <c r="PK48">
        <v>323.37599999999998</v>
      </c>
      <c r="PL48">
        <v>47.151150000000001</v>
      </c>
      <c r="PM48">
        <v>2926.3760000000002</v>
      </c>
      <c r="PN48">
        <v>498.56049999999999</v>
      </c>
      <c r="PO48">
        <v>177.1344</v>
      </c>
      <c r="PP48">
        <v>269.88709999999998</v>
      </c>
      <c r="PQ48">
        <v>579.779</v>
      </c>
      <c r="PR48">
        <v>104.2372</v>
      </c>
      <c r="PS48">
        <v>633.91560000000004</v>
      </c>
      <c r="PT48">
        <v>1222.605</v>
      </c>
      <c r="PU48">
        <v>307.44299999999998</v>
      </c>
      <c r="PV48">
        <v>540.69259999999997</v>
      </c>
      <c r="PW48">
        <v>35.43309</v>
      </c>
      <c r="PX48">
        <v>93.526730000000001</v>
      </c>
      <c r="PY48">
        <v>436.97199999999998</v>
      </c>
      <c r="PZ48">
        <v>88.841139999999996</v>
      </c>
      <c r="QA48">
        <v>522717.7</v>
      </c>
      <c r="QB48">
        <v>10129.23</v>
      </c>
      <c r="QC48">
        <v>88363.92</v>
      </c>
      <c r="QD48">
        <v>8980.8130000000001</v>
      </c>
      <c r="QE48">
        <v>6399.3159999999998</v>
      </c>
      <c r="QF48">
        <v>4870.4859999999999</v>
      </c>
      <c r="QG48">
        <v>2879.6190000000001</v>
      </c>
      <c r="QH48">
        <v>2.787E-3</v>
      </c>
      <c r="QI48" s="21">
        <v>3.0600000000000001E-7</v>
      </c>
      <c r="QJ48" s="21">
        <v>2.8499999999999998E-6</v>
      </c>
      <c r="QK48">
        <v>24178.79</v>
      </c>
      <c r="QL48">
        <v>13027.67</v>
      </c>
      <c r="QM48">
        <v>6058.9070000000002</v>
      </c>
      <c r="QN48">
        <v>927.89020000000005</v>
      </c>
      <c r="QO48">
        <v>4112.7439999999997</v>
      </c>
      <c r="QP48">
        <v>1977.8989999999999</v>
      </c>
      <c r="QQ48">
        <v>958.17100000000005</v>
      </c>
      <c r="QR48">
        <v>2807.2649999999999</v>
      </c>
      <c r="QS48">
        <v>1653.8230000000001</v>
      </c>
      <c r="QT48">
        <v>1943.174</v>
      </c>
      <c r="QU48">
        <v>774.03570000000002</v>
      </c>
      <c r="QV48">
        <v>27737</v>
      </c>
      <c r="QW48">
        <v>13630.47</v>
      </c>
      <c r="QX48">
        <v>3283.1289999999999</v>
      </c>
      <c r="QY48">
        <v>6488.1009999999997</v>
      </c>
      <c r="QZ48">
        <v>20941.689999999999</v>
      </c>
      <c r="RA48">
        <v>3372.9929999999999</v>
      </c>
      <c r="RB48">
        <v>10005.9</v>
      </c>
      <c r="RC48">
        <v>312851.20000000001</v>
      </c>
      <c r="RD48">
        <v>125399.7</v>
      </c>
      <c r="RE48">
        <v>0.734927</v>
      </c>
      <c r="RF48">
        <v>100.3267</v>
      </c>
      <c r="RG48">
        <v>1327.039</v>
      </c>
      <c r="RH48">
        <v>1076.999</v>
      </c>
      <c r="RI48">
        <v>0.38516299999999998</v>
      </c>
      <c r="RJ48">
        <v>152.7406</v>
      </c>
      <c r="RK48">
        <v>1.5764E-2</v>
      </c>
      <c r="RL48">
        <v>5188.2290000000003</v>
      </c>
      <c r="RM48">
        <v>5629.2749999999996</v>
      </c>
      <c r="RN48">
        <v>331.35419999999999</v>
      </c>
      <c r="RO48">
        <v>870.12980000000005</v>
      </c>
      <c r="RP48">
        <v>57.315730000000002</v>
      </c>
      <c r="RQ48">
        <v>583.96680000000003</v>
      </c>
      <c r="RR48">
        <v>412.36410000000001</v>
      </c>
      <c r="RS48">
        <v>228.10599999999999</v>
      </c>
      <c r="RT48">
        <v>3161.3110000000001</v>
      </c>
      <c r="RU48">
        <v>1244.0250000000001</v>
      </c>
      <c r="RV48">
        <v>602494.9</v>
      </c>
      <c r="RW48">
        <v>17492.63</v>
      </c>
      <c r="RX48">
        <v>86315.45</v>
      </c>
      <c r="RY48">
        <v>7207.5389999999998</v>
      </c>
      <c r="RZ48">
        <v>4180.5479999999998</v>
      </c>
      <c r="SA48">
        <v>3306.2370000000001</v>
      </c>
      <c r="SB48">
        <v>2066.29</v>
      </c>
      <c r="SC48">
        <v>-5.3600000000000002E-4</v>
      </c>
      <c r="SD48" s="21">
        <v>1.96E-8</v>
      </c>
      <c r="SE48" s="21">
        <v>1.4399999999999999E-7</v>
      </c>
      <c r="SF48">
        <v>29622.23</v>
      </c>
      <c r="SG48">
        <v>33.410350000000001</v>
      </c>
      <c r="SH48">
        <v>4567.3850000000002</v>
      </c>
      <c r="SI48">
        <v>19210.13</v>
      </c>
      <c r="SJ48">
        <v>5811.299</v>
      </c>
      <c r="SK48">
        <v>21946.45</v>
      </c>
      <c r="SL48">
        <v>20.77562</v>
      </c>
      <c r="SM48">
        <v>3204.8270000000002</v>
      </c>
      <c r="SN48">
        <v>13553.29</v>
      </c>
      <c r="SO48">
        <v>5167.5619999999999</v>
      </c>
      <c r="SP48">
        <v>154992.29999999999</v>
      </c>
      <c r="SQ48">
        <v>64803.85</v>
      </c>
      <c r="SR48">
        <v>160651.70000000001</v>
      </c>
      <c r="SS48">
        <v>73529.66</v>
      </c>
      <c r="ST48">
        <v>30.540939999999999</v>
      </c>
      <c r="SU48">
        <v>0.20123099999999999</v>
      </c>
      <c r="SV48">
        <v>3.2873109999999999</v>
      </c>
      <c r="SW48">
        <v>13.715590000000001</v>
      </c>
      <c r="SX48">
        <v>13.3368</v>
      </c>
      <c r="SY48">
        <v>23.967939999999999</v>
      </c>
      <c r="SZ48">
        <v>0.12513199999999999</v>
      </c>
      <c r="TA48">
        <v>2.306629</v>
      </c>
      <c r="TB48">
        <v>9.6767330000000005</v>
      </c>
      <c r="TC48">
        <v>11.859439999999999</v>
      </c>
      <c r="TD48">
        <v>27466.73</v>
      </c>
      <c r="TE48">
        <v>847.27189999999996</v>
      </c>
      <c r="TF48">
        <v>561.01589999999999</v>
      </c>
      <c r="TG48">
        <v>216.47200000000001</v>
      </c>
      <c r="TH48">
        <v>49.046370000000003</v>
      </c>
      <c r="TI48">
        <v>106.51090000000001</v>
      </c>
      <c r="TJ48">
        <v>82.009590000000003</v>
      </c>
      <c r="TK48">
        <v>22.995139999999999</v>
      </c>
      <c r="TL48">
        <v>24.185590000000001</v>
      </c>
      <c r="TM48">
        <v>158.64109999999999</v>
      </c>
      <c r="TN48">
        <v>35.883600000000001</v>
      </c>
      <c r="TO48">
        <v>23.35229</v>
      </c>
      <c r="TP48">
        <v>1967.479</v>
      </c>
      <c r="TQ48">
        <v>2084.2739999999999</v>
      </c>
      <c r="TR48">
        <v>118.2663</v>
      </c>
      <c r="TS48">
        <v>237.09399999999999</v>
      </c>
      <c r="TT48">
        <v>432.20089999999999</v>
      </c>
      <c r="TU48">
        <v>42.716369999999998</v>
      </c>
      <c r="TV48">
        <v>75.252780000000001</v>
      </c>
      <c r="TW48">
        <v>13251.19</v>
      </c>
      <c r="TX48">
        <v>7030.6189999999997</v>
      </c>
      <c r="TY48">
        <v>0.449596</v>
      </c>
      <c r="TZ48">
        <v>5.7335430000000001</v>
      </c>
      <c r="UA48">
        <v>2.686852</v>
      </c>
      <c r="UB48">
        <v>53.447600000000001</v>
      </c>
      <c r="UC48">
        <v>0.64507700000000001</v>
      </c>
      <c r="UD48">
        <v>2.1426699999999999</v>
      </c>
      <c r="UE48">
        <v>3.918409</v>
      </c>
      <c r="UF48">
        <v>1.442291</v>
      </c>
      <c r="UG48">
        <v>0.70391000000000004</v>
      </c>
      <c r="UH48">
        <v>9.356071</v>
      </c>
      <c r="UI48">
        <v>4.5051909999999999</v>
      </c>
      <c r="UJ48">
        <v>9.7444670000000002</v>
      </c>
      <c r="UK48">
        <v>3.6559759999999999</v>
      </c>
      <c r="UL48">
        <v>0.26456099999999999</v>
      </c>
      <c r="UM48">
        <v>0.29856700000000003</v>
      </c>
      <c r="UN48">
        <v>1.03565</v>
      </c>
      <c r="UO48">
        <v>0.22420200000000001</v>
      </c>
      <c r="UP48">
        <v>27948.11</v>
      </c>
      <c r="UQ48">
        <v>836.76110000000006</v>
      </c>
      <c r="UR48">
        <v>580.75390000000004</v>
      </c>
      <c r="US48">
        <v>196.20910000000001</v>
      </c>
      <c r="UT48">
        <v>48.87762</v>
      </c>
      <c r="UU48">
        <v>117.4228</v>
      </c>
      <c r="UV48">
        <v>82.35615</v>
      </c>
      <c r="UW48">
        <v>21.071200000000001</v>
      </c>
      <c r="UX48">
        <v>21.355689999999999</v>
      </c>
      <c r="UY48">
        <v>159.84880000000001</v>
      </c>
      <c r="UZ48">
        <v>33.727829999999997</v>
      </c>
      <c r="VA48">
        <v>20.349769999999999</v>
      </c>
      <c r="VB48">
        <v>1908.6410000000001</v>
      </c>
      <c r="VC48">
        <v>2252.2979999999998</v>
      </c>
      <c r="VD48">
        <v>115.7928</v>
      </c>
      <c r="VE48">
        <v>249.9622</v>
      </c>
      <c r="VF48">
        <v>384.358</v>
      </c>
      <c r="VG48">
        <v>32.729080000000003</v>
      </c>
      <c r="VH48">
        <v>68.946619999999996</v>
      </c>
      <c r="VI48">
        <v>13622.67</v>
      </c>
      <c r="VJ48">
        <v>7067.99</v>
      </c>
      <c r="VK48">
        <v>0.212564</v>
      </c>
      <c r="VL48">
        <v>2.5449639999999998</v>
      </c>
      <c r="VM48">
        <v>39.13946</v>
      </c>
      <c r="VN48">
        <v>24.425319999999999</v>
      </c>
      <c r="VO48">
        <v>1.2685999999999999E-2</v>
      </c>
      <c r="VP48">
        <v>1.960831</v>
      </c>
      <c r="VQ48">
        <v>2.0084999999999999E-2</v>
      </c>
      <c r="VR48">
        <v>10.190659999999999</v>
      </c>
      <c r="VS48">
        <v>20.402629999999998</v>
      </c>
      <c r="VT48">
        <v>6.6857980000000001</v>
      </c>
      <c r="VU48">
        <v>3.3927679999999998</v>
      </c>
      <c r="VV48">
        <v>3.5884670000000001</v>
      </c>
      <c r="VW48">
        <v>3.91831</v>
      </c>
      <c r="VX48">
        <v>1.9319219999999999</v>
      </c>
      <c r="VY48">
        <v>0.60165199999999996</v>
      </c>
      <c r="VZ48">
        <v>5.222308</v>
      </c>
      <c r="WA48">
        <v>1.7340519999999999</v>
      </c>
      <c r="WB48">
        <v>0.131275</v>
      </c>
      <c r="WC48">
        <v>0.112738</v>
      </c>
      <c r="WD48">
        <v>-3.5466999999999999E-2</v>
      </c>
      <c r="WE48">
        <v>-1.5904999999999999E-2</v>
      </c>
      <c r="WF48">
        <v>0.91519899999999998</v>
      </c>
      <c r="WG48">
        <v>0.396117</v>
      </c>
      <c r="WH48">
        <v>-5.1926E-2</v>
      </c>
      <c r="WI48">
        <v>-1.7448000000000002E-2</v>
      </c>
      <c r="WJ48">
        <v>3325016</v>
      </c>
      <c r="WK48">
        <v>3406371</v>
      </c>
    </row>
    <row r="49" spans="1:609" x14ac:dyDescent="0.25">
      <c r="A49">
        <v>2050</v>
      </c>
      <c r="B49">
        <v>2.6619000000000002</v>
      </c>
      <c r="C49">
        <v>191.73670000000001</v>
      </c>
      <c r="D49">
        <v>10.200279999999999</v>
      </c>
      <c r="E49">
        <v>16.12454</v>
      </c>
      <c r="F49">
        <v>-16.50346</v>
      </c>
      <c r="G49">
        <v>9.2372650000000007</v>
      </c>
      <c r="H49">
        <v>-2.026573</v>
      </c>
      <c r="I49">
        <v>1.920342</v>
      </c>
      <c r="J49">
        <v>44.089689999999997</v>
      </c>
      <c r="K49">
        <v>1.027917</v>
      </c>
      <c r="L49">
        <v>42.623629999999999</v>
      </c>
      <c r="M49">
        <v>1.934131</v>
      </c>
      <c r="N49">
        <v>0</v>
      </c>
      <c r="O49">
        <v>-55.267989999999998</v>
      </c>
      <c r="P49">
        <v>-3.674334</v>
      </c>
      <c r="Q49">
        <v>-70.956710000000001</v>
      </c>
      <c r="R49">
        <v>22.374739999999999</v>
      </c>
      <c r="S49">
        <v>100</v>
      </c>
      <c r="T49">
        <v>1200</v>
      </c>
      <c r="U49">
        <v>250</v>
      </c>
      <c r="V49">
        <v>541.97280000000001</v>
      </c>
      <c r="W49">
        <v>1.0780270000000001</v>
      </c>
      <c r="X49">
        <v>37359.58</v>
      </c>
      <c r="Y49">
        <v>0.12902</v>
      </c>
      <c r="Z49">
        <v>0.24063000000000001</v>
      </c>
      <c r="AA49">
        <v>11.32339</v>
      </c>
      <c r="AB49">
        <v>-1.2770649999999999</v>
      </c>
      <c r="AC49">
        <v>4.3327999999999998E-2</v>
      </c>
      <c r="AD49">
        <v>82857.33</v>
      </c>
      <c r="AE49">
        <v>2287737</v>
      </c>
      <c r="AF49">
        <v>2503406</v>
      </c>
      <c r="AG49">
        <v>306781.09999999998</v>
      </c>
      <c r="AH49">
        <v>1139938</v>
      </c>
      <c r="AI49">
        <v>-4.6150000000000002E-3</v>
      </c>
      <c r="AJ49">
        <v>342.31720000000001</v>
      </c>
      <c r="AK49">
        <v>21548.79</v>
      </c>
      <c r="AL49">
        <v>860.10929999999996</v>
      </c>
      <c r="AM49">
        <v>94.745729999999995</v>
      </c>
      <c r="AN49">
        <v>5964.223</v>
      </c>
      <c r="AO49">
        <v>238.059</v>
      </c>
      <c r="AP49">
        <v>10301.1</v>
      </c>
      <c r="AQ49">
        <v>2851.114</v>
      </c>
      <c r="AR49">
        <v>2440.5819999999999</v>
      </c>
      <c r="AS49">
        <v>555.67089999999996</v>
      </c>
      <c r="AT49">
        <v>6898.0060000000003</v>
      </c>
      <c r="AU49">
        <v>1681.3230000000001</v>
      </c>
      <c r="AV49">
        <v>240.6302</v>
      </c>
      <c r="AW49">
        <v>2.3346100000000001</v>
      </c>
      <c r="AX49">
        <v>0.57899699999999998</v>
      </c>
      <c r="AY49">
        <v>4.9893219999999996</v>
      </c>
      <c r="AZ49">
        <v>-10.60412</v>
      </c>
      <c r="BA49">
        <v>-0.71259399999999995</v>
      </c>
      <c r="BB49">
        <v>8.7844259999999998</v>
      </c>
      <c r="BC49">
        <v>-1.1563110000000001</v>
      </c>
      <c r="BD49">
        <v>-0.63700000000000001</v>
      </c>
      <c r="BE49">
        <v>-12.677020000000001</v>
      </c>
      <c r="BF49">
        <v>-0.82943599999999995</v>
      </c>
      <c r="BG49">
        <v>-2.4030320000000001</v>
      </c>
      <c r="BH49">
        <v>-10.847340000000001</v>
      </c>
      <c r="BI49">
        <v>-2.6561379999999999</v>
      </c>
      <c r="BJ49">
        <v>8.7647270000000006</v>
      </c>
      <c r="BK49">
        <v>0.49452800000000002</v>
      </c>
      <c r="BL49">
        <v>7.3667199999999999</v>
      </c>
      <c r="BM49">
        <v>-11.493399999999999</v>
      </c>
      <c r="BN49">
        <v>-25.484349999999999</v>
      </c>
      <c r="BO49">
        <v>-13.131629999999999</v>
      </c>
      <c r="BP49">
        <v>3.5999880000000002</v>
      </c>
      <c r="BQ49">
        <v>1.0145599999999999</v>
      </c>
      <c r="BR49">
        <v>-119.5727</v>
      </c>
      <c r="BS49">
        <v>-54.042290000000001</v>
      </c>
      <c r="BT49">
        <v>1699.5440000000001</v>
      </c>
      <c r="BU49">
        <v>-55.290869999999998</v>
      </c>
      <c r="BV49">
        <v>-98.502939999999995</v>
      </c>
      <c r="BW49">
        <v>-12.193820000000001</v>
      </c>
      <c r="BX49">
        <v>-99.647750000000002</v>
      </c>
      <c r="BY49">
        <v>565.48429999999996</v>
      </c>
      <c r="BZ49">
        <v>2559.4720000000002</v>
      </c>
      <c r="CA49">
        <v>-30.947569999999999</v>
      </c>
      <c r="CB49">
        <v>-30.181239999999999</v>
      </c>
      <c r="CC49">
        <v>-59.20729</v>
      </c>
      <c r="CD49">
        <v>1.400369</v>
      </c>
      <c r="CE49">
        <v>586.29999999999995</v>
      </c>
      <c r="CF49">
        <v>88.107219999999998</v>
      </c>
      <c r="CG49">
        <v>360.84210000000002</v>
      </c>
      <c r="CH49">
        <v>611.53150000000005</v>
      </c>
      <c r="CI49">
        <v>30.435369999999999</v>
      </c>
      <c r="CJ49">
        <v>28.98845</v>
      </c>
      <c r="CK49">
        <v>-9.7907309999999992</v>
      </c>
      <c r="CL49">
        <v>41.8217</v>
      </c>
      <c r="CM49">
        <v>80.800060000000002</v>
      </c>
      <c r="CN49">
        <v>28.67314</v>
      </c>
      <c r="CO49">
        <v>101.13079999999999</v>
      </c>
      <c r="CP49">
        <v>31.318059999999999</v>
      </c>
      <c r="CQ49">
        <v>3.4778889999999998</v>
      </c>
      <c r="CR49">
        <v>56.465829999999997</v>
      </c>
      <c r="CS49">
        <v>11.40673</v>
      </c>
      <c r="CT49">
        <v>8.3263479999999994</v>
      </c>
      <c r="CU49">
        <v>25.68938</v>
      </c>
      <c r="CV49">
        <v>24.252800000000001</v>
      </c>
      <c r="CW49">
        <v>45.08455</v>
      </c>
      <c r="CX49">
        <v>89.730310000000003</v>
      </c>
      <c r="CY49">
        <v>67.282269999999997</v>
      </c>
      <c r="CZ49">
        <v>139.17429999999999</v>
      </c>
      <c r="DA49">
        <v>10.186780000000001</v>
      </c>
      <c r="DB49">
        <v>4.8129569999999999</v>
      </c>
      <c r="DC49">
        <v>-64.076660000000004</v>
      </c>
      <c r="DD49">
        <v>-70.072779999999995</v>
      </c>
      <c r="DE49">
        <v>2749.5970000000002</v>
      </c>
      <c r="DF49">
        <v>-63.919589999999999</v>
      </c>
      <c r="DG49">
        <v>-99.938760000000002</v>
      </c>
      <c r="DH49">
        <v>-15.636799999999999</v>
      </c>
      <c r="DI49">
        <v>-99.996200000000002</v>
      </c>
      <c r="DJ49">
        <v>741.1309</v>
      </c>
      <c r="DK49">
        <v>5003.8100000000004</v>
      </c>
      <c r="DL49">
        <v>-49.175089999999997</v>
      </c>
      <c r="DM49">
        <v>-31.816770000000002</v>
      </c>
      <c r="DN49">
        <v>-81.949590000000001</v>
      </c>
      <c r="DO49">
        <v>6.4671240000000001</v>
      </c>
      <c r="DP49">
        <v>1044.0039999999999</v>
      </c>
      <c r="DQ49">
        <v>143.8646</v>
      </c>
      <c r="DR49">
        <v>640.12779999999998</v>
      </c>
      <c r="DS49">
        <v>1264.0740000000001</v>
      </c>
      <c r="DT49">
        <v>0.18545500000000001</v>
      </c>
      <c r="DU49">
        <v>11.6769</v>
      </c>
      <c r="DV49">
        <v>-17.132950000000001</v>
      </c>
      <c r="DW49">
        <v>12.83128</v>
      </c>
      <c r="DX49">
        <v>12.1487</v>
      </c>
      <c r="DY49">
        <v>13.058310000000001</v>
      </c>
      <c r="DZ49">
        <v>10.91549</v>
      </c>
      <c r="EA49">
        <v>14.739319999999999</v>
      </c>
      <c r="EB49">
        <v>18.474810000000002</v>
      </c>
      <c r="EC49">
        <v>0</v>
      </c>
      <c r="ED49">
        <v>18.283899999999999</v>
      </c>
      <c r="EE49">
        <v>15.1639</v>
      </c>
      <c r="EF49">
        <v>8.4380489999999995</v>
      </c>
      <c r="EG49">
        <v>5.7405929999999996</v>
      </c>
      <c r="EH49">
        <v>8.0975079999999995</v>
      </c>
      <c r="EI49">
        <v>2.1610079999999998</v>
      </c>
      <c r="EJ49">
        <v>10.76455</v>
      </c>
      <c r="EK49">
        <v>-5.1723910000000002</v>
      </c>
      <c r="EL49">
        <v>11.128640000000001</v>
      </c>
      <c r="EM49">
        <v>10.89982</v>
      </c>
      <c r="EN49">
        <v>-38.183990000000001</v>
      </c>
      <c r="EO49">
        <v>-26.974689999999999</v>
      </c>
      <c r="EP49">
        <v>-21.884340000000002</v>
      </c>
      <c r="EQ49">
        <v>-11.3216</v>
      </c>
      <c r="ER49">
        <v>8.7022549999999992</v>
      </c>
      <c r="ES49">
        <v>49.992870000000003</v>
      </c>
      <c r="ET49">
        <v>1.334856</v>
      </c>
      <c r="EU49">
        <v>40.710619999999999</v>
      </c>
      <c r="EV49">
        <v>0.65142100000000003</v>
      </c>
      <c r="EW49">
        <v>2.3799440000000001</v>
      </c>
      <c r="EX49">
        <v>3.005566</v>
      </c>
      <c r="EY49">
        <v>0.94898700000000002</v>
      </c>
      <c r="EZ49">
        <v>0.12576899999999999</v>
      </c>
      <c r="FA49">
        <v>6.4142390000000002</v>
      </c>
      <c r="FB49">
        <v>2.0580449999999999</v>
      </c>
      <c r="FC49">
        <v>26.617069999999998</v>
      </c>
      <c r="FD49">
        <v>7.2212019999999999</v>
      </c>
      <c r="FE49">
        <v>0.43613200000000002</v>
      </c>
      <c r="FF49">
        <v>0.672072</v>
      </c>
      <c r="FG49">
        <v>1.2082999999999999</v>
      </c>
      <c r="FH49">
        <v>0.27168900000000001</v>
      </c>
      <c r="FI49">
        <v>4.8396629999999998</v>
      </c>
      <c r="FJ49">
        <v>18.23442</v>
      </c>
      <c r="FK49">
        <v>14.53515</v>
      </c>
      <c r="FL49">
        <v>17.781490000000002</v>
      </c>
      <c r="FM49">
        <v>1.0322E-2</v>
      </c>
      <c r="FN49">
        <v>2.0459000000000001</v>
      </c>
      <c r="FO49">
        <v>1.0322E-2</v>
      </c>
      <c r="FP49">
        <v>6.1595129999999996</v>
      </c>
      <c r="FQ49">
        <v>3.2599399999999998</v>
      </c>
      <c r="FR49">
        <v>4.3209020000000002</v>
      </c>
      <c r="FS49">
        <v>1.400987</v>
      </c>
      <c r="FT49">
        <v>10.01914</v>
      </c>
      <c r="FU49">
        <v>8.5131429999999995</v>
      </c>
      <c r="FV49">
        <v>3.5223990000000001</v>
      </c>
      <c r="FW49">
        <v>1.501328</v>
      </c>
      <c r="FX49">
        <v>6.5514950000000001</v>
      </c>
      <c r="FY49">
        <v>2.3600270000000001</v>
      </c>
      <c r="FZ49">
        <v>6.3504630000000004</v>
      </c>
      <c r="GA49">
        <v>36.452710000000003</v>
      </c>
      <c r="GB49">
        <v>1.334856</v>
      </c>
      <c r="GC49">
        <v>36.76934</v>
      </c>
      <c r="GD49">
        <v>0.58835599999999999</v>
      </c>
      <c r="GE49">
        <v>2.149537</v>
      </c>
      <c r="GF49">
        <v>2.714591</v>
      </c>
      <c r="GG49">
        <v>0.85711400000000004</v>
      </c>
      <c r="GH49">
        <v>0.113593</v>
      </c>
      <c r="GI49">
        <v>5.7932629999999996</v>
      </c>
      <c r="GJ49">
        <v>1.8588009999999999</v>
      </c>
      <c r="GK49">
        <v>25.013629999999999</v>
      </c>
      <c r="GL49">
        <v>7.2212019999999999</v>
      </c>
      <c r="GM49">
        <v>0.43613200000000002</v>
      </c>
      <c r="GN49">
        <v>0.672072</v>
      </c>
      <c r="GO49">
        <v>1.2082999999999999</v>
      </c>
      <c r="GP49">
        <v>0.27168900000000001</v>
      </c>
      <c r="GQ49">
        <v>2.790816</v>
      </c>
      <c r="GR49">
        <v>7.0470420000000003</v>
      </c>
      <c r="GS49">
        <v>14.53515</v>
      </c>
      <c r="GT49">
        <v>15.01182</v>
      </c>
      <c r="GU49">
        <v>8.7139999999999995E-3</v>
      </c>
      <c r="GV49">
        <v>1.7272270000000001</v>
      </c>
      <c r="GW49">
        <v>8.7139999999999995E-3</v>
      </c>
      <c r="GX49">
        <v>5.2000979999999997</v>
      </c>
      <c r="GY49">
        <v>2.752167</v>
      </c>
      <c r="GZ49">
        <v>3.647872</v>
      </c>
      <c r="HA49">
        <v>1.1827669999999999</v>
      </c>
      <c r="HB49">
        <v>8.6943180000000009</v>
      </c>
      <c r="HC49">
        <v>8.5131429999999995</v>
      </c>
      <c r="HD49">
        <v>3.5223990000000001</v>
      </c>
      <c r="HE49">
        <v>1.501328</v>
      </c>
      <c r="HF49">
        <v>6.5514950000000001</v>
      </c>
      <c r="HG49">
        <v>2.3600270000000001</v>
      </c>
      <c r="HH49">
        <v>6.465001</v>
      </c>
      <c r="HI49">
        <v>39.180959999999999</v>
      </c>
      <c r="HJ49">
        <v>1.334856</v>
      </c>
      <c r="HK49">
        <v>146.96780000000001</v>
      </c>
      <c r="HL49">
        <v>1.4070800000000001</v>
      </c>
      <c r="HM49">
        <v>5.1407179999999997</v>
      </c>
      <c r="HN49">
        <v>6.4920720000000003</v>
      </c>
      <c r="HO49">
        <v>1.0259259999999999</v>
      </c>
      <c r="HP49">
        <v>0.135966</v>
      </c>
      <c r="HQ49">
        <v>6.9342689999999996</v>
      </c>
      <c r="HR49">
        <v>6.0154680000000003</v>
      </c>
      <c r="HS49">
        <v>25.185500000000001</v>
      </c>
      <c r="HT49">
        <v>7.3292039999999998</v>
      </c>
      <c r="HU49">
        <v>0.44265500000000002</v>
      </c>
      <c r="HV49">
        <v>0.68212399999999995</v>
      </c>
      <c r="HW49">
        <v>1.226372</v>
      </c>
      <c r="HX49">
        <v>0.275752</v>
      </c>
      <c r="HY49">
        <v>2.826749</v>
      </c>
      <c r="HZ49">
        <v>7.5781700000000001</v>
      </c>
      <c r="IA49">
        <v>9.2295060000000007</v>
      </c>
      <c r="IB49">
        <v>57.935490000000001</v>
      </c>
      <c r="IC49">
        <v>1.0323000000000001E-2</v>
      </c>
      <c r="ID49">
        <v>3.8414830000000002</v>
      </c>
      <c r="IE49">
        <v>1.0323000000000001E-2</v>
      </c>
      <c r="IF49">
        <v>8.6373479999999994</v>
      </c>
      <c r="IG49">
        <v>3.5046349999999999</v>
      </c>
      <c r="IH49">
        <v>4.6452349999999996</v>
      </c>
      <c r="II49">
        <v>5.1504890000000003</v>
      </c>
      <c r="IJ49">
        <v>8.6951870000000007</v>
      </c>
      <c r="IK49">
        <v>8.5139949999999995</v>
      </c>
      <c r="IL49">
        <v>7.4454830000000003</v>
      </c>
      <c r="IM49">
        <v>1.5014780000000001</v>
      </c>
      <c r="IN49">
        <v>6.5521500000000001</v>
      </c>
      <c r="IO49">
        <v>2.3602630000000002</v>
      </c>
      <c r="IP49">
        <v>3.0215619999999999</v>
      </c>
      <c r="IQ49">
        <v>5.5873189999999999</v>
      </c>
      <c r="IR49">
        <v>0.50829100000000005</v>
      </c>
      <c r="IS49">
        <v>1.5886210000000001</v>
      </c>
      <c r="IT49">
        <v>4.0156890000000001</v>
      </c>
      <c r="IU49">
        <v>4.1904110000000001</v>
      </c>
      <c r="IV49">
        <v>4.3522850000000002</v>
      </c>
      <c r="IW49">
        <v>4.3568920000000002</v>
      </c>
      <c r="IX49">
        <v>0.88236599999999998</v>
      </c>
      <c r="IY49">
        <v>7.7754390000000004</v>
      </c>
      <c r="IZ49">
        <v>1.7526839999999999</v>
      </c>
      <c r="JA49">
        <v>8.5201419999999999</v>
      </c>
      <c r="JB49">
        <v>0.43533699999999997</v>
      </c>
      <c r="JC49">
        <v>2.0481799999999999</v>
      </c>
      <c r="JD49">
        <v>0.70991499999999996</v>
      </c>
      <c r="JE49">
        <v>12.542260000000001</v>
      </c>
      <c r="JF49">
        <v>0.22576299999999999</v>
      </c>
      <c r="JG49">
        <v>1.1229819999999999</v>
      </c>
      <c r="JH49">
        <v>18.147600000000001</v>
      </c>
      <c r="JI49">
        <v>7.0771280000000001</v>
      </c>
      <c r="JJ49">
        <v>10.685600000000001</v>
      </c>
      <c r="JK49">
        <v>30.259180000000001</v>
      </c>
      <c r="JL49">
        <v>1.2749189999999999</v>
      </c>
      <c r="JM49">
        <v>4.3630740000000001</v>
      </c>
      <c r="JN49">
        <v>0.355263</v>
      </c>
      <c r="JO49">
        <v>1.061288</v>
      </c>
      <c r="JP49">
        <v>2.4911750000000001</v>
      </c>
      <c r="JQ49">
        <v>2.9614449999999999</v>
      </c>
      <c r="JR49">
        <v>2.521925</v>
      </c>
      <c r="JS49">
        <v>2.5522520000000002</v>
      </c>
      <c r="JT49">
        <v>0.66824700000000004</v>
      </c>
      <c r="JU49">
        <v>3.137057</v>
      </c>
      <c r="JV49">
        <v>0.79823699999999997</v>
      </c>
      <c r="JW49">
        <v>6.6396040000000003</v>
      </c>
      <c r="JX49">
        <v>0.41090199999999999</v>
      </c>
      <c r="JY49">
        <v>1.0292619999999999</v>
      </c>
      <c r="JZ49">
        <v>0.50133799999999995</v>
      </c>
      <c r="KA49">
        <v>5.0883950000000002</v>
      </c>
      <c r="KB49">
        <v>5.2241999999999997E-2</v>
      </c>
      <c r="KC49">
        <v>0.26180700000000001</v>
      </c>
      <c r="KD49">
        <v>11.792770000000001</v>
      </c>
      <c r="KE49">
        <v>4.3653240000000002</v>
      </c>
      <c r="KF49">
        <v>9.1845599999999994</v>
      </c>
      <c r="KG49">
        <v>23.54401</v>
      </c>
      <c r="KH49">
        <v>9456.9439999999995</v>
      </c>
      <c r="KI49">
        <v>7685.18</v>
      </c>
      <c r="KJ49">
        <v>4786.0360000000001</v>
      </c>
      <c r="KK49">
        <v>2203.038</v>
      </c>
      <c r="KL49">
        <v>544.07539999999995</v>
      </c>
      <c r="KM49">
        <v>171.49719999999999</v>
      </c>
      <c r="KN49">
        <v>181.0771</v>
      </c>
      <c r="KO49">
        <v>0</v>
      </c>
      <c r="KP49">
        <v>18969.419999999998</v>
      </c>
      <c r="KQ49">
        <v>6058.4250000000002</v>
      </c>
      <c r="KR49">
        <v>0</v>
      </c>
      <c r="KS49">
        <v>9888.3549999999996</v>
      </c>
      <c r="KT49">
        <v>6331.2359999999999</v>
      </c>
      <c r="KU49">
        <v>4223.01</v>
      </c>
      <c r="KV49">
        <v>2239.8820000000001</v>
      </c>
      <c r="KW49">
        <v>499.10640000000001</v>
      </c>
      <c r="KX49">
        <v>157.12739999999999</v>
      </c>
      <c r="KY49">
        <v>94.91901</v>
      </c>
      <c r="KZ49">
        <v>0</v>
      </c>
      <c r="LA49">
        <v>13327.6</v>
      </c>
      <c r="LB49">
        <v>10106.030000000001</v>
      </c>
      <c r="LC49">
        <v>0</v>
      </c>
      <c r="LD49" s="21">
        <v>204000000</v>
      </c>
      <c r="LE49" s="21">
        <v>471000000</v>
      </c>
      <c r="LF49" s="21">
        <v>1010000000</v>
      </c>
      <c r="LG49" s="21">
        <v>804000000</v>
      </c>
      <c r="LH49" s="21">
        <v>496000000</v>
      </c>
      <c r="LI49" s="21">
        <v>179000000</v>
      </c>
      <c r="LJ49">
        <v>86729771</v>
      </c>
      <c r="LK49" s="21">
        <v>3.6500000000000002E-6</v>
      </c>
      <c r="LL49" s="21">
        <v>7.5800000000000003E-6</v>
      </c>
      <c r="LM49" s="21">
        <v>1.47E-5</v>
      </c>
      <c r="LN49" s="21">
        <v>3.3800000000000002E-5</v>
      </c>
      <c r="LO49" s="21">
        <v>6.1400000000000002E-5</v>
      </c>
      <c r="LP49" s="21">
        <v>9.8900000000000005E-5</v>
      </c>
      <c r="LQ49">
        <v>1.4799999999999999E-4</v>
      </c>
      <c r="LR49" s="21">
        <v>546000000</v>
      </c>
      <c r="LS49" s="21">
        <v>638000000</v>
      </c>
      <c r="LT49" s="21">
        <v>887000000</v>
      </c>
      <c r="LU49" s="21">
        <v>594000000</v>
      </c>
      <c r="LV49" s="21">
        <v>397000000</v>
      </c>
      <c r="LW49" s="21">
        <v>131000000</v>
      </c>
      <c r="LX49">
        <v>61943326</v>
      </c>
      <c r="LY49" s="21">
        <v>1.1600000000000001E-5</v>
      </c>
      <c r="LZ49" s="21">
        <v>2.1999999999999999E-5</v>
      </c>
      <c r="MA49" s="21">
        <v>4.0399999999999999E-5</v>
      </c>
      <c r="MB49" s="21">
        <v>8.6899999999999998E-5</v>
      </c>
      <c r="MC49">
        <v>1.35E-4</v>
      </c>
      <c r="MD49">
        <v>2.0100000000000001E-4</v>
      </c>
      <c r="ME49">
        <v>2.7599999999999999E-4</v>
      </c>
      <c r="MF49">
        <v>0.447716</v>
      </c>
      <c r="MG49">
        <v>0.27843099999999998</v>
      </c>
      <c r="MH49">
        <v>0.179843</v>
      </c>
      <c r="MI49">
        <v>9.4008999999999995E-2</v>
      </c>
      <c r="MJ49" s="21">
        <v>2.7100000000000001E-8</v>
      </c>
      <c r="MK49">
        <v>0</v>
      </c>
      <c r="ML49">
        <v>0</v>
      </c>
      <c r="MM49">
        <v>2.6822400000000002</v>
      </c>
      <c r="MN49">
        <v>1.654406</v>
      </c>
      <c r="MO49">
        <v>1.075439</v>
      </c>
      <c r="MP49">
        <v>0.56940900000000005</v>
      </c>
      <c r="MQ49">
        <v>-5.4170000000000003E-2</v>
      </c>
      <c r="MR49">
        <v>-0.79262100000000002</v>
      </c>
      <c r="MS49">
        <v>-4.134703</v>
      </c>
      <c r="MT49">
        <v>0.49391699999999999</v>
      </c>
      <c r="MU49">
        <v>0.24820300000000001</v>
      </c>
      <c r="MV49">
        <v>0.16629099999999999</v>
      </c>
      <c r="MW49">
        <v>9.1589000000000004E-2</v>
      </c>
      <c r="MX49">
        <v>0</v>
      </c>
      <c r="MY49">
        <v>0</v>
      </c>
      <c r="MZ49">
        <v>0</v>
      </c>
      <c r="NA49">
        <v>6.4763859999999998</v>
      </c>
      <c r="NB49">
        <v>3.2041870000000001</v>
      </c>
      <c r="NC49">
        <v>2.1566420000000002</v>
      </c>
      <c r="ND49">
        <v>1.1994830000000001</v>
      </c>
      <c r="NE49">
        <v>-0.23271600000000001</v>
      </c>
      <c r="NF49">
        <v>-1.950547</v>
      </c>
      <c r="NG49">
        <v>-9.8534349999999993</v>
      </c>
      <c r="NH49">
        <v>6.6100000000000004E-3</v>
      </c>
      <c r="NI49">
        <v>7.5079999999999999E-3</v>
      </c>
      <c r="NJ49">
        <v>1.2381E-2</v>
      </c>
      <c r="NK49">
        <v>4.3591999999999999E-2</v>
      </c>
      <c r="NL49">
        <v>5.4843999999999997E-2</v>
      </c>
      <c r="NM49">
        <v>0.10957500000000001</v>
      </c>
      <c r="NN49">
        <v>6.6100000000000004E-3</v>
      </c>
      <c r="NO49">
        <v>7.5079999999999999E-3</v>
      </c>
      <c r="NP49">
        <v>1.2381E-2</v>
      </c>
      <c r="NQ49">
        <v>4.3591999999999999E-2</v>
      </c>
      <c r="NR49">
        <v>5.4843999999999997E-2</v>
      </c>
      <c r="NS49">
        <v>0.10957500000000001</v>
      </c>
      <c r="NT49">
        <v>3.1837999999999998E-2</v>
      </c>
      <c r="NU49">
        <v>3.2648000000000003E-2</v>
      </c>
      <c r="NV49">
        <v>3.8351000000000003E-2</v>
      </c>
      <c r="NW49">
        <v>6.1359999999999998E-2</v>
      </c>
      <c r="NX49">
        <v>6.9625999999999993E-2</v>
      </c>
      <c r="NY49">
        <v>0.12158099999999999</v>
      </c>
      <c r="NZ49">
        <v>3.1837999999999998E-2</v>
      </c>
      <c r="OA49">
        <v>3.2648000000000003E-2</v>
      </c>
      <c r="OB49">
        <v>3.8351000000000003E-2</v>
      </c>
      <c r="OC49">
        <v>6.1359999999999998E-2</v>
      </c>
      <c r="OD49">
        <v>6.9625999999999993E-2</v>
      </c>
      <c r="OE49">
        <v>0.12158099999999999</v>
      </c>
      <c r="OF49">
        <v>32.749670000000002</v>
      </c>
      <c r="OG49">
        <v>17433.86</v>
      </c>
      <c r="OH49">
        <v>21125.51</v>
      </c>
      <c r="OI49">
        <v>5698.8</v>
      </c>
      <c r="OJ49">
        <v>20.244540000000001</v>
      </c>
      <c r="OK49">
        <v>12731.13</v>
      </c>
      <c r="OL49">
        <v>16502.330000000002</v>
      </c>
      <c r="OM49">
        <v>5053.6040000000003</v>
      </c>
      <c r="ON49">
        <v>2150931</v>
      </c>
      <c r="OO49">
        <v>2358961</v>
      </c>
      <c r="OP49">
        <v>19441</v>
      </c>
      <c r="OQ49">
        <v>10525.1</v>
      </c>
      <c r="OR49">
        <v>6792.9549999999999</v>
      </c>
      <c r="OS49">
        <v>674.63879999999995</v>
      </c>
      <c r="OT49">
        <v>2393.4960000000001</v>
      </c>
      <c r="OU49">
        <v>1578.662</v>
      </c>
      <c r="OV49">
        <v>503.46969999999999</v>
      </c>
      <c r="OW49">
        <v>2375.915</v>
      </c>
      <c r="OX49">
        <v>1625.6969999999999</v>
      </c>
      <c r="OY49">
        <v>1258.98</v>
      </c>
      <c r="OZ49">
        <v>701.69380000000001</v>
      </c>
      <c r="PA49">
        <v>26156.86</v>
      </c>
      <c r="PB49">
        <v>11431.04</v>
      </c>
      <c r="PC49">
        <v>2809.8249999999998</v>
      </c>
      <c r="PD49">
        <v>4865.7510000000002</v>
      </c>
      <c r="PE49">
        <v>11863.73</v>
      </c>
      <c r="PF49">
        <v>2113.1840000000002</v>
      </c>
      <c r="PG49">
        <v>4427.7330000000002</v>
      </c>
      <c r="PH49">
        <v>292174.90000000002</v>
      </c>
      <c r="PI49">
        <v>122002.5</v>
      </c>
      <c r="PJ49">
        <v>2.0791719999999998</v>
      </c>
      <c r="PK49">
        <v>311.86020000000002</v>
      </c>
      <c r="PL49">
        <v>44.422939999999997</v>
      </c>
      <c r="PM49">
        <v>2921.3359999999998</v>
      </c>
      <c r="PN49">
        <v>500.50040000000001</v>
      </c>
      <c r="PO49">
        <v>177.06829999999999</v>
      </c>
      <c r="PP49">
        <v>269.9117</v>
      </c>
      <c r="PQ49">
        <v>575.62159999999994</v>
      </c>
      <c r="PR49">
        <v>104.2542</v>
      </c>
      <c r="PS49">
        <v>632.72770000000003</v>
      </c>
      <c r="PT49">
        <v>1211.1890000000001</v>
      </c>
      <c r="PU49">
        <v>298.75220000000002</v>
      </c>
      <c r="PV49">
        <v>524.48760000000004</v>
      </c>
      <c r="PW49">
        <v>33.887479999999996</v>
      </c>
      <c r="PX49">
        <v>90.58381</v>
      </c>
      <c r="PY49">
        <v>419.101</v>
      </c>
      <c r="PZ49">
        <v>85.984989999999996</v>
      </c>
      <c r="QA49">
        <v>533920.9</v>
      </c>
      <c r="QB49">
        <v>10315.799999999999</v>
      </c>
      <c r="QC49">
        <v>88803.15</v>
      </c>
      <c r="QD49">
        <v>8809.5650000000005</v>
      </c>
      <c r="QE49">
        <v>6226.1530000000002</v>
      </c>
      <c r="QF49">
        <v>4768.7759999999998</v>
      </c>
      <c r="QG49">
        <v>2856.2849999999999</v>
      </c>
      <c r="QH49">
        <v>1.1490000000000001E-3</v>
      </c>
      <c r="QI49" s="21">
        <v>1.4999999999999999E-7</v>
      </c>
      <c r="QJ49" s="21">
        <v>1.39E-6</v>
      </c>
      <c r="QK49">
        <v>25357.94</v>
      </c>
      <c r="QL49">
        <v>13576.16</v>
      </c>
      <c r="QM49">
        <v>6127.875</v>
      </c>
      <c r="QN49">
        <v>956.78420000000006</v>
      </c>
      <c r="QO49">
        <v>4327.442</v>
      </c>
      <c r="QP49">
        <v>2031.3140000000001</v>
      </c>
      <c r="QQ49">
        <v>1012.633</v>
      </c>
      <c r="QR49">
        <v>3120.0050000000001</v>
      </c>
      <c r="QS49">
        <v>1682.2370000000001</v>
      </c>
      <c r="QT49">
        <v>1969.874</v>
      </c>
      <c r="QU49">
        <v>781.73410000000001</v>
      </c>
      <c r="QV49">
        <v>28334.77</v>
      </c>
      <c r="QW49">
        <v>14367.6</v>
      </c>
      <c r="QX49">
        <v>3491.2869999999998</v>
      </c>
      <c r="QY49">
        <v>7059.4530000000004</v>
      </c>
      <c r="QZ49">
        <v>22509.08</v>
      </c>
      <c r="RA49">
        <v>3534.982</v>
      </c>
      <c r="RB49">
        <v>10590</v>
      </c>
      <c r="RC49">
        <v>321938.09999999998</v>
      </c>
      <c r="RD49">
        <v>127874.4</v>
      </c>
      <c r="RE49">
        <v>0.74690800000000002</v>
      </c>
      <c r="RF49">
        <v>93.33108</v>
      </c>
      <c r="RG49">
        <v>1265.875</v>
      </c>
      <c r="RH49">
        <v>1054.03</v>
      </c>
      <c r="RI49">
        <v>0.30652499999999999</v>
      </c>
      <c r="RJ49">
        <v>149.38050000000001</v>
      </c>
      <c r="RK49">
        <v>1.0245000000000001E-2</v>
      </c>
      <c r="RL49">
        <v>4841.7309999999998</v>
      </c>
      <c r="RM49">
        <v>5320.9340000000002</v>
      </c>
      <c r="RN49">
        <v>321.58330000000001</v>
      </c>
      <c r="RO49">
        <v>825.82780000000002</v>
      </c>
      <c r="RP49">
        <v>53.925989999999999</v>
      </c>
      <c r="RQ49">
        <v>558.40689999999995</v>
      </c>
      <c r="RR49">
        <v>387.67419999999998</v>
      </c>
      <c r="RS49">
        <v>220.90180000000001</v>
      </c>
      <c r="RT49">
        <v>3101.8829999999998</v>
      </c>
      <c r="RU49">
        <v>1172.8979999999999</v>
      </c>
      <c r="RV49">
        <v>620013.1</v>
      </c>
      <c r="RW49">
        <v>18004.37</v>
      </c>
      <c r="RX49">
        <v>86898.31</v>
      </c>
      <c r="RY49">
        <v>6598.0479999999998</v>
      </c>
      <c r="RZ49">
        <v>3768.0770000000002</v>
      </c>
      <c r="SA49">
        <v>2993.5790000000002</v>
      </c>
      <c r="SB49">
        <v>1889.2339999999999</v>
      </c>
      <c r="SC49">
        <v>-1.6699999999999999E-4</v>
      </c>
      <c r="SD49" s="21">
        <v>8.91E-9</v>
      </c>
      <c r="SE49" s="21">
        <v>6.5499999999999998E-8</v>
      </c>
      <c r="SF49">
        <v>29482.560000000001</v>
      </c>
      <c r="SG49">
        <v>32.749670000000002</v>
      </c>
      <c r="SH49">
        <v>4451.835</v>
      </c>
      <c r="SI49">
        <v>19299.18</v>
      </c>
      <c r="SJ49">
        <v>5698.8</v>
      </c>
      <c r="SK49">
        <v>21610.01</v>
      </c>
      <c r="SL49">
        <v>20.244540000000001</v>
      </c>
      <c r="SM49">
        <v>3079.3330000000001</v>
      </c>
      <c r="SN49">
        <v>13456.83</v>
      </c>
      <c r="SO49">
        <v>5053.6040000000003</v>
      </c>
      <c r="SP49">
        <v>157139.6</v>
      </c>
      <c r="SQ49">
        <v>65560.92</v>
      </c>
      <c r="SR49">
        <v>163132.79999999999</v>
      </c>
      <c r="SS49">
        <v>74722.17</v>
      </c>
      <c r="ST49">
        <v>30.259180000000001</v>
      </c>
      <c r="SU49">
        <v>0.19725200000000001</v>
      </c>
      <c r="SV49">
        <v>3.204145</v>
      </c>
      <c r="SW49">
        <v>13.779170000000001</v>
      </c>
      <c r="SX49">
        <v>13.078620000000001</v>
      </c>
      <c r="SY49">
        <v>23.54401</v>
      </c>
      <c r="SZ49">
        <v>0.121933</v>
      </c>
      <c r="TA49">
        <v>2.2163059999999999</v>
      </c>
      <c r="TB49">
        <v>9.607863</v>
      </c>
      <c r="TC49">
        <v>11.597910000000001</v>
      </c>
      <c r="TD49">
        <v>27566.28</v>
      </c>
      <c r="TE49">
        <v>850.31230000000005</v>
      </c>
      <c r="TF49">
        <v>563.89099999999996</v>
      </c>
      <c r="TG49">
        <v>217.88390000000001</v>
      </c>
      <c r="TH49">
        <v>48.951749999999997</v>
      </c>
      <c r="TI49">
        <v>106.7719</v>
      </c>
      <c r="TJ49">
        <v>81.798969999999997</v>
      </c>
      <c r="TK49">
        <v>22.855779999999999</v>
      </c>
      <c r="TL49">
        <v>23.862100000000002</v>
      </c>
      <c r="TM49">
        <v>158.32939999999999</v>
      </c>
      <c r="TN49">
        <v>35.623559999999998</v>
      </c>
      <c r="TO49">
        <v>23.19041</v>
      </c>
      <c r="TP49">
        <v>1964.5409999999999</v>
      </c>
      <c r="TQ49">
        <v>2092.5990000000002</v>
      </c>
      <c r="TR49">
        <v>119.77670000000001</v>
      </c>
      <c r="TS49">
        <v>241.1627</v>
      </c>
      <c r="TT49">
        <v>434.01240000000001</v>
      </c>
      <c r="TU49">
        <v>42.918280000000003</v>
      </c>
      <c r="TV49">
        <v>75.568770000000001</v>
      </c>
      <c r="TW49">
        <v>13304.76</v>
      </c>
      <c r="TX49">
        <v>7058.5550000000003</v>
      </c>
      <c r="TY49">
        <v>0.44584299999999999</v>
      </c>
      <c r="TZ49">
        <v>5.5519910000000001</v>
      </c>
      <c r="UA49">
        <v>2.5859839999999998</v>
      </c>
      <c r="UB49">
        <v>52.99436</v>
      </c>
      <c r="UC49">
        <v>0.63958800000000005</v>
      </c>
      <c r="UD49">
        <v>2.1244109999999998</v>
      </c>
      <c r="UE49">
        <v>3.8850709999999999</v>
      </c>
      <c r="UF49">
        <v>1.4296960000000001</v>
      </c>
      <c r="UG49">
        <v>0.69785799999999998</v>
      </c>
      <c r="UH49">
        <v>9.2761720000000008</v>
      </c>
      <c r="UI49">
        <v>4.4656840000000004</v>
      </c>
      <c r="UJ49">
        <v>9.4918420000000001</v>
      </c>
      <c r="UK49">
        <v>3.558827</v>
      </c>
      <c r="UL49">
        <v>0.25715399999999999</v>
      </c>
      <c r="UM49">
        <v>0.290433</v>
      </c>
      <c r="UN49">
        <v>1.006502</v>
      </c>
      <c r="UO49">
        <v>0.21815899999999999</v>
      </c>
      <c r="UP49">
        <v>28095.65</v>
      </c>
      <c r="UQ49">
        <v>839.96270000000004</v>
      </c>
      <c r="UR49">
        <v>585.5729</v>
      </c>
      <c r="US49">
        <v>195.78360000000001</v>
      </c>
      <c r="UT49">
        <v>48.673720000000003</v>
      </c>
      <c r="UU49">
        <v>117.9079</v>
      </c>
      <c r="UV49">
        <v>81.956440000000001</v>
      </c>
      <c r="UW49">
        <v>20.81156</v>
      </c>
      <c r="UX49">
        <v>20.849150000000002</v>
      </c>
      <c r="UY49">
        <v>159.0155</v>
      </c>
      <c r="UZ49">
        <v>33.221640000000001</v>
      </c>
      <c r="VA49">
        <v>20.056740000000001</v>
      </c>
      <c r="VB49">
        <v>1904.4829999999999</v>
      </c>
      <c r="VC49">
        <v>2271.9679999999998</v>
      </c>
      <c r="VD49">
        <v>117.0107</v>
      </c>
      <c r="VE49">
        <v>256.13170000000002</v>
      </c>
      <c r="VF49">
        <v>382.6354</v>
      </c>
      <c r="VG49">
        <v>32.694569999999999</v>
      </c>
      <c r="VH49">
        <v>68.641900000000007</v>
      </c>
      <c r="VI49">
        <v>13717.33</v>
      </c>
      <c r="VJ49">
        <v>7099.8710000000001</v>
      </c>
      <c r="VK49">
        <v>0.211455</v>
      </c>
      <c r="VL49">
        <v>2.4335270000000002</v>
      </c>
      <c r="VM49">
        <v>37.120640000000002</v>
      </c>
      <c r="VN49">
        <v>23.813020000000002</v>
      </c>
      <c r="VO49">
        <v>1.1089999999999999E-2</v>
      </c>
      <c r="VP49">
        <v>1.908731</v>
      </c>
      <c r="VQ49">
        <v>1.5332E-2</v>
      </c>
      <c r="VR49">
        <v>9.7712669999999999</v>
      </c>
      <c r="VS49">
        <v>19.587599999999998</v>
      </c>
      <c r="VT49">
        <v>6.5417319999999997</v>
      </c>
      <c r="VU49">
        <v>3.2438920000000002</v>
      </c>
      <c r="VV49">
        <v>3.4841850000000001</v>
      </c>
      <c r="VW49">
        <v>3.7671030000000001</v>
      </c>
      <c r="VX49">
        <v>1.852036</v>
      </c>
      <c r="VY49">
        <v>0.58074800000000004</v>
      </c>
      <c r="VZ49">
        <v>5.0701080000000003</v>
      </c>
      <c r="WA49">
        <v>1.6564319999999999</v>
      </c>
      <c r="WB49">
        <v>0.13136400000000001</v>
      </c>
      <c r="WC49">
        <v>0.111099</v>
      </c>
      <c r="WD49">
        <v>-3.653E-2</v>
      </c>
      <c r="WE49">
        <v>-1.5285999999999999E-2</v>
      </c>
      <c r="WF49">
        <v>0.94621100000000002</v>
      </c>
      <c r="WG49">
        <v>0.39353100000000002</v>
      </c>
      <c r="WH49">
        <v>-5.3719000000000003E-2</v>
      </c>
      <c r="WI49">
        <v>-1.6976000000000002E-2</v>
      </c>
      <c r="WJ49">
        <v>3375695</v>
      </c>
      <c r="WK49">
        <v>3465553</v>
      </c>
    </row>
  </sheetData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Graphiques</vt:lpstr>
      </vt:variant>
      <vt:variant>
        <vt:i4>15</vt:i4>
      </vt:variant>
    </vt:vector>
  </HeadingPairs>
  <TitlesOfParts>
    <vt:vector size="33" baseType="lpstr">
      <vt:lpstr>resultsSheets</vt:lpstr>
      <vt:lpstr>Instructions</vt:lpstr>
      <vt:lpstr>Full example</vt:lpstr>
      <vt:lpstr>Primary energy</vt:lpstr>
      <vt:lpstr>Final energy</vt:lpstr>
      <vt:lpstr>Final energy by uses</vt:lpstr>
      <vt:lpstr>Macro impacts</vt:lpstr>
      <vt:lpstr>Value Added</vt:lpstr>
      <vt:lpstr>Investment</vt:lpstr>
      <vt:lpstr>Consumption</vt:lpstr>
      <vt:lpstr>GDP</vt:lpstr>
      <vt:lpstr>Employment</vt:lpstr>
      <vt:lpstr>Emissions</vt:lpstr>
      <vt:lpstr>Households</vt:lpstr>
      <vt:lpstr>Energy MIX</vt:lpstr>
      <vt:lpstr>output Final energy by uses</vt:lpstr>
      <vt:lpstr>Investments and other variables</vt:lpstr>
      <vt:lpstr>scen_ademehaut</vt:lpstr>
      <vt:lpstr>BAU primary energy</vt:lpstr>
      <vt:lpstr>BAU Final energy</vt:lpstr>
      <vt:lpstr>ADEMEhaut primary energy</vt:lpstr>
      <vt:lpstr>ADEMEhaut Final energy</vt:lpstr>
      <vt:lpstr>Households energy bill</vt:lpstr>
      <vt:lpstr>Disposable income</vt:lpstr>
      <vt:lpstr>Mean of investment</vt:lpstr>
      <vt:lpstr>Employment by sector</vt:lpstr>
      <vt:lpstr>Unemployment rate</vt:lpstr>
      <vt:lpstr>Trade balance</vt:lpstr>
      <vt:lpstr>GDP gap</vt:lpstr>
      <vt:lpstr>Carbon tax</vt:lpstr>
      <vt:lpstr>Energy price signal</vt:lpstr>
      <vt:lpstr>Public debt </vt:lpstr>
      <vt:lpstr>Public Balance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Saussay</dc:creator>
  <cp:lastModifiedBy>CALLONNEC Gaël</cp:lastModifiedBy>
  <dcterms:created xsi:type="dcterms:W3CDTF">2015-07-23T09:42:47Z</dcterms:created>
  <dcterms:modified xsi:type="dcterms:W3CDTF">2016-12-16T13:11:05Z</dcterms:modified>
</cp:coreProperties>
</file>