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worksheets/sheet7.xml" ContentType="application/vnd.openxmlformats-officedocument.spreadsheetml.work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Github\ThreeME\results\"/>
    </mc:Choice>
  </mc:AlternateContent>
  <xr:revisionPtr revIDLastSave="0" documentId="13_ncr:1_{B1F73CEC-5A6E-4A81-96AB-858B3AE2CA75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T energie vecteurs" sheetId="13" r:id="rId1"/>
    <sheet name="T energie usages" sheetId="16" r:id="rId2"/>
    <sheet name="T transport" sheetId="32" r:id="rId3"/>
    <sheet name="Résultats" sheetId="2" r:id="rId4"/>
    <sheet name="T CO2" sheetId="31" r:id="rId5"/>
    <sheet name="T logement" sheetId="14" r:id="rId6"/>
    <sheet name="G energie" sheetId="27" r:id="rId7"/>
    <sheet name="G mix energie" sheetId="30" r:id="rId8"/>
    <sheet name="G mix élec" sheetId="22" r:id="rId9"/>
    <sheet name="G mix carb" sheetId="23" r:id="rId10"/>
    <sheet name="G mix gaz" sheetId="24" r:id="rId11"/>
    <sheet name="G CO2" sheetId="26" r:id="rId12"/>
    <sheet name="T parc auto" sheetId="25" r:id="rId13"/>
    <sheet name="G parc auto total" sheetId="28" r:id="rId14"/>
    <sheet name="G parc elec" sheetId="29" r:id="rId15"/>
    <sheet name="G parc auto" sheetId="19" r:id="rId16"/>
    <sheet name="G parc logt" sheetId="20" r:id="rId17"/>
    <sheet name="Table Graphs" sheetId="33" r:id="rId18"/>
  </sheets>
  <externalReferences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name="_xlnm.Print_Area" localSheetId="12">'T parc auto'!$C$26:$AM$107</definedName>
    <definedName name="_xlnm.Print_Area" localSheetId="2">'T transport'!$B$1:$AU$32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S14" i="16" l="1"/>
  <c r="K14" i="16"/>
  <c r="K27" i="16"/>
  <c r="K40" i="16"/>
  <c r="K53" i="16"/>
  <c r="K66" i="16"/>
  <c r="K79" i="16"/>
  <c r="K92" i="16"/>
  <c r="K105" i="16"/>
  <c r="K118" i="16"/>
  <c r="R58" i="16" l="1"/>
  <c r="Q58" i="16"/>
  <c r="P58" i="16"/>
  <c r="O58" i="16"/>
  <c r="R57" i="16"/>
  <c r="P57" i="16"/>
  <c r="O57" i="16"/>
  <c r="R56" i="16"/>
  <c r="R55" i="16" s="1"/>
  <c r="Q56" i="16"/>
  <c r="Q55" i="16" s="1"/>
  <c r="P56" i="16"/>
  <c r="O56" i="16"/>
  <c r="R54" i="16"/>
  <c r="Q54" i="16"/>
  <c r="P54" i="16"/>
  <c r="O54" i="16"/>
  <c r="R53" i="16"/>
  <c r="Q53" i="16"/>
  <c r="P53" i="16"/>
  <c r="O53" i="16"/>
  <c r="R50" i="16"/>
  <c r="Q50" i="16"/>
  <c r="P50" i="16"/>
  <c r="O50" i="16"/>
  <c r="R45" i="16"/>
  <c r="Q45" i="16"/>
  <c r="P45" i="16"/>
  <c r="O45" i="16"/>
  <c r="R44" i="16"/>
  <c r="P44" i="16"/>
  <c r="O44" i="16"/>
  <c r="R43" i="16"/>
  <c r="Q43" i="16"/>
  <c r="Q42" i="16" s="1"/>
  <c r="P43" i="16"/>
  <c r="P42" i="16" s="1"/>
  <c r="O43" i="16"/>
  <c r="R41" i="16"/>
  <c r="Q41" i="16"/>
  <c r="P41" i="16"/>
  <c r="O41" i="16"/>
  <c r="R40" i="16"/>
  <c r="Q40" i="16"/>
  <c r="P40" i="16"/>
  <c r="O40" i="16"/>
  <c r="R37" i="16"/>
  <c r="Q37" i="16"/>
  <c r="P37" i="16"/>
  <c r="O37" i="16"/>
  <c r="K58" i="16"/>
  <c r="J58" i="16"/>
  <c r="I58" i="16"/>
  <c r="H58" i="16"/>
  <c r="K57" i="16"/>
  <c r="J57" i="16"/>
  <c r="I57" i="16"/>
  <c r="H57" i="16"/>
  <c r="K56" i="16"/>
  <c r="J56" i="16"/>
  <c r="I56" i="16"/>
  <c r="H56" i="16"/>
  <c r="K54" i="16"/>
  <c r="J54" i="16"/>
  <c r="I54" i="16"/>
  <c r="H54" i="16"/>
  <c r="J53" i="16"/>
  <c r="I53" i="16"/>
  <c r="H53" i="16"/>
  <c r="K52" i="16"/>
  <c r="J52" i="16"/>
  <c r="I52" i="16"/>
  <c r="H52" i="16"/>
  <c r="K51" i="16"/>
  <c r="J51" i="16"/>
  <c r="I51" i="16"/>
  <c r="H51" i="16"/>
  <c r="K45" i="16"/>
  <c r="J45" i="16"/>
  <c r="I45" i="16"/>
  <c r="H45" i="16"/>
  <c r="K44" i="16"/>
  <c r="J44" i="16"/>
  <c r="I44" i="16"/>
  <c r="H44" i="16"/>
  <c r="K43" i="16"/>
  <c r="J43" i="16"/>
  <c r="I43" i="16"/>
  <c r="H43" i="16"/>
  <c r="K41" i="16"/>
  <c r="J41" i="16"/>
  <c r="I41" i="16"/>
  <c r="H41" i="16"/>
  <c r="J40" i="16"/>
  <c r="I40" i="16"/>
  <c r="H40" i="16"/>
  <c r="K39" i="16"/>
  <c r="J39" i="16"/>
  <c r="I39" i="16"/>
  <c r="H39" i="16"/>
  <c r="K38" i="16"/>
  <c r="J38" i="16"/>
  <c r="I38" i="16"/>
  <c r="H38" i="16"/>
  <c r="K110" i="16"/>
  <c r="J110" i="16"/>
  <c r="I110" i="16"/>
  <c r="H110" i="16"/>
  <c r="K109" i="16"/>
  <c r="J109" i="16"/>
  <c r="I109" i="16"/>
  <c r="H109" i="16"/>
  <c r="K108" i="16"/>
  <c r="J108" i="16"/>
  <c r="I108" i="16"/>
  <c r="H108" i="16"/>
  <c r="K106" i="16"/>
  <c r="J106" i="16"/>
  <c r="I106" i="16"/>
  <c r="H106" i="16"/>
  <c r="J105" i="16"/>
  <c r="I105" i="16"/>
  <c r="H105" i="16"/>
  <c r="K104" i="16"/>
  <c r="J104" i="16"/>
  <c r="I104" i="16"/>
  <c r="H104" i="16"/>
  <c r="K103" i="16"/>
  <c r="J103" i="16"/>
  <c r="I103" i="16"/>
  <c r="H103" i="16"/>
  <c r="AU20" i="32"/>
  <c r="AA20" i="32"/>
  <c r="Q20" i="32"/>
  <c r="AU17" i="32"/>
  <c r="AA17" i="32"/>
  <c r="Q17" i="32"/>
  <c r="BB10" i="32"/>
  <c r="BB9" i="32"/>
  <c r="BB8" i="32"/>
  <c r="BB7" i="32"/>
  <c r="S57" i="16" l="1"/>
  <c r="R42" i="16"/>
  <c r="P55" i="16"/>
  <c r="S37" i="16"/>
  <c r="S41" i="16"/>
  <c r="S45" i="16"/>
  <c r="S54" i="16"/>
  <c r="H50" i="16"/>
  <c r="K102" i="16"/>
  <c r="I37" i="16"/>
  <c r="L110" i="16"/>
  <c r="L40" i="16"/>
  <c r="R59" i="16"/>
  <c r="Q46" i="16"/>
  <c r="S44" i="16"/>
  <c r="S58" i="16"/>
  <c r="S53" i="16"/>
  <c r="O55" i="16"/>
  <c r="S55" i="16" s="1"/>
  <c r="Q59" i="16"/>
  <c r="S43" i="16"/>
  <c r="R46" i="16"/>
  <c r="S56" i="16"/>
  <c r="L39" i="16"/>
  <c r="L54" i="16"/>
  <c r="L41" i="16"/>
  <c r="I102" i="16"/>
  <c r="L52" i="16"/>
  <c r="I107" i="16"/>
  <c r="L38" i="16"/>
  <c r="L45" i="16"/>
  <c r="L53" i="16"/>
  <c r="L57" i="16"/>
  <c r="I55" i="16"/>
  <c r="L51" i="16"/>
  <c r="L58" i="16"/>
  <c r="J37" i="16"/>
  <c r="J42" i="16"/>
  <c r="J50" i="16"/>
  <c r="K37" i="16"/>
  <c r="K42" i="16"/>
  <c r="L44" i="16"/>
  <c r="H55" i="16"/>
  <c r="J107" i="16"/>
  <c r="I42" i="16"/>
  <c r="H102" i="16"/>
  <c r="K107" i="16"/>
  <c r="J55" i="16"/>
  <c r="L105" i="16"/>
  <c r="H107" i="16"/>
  <c r="K50" i="16"/>
  <c r="K55" i="16"/>
  <c r="P59" i="16"/>
  <c r="S50" i="16"/>
  <c r="O59" i="16"/>
  <c r="P46" i="16"/>
  <c r="O42" i="16"/>
  <c r="S42" i="16" s="1"/>
  <c r="S40" i="16"/>
  <c r="I50" i="16"/>
  <c r="H42" i="16"/>
  <c r="L43" i="16"/>
  <c r="H37" i="16"/>
  <c r="L106" i="16"/>
  <c r="L56" i="16"/>
  <c r="J102" i="16"/>
  <c r="L109" i="16"/>
  <c r="L104" i="16"/>
  <c r="L103" i="16"/>
  <c r="L108" i="16"/>
  <c r="BD10" i="32"/>
  <c r="BD9" i="32"/>
  <c r="BD8" i="32"/>
  <c r="BD7" i="32"/>
  <c r="BC10" i="32"/>
  <c r="BC9" i="32"/>
  <c r="BC8" i="32"/>
  <c r="BC7" i="32"/>
  <c r="AU6" i="32"/>
  <c r="AA6" i="32"/>
  <c r="Q6" i="32"/>
  <c r="AU9" i="32"/>
  <c r="AA9" i="32"/>
  <c r="Q9" i="32"/>
  <c r="S59" i="16" l="1"/>
  <c r="I111" i="16"/>
  <c r="K111" i="16"/>
  <c r="H111" i="16"/>
  <c r="I46" i="16"/>
  <c r="J111" i="16"/>
  <c r="K46" i="16"/>
  <c r="L42" i="16"/>
  <c r="L107" i="16"/>
  <c r="I59" i="16"/>
  <c r="K59" i="16"/>
  <c r="J59" i="16"/>
  <c r="L102" i="16"/>
  <c r="J46" i="16"/>
  <c r="L55" i="16"/>
  <c r="H59" i="16"/>
  <c r="O46" i="16"/>
  <c r="S46" i="16" s="1"/>
  <c r="L50" i="16"/>
  <c r="L37" i="16"/>
  <c r="H46" i="16"/>
  <c r="R123" i="16"/>
  <c r="Q123" i="16"/>
  <c r="P123" i="16"/>
  <c r="O123" i="16"/>
  <c r="R122" i="16"/>
  <c r="P122" i="16"/>
  <c r="O122" i="16"/>
  <c r="R121" i="16"/>
  <c r="Q121" i="16"/>
  <c r="P121" i="16"/>
  <c r="O121" i="16"/>
  <c r="R119" i="16"/>
  <c r="Q119" i="16"/>
  <c r="P119" i="16"/>
  <c r="O119" i="16"/>
  <c r="R118" i="16"/>
  <c r="Q118" i="16"/>
  <c r="P118" i="16"/>
  <c r="O118" i="16"/>
  <c r="R115" i="16"/>
  <c r="Q115" i="16"/>
  <c r="P115" i="16"/>
  <c r="O115" i="16"/>
  <c r="R110" i="16"/>
  <c r="Q110" i="16"/>
  <c r="P110" i="16"/>
  <c r="O110" i="16"/>
  <c r="R109" i="16"/>
  <c r="P109" i="16"/>
  <c r="O109" i="16"/>
  <c r="R108" i="16"/>
  <c r="Q108" i="16"/>
  <c r="P108" i="16"/>
  <c r="O108" i="16"/>
  <c r="R106" i="16"/>
  <c r="Q106" i="16"/>
  <c r="P106" i="16"/>
  <c r="O106" i="16"/>
  <c r="R105" i="16"/>
  <c r="Q105" i="16"/>
  <c r="P105" i="16"/>
  <c r="O105" i="16"/>
  <c r="R102" i="16"/>
  <c r="Q102" i="16"/>
  <c r="P102" i="16"/>
  <c r="O102" i="16"/>
  <c r="R97" i="16"/>
  <c r="Q97" i="16"/>
  <c r="P97" i="16"/>
  <c r="O97" i="16"/>
  <c r="R96" i="16"/>
  <c r="P96" i="16"/>
  <c r="O96" i="16"/>
  <c r="R95" i="16"/>
  <c r="Q95" i="16"/>
  <c r="P95" i="16"/>
  <c r="O95" i="16"/>
  <c r="R93" i="16"/>
  <c r="Q93" i="16"/>
  <c r="P93" i="16"/>
  <c r="O93" i="16"/>
  <c r="R92" i="16"/>
  <c r="Q92" i="16"/>
  <c r="P92" i="16"/>
  <c r="O92" i="16"/>
  <c r="R89" i="16"/>
  <c r="Q89" i="16"/>
  <c r="P89" i="16"/>
  <c r="O89" i="16"/>
  <c r="R84" i="16"/>
  <c r="Q84" i="16"/>
  <c r="P84" i="16"/>
  <c r="O84" i="16"/>
  <c r="R83" i="16"/>
  <c r="P83" i="16"/>
  <c r="O83" i="16"/>
  <c r="R82" i="16"/>
  <c r="Q82" i="16"/>
  <c r="P82" i="16"/>
  <c r="O82" i="16"/>
  <c r="R80" i="16"/>
  <c r="Q80" i="16"/>
  <c r="P80" i="16"/>
  <c r="O80" i="16"/>
  <c r="R79" i="16"/>
  <c r="Q79" i="16"/>
  <c r="P79" i="16"/>
  <c r="O79" i="16"/>
  <c r="R76" i="16"/>
  <c r="Q76" i="16"/>
  <c r="P76" i="16"/>
  <c r="O76" i="16"/>
  <c r="R71" i="16"/>
  <c r="Q71" i="16"/>
  <c r="P71" i="16"/>
  <c r="O71" i="16"/>
  <c r="R70" i="16"/>
  <c r="P70" i="16"/>
  <c r="O70" i="16"/>
  <c r="R69" i="16"/>
  <c r="Q69" i="16"/>
  <c r="P69" i="16"/>
  <c r="O69" i="16"/>
  <c r="R67" i="16"/>
  <c r="Q67" i="16"/>
  <c r="P67" i="16"/>
  <c r="O67" i="16"/>
  <c r="R66" i="16"/>
  <c r="Q66" i="16"/>
  <c r="P66" i="16"/>
  <c r="O66" i="16"/>
  <c r="R63" i="16"/>
  <c r="Q63" i="16"/>
  <c r="P63" i="16"/>
  <c r="O63" i="16"/>
  <c r="R32" i="16"/>
  <c r="Q32" i="16"/>
  <c r="P32" i="16"/>
  <c r="O32" i="16"/>
  <c r="R31" i="16"/>
  <c r="P31" i="16"/>
  <c r="O31" i="16"/>
  <c r="R30" i="16"/>
  <c r="Q30" i="16"/>
  <c r="P30" i="16"/>
  <c r="O30" i="16"/>
  <c r="R28" i="16"/>
  <c r="Q28" i="16"/>
  <c r="P28" i="16"/>
  <c r="O28" i="16"/>
  <c r="R27" i="16"/>
  <c r="Q27" i="16"/>
  <c r="P27" i="16"/>
  <c r="O27" i="16"/>
  <c r="R24" i="16"/>
  <c r="Q24" i="16"/>
  <c r="P24" i="16"/>
  <c r="O24" i="16"/>
  <c r="R19" i="16"/>
  <c r="Q19" i="16"/>
  <c r="P19" i="16"/>
  <c r="O19" i="16"/>
  <c r="R18" i="16"/>
  <c r="P18" i="16"/>
  <c r="O18" i="16"/>
  <c r="R17" i="16"/>
  <c r="Q17" i="16"/>
  <c r="P17" i="16"/>
  <c r="O17" i="16"/>
  <c r="R15" i="16"/>
  <c r="Q15" i="16"/>
  <c r="P15" i="16"/>
  <c r="O15" i="16"/>
  <c r="R14" i="16"/>
  <c r="Q14" i="16"/>
  <c r="P14" i="16"/>
  <c r="O14" i="16"/>
  <c r="R11" i="16"/>
  <c r="Q11" i="16"/>
  <c r="P11" i="16"/>
  <c r="O11" i="16"/>
  <c r="A58" i="32"/>
  <c r="A36" i="32"/>
  <c r="A1" i="32"/>
  <c r="C3" i="32"/>
  <c r="D3" i="32"/>
  <c r="E3" i="32"/>
  <c r="F3" i="32"/>
  <c r="G3" i="32"/>
  <c r="H3" i="32"/>
  <c r="I3" i="32"/>
  <c r="J3" i="32"/>
  <c r="K3" i="32"/>
  <c r="L3" i="32"/>
  <c r="M3" i="32"/>
  <c r="N3" i="32"/>
  <c r="O3" i="32"/>
  <c r="P3" i="32"/>
  <c r="Q3" i="32"/>
  <c r="R3" i="32"/>
  <c r="S3" i="32"/>
  <c r="T3" i="32"/>
  <c r="U3" i="32"/>
  <c r="V3" i="32"/>
  <c r="W3" i="32"/>
  <c r="X3" i="32"/>
  <c r="Y3" i="32"/>
  <c r="Z3" i="32"/>
  <c r="AA3" i="32"/>
  <c r="AB3" i="32"/>
  <c r="AC3" i="32"/>
  <c r="AD3" i="32"/>
  <c r="AE3" i="32"/>
  <c r="AF3" i="32"/>
  <c r="AG3" i="32"/>
  <c r="AH3" i="32"/>
  <c r="AI3" i="32"/>
  <c r="AJ3" i="32"/>
  <c r="AK3" i="32"/>
  <c r="AL3" i="32"/>
  <c r="AM3" i="32"/>
  <c r="AN3" i="32"/>
  <c r="AO3" i="32"/>
  <c r="AP3" i="32"/>
  <c r="AQ3" i="32"/>
  <c r="AR3" i="32"/>
  <c r="AS3" i="32"/>
  <c r="AT3" i="32"/>
  <c r="AU3" i="32"/>
  <c r="C4" i="32"/>
  <c r="D4" i="32"/>
  <c r="E4" i="32"/>
  <c r="F4" i="32"/>
  <c r="G4" i="32"/>
  <c r="H4" i="32"/>
  <c r="I4" i="32"/>
  <c r="J4" i="32"/>
  <c r="K4" i="32"/>
  <c r="L4" i="32"/>
  <c r="M4" i="32"/>
  <c r="N4" i="32"/>
  <c r="O4" i="32"/>
  <c r="P4" i="32"/>
  <c r="C5" i="32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Q5" i="32"/>
  <c r="R5" i="32"/>
  <c r="S5" i="32"/>
  <c r="T5" i="32"/>
  <c r="U5" i="32"/>
  <c r="V5" i="32"/>
  <c r="W5" i="32"/>
  <c r="X5" i="32"/>
  <c r="Y5" i="32"/>
  <c r="Z5" i="32"/>
  <c r="AA5" i="32"/>
  <c r="AA4" i="32" s="1"/>
  <c r="AB5" i="32"/>
  <c r="AC5" i="32"/>
  <c r="AD5" i="32"/>
  <c r="AE5" i="32"/>
  <c r="AF5" i="32"/>
  <c r="AG5" i="32"/>
  <c r="AH5" i="32"/>
  <c r="AI5" i="32"/>
  <c r="AJ5" i="32"/>
  <c r="AK5" i="32"/>
  <c r="AL5" i="32"/>
  <c r="AM5" i="32"/>
  <c r="AN5" i="32"/>
  <c r="AO5" i="32"/>
  <c r="AP5" i="32"/>
  <c r="AQ5" i="32"/>
  <c r="AR5" i="32"/>
  <c r="AS5" i="32"/>
  <c r="AT5" i="32"/>
  <c r="AU5" i="32"/>
  <c r="AU4" i="32" s="1"/>
  <c r="C6" i="32"/>
  <c r="D6" i="32"/>
  <c r="E6" i="32"/>
  <c r="F6" i="32"/>
  <c r="G6" i="32"/>
  <c r="H6" i="32"/>
  <c r="I6" i="32"/>
  <c r="J6" i="32"/>
  <c r="K6" i="32"/>
  <c r="L6" i="32"/>
  <c r="M6" i="32"/>
  <c r="N6" i="32"/>
  <c r="O6" i="32"/>
  <c r="P6" i="32"/>
  <c r="R6" i="32"/>
  <c r="S6" i="32"/>
  <c r="T6" i="32"/>
  <c r="U6" i="32"/>
  <c r="V6" i="32"/>
  <c r="W6" i="32"/>
  <c r="X6" i="32"/>
  <c r="Y6" i="32"/>
  <c r="Z6" i="32"/>
  <c r="AB6" i="32"/>
  <c r="AC6" i="32"/>
  <c r="AD6" i="32"/>
  <c r="AE6" i="32"/>
  <c r="AF6" i="32"/>
  <c r="AG6" i="32"/>
  <c r="AH6" i="32"/>
  <c r="AI6" i="32"/>
  <c r="AJ6" i="32"/>
  <c r="AK6" i="32"/>
  <c r="AL6" i="32"/>
  <c r="AM6" i="32"/>
  <c r="AN6" i="32"/>
  <c r="AO6" i="32"/>
  <c r="AP6" i="32"/>
  <c r="AQ6" i="32"/>
  <c r="AR6" i="32"/>
  <c r="AS6" i="32"/>
  <c r="AT6" i="32"/>
  <c r="C7" i="32"/>
  <c r="D7" i="32"/>
  <c r="E7" i="32"/>
  <c r="F7" i="32"/>
  <c r="G7" i="32"/>
  <c r="H7" i="32"/>
  <c r="I7" i="32"/>
  <c r="J7" i="32"/>
  <c r="K7" i="32"/>
  <c r="L7" i="32"/>
  <c r="M7" i="32"/>
  <c r="N7" i="32"/>
  <c r="O7" i="32"/>
  <c r="P7" i="32"/>
  <c r="C8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Q8" i="32"/>
  <c r="Q7" i="32" s="1"/>
  <c r="R8" i="32"/>
  <c r="S8" i="32"/>
  <c r="T8" i="32"/>
  <c r="U8" i="32"/>
  <c r="V8" i="32"/>
  <c r="W8" i="32"/>
  <c r="X8" i="32"/>
  <c r="Y8" i="32"/>
  <c r="Z8" i="32"/>
  <c r="AA8" i="32"/>
  <c r="AA7" i="32" s="1"/>
  <c r="AB8" i="32"/>
  <c r="AC8" i="32"/>
  <c r="AD8" i="32"/>
  <c r="AE8" i="32"/>
  <c r="AF8" i="32"/>
  <c r="AG8" i="32"/>
  <c r="AH8" i="32"/>
  <c r="AI8" i="32"/>
  <c r="AJ8" i="32"/>
  <c r="AK8" i="32"/>
  <c r="AL8" i="32"/>
  <c r="AM8" i="32"/>
  <c r="AN8" i="32"/>
  <c r="AO8" i="32"/>
  <c r="AP8" i="32"/>
  <c r="AQ8" i="32"/>
  <c r="AR8" i="32"/>
  <c r="AS8" i="32"/>
  <c r="AT8" i="32"/>
  <c r="AU8" i="32"/>
  <c r="AU7" i="32" s="1"/>
  <c r="C9" i="32"/>
  <c r="D9" i="32"/>
  <c r="E9" i="32"/>
  <c r="F9" i="32"/>
  <c r="G9" i="32"/>
  <c r="H9" i="32"/>
  <c r="I9" i="32"/>
  <c r="J9" i="32"/>
  <c r="K9" i="32"/>
  <c r="L9" i="32"/>
  <c r="M9" i="32"/>
  <c r="N9" i="32"/>
  <c r="O9" i="32"/>
  <c r="P9" i="32"/>
  <c r="R9" i="32"/>
  <c r="S9" i="32"/>
  <c r="T9" i="32"/>
  <c r="U9" i="32"/>
  <c r="V9" i="32"/>
  <c r="W9" i="32"/>
  <c r="X9" i="32"/>
  <c r="Y9" i="32"/>
  <c r="Z9" i="32"/>
  <c r="AB9" i="32"/>
  <c r="AC9" i="32"/>
  <c r="AD9" i="32"/>
  <c r="AE9" i="32"/>
  <c r="AF9" i="32"/>
  <c r="AG9" i="32"/>
  <c r="AH9" i="32"/>
  <c r="AI9" i="32"/>
  <c r="AJ9" i="32"/>
  <c r="AK9" i="32"/>
  <c r="AL9" i="32"/>
  <c r="AM9" i="32"/>
  <c r="AN9" i="32"/>
  <c r="AO9" i="32"/>
  <c r="AP9" i="32"/>
  <c r="AQ9" i="32"/>
  <c r="AR9" i="32"/>
  <c r="AS9" i="32"/>
  <c r="AT9" i="32"/>
  <c r="C14" i="32"/>
  <c r="D14" i="32"/>
  <c r="E14" i="32"/>
  <c r="F14" i="32"/>
  <c r="G14" i="32"/>
  <c r="H14" i="32"/>
  <c r="I14" i="32"/>
  <c r="J14" i="32"/>
  <c r="K14" i="32"/>
  <c r="L14" i="32"/>
  <c r="M14" i="32"/>
  <c r="N14" i="32"/>
  <c r="O14" i="32"/>
  <c r="P14" i="32"/>
  <c r="Q14" i="32"/>
  <c r="R14" i="32"/>
  <c r="S14" i="32"/>
  <c r="T14" i="32"/>
  <c r="U14" i="32"/>
  <c r="V14" i="32"/>
  <c r="W14" i="32"/>
  <c r="X14" i="32"/>
  <c r="Y14" i="32"/>
  <c r="Z14" i="32"/>
  <c r="AA14" i="32"/>
  <c r="AB14" i="32"/>
  <c r="AC14" i="32"/>
  <c r="AD14" i="32"/>
  <c r="AE14" i="32"/>
  <c r="AF14" i="32"/>
  <c r="AG14" i="32"/>
  <c r="AH14" i="32"/>
  <c r="AI14" i="32"/>
  <c r="AJ14" i="32"/>
  <c r="AK14" i="32"/>
  <c r="AL14" i="32"/>
  <c r="AM14" i="32"/>
  <c r="AN14" i="32"/>
  <c r="AO14" i="32"/>
  <c r="AP14" i="32"/>
  <c r="AQ14" i="32"/>
  <c r="AR14" i="32"/>
  <c r="AS14" i="32"/>
  <c r="AT14" i="32"/>
  <c r="AU14" i="32"/>
  <c r="C15" i="32"/>
  <c r="D15" i="32"/>
  <c r="E15" i="32"/>
  <c r="F15" i="32"/>
  <c r="G15" i="32"/>
  <c r="H15" i="32"/>
  <c r="I15" i="32"/>
  <c r="J15" i="32"/>
  <c r="K15" i="32"/>
  <c r="L15" i="32"/>
  <c r="M15" i="32"/>
  <c r="N15" i="32"/>
  <c r="O15" i="32"/>
  <c r="P15" i="32"/>
  <c r="Q15" i="32"/>
  <c r="R15" i="32"/>
  <c r="S15" i="32"/>
  <c r="T15" i="32"/>
  <c r="U15" i="32"/>
  <c r="V15" i="32"/>
  <c r="W15" i="32"/>
  <c r="X15" i="32"/>
  <c r="Y15" i="32"/>
  <c r="Z15" i="32"/>
  <c r="AA15" i="32"/>
  <c r="AB15" i="32"/>
  <c r="AC15" i="32"/>
  <c r="AD15" i="32"/>
  <c r="AE15" i="32"/>
  <c r="AF15" i="32"/>
  <c r="AG15" i="32"/>
  <c r="AH15" i="32"/>
  <c r="AI15" i="32"/>
  <c r="AJ15" i="32"/>
  <c r="AK15" i="32"/>
  <c r="AL15" i="32"/>
  <c r="AM15" i="32"/>
  <c r="AN15" i="32"/>
  <c r="AO15" i="32"/>
  <c r="AP15" i="32"/>
  <c r="AQ15" i="32"/>
  <c r="AR15" i="32"/>
  <c r="AS15" i="32"/>
  <c r="AT15" i="32"/>
  <c r="AU15" i="32"/>
  <c r="C16" i="32"/>
  <c r="D16" i="32"/>
  <c r="E16" i="32"/>
  <c r="F16" i="32"/>
  <c r="G16" i="32"/>
  <c r="H16" i="32"/>
  <c r="I16" i="32"/>
  <c r="J16" i="32"/>
  <c r="K16" i="32"/>
  <c r="L16" i="32"/>
  <c r="M16" i="32"/>
  <c r="N16" i="32"/>
  <c r="O16" i="32"/>
  <c r="P16" i="32"/>
  <c r="Q16" i="32"/>
  <c r="R16" i="32"/>
  <c r="S16" i="32"/>
  <c r="T16" i="32"/>
  <c r="U16" i="32"/>
  <c r="V16" i="32"/>
  <c r="W16" i="32"/>
  <c r="X16" i="32"/>
  <c r="Y16" i="32"/>
  <c r="Z16" i="32"/>
  <c r="AA16" i="32"/>
  <c r="AB16" i="32"/>
  <c r="AC16" i="32"/>
  <c r="AD16" i="32"/>
  <c r="AE16" i="32"/>
  <c r="AF16" i="32"/>
  <c r="AG16" i="32"/>
  <c r="AH16" i="32"/>
  <c r="AI16" i="32"/>
  <c r="AJ16" i="32"/>
  <c r="AK16" i="32"/>
  <c r="AL16" i="32"/>
  <c r="AM16" i="32"/>
  <c r="AN16" i="32"/>
  <c r="AO16" i="32"/>
  <c r="AP16" i="32"/>
  <c r="AQ16" i="32"/>
  <c r="AR16" i="32"/>
  <c r="AS16" i="32"/>
  <c r="AT16" i="32"/>
  <c r="AU16" i="32"/>
  <c r="C17" i="32"/>
  <c r="D17" i="32"/>
  <c r="E17" i="32"/>
  <c r="F17" i="32"/>
  <c r="G17" i="32"/>
  <c r="H17" i="32"/>
  <c r="I17" i="32"/>
  <c r="J17" i="32"/>
  <c r="K17" i="32"/>
  <c r="L17" i="32"/>
  <c r="M17" i="32"/>
  <c r="N17" i="32"/>
  <c r="O17" i="32"/>
  <c r="P17" i="32"/>
  <c r="R17" i="32"/>
  <c r="S17" i="32"/>
  <c r="T17" i="32"/>
  <c r="U17" i="32"/>
  <c r="V17" i="32"/>
  <c r="W17" i="32"/>
  <c r="X17" i="32"/>
  <c r="Y17" i="32"/>
  <c r="Z17" i="32"/>
  <c r="AB17" i="32"/>
  <c r="AC17" i="32"/>
  <c r="AD17" i="32"/>
  <c r="AE17" i="32"/>
  <c r="AF17" i="32"/>
  <c r="AG17" i="32"/>
  <c r="AH17" i="32"/>
  <c r="AI17" i="32"/>
  <c r="AJ17" i="32"/>
  <c r="AK17" i="32"/>
  <c r="AL17" i="32"/>
  <c r="AM17" i="32"/>
  <c r="AN17" i="32"/>
  <c r="AO17" i="32"/>
  <c r="AP17" i="32"/>
  <c r="AQ17" i="32"/>
  <c r="AR17" i="32"/>
  <c r="AS17" i="32"/>
  <c r="AT17" i="32"/>
  <c r="C18" i="32"/>
  <c r="D18" i="32"/>
  <c r="E18" i="32"/>
  <c r="F18" i="32"/>
  <c r="G18" i="32"/>
  <c r="H18" i="32"/>
  <c r="I18" i="32"/>
  <c r="J18" i="32"/>
  <c r="K18" i="32"/>
  <c r="L18" i="32"/>
  <c r="M18" i="32"/>
  <c r="N18" i="32"/>
  <c r="O18" i="32"/>
  <c r="P18" i="32"/>
  <c r="Q18" i="32"/>
  <c r="R18" i="32"/>
  <c r="S18" i="32"/>
  <c r="T18" i="32"/>
  <c r="U18" i="32"/>
  <c r="V18" i="32"/>
  <c r="W18" i="32"/>
  <c r="X18" i="32"/>
  <c r="Y18" i="32"/>
  <c r="Z18" i="32"/>
  <c r="AA18" i="32"/>
  <c r="AB18" i="32"/>
  <c r="AC18" i="32"/>
  <c r="AD18" i="32"/>
  <c r="AE18" i="32"/>
  <c r="AF18" i="32"/>
  <c r="AG18" i="32"/>
  <c r="AH18" i="32"/>
  <c r="AI18" i="32"/>
  <c r="AJ18" i="32"/>
  <c r="AK18" i="32"/>
  <c r="AL18" i="32"/>
  <c r="AM18" i="32"/>
  <c r="AN18" i="32"/>
  <c r="AO18" i="32"/>
  <c r="AP18" i="32"/>
  <c r="AQ18" i="32"/>
  <c r="AR18" i="32"/>
  <c r="AS18" i="32"/>
  <c r="AT18" i="32"/>
  <c r="AU18" i="32"/>
  <c r="C19" i="32"/>
  <c r="D19" i="32"/>
  <c r="E19" i="32"/>
  <c r="F19" i="32"/>
  <c r="G19" i="32"/>
  <c r="H19" i="32"/>
  <c r="I19" i="32"/>
  <c r="J19" i="32"/>
  <c r="K19" i="32"/>
  <c r="L19" i="32"/>
  <c r="M19" i="32"/>
  <c r="N19" i="32"/>
  <c r="O19" i="32"/>
  <c r="P19" i="32"/>
  <c r="Q19" i="32"/>
  <c r="R19" i="32"/>
  <c r="S19" i="32"/>
  <c r="T19" i="32"/>
  <c r="U19" i="32"/>
  <c r="V19" i="32"/>
  <c r="W19" i="32"/>
  <c r="X19" i="32"/>
  <c r="Y19" i="32"/>
  <c r="Z19" i="32"/>
  <c r="AA19" i="32"/>
  <c r="AB19" i="32"/>
  <c r="AC19" i="32"/>
  <c r="AD19" i="32"/>
  <c r="AE19" i="32"/>
  <c r="AF19" i="32"/>
  <c r="AG19" i="32"/>
  <c r="AH19" i="32"/>
  <c r="AI19" i="32"/>
  <c r="AJ19" i="32"/>
  <c r="AK19" i="32"/>
  <c r="AL19" i="32"/>
  <c r="AM19" i="32"/>
  <c r="AN19" i="32"/>
  <c r="AO19" i="32"/>
  <c r="AP19" i="32"/>
  <c r="AQ19" i="32"/>
  <c r="AR19" i="32"/>
  <c r="AS19" i="32"/>
  <c r="AT19" i="32"/>
  <c r="AU19" i="32"/>
  <c r="C20" i="32"/>
  <c r="D20" i="32"/>
  <c r="E20" i="32"/>
  <c r="F20" i="32"/>
  <c r="G20" i="32"/>
  <c r="H20" i="32"/>
  <c r="I20" i="32"/>
  <c r="J20" i="32"/>
  <c r="K20" i="32"/>
  <c r="L20" i="32"/>
  <c r="M20" i="32"/>
  <c r="N20" i="32"/>
  <c r="O20" i="32"/>
  <c r="P20" i="32"/>
  <c r="R20" i="32"/>
  <c r="S20" i="32"/>
  <c r="T20" i="32"/>
  <c r="U20" i="32"/>
  <c r="V20" i="32"/>
  <c r="W20" i="32"/>
  <c r="X20" i="32"/>
  <c r="Y20" i="32"/>
  <c r="Z20" i="32"/>
  <c r="AB20" i="32"/>
  <c r="AC20" i="32"/>
  <c r="AD20" i="32"/>
  <c r="AE20" i="32"/>
  <c r="AF20" i="32"/>
  <c r="AG20" i="32"/>
  <c r="AH20" i="32"/>
  <c r="AI20" i="32"/>
  <c r="AJ20" i="32"/>
  <c r="AK20" i="32"/>
  <c r="AL20" i="32"/>
  <c r="AM20" i="32"/>
  <c r="AN20" i="32"/>
  <c r="AO20" i="32"/>
  <c r="AP20" i="32"/>
  <c r="AQ20" i="32"/>
  <c r="AR20" i="32"/>
  <c r="AS20" i="32"/>
  <c r="AT20" i="32"/>
  <c r="A23" i="32"/>
  <c r="H29" i="31"/>
  <c r="T2" i="14"/>
  <c r="X2" i="25"/>
  <c r="T2" i="25"/>
  <c r="L111" i="16" l="1"/>
  <c r="L59" i="16"/>
  <c r="L46" i="16"/>
  <c r="AJ7" i="32"/>
  <c r="AO4" i="32"/>
  <c r="AI7" i="32"/>
  <c r="AN4" i="32"/>
  <c r="AB4" i="32"/>
  <c r="AT7" i="32"/>
  <c r="AH7" i="32"/>
  <c r="V7" i="32"/>
  <c r="AM4" i="32"/>
  <c r="Z4" i="32"/>
  <c r="AS7" i="32"/>
  <c r="AG7" i="32"/>
  <c r="AL4" i="32"/>
  <c r="AR7" i="32"/>
  <c r="AF7" i="32"/>
  <c r="T7" i="32"/>
  <c r="AK4" i="32"/>
  <c r="Y4" i="32"/>
  <c r="X4" i="32"/>
  <c r="S7" i="32"/>
  <c r="X7" i="32"/>
  <c r="AC4" i="32"/>
  <c r="W7" i="32"/>
  <c r="AQ7" i="32"/>
  <c r="AE7" i="32"/>
  <c r="AJ4" i="32"/>
  <c r="AP7" i="32"/>
  <c r="AD7" i="32"/>
  <c r="AI4" i="32"/>
  <c r="W4" i="32"/>
  <c r="V4" i="32"/>
  <c r="Q4" i="32"/>
  <c r="AX3" i="32" s="1"/>
  <c r="Q10" i="32"/>
  <c r="U7" i="32"/>
  <c r="R7" i="32"/>
  <c r="AO7" i="32"/>
  <c r="AC7" i="32"/>
  <c r="AT4" i="32"/>
  <c r="AH4" i="32"/>
  <c r="AN7" i="32"/>
  <c r="AB7" i="32"/>
  <c r="AS4" i="32"/>
  <c r="AG4" i="32"/>
  <c r="U4" i="32"/>
  <c r="AM7" i="32"/>
  <c r="AR4" i="32"/>
  <c r="AF4" i="32"/>
  <c r="T4" i="32"/>
  <c r="AL7" i="32"/>
  <c r="Z7" i="32"/>
  <c r="AQ4" i="32"/>
  <c r="AE4" i="32"/>
  <c r="S4" i="32"/>
  <c r="AK7" i="32"/>
  <c r="Y7" i="32"/>
  <c r="AP4" i="32"/>
  <c r="AD4" i="32"/>
  <c r="R4" i="32"/>
  <c r="AP31" i="32"/>
  <c r="AD31" i="32"/>
  <c r="R31" i="32"/>
  <c r="F31" i="32"/>
  <c r="AM30" i="32"/>
  <c r="AA30" i="32"/>
  <c r="O30" i="32"/>
  <c r="C30" i="32"/>
  <c r="AS28" i="32"/>
  <c r="AG28" i="32"/>
  <c r="AP27" i="32"/>
  <c r="AD27" i="32"/>
  <c r="R27" i="32"/>
  <c r="F27" i="32"/>
  <c r="L25" i="32"/>
  <c r="AS25" i="32"/>
  <c r="AG25" i="32"/>
  <c r="U25" i="32"/>
  <c r="I25" i="32"/>
  <c r="AL31" i="32"/>
  <c r="Z31" i="32"/>
  <c r="Z10" i="32"/>
  <c r="D30" i="32"/>
  <c r="M31" i="32"/>
  <c r="V30" i="32"/>
  <c r="AK27" i="32"/>
  <c r="Y10" i="32"/>
  <c r="AE25" i="32"/>
  <c r="AD25" i="32"/>
  <c r="AT28" i="32"/>
  <c r="AH21" i="32"/>
  <c r="AG31" i="32"/>
  <c r="U31" i="32"/>
  <c r="AP30" i="32"/>
  <c r="AD30" i="32"/>
  <c r="R30" i="32"/>
  <c r="F30" i="32"/>
  <c r="X28" i="32"/>
  <c r="AS27" i="32"/>
  <c r="AG27" i="32"/>
  <c r="I27" i="32"/>
  <c r="AA25" i="32"/>
  <c r="O25" i="32"/>
  <c r="C25" i="32"/>
  <c r="AR31" i="32"/>
  <c r="AF31" i="32"/>
  <c r="T31" i="32"/>
  <c r="H31" i="32"/>
  <c r="AO30" i="32"/>
  <c r="AC30" i="32"/>
  <c r="Q30" i="32"/>
  <c r="AU28" i="32"/>
  <c r="AI28" i="32"/>
  <c r="W28" i="32"/>
  <c r="K28" i="32"/>
  <c r="AR27" i="32"/>
  <c r="AF27" i="32"/>
  <c r="AL25" i="32"/>
  <c r="Z25" i="32"/>
  <c r="N25" i="32"/>
  <c r="AS10" i="32"/>
  <c r="AG10" i="32"/>
  <c r="U10" i="32"/>
  <c r="I10" i="32"/>
  <c r="S31" i="32"/>
  <c r="AN30" i="32"/>
  <c r="AH28" i="32"/>
  <c r="V28" i="32"/>
  <c r="J28" i="32"/>
  <c r="AE27" i="32"/>
  <c r="AS31" i="32"/>
  <c r="I31" i="32"/>
  <c r="AM25" i="32"/>
  <c r="N31" i="32"/>
  <c r="AU30" i="32"/>
  <c r="AI30" i="32"/>
  <c r="W30" i="32"/>
  <c r="K30" i="32"/>
  <c r="AO28" i="32"/>
  <c r="N10" i="32"/>
  <c r="S21" i="32"/>
  <c r="G21" i="32"/>
  <c r="H21" i="32"/>
  <c r="T21" i="32"/>
  <c r="AC28" i="32"/>
  <c r="E28" i="32"/>
  <c r="AL27" i="32"/>
  <c r="Z27" i="32"/>
  <c r="AR25" i="32"/>
  <c r="AF25" i="32"/>
  <c r="T25" i="32"/>
  <c r="H25" i="32"/>
  <c r="S27" i="32"/>
  <c r="T27" i="32"/>
  <c r="N27" i="32"/>
  <c r="O28" i="32"/>
  <c r="AJ27" i="32"/>
  <c r="AP25" i="32"/>
  <c r="AG21" i="32"/>
  <c r="AE21" i="32"/>
  <c r="AK31" i="32"/>
  <c r="AT30" i="32"/>
  <c r="AB28" i="32"/>
  <c r="P28" i="32"/>
  <c r="G25" i="32"/>
  <c r="AS21" i="32"/>
  <c r="I21" i="32"/>
  <c r="H27" i="32"/>
  <c r="AJ28" i="32"/>
  <c r="U30" i="32"/>
  <c r="AA28" i="32"/>
  <c r="AJ21" i="32"/>
  <c r="AF21" i="32"/>
  <c r="AO25" i="32"/>
  <c r="Q25" i="32"/>
  <c r="E25" i="32"/>
  <c r="AU2" i="32"/>
  <c r="AI25" i="32"/>
  <c r="K2" i="32"/>
  <c r="K54" i="32" s="1"/>
  <c r="V25" i="32"/>
  <c r="J25" i="32"/>
  <c r="L30" i="32"/>
  <c r="AD28" i="32"/>
  <c r="O10" i="32"/>
  <c r="X30" i="32"/>
  <c r="AM27" i="32"/>
  <c r="AM10" i="32"/>
  <c r="AA27" i="32"/>
  <c r="AA10" i="32"/>
  <c r="C27" i="32"/>
  <c r="C10" i="32"/>
  <c r="C28" i="32"/>
  <c r="L21" i="32"/>
  <c r="AP13" i="32"/>
  <c r="F13" i="32"/>
  <c r="F25" i="32"/>
  <c r="AJ31" i="32"/>
  <c r="O27" i="32"/>
  <c r="AT21" i="32"/>
  <c r="V21" i="32"/>
  <c r="AL10" i="32"/>
  <c r="AO10" i="32"/>
  <c r="AC10" i="32"/>
  <c r="E10" i="32"/>
  <c r="AY3" i="32"/>
  <c r="AK25" i="32"/>
  <c r="Y25" i="32"/>
  <c r="M2" i="32"/>
  <c r="M55" i="32" s="1"/>
  <c r="M25" i="32"/>
  <c r="L27" i="32"/>
  <c r="AK10" i="32"/>
  <c r="M10" i="32"/>
  <c r="AN10" i="32"/>
  <c r="AB10" i="32"/>
  <c r="P10" i="32"/>
  <c r="D10" i="32"/>
  <c r="AJ25" i="32"/>
  <c r="X25" i="32"/>
  <c r="L2" i="32"/>
  <c r="L53" i="32" s="1"/>
  <c r="AM31" i="32"/>
  <c r="R28" i="32"/>
  <c r="AM28" i="32"/>
  <c r="AG30" i="32"/>
  <c r="O31" i="32"/>
  <c r="C31" i="32"/>
  <c r="AJ30" i="32"/>
  <c r="AP28" i="32"/>
  <c r="AN28" i="32"/>
  <c r="D28" i="32"/>
  <c r="Y27" i="32"/>
  <c r="M27" i="32"/>
  <c r="AQ13" i="32"/>
  <c r="AQ25" i="32"/>
  <c r="AE13" i="32"/>
  <c r="S13" i="32"/>
  <c r="S25" i="32"/>
  <c r="G13" i="32"/>
  <c r="F28" i="32"/>
  <c r="AA31" i="32"/>
  <c r="J30" i="32"/>
  <c r="J21" i="32"/>
  <c r="X31" i="32"/>
  <c r="L31" i="32"/>
  <c r="X21" i="32"/>
  <c r="X27" i="32"/>
  <c r="AD13" i="32"/>
  <c r="U21" i="32"/>
  <c r="R13" i="32"/>
  <c r="AZ14" i="32"/>
  <c r="AU21" i="32"/>
  <c r="AI21" i="32"/>
  <c r="W21" i="32"/>
  <c r="K21" i="32"/>
  <c r="AC13" i="32"/>
  <c r="AU31" i="32"/>
  <c r="AR21" i="32"/>
  <c r="Q31" i="32"/>
  <c r="Z21" i="32"/>
  <c r="AR28" i="32"/>
  <c r="T28" i="32"/>
  <c r="AC21" i="32"/>
  <c r="E21" i="32"/>
  <c r="K13" i="32"/>
  <c r="AH31" i="32"/>
  <c r="AQ30" i="32"/>
  <c r="Y28" i="32"/>
  <c r="AT27" i="32"/>
  <c r="V27" i="32"/>
  <c r="I30" i="32"/>
  <c r="AY14" i="32"/>
  <c r="AS13" i="32"/>
  <c r="AG13" i="32"/>
  <c r="U13" i="32"/>
  <c r="I13" i="32"/>
  <c r="AS30" i="32"/>
  <c r="E30" i="32"/>
  <c r="Q28" i="32"/>
  <c r="AQ27" i="32"/>
  <c r="AZ13" i="32"/>
  <c r="AR13" i="32"/>
  <c r="AF13" i="32"/>
  <c r="T13" i="32"/>
  <c r="H13" i="32"/>
  <c r="P30" i="32"/>
  <c r="AE31" i="32"/>
  <c r="I28" i="32"/>
  <c r="AZ2" i="32"/>
  <c r="AX13" i="32"/>
  <c r="AL13" i="32"/>
  <c r="Z13" i="32"/>
  <c r="N13" i="32"/>
  <c r="Y31" i="32"/>
  <c r="AH30" i="32"/>
  <c r="P13" i="32"/>
  <c r="AK13" i="32"/>
  <c r="Y13" i="32"/>
  <c r="M13" i="32"/>
  <c r="AM21" i="32"/>
  <c r="O21" i="32"/>
  <c r="AP21" i="32"/>
  <c r="R21" i="32"/>
  <c r="F21" i="32"/>
  <c r="AJ13" i="32"/>
  <c r="X13" i="32"/>
  <c r="W31" i="32"/>
  <c r="K31" i="32"/>
  <c r="AR30" i="32"/>
  <c r="AF30" i="32"/>
  <c r="T30" i="32"/>
  <c r="H30" i="32"/>
  <c r="AX2" i="32"/>
  <c r="AL28" i="32"/>
  <c r="Z28" i="32"/>
  <c r="N28" i="32"/>
  <c r="AZ3" i="32"/>
  <c r="AI27" i="32"/>
  <c r="W27" i="32"/>
  <c r="K27" i="32"/>
  <c r="AA21" i="32"/>
  <c r="C21" i="32"/>
  <c r="AD21" i="32"/>
  <c r="L13" i="32"/>
  <c r="AO31" i="32"/>
  <c r="AC31" i="32"/>
  <c r="AL21" i="32"/>
  <c r="N21" i="32"/>
  <c r="AF28" i="32"/>
  <c r="AO21" i="32"/>
  <c r="AX14" i="32"/>
  <c r="AI13" i="32"/>
  <c r="V31" i="32"/>
  <c r="AE30" i="32"/>
  <c r="G30" i="32"/>
  <c r="AK28" i="32"/>
  <c r="AH27" i="32"/>
  <c r="J27" i="32"/>
  <c r="R25" i="32"/>
  <c r="AI31" i="32"/>
  <c r="E31" i="32"/>
  <c r="H28" i="32"/>
  <c r="AU13" i="32"/>
  <c r="W13" i="32"/>
  <c r="AT31" i="32"/>
  <c r="J31" i="32"/>
  <c r="S30" i="32"/>
  <c r="M28" i="32"/>
  <c r="AB30" i="32"/>
  <c r="U28" i="32"/>
  <c r="G27" i="32"/>
  <c r="AQ21" i="32"/>
  <c r="AN31" i="32"/>
  <c r="AB31" i="32"/>
  <c r="P31" i="32"/>
  <c r="D31" i="32"/>
  <c r="AK21" i="32"/>
  <c r="Y21" i="32"/>
  <c r="M21" i="32"/>
  <c r="AQ28" i="32"/>
  <c r="AE28" i="32"/>
  <c r="S28" i="32"/>
  <c r="G28" i="32"/>
  <c r="AN21" i="32"/>
  <c r="AB21" i="32"/>
  <c r="P21" i="32"/>
  <c r="D21" i="32"/>
  <c r="AT13" i="32"/>
  <c r="AH13" i="32"/>
  <c r="V13" i="32"/>
  <c r="J13" i="32"/>
  <c r="AP10" i="32"/>
  <c r="AD10" i="32"/>
  <c r="R10" i="32"/>
  <c r="F10" i="32"/>
  <c r="AY2" i="32"/>
  <c r="L28" i="32"/>
  <c r="U27" i="32"/>
  <c r="AN25" i="32"/>
  <c r="AB25" i="32"/>
  <c r="P25" i="32"/>
  <c r="D25" i="32"/>
  <c r="AA2" i="32"/>
  <c r="O2" i="32"/>
  <c r="O44" i="32" s="1"/>
  <c r="C2" i="32"/>
  <c r="C40" i="32" s="1"/>
  <c r="AQ31" i="32"/>
  <c r="G31" i="32"/>
  <c r="AM13" i="32"/>
  <c r="AA13" i="32"/>
  <c r="O13" i="32"/>
  <c r="C13" i="32"/>
  <c r="N2" i="32"/>
  <c r="I2" i="32"/>
  <c r="I42" i="32" s="1"/>
  <c r="AJ10" i="32"/>
  <c r="X10" i="32"/>
  <c r="L10" i="32"/>
  <c r="H2" i="32"/>
  <c r="H50" i="32" s="1"/>
  <c r="G2" i="32"/>
  <c r="G41" i="32" s="1"/>
  <c r="F2" i="32"/>
  <c r="F41" i="32" s="1"/>
  <c r="E2" i="32"/>
  <c r="E54" i="32" s="1"/>
  <c r="P2" i="32"/>
  <c r="P55" i="32" s="1"/>
  <c r="D2" i="32"/>
  <c r="D42" i="32" s="1"/>
  <c r="AO13" i="32"/>
  <c r="J2" i="32"/>
  <c r="J40" i="32" s="1"/>
  <c r="AL30" i="32"/>
  <c r="Z30" i="32"/>
  <c r="N30" i="32"/>
  <c r="AO27" i="32"/>
  <c r="AC27" i="32"/>
  <c r="Q27" i="32"/>
  <c r="E27" i="32"/>
  <c r="AU25" i="32"/>
  <c r="W25" i="32"/>
  <c r="K25" i="32"/>
  <c r="AB13" i="32"/>
  <c r="D13" i="32"/>
  <c r="AK30" i="32"/>
  <c r="Y30" i="32"/>
  <c r="M30" i="32"/>
  <c r="AN27" i="32"/>
  <c r="AB27" i="32"/>
  <c r="P27" i="32"/>
  <c r="D27" i="32"/>
  <c r="AT25" i="32"/>
  <c r="AH25" i="32"/>
  <c r="Q21" i="32"/>
  <c r="AU10" i="32"/>
  <c r="AZ4" i="32" s="1"/>
  <c r="AI10" i="32"/>
  <c r="W10" i="32"/>
  <c r="K10" i="32"/>
  <c r="Q13" i="32"/>
  <c r="AN13" i="32"/>
  <c r="AY13" i="32"/>
  <c r="AT10" i="32"/>
  <c r="AH10" i="32"/>
  <c r="V10" i="32"/>
  <c r="J10" i="32"/>
  <c r="E13" i="32"/>
  <c r="AR10" i="32"/>
  <c r="AF10" i="32"/>
  <c r="T10" i="32"/>
  <c r="H10" i="32"/>
  <c r="AQ10" i="32"/>
  <c r="AE10" i="32"/>
  <c r="S10" i="32"/>
  <c r="G10" i="32"/>
  <c r="AU27" i="32"/>
  <c r="AC25" i="32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AN2" i="32" l="1"/>
  <c r="AN40" i="32" s="1"/>
  <c r="AB2" i="32"/>
  <c r="AB50" i="32" s="1"/>
  <c r="AZ7" i="32"/>
  <c r="AZ8" i="32"/>
  <c r="AE2" i="32"/>
  <c r="AE40" i="32" s="1"/>
  <c r="AL2" i="32"/>
  <c r="AL39" i="32" s="1"/>
  <c r="AT2" i="32"/>
  <c r="AT50" i="32" s="1"/>
  <c r="AM2" i="32"/>
  <c r="AM50" i="32" s="1"/>
  <c r="T2" i="32"/>
  <c r="T50" i="32" s="1"/>
  <c r="AO2" i="32"/>
  <c r="AO43" i="32" s="1"/>
  <c r="AJ2" i="32"/>
  <c r="AJ51" i="32" s="1"/>
  <c r="AK2" i="32"/>
  <c r="AK41" i="32" s="1"/>
  <c r="AS2" i="32"/>
  <c r="AS54" i="32" s="1"/>
  <c r="W2" i="32"/>
  <c r="W41" i="32" s="1"/>
  <c r="AH2" i="32"/>
  <c r="AH43" i="32" s="1"/>
  <c r="Z2" i="32"/>
  <c r="Z43" i="32" s="1"/>
  <c r="AI2" i="32"/>
  <c r="AI24" i="32" s="1"/>
  <c r="AF2" i="32"/>
  <c r="AF54" i="32" s="1"/>
  <c r="AR2" i="32"/>
  <c r="AR53" i="32" s="1"/>
  <c r="AC2" i="32"/>
  <c r="AC52" i="32" s="1"/>
  <c r="Y2" i="32"/>
  <c r="Y43" i="32" s="1"/>
  <c r="AG2" i="32"/>
  <c r="AG50" i="32" s="1"/>
  <c r="V2" i="32"/>
  <c r="V54" i="32" s="1"/>
  <c r="X2" i="32"/>
  <c r="X39" i="32" s="1"/>
  <c r="S2" i="32"/>
  <c r="S41" i="32" s="1"/>
  <c r="AQ2" i="32"/>
  <c r="AQ40" i="32" s="1"/>
  <c r="AP2" i="32"/>
  <c r="AP53" i="32" s="1"/>
  <c r="AD2" i="32"/>
  <c r="AD41" i="32" s="1"/>
  <c r="AX4" i="32"/>
  <c r="U2" i="32"/>
  <c r="U50" i="32" s="1"/>
  <c r="R2" i="32"/>
  <c r="R41" i="32" s="1"/>
  <c r="Q2" i="32"/>
  <c r="AX8" i="32" s="1"/>
  <c r="R26" i="32"/>
  <c r="AA42" i="32"/>
  <c r="AY9" i="32"/>
  <c r="AY8" i="32"/>
  <c r="AU44" i="32"/>
  <c r="AZ9" i="32"/>
  <c r="AY7" i="32"/>
  <c r="F26" i="32"/>
  <c r="AD26" i="32"/>
  <c r="C29" i="32"/>
  <c r="AG26" i="32"/>
  <c r="AS26" i="32"/>
  <c r="C32" i="32"/>
  <c r="K32" i="32"/>
  <c r="K29" i="32"/>
  <c r="O29" i="32"/>
  <c r="W26" i="32"/>
  <c r="AM29" i="32"/>
  <c r="F29" i="32"/>
  <c r="R29" i="32"/>
  <c r="AD29" i="32"/>
  <c r="AP32" i="32"/>
  <c r="AM32" i="32"/>
  <c r="AA29" i="32"/>
  <c r="AP26" i="32"/>
  <c r="F32" i="32"/>
  <c r="V29" i="32"/>
  <c r="H29" i="32"/>
  <c r="AK26" i="32"/>
  <c r="AU24" i="32"/>
  <c r="L41" i="32"/>
  <c r="K39" i="32"/>
  <c r="J26" i="32"/>
  <c r="AC29" i="32"/>
  <c r="AO29" i="32"/>
  <c r="R32" i="32"/>
  <c r="K45" i="32"/>
  <c r="AI29" i="32"/>
  <c r="AH26" i="32"/>
  <c r="AL26" i="32"/>
  <c r="Q29" i="32"/>
  <c r="D29" i="32"/>
  <c r="AN29" i="32"/>
  <c r="AT26" i="32"/>
  <c r="K42" i="32"/>
  <c r="E24" i="32"/>
  <c r="U29" i="32"/>
  <c r="K40" i="32"/>
  <c r="AF26" i="32"/>
  <c r="V26" i="32"/>
  <c r="AR32" i="32"/>
  <c r="N24" i="32"/>
  <c r="T29" i="32"/>
  <c r="AD32" i="32"/>
  <c r="L55" i="32"/>
  <c r="H26" i="32"/>
  <c r="AE26" i="32"/>
  <c r="AP29" i="32"/>
  <c r="Z26" i="32"/>
  <c r="AR26" i="32"/>
  <c r="S29" i="32"/>
  <c r="AJ26" i="32"/>
  <c r="H45" i="32"/>
  <c r="AF29" i="32"/>
  <c r="O26" i="32"/>
  <c r="G32" i="32"/>
  <c r="N26" i="32"/>
  <c r="W29" i="32"/>
  <c r="I26" i="32"/>
  <c r="AU29" i="32"/>
  <c r="AI32" i="32"/>
  <c r="AH29" i="32"/>
  <c r="S26" i="32"/>
  <c r="D51" i="32"/>
  <c r="P51" i="32"/>
  <c r="AT29" i="32"/>
  <c r="AH32" i="32"/>
  <c r="P29" i="32"/>
  <c r="T26" i="32"/>
  <c r="AJ29" i="32"/>
  <c r="AQ32" i="32"/>
  <c r="AF32" i="32"/>
  <c r="D56" i="32"/>
  <c r="AQ26" i="32"/>
  <c r="E50" i="32"/>
  <c r="K41" i="32"/>
  <c r="K55" i="32"/>
  <c r="M26" i="32"/>
  <c r="J56" i="32"/>
  <c r="J32" i="32"/>
  <c r="AA26" i="32"/>
  <c r="P50" i="32"/>
  <c r="K52" i="32"/>
  <c r="K43" i="32"/>
  <c r="K65" i="32" s="1"/>
  <c r="K50" i="32"/>
  <c r="G29" i="32"/>
  <c r="L24" i="32"/>
  <c r="K24" i="32"/>
  <c r="L43" i="32"/>
  <c r="K53" i="32"/>
  <c r="K56" i="32"/>
  <c r="K44" i="32"/>
  <c r="G26" i="32"/>
  <c r="AE29" i="32"/>
  <c r="K51" i="32"/>
  <c r="F55" i="32"/>
  <c r="P24" i="32"/>
  <c r="AU41" i="32"/>
  <c r="AU54" i="32"/>
  <c r="J42" i="32"/>
  <c r="AU42" i="32"/>
  <c r="AU55" i="32"/>
  <c r="AX55" i="32" s="1"/>
  <c r="W32" i="32"/>
  <c r="I44" i="32"/>
  <c r="M54" i="32"/>
  <c r="AU40" i="32"/>
  <c r="E44" i="32"/>
  <c r="M56" i="32"/>
  <c r="M53" i="32"/>
  <c r="E29" i="32"/>
  <c r="AU50" i="32"/>
  <c r="C54" i="32"/>
  <c r="M51" i="32"/>
  <c r="AU39" i="32"/>
  <c r="AI26" i="32"/>
  <c r="AU52" i="32"/>
  <c r="D52" i="32"/>
  <c r="AU43" i="32"/>
  <c r="D45" i="32"/>
  <c r="P44" i="32"/>
  <c r="C50" i="32"/>
  <c r="AU51" i="32"/>
  <c r="AE32" i="32"/>
  <c r="AB29" i="32"/>
  <c r="AU53" i="32"/>
  <c r="I43" i="32"/>
  <c r="AJ32" i="32"/>
  <c r="P40" i="32"/>
  <c r="C52" i="32"/>
  <c r="K26" i="32"/>
  <c r="C24" i="32"/>
  <c r="V32" i="32"/>
  <c r="AR29" i="32"/>
  <c r="C42" i="32"/>
  <c r="M41" i="32"/>
  <c r="E55" i="32"/>
  <c r="P42" i="32"/>
  <c r="F51" i="32"/>
  <c r="E51" i="32"/>
  <c r="F56" i="32"/>
  <c r="O32" i="32"/>
  <c r="E56" i="32"/>
  <c r="L29" i="32"/>
  <c r="E53" i="32"/>
  <c r="F53" i="32"/>
  <c r="M50" i="32"/>
  <c r="D50" i="32"/>
  <c r="AA32" i="32"/>
  <c r="AY4" i="32"/>
  <c r="AA45" i="32"/>
  <c r="H41" i="32"/>
  <c r="H39" i="32"/>
  <c r="H61" i="32" s="1"/>
  <c r="N41" i="32"/>
  <c r="D54" i="32"/>
  <c r="H42" i="32"/>
  <c r="D40" i="32"/>
  <c r="L26" i="32"/>
  <c r="L32" i="32"/>
  <c r="N39" i="32"/>
  <c r="D53" i="32"/>
  <c r="AA40" i="32"/>
  <c r="AU45" i="32"/>
  <c r="S32" i="32"/>
  <c r="P43" i="32"/>
  <c r="P39" i="32"/>
  <c r="P41" i="32"/>
  <c r="I40" i="32"/>
  <c r="P56" i="32"/>
  <c r="P54" i="32"/>
  <c r="E39" i="32"/>
  <c r="N42" i="32"/>
  <c r="J29" i="32"/>
  <c r="P52" i="32"/>
  <c r="AA41" i="32"/>
  <c r="N44" i="32"/>
  <c r="P45" i="32"/>
  <c r="P53" i="32"/>
  <c r="J50" i="32"/>
  <c r="AX15" i="32"/>
  <c r="AT32" i="32"/>
  <c r="U26" i="32"/>
  <c r="U32" i="32"/>
  <c r="J53" i="32"/>
  <c r="H52" i="32"/>
  <c r="N54" i="32"/>
  <c r="I52" i="32"/>
  <c r="L52" i="32"/>
  <c r="L42" i="32"/>
  <c r="L64" i="32" s="1"/>
  <c r="L54" i="32"/>
  <c r="L50" i="32"/>
  <c r="L48" i="32" s="1"/>
  <c r="L40" i="32"/>
  <c r="L44" i="32"/>
  <c r="AM26" i="32"/>
  <c r="O42" i="32"/>
  <c r="G43" i="32"/>
  <c r="J45" i="32"/>
  <c r="H32" i="32"/>
  <c r="L45" i="32"/>
  <c r="F43" i="32"/>
  <c r="N56" i="32"/>
  <c r="C56" i="32"/>
  <c r="I45" i="32"/>
  <c r="G51" i="32"/>
  <c r="H51" i="32"/>
  <c r="X26" i="32"/>
  <c r="X32" i="32"/>
  <c r="F42" i="32"/>
  <c r="M45" i="32"/>
  <c r="I54" i="32"/>
  <c r="E45" i="32"/>
  <c r="G50" i="32"/>
  <c r="AA53" i="32"/>
  <c r="AA43" i="32"/>
  <c r="AA39" i="32"/>
  <c r="AA51" i="32"/>
  <c r="AA55" i="32"/>
  <c r="AW55" i="32" s="1"/>
  <c r="AA52" i="32"/>
  <c r="AA24" i="32"/>
  <c r="D43" i="32"/>
  <c r="D39" i="32"/>
  <c r="D41" i="32"/>
  <c r="D55" i="32"/>
  <c r="D24" i="32"/>
  <c r="F24" i="32"/>
  <c r="E52" i="32"/>
  <c r="E41" i="32"/>
  <c r="F45" i="32"/>
  <c r="AA54" i="32"/>
  <c r="G55" i="32"/>
  <c r="E43" i="32"/>
  <c r="E65" i="32" s="1"/>
  <c r="H54" i="32"/>
  <c r="G53" i="32"/>
  <c r="M43" i="32"/>
  <c r="E40" i="32"/>
  <c r="G54" i="32"/>
  <c r="X29" i="32"/>
  <c r="J24" i="32"/>
  <c r="J41" i="32"/>
  <c r="J43" i="32"/>
  <c r="J39" i="32"/>
  <c r="G24" i="32"/>
  <c r="T32" i="32"/>
  <c r="AY15" i="32"/>
  <c r="AA56" i="32"/>
  <c r="J52" i="32"/>
  <c r="H40" i="32"/>
  <c r="G56" i="32"/>
  <c r="C44" i="32"/>
  <c r="J51" i="32"/>
  <c r="J62" i="32" s="1"/>
  <c r="H56" i="32"/>
  <c r="J54" i="32"/>
  <c r="G45" i="32"/>
  <c r="I24" i="32"/>
  <c r="I55" i="32"/>
  <c r="I51" i="32"/>
  <c r="I41" i="32"/>
  <c r="I39" i="32"/>
  <c r="I53" i="32"/>
  <c r="I64" i="32" s="1"/>
  <c r="I50" i="32"/>
  <c r="G52" i="32"/>
  <c r="G63" i="32" s="1"/>
  <c r="E42" i="32"/>
  <c r="I29" i="32"/>
  <c r="I32" i="32"/>
  <c r="AQ29" i="32"/>
  <c r="O52" i="32"/>
  <c r="M24" i="32"/>
  <c r="M42" i="32"/>
  <c r="M40" i="32"/>
  <c r="M44" i="32"/>
  <c r="M66" i="32" s="1"/>
  <c r="J55" i="32"/>
  <c r="AA44" i="32"/>
  <c r="O45" i="32"/>
  <c r="N55" i="32"/>
  <c r="N51" i="32"/>
  <c r="N40" i="32"/>
  <c r="F54" i="32"/>
  <c r="F50" i="32"/>
  <c r="F44" i="32"/>
  <c r="F40" i="32"/>
  <c r="F52" i="32"/>
  <c r="F63" i="32" s="1"/>
  <c r="H43" i="32"/>
  <c r="J44" i="32"/>
  <c r="O54" i="32"/>
  <c r="H55" i="32"/>
  <c r="G39" i="32"/>
  <c r="AZ15" i="32"/>
  <c r="AU56" i="32"/>
  <c r="I56" i="32"/>
  <c r="H53" i="32"/>
  <c r="H48" i="32" s="1"/>
  <c r="N45" i="32"/>
  <c r="N43" i="32"/>
  <c r="L39" i="32"/>
  <c r="O53" i="32"/>
  <c r="O43" i="32"/>
  <c r="O39" i="32"/>
  <c r="O55" i="32"/>
  <c r="O66" i="32" s="1"/>
  <c r="O51" i="32"/>
  <c r="O41" i="32"/>
  <c r="O50" i="32"/>
  <c r="O56" i="32"/>
  <c r="H44" i="32"/>
  <c r="M39" i="32"/>
  <c r="D44" i="32"/>
  <c r="L51" i="32"/>
  <c r="C45" i="32"/>
  <c r="G40" i="32"/>
  <c r="G42" i="32"/>
  <c r="G44" i="32"/>
  <c r="AS29" i="32"/>
  <c r="AS32" i="32"/>
  <c r="N50" i="32"/>
  <c r="N52" i="32"/>
  <c r="AG29" i="32"/>
  <c r="AG32" i="32"/>
  <c r="O24" i="32"/>
  <c r="H24" i="32"/>
  <c r="N53" i="32"/>
  <c r="O40" i="32"/>
  <c r="C53" i="32"/>
  <c r="C43" i="32"/>
  <c r="C39" i="32"/>
  <c r="C55" i="32"/>
  <c r="C51" i="32"/>
  <c r="C62" i="32" s="1"/>
  <c r="C41" i="32"/>
  <c r="F39" i="32"/>
  <c r="AA50" i="32"/>
  <c r="Y26" i="32"/>
  <c r="M52" i="32"/>
  <c r="L56" i="32"/>
  <c r="C26" i="32"/>
  <c r="AO32" i="32"/>
  <c r="AO26" i="32"/>
  <c r="N32" i="32"/>
  <c r="N29" i="32"/>
  <c r="AL32" i="32"/>
  <c r="AL29" i="32"/>
  <c r="D26" i="32"/>
  <c r="D32" i="32"/>
  <c r="P26" i="32"/>
  <c r="P32" i="32"/>
  <c r="AB32" i="32"/>
  <c r="AB26" i="32"/>
  <c r="AN32" i="32"/>
  <c r="AN26" i="32"/>
  <c r="M32" i="32"/>
  <c r="M29" i="32"/>
  <c r="Y32" i="32"/>
  <c r="Y29" i="32"/>
  <c r="Z32" i="32"/>
  <c r="Z29" i="32"/>
  <c r="AU26" i="32"/>
  <c r="AU32" i="32"/>
  <c r="AK32" i="32"/>
  <c r="AK29" i="32"/>
  <c r="E32" i="32"/>
  <c r="E26" i="32"/>
  <c r="Q32" i="32"/>
  <c r="Q26" i="32"/>
  <c r="AC32" i="32"/>
  <c r="AC26" i="32"/>
  <c r="Q120" i="16"/>
  <c r="P120" i="16"/>
  <c r="Q107" i="16"/>
  <c r="O107" i="16"/>
  <c r="Q94" i="16"/>
  <c r="Q81" i="16"/>
  <c r="P81" i="16"/>
  <c r="O81" i="16"/>
  <c r="Q68" i="16"/>
  <c r="O68" i="16"/>
  <c r="Q29" i="16"/>
  <c r="Q16" i="16"/>
  <c r="O16" i="16"/>
  <c r="F128" i="16"/>
  <c r="D1" i="2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X1" i="2" s="1"/>
  <c r="Y1" i="2" s="1"/>
  <c r="Z1" i="2" s="1"/>
  <c r="AA1" i="2" s="1"/>
  <c r="AB1" i="2" s="1"/>
  <c r="AC1" i="2" s="1"/>
  <c r="AD1" i="2" s="1"/>
  <c r="AE1" i="2" s="1"/>
  <c r="AF1" i="2" s="1"/>
  <c r="AG1" i="2" s="1"/>
  <c r="AH1" i="2" s="1"/>
  <c r="AI1" i="2" s="1"/>
  <c r="AJ1" i="2" s="1"/>
  <c r="AK1" i="2" s="1"/>
  <c r="AL1" i="2" s="1"/>
  <c r="AM1" i="2" s="1"/>
  <c r="AN1" i="2" s="1"/>
  <c r="AO1" i="2" s="1"/>
  <c r="AP1" i="2" s="1"/>
  <c r="AQ1" i="2" s="1"/>
  <c r="AR1" i="2" s="1"/>
  <c r="AS1" i="2" s="1"/>
  <c r="AT1" i="2" s="1"/>
  <c r="AU1" i="2" s="1"/>
  <c r="AV1" i="2" s="1"/>
  <c r="AW1" i="2" s="1"/>
  <c r="AN39" i="32" l="1"/>
  <c r="AN43" i="32"/>
  <c r="AN42" i="32"/>
  <c r="AN44" i="32"/>
  <c r="AN52" i="32"/>
  <c r="AN54" i="32"/>
  <c r="AN24" i="32"/>
  <c r="AN41" i="32"/>
  <c r="AN55" i="32"/>
  <c r="AN56" i="32"/>
  <c r="AN53" i="32"/>
  <c r="AN45" i="32"/>
  <c r="AN50" i="32"/>
  <c r="AN61" i="32" s="1"/>
  <c r="AN51" i="32"/>
  <c r="AN62" i="32" s="1"/>
  <c r="AE39" i="32"/>
  <c r="AI52" i="32"/>
  <c r="AB24" i="32"/>
  <c r="AB52" i="32"/>
  <c r="AE50" i="32"/>
  <c r="AE43" i="32"/>
  <c r="AE42" i="32"/>
  <c r="AE53" i="32"/>
  <c r="AB40" i="32"/>
  <c r="AL55" i="32"/>
  <c r="AE55" i="32"/>
  <c r="T42" i="32"/>
  <c r="T51" i="32"/>
  <c r="AL50" i="32"/>
  <c r="AL61" i="32" s="1"/>
  <c r="AT45" i="32"/>
  <c r="AE24" i="32"/>
  <c r="AB54" i="32"/>
  <c r="T40" i="32"/>
  <c r="AB45" i="32"/>
  <c r="AL45" i="32"/>
  <c r="AB42" i="32"/>
  <c r="AB44" i="32"/>
  <c r="AB53" i="32"/>
  <c r="AB48" i="32" s="1"/>
  <c r="AB55" i="32"/>
  <c r="AB41" i="32"/>
  <c r="Y42" i="32"/>
  <c r="AB39" i="32"/>
  <c r="AB61" i="32" s="1"/>
  <c r="AB56" i="32"/>
  <c r="AB51" i="32"/>
  <c r="Y24" i="32"/>
  <c r="T52" i="32"/>
  <c r="AB43" i="32"/>
  <c r="AE44" i="32"/>
  <c r="AE54" i="32"/>
  <c r="AE41" i="32"/>
  <c r="AE51" i="32"/>
  <c r="AE62" i="32" s="1"/>
  <c r="AK45" i="32"/>
  <c r="AM42" i="32"/>
  <c r="AT44" i="32"/>
  <c r="AM55" i="32"/>
  <c r="AR56" i="32"/>
  <c r="AE52" i="32"/>
  <c r="AE45" i="32"/>
  <c r="AM39" i="32"/>
  <c r="AM61" i="32" s="1"/>
  <c r="AM53" i="32"/>
  <c r="AM48" i="32" s="1"/>
  <c r="AT40" i="32"/>
  <c r="AR54" i="32"/>
  <c r="AT39" i="32"/>
  <c r="AR50" i="32"/>
  <c r="AR48" i="32" s="1"/>
  <c r="AI53" i="32"/>
  <c r="AL44" i="32"/>
  <c r="AT43" i="32"/>
  <c r="AT54" i="32"/>
  <c r="AC55" i="32"/>
  <c r="AL54" i="32"/>
  <c r="AT53" i="32"/>
  <c r="AT48" i="32" s="1"/>
  <c r="AE56" i="32"/>
  <c r="AO56" i="32"/>
  <c r="T55" i="32"/>
  <c r="AL41" i="32"/>
  <c r="AO42" i="32"/>
  <c r="AO45" i="32"/>
  <c r="AG41" i="32"/>
  <c r="T54" i="32"/>
  <c r="Y39" i="32"/>
  <c r="AL24" i="32"/>
  <c r="AJ42" i="32"/>
  <c r="Q54" i="32"/>
  <c r="AT56" i="32"/>
  <c r="AT42" i="32"/>
  <c r="T56" i="32"/>
  <c r="AT55" i="32"/>
  <c r="AT52" i="32"/>
  <c r="AL43" i="32"/>
  <c r="AT41" i="32"/>
  <c r="T53" i="32"/>
  <c r="T48" i="32" s="1"/>
  <c r="AT24" i="32"/>
  <c r="Q43" i="32"/>
  <c r="AM44" i="32"/>
  <c r="AL40" i="32"/>
  <c r="AO50" i="32"/>
  <c r="AL56" i="32"/>
  <c r="AO54" i="32"/>
  <c r="AO65" i="32" s="1"/>
  <c r="AO53" i="32"/>
  <c r="AO41" i="32"/>
  <c r="AO44" i="32"/>
  <c r="AL53" i="32"/>
  <c r="AO40" i="32"/>
  <c r="T45" i="32"/>
  <c r="AO52" i="32"/>
  <c r="AO39" i="32"/>
  <c r="AL42" i="32"/>
  <c r="AL37" i="32" s="1"/>
  <c r="AO51" i="32"/>
  <c r="AG51" i="32"/>
  <c r="AL51" i="32"/>
  <c r="AL52" i="32"/>
  <c r="AM40" i="32"/>
  <c r="AM45" i="32"/>
  <c r="AM41" i="32"/>
  <c r="AC24" i="32"/>
  <c r="AM54" i="32"/>
  <c r="Q51" i="32"/>
  <c r="AC54" i="32"/>
  <c r="AC56" i="32"/>
  <c r="AM52" i="32"/>
  <c r="AM56" i="32"/>
  <c r="AK50" i="32"/>
  <c r="AC40" i="32"/>
  <c r="Q40" i="32"/>
  <c r="Q56" i="32"/>
  <c r="AS53" i="32"/>
  <c r="AK53" i="32"/>
  <c r="AS39" i="32"/>
  <c r="X40" i="32"/>
  <c r="AS45" i="32"/>
  <c r="AT51" i="32"/>
  <c r="AJ24" i="32"/>
  <c r="AJ52" i="32"/>
  <c r="T24" i="32"/>
  <c r="AJ41" i="32"/>
  <c r="AK40" i="32"/>
  <c r="AK51" i="32"/>
  <c r="AK44" i="32"/>
  <c r="AK42" i="32"/>
  <c r="AK43" i="32"/>
  <c r="Y53" i="32"/>
  <c r="AK24" i="32"/>
  <c r="AK55" i="32"/>
  <c r="AJ56" i="32"/>
  <c r="AG39" i="32"/>
  <c r="AG61" i="32" s="1"/>
  <c r="AJ53" i="32"/>
  <c r="Q39" i="32"/>
  <c r="AM43" i="32"/>
  <c r="AJ45" i="32"/>
  <c r="Y56" i="32"/>
  <c r="AJ55" i="32"/>
  <c r="AM24" i="32"/>
  <c r="AJ54" i="32"/>
  <c r="AG40" i="32"/>
  <c r="AJ39" i="32"/>
  <c r="AI40" i="32"/>
  <c r="AJ50" i="32"/>
  <c r="AJ43" i="32"/>
  <c r="AJ44" i="32"/>
  <c r="Y55" i="32"/>
  <c r="Y54" i="32"/>
  <c r="Y65" i="32" s="1"/>
  <c r="T44" i="32"/>
  <c r="Y40" i="32"/>
  <c r="AO55" i="32"/>
  <c r="AJ40" i="32"/>
  <c r="AJ62" i="32" s="1"/>
  <c r="AC53" i="32"/>
  <c r="AS52" i="32"/>
  <c r="T41" i="32"/>
  <c r="AM51" i="32"/>
  <c r="AS43" i="32"/>
  <c r="AS65" i="32" s="1"/>
  <c r="X53" i="32"/>
  <c r="AF44" i="32"/>
  <c r="AI43" i="32"/>
  <c r="AF53" i="32"/>
  <c r="U44" i="32"/>
  <c r="AI42" i="32"/>
  <c r="AI44" i="32"/>
  <c r="AP40" i="32"/>
  <c r="AF43" i="32"/>
  <c r="AF65" i="32" s="1"/>
  <c r="U24" i="32"/>
  <c r="AI45" i="32"/>
  <c r="AF56" i="32"/>
  <c r="AF45" i="32"/>
  <c r="AI55" i="32"/>
  <c r="AP51" i="32"/>
  <c r="AQ53" i="32"/>
  <c r="W40" i="32"/>
  <c r="U52" i="32"/>
  <c r="AI54" i="32"/>
  <c r="AI39" i="32"/>
  <c r="AI51" i="32"/>
  <c r="AI56" i="32"/>
  <c r="AH24" i="32"/>
  <c r="AF42" i="32"/>
  <c r="U53" i="32"/>
  <c r="U48" i="32" s="1"/>
  <c r="AI50" i="32"/>
  <c r="Z56" i="32"/>
  <c r="AH39" i="32"/>
  <c r="W43" i="32"/>
  <c r="Q44" i="32"/>
  <c r="AP24" i="32"/>
  <c r="Z40" i="32"/>
  <c r="AH45" i="32"/>
  <c r="AH40" i="32"/>
  <c r="AH50" i="32"/>
  <c r="AS55" i="32"/>
  <c r="Z45" i="32"/>
  <c r="Z41" i="32"/>
  <c r="T39" i="32"/>
  <c r="T61" i="32" s="1"/>
  <c r="AH41" i="32"/>
  <c r="T43" i="32"/>
  <c r="AR24" i="32"/>
  <c r="AP55" i="32"/>
  <c r="AK54" i="32"/>
  <c r="AO24" i="32"/>
  <c r="AP42" i="32"/>
  <c r="AP64" i="32" s="1"/>
  <c r="AH54" i="32"/>
  <c r="AH65" i="32" s="1"/>
  <c r="AH51" i="32"/>
  <c r="AS41" i="32"/>
  <c r="AH55" i="32"/>
  <c r="R52" i="32"/>
  <c r="R63" i="32" s="1"/>
  <c r="AS51" i="32"/>
  <c r="R40" i="32"/>
  <c r="AH52" i="32"/>
  <c r="R24" i="32"/>
  <c r="AS56" i="32"/>
  <c r="Z51" i="32"/>
  <c r="Z54" i="32"/>
  <c r="Z65" i="32" s="1"/>
  <c r="Z44" i="32"/>
  <c r="AP54" i="32"/>
  <c r="AQ54" i="32"/>
  <c r="AP43" i="32"/>
  <c r="AS24" i="32"/>
  <c r="R50" i="32"/>
  <c r="AR52" i="32"/>
  <c r="R53" i="32"/>
  <c r="W56" i="32"/>
  <c r="R39" i="32"/>
  <c r="Z53" i="32"/>
  <c r="AR40" i="32"/>
  <c r="AD54" i="32"/>
  <c r="AR42" i="32"/>
  <c r="AR64" i="32" s="1"/>
  <c r="Z52" i="32"/>
  <c r="AR41" i="32"/>
  <c r="Z42" i="32"/>
  <c r="Z39" i="32"/>
  <c r="AD45" i="32"/>
  <c r="AH44" i="32"/>
  <c r="AP56" i="32"/>
  <c r="AP50" i="32"/>
  <c r="AP48" i="32" s="1"/>
  <c r="W53" i="32"/>
  <c r="AH42" i="32"/>
  <c r="AS42" i="32"/>
  <c r="AP41" i="32"/>
  <c r="AP39" i="32"/>
  <c r="AQ43" i="32"/>
  <c r="AK56" i="32"/>
  <c r="U43" i="32"/>
  <c r="Z24" i="32"/>
  <c r="AH56" i="32"/>
  <c r="AP52" i="32"/>
  <c r="AF50" i="32"/>
  <c r="AS50" i="32"/>
  <c r="W42" i="32"/>
  <c r="AS44" i="32"/>
  <c r="AK39" i="32"/>
  <c r="W50" i="32"/>
  <c r="AS40" i="32"/>
  <c r="AQ52" i="32"/>
  <c r="AG54" i="32"/>
  <c r="AG43" i="32"/>
  <c r="AQ51" i="32"/>
  <c r="AQ62" i="32" s="1"/>
  <c r="W54" i="32"/>
  <c r="AQ24" i="32"/>
  <c r="AC42" i="32"/>
  <c r="U55" i="32"/>
  <c r="Z50" i="32"/>
  <c r="AH53" i="32"/>
  <c r="AK52" i="32"/>
  <c r="AK63" i="32" s="1"/>
  <c r="U56" i="32"/>
  <c r="AP44" i="32"/>
  <c r="AC41" i="32"/>
  <c r="AC63" i="32" s="1"/>
  <c r="AI41" i="32"/>
  <c r="W45" i="32"/>
  <c r="W44" i="32"/>
  <c r="Z55" i="32"/>
  <c r="AF51" i="32"/>
  <c r="AX40" i="32"/>
  <c r="AQ41" i="32"/>
  <c r="W51" i="32"/>
  <c r="W39" i="32"/>
  <c r="AQ45" i="32"/>
  <c r="W52" i="32"/>
  <c r="W63" i="32" s="1"/>
  <c r="W55" i="32"/>
  <c r="AQ42" i="32"/>
  <c r="W24" i="32"/>
  <c r="AG44" i="32"/>
  <c r="S44" i="32"/>
  <c r="X45" i="32"/>
  <c r="Y50" i="32"/>
  <c r="S42" i="32"/>
  <c r="S50" i="32"/>
  <c r="X51" i="32"/>
  <c r="U41" i="32"/>
  <c r="V50" i="32"/>
  <c r="AR39" i="32"/>
  <c r="AF41" i="32"/>
  <c r="Q24" i="32"/>
  <c r="Y44" i="32"/>
  <c r="AG24" i="32"/>
  <c r="V55" i="32"/>
  <c r="U51" i="32"/>
  <c r="AD55" i="32"/>
  <c r="U54" i="32"/>
  <c r="V45" i="32"/>
  <c r="AF40" i="32"/>
  <c r="S55" i="32"/>
  <c r="S51" i="32"/>
  <c r="S56" i="32"/>
  <c r="AP45" i="32"/>
  <c r="X50" i="32"/>
  <c r="X61" i="32" s="1"/>
  <c r="X54" i="32"/>
  <c r="S54" i="32"/>
  <c r="X42" i="32"/>
  <c r="X37" i="32" s="1"/>
  <c r="S52" i="32"/>
  <c r="S63" i="32" s="1"/>
  <c r="S24" i="32"/>
  <c r="X52" i="32"/>
  <c r="X55" i="32"/>
  <c r="X43" i="32"/>
  <c r="X41" i="32"/>
  <c r="S53" i="32"/>
  <c r="V39" i="32"/>
  <c r="X56" i="32"/>
  <c r="X24" i="32"/>
  <c r="V51" i="32"/>
  <c r="V40" i="32"/>
  <c r="V41" i="32"/>
  <c r="AU61" i="32"/>
  <c r="U45" i="32"/>
  <c r="S40" i="32"/>
  <c r="U42" i="32"/>
  <c r="AD50" i="32"/>
  <c r="AG53" i="32"/>
  <c r="AG48" i="32" s="1"/>
  <c r="U39" i="32"/>
  <c r="U61" i="32" s="1"/>
  <c r="AC43" i="32"/>
  <c r="V24" i="32"/>
  <c r="Q53" i="32"/>
  <c r="X44" i="32"/>
  <c r="Q41" i="32"/>
  <c r="AF55" i="32"/>
  <c r="AR44" i="32"/>
  <c r="S45" i="32"/>
  <c r="AD42" i="32"/>
  <c r="R42" i="32"/>
  <c r="R44" i="32"/>
  <c r="Q45" i="32"/>
  <c r="AC44" i="32"/>
  <c r="AC51" i="32"/>
  <c r="AF39" i="32"/>
  <c r="AR55" i="32"/>
  <c r="AQ50" i="32"/>
  <c r="AF24" i="32"/>
  <c r="AQ56" i="32"/>
  <c r="AD52" i="32"/>
  <c r="AD63" i="32" s="1"/>
  <c r="AG45" i="32"/>
  <c r="V44" i="32"/>
  <c r="Y41" i="32"/>
  <c r="AR43" i="32"/>
  <c r="Q55" i="32"/>
  <c r="AD40" i="32"/>
  <c r="AG56" i="32"/>
  <c r="R54" i="32"/>
  <c r="AC45" i="32"/>
  <c r="AR51" i="32"/>
  <c r="AG52" i="32"/>
  <c r="AC39" i="32"/>
  <c r="V53" i="32"/>
  <c r="Y45" i="32"/>
  <c r="Y67" i="32" s="1"/>
  <c r="AD44" i="32"/>
  <c r="V56" i="32"/>
  <c r="Q52" i="32"/>
  <c r="V52" i="32"/>
  <c r="AG42" i="32"/>
  <c r="V43" i="32"/>
  <c r="V65" i="32" s="1"/>
  <c r="AG55" i="32"/>
  <c r="S39" i="32"/>
  <c r="AR45" i="32"/>
  <c r="S43" i="32"/>
  <c r="AQ55" i="32"/>
  <c r="Y52" i="32"/>
  <c r="AF52" i="32"/>
  <c r="V42" i="32"/>
  <c r="AQ44" i="32"/>
  <c r="AD39" i="32"/>
  <c r="AC50" i="32"/>
  <c r="Y51" i="32"/>
  <c r="Q50" i="32"/>
  <c r="AQ39" i="32"/>
  <c r="AD53" i="32"/>
  <c r="AD24" i="32"/>
  <c r="AD51" i="32"/>
  <c r="R55" i="32"/>
  <c r="R56" i="32"/>
  <c r="R51" i="32"/>
  <c r="AD43" i="32"/>
  <c r="AD56" i="32"/>
  <c r="R45" i="32"/>
  <c r="R43" i="32"/>
  <c r="U40" i="32"/>
  <c r="Q42" i="32"/>
  <c r="AX44" i="32"/>
  <c r="AY10" i="32"/>
  <c r="AW42" i="32"/>
  <c r="AZ10" i="32"/>
  <c r="AX7" i="32"/>
  <c r="AX9" i="32"/>
  <c r="L66" i="32"/>
  <c r="K67" i="32"/>
  <c r="AX51" i="32"/>
  <c r="L63" i="32"/>
  <c r="M62" i="32"/>
  <c r="K62" i="32"/>
  <c r="J64" i="32"/>
  <c r="K37" i="32"/>
  <c r="L65" i="32"/>
  <c r="K61" i="32"/>
  <c r="I63" i="32"/>
  <c r="K64" i="32"/>
  <c r="H67" i="32"/>
  <c r="D48" i="32"/>
  <c r="AW56" i="32"/>
  <c r="P67" i="32"/>
  <c r="D62" i="32"/>
  <c r="C65" i="32"/>
  <c r="D67" i="32"/>
  <c r="C64" i="32"/>
  <c r="AU65" i="32"/>
  <c r="AU63" i="32"/>
  <c r="AX54" i="32"/>
  <c r="P48" i="32"/>
  <c r="AX56" i="32"/>
  <c r="M64" i="32"/>
  <c r="AW51" i="32"/>
  <c r="K63" i="32"/>
  <c r="C63" i="32"/>
  <c r="D63" i="32"/>
  <c r="P62" i="32"/>
  <c r="E48" i="32"/>
  <c r="M67" i="32"/>
  <c r="O48" i="32"/>
  <c r="G62" i="32"/>
  <c r="K66" i="32"/>
  <c r="H66" i="32"/>
  <c r="AU48" i="32"/>
  <c r="K48" i="32"/>
  <c r="H62" i="32"/>
  <c r="F67" i="32"/>
  <c r="E62" i="32"/>
  <c r="O64" i="32"/>
  <c r="M65" i="32"/>
  <c r="AX53" i="32"/>
  <c r="E67" i="32"/>
  <c r="J67" i="32"/>
  <c r="I65" i="32"/>
  <c r="N48" i="32"/>
  <c r="AU37" i="32"/>
  <c r="P66" i="32"/>
  <c r="I48" i="32"/>
  <c r="G48" i="32"/>
  <c r="F62" i="32"/>
  <c r="F66" i="32"/>
  <c r="F64" i="32"/>
  <c r="O65" i="32"/>
  <c r="F48" i="32"/>
  <c r="E64" i="32"/>
  <c r="AU62" i="32"/>
  <c r="C67" i="32"/>
  <c r="D65" i="32"/>
  <c r="AX50" i="32"/>
  <c r="E66" i="32"/>
  <c r="I66" i="32"/>
  <c r="N65" i="32"/>
  <c r="N62" i="32"/>
  <c r="AX39" i="32"/>
  <c r="M63" i="32"/>
  <c r="P65" i="32"/>
  <c r="C66" i="32"/>
  <c r="G64" i="32"/>
  <c r="D66" i="32"/>
  <c r="AX42" i="32"/>
  <c r="AW53" i="32"/>
  <c r="AA63" i="32"/>
  <c r="P64" i="32"/>
  <c r="N67" i="32"/>
  <c r="AU64" i="32"/>
  <c r="AX43" i="32"/>
  <c r="AU66" i="32"/>
  <c r="H65" i="32"/>
  <c r="AX52" i="32"/>
  <c r="I62" i="32"/>
  <c r="M48" i="32"/>
  <c r="F37" i="32"/>
  <c r="F61" i="32"/>
  <c r="AA66" i="32"/>
  <c r="AW44" i="32"/>
  <c r="L61" i="32"/>
  <c r="L37" i="32"/>
  <c r="J66" i="32"/>
  <c r="G67" i="32"/>
  <c r="J37" i="32"/>
  <c r="J61" i="32"/>
  <c r="N66" i="32"/>
  <c r="E61" i="32"/>
  <c r="E37" i="32"/>
  <c r="AU67" i="32"/>
  <c r="AX45" i="32"/>
  <c r="D64" i="32"/>
  <c r="AA48" i="32"/>
  <c r="AW50" i="32"/>
  <c r="G66" i="32"/>
  <c r="J65" i="32"/>
  <c r="H37" i="32"/>
  <c r="H64" i="32"/>
  <c r="C61" i="32"/>
  <c r="C37" i="32"/>
  <c r="J63" i="32"/>
  <c r="AW52" i="32"/>
  <c r="J48" i="32"/>
  <c r="O63" i="32"/>
  <c r="G37" i="32"/>
  <c r="G61" i="32"/>
  <c r="I61" i="32"/>
  <c r="AW39" i="32"/>
  <c r="AA37" i="32"/>
  <c r="AA61" i="32"/>
  <c r="F65" i="32"/>
  <c r="H63" i="32"/>
  <c r="AA64" i="32"/>
  <c r="M61" i="32"/>
  <c r="M37" i="32"/>
  <c r="AA65" i="32"/>
  <c r="AW43" i="32"/>
  <c r="N63" i="32"/>
  <c r="I37" i="32"/>
  <c r="D61" i="32"/>
  <c r="D37" i="32"/>
  <c r="L67" i="32"/>
  <c r="AW54" i="32"/>
  <c r="AW41" i="32"/>
  <c r="P63" i="32"/>
  <c r="AX41" i="32"/>
  <c r="O61" i="32"/>
  <c r="O37" i="32"/>
  <c r="G65" i="32"/>
  <c r="L62" i="32"/>
  <c r="P61" i="32"/>
  <c r="P37" i="32"/>
  <c r="N61" i="32"/>
  <c r="N37" i="32"/>
  <c r="AW45" i="32"/>
  <c r="AA67" i="32"/>
  <c r="AW40" i="32"/>
  <c r="AA62" i="32"/>
  <c r="O62" i="32"/>
  <c r="O67" i="32"/>
  <c r="I67" i="32"/>
  <c r="C48" i="32"/>
  <c r="N64" i="32"/>
  <c r="E63" i="32"/>
  <c r="P94" i="16"/>
  <c r="P98" i="16" s="1"/>
  <c r="P29" i="16"/>
  <c r="P33" i="16" s="1"/>
  <c r="O120" i="16"/>
  <c r="O124" i="16" s="1"/>
  <c r="P16" i="16"/>
  <c r="P20" i="16" s="1"/>
  <c r="P68" i="16"/>
  <c r="P72" i="16" s="1"/>
  <c r="Q98" i="16"/>
  <c r="R29" i="16"/>
  <c r="R33" i="16" s="1"/>
  <c r="S70" i="16"/>
  <c r="S122" i="16"/>
  <c r="P124" i="16"/>
  <c r="S66" i="16"/>
  <c r="S123" i="16"/>
  <c r="S32" i="16"/>
  <c r="R94" i="16"/>
  <c r="R98" i="16" s="1"/>
  <c r="O111" i="16"/>
  <c r="R81" i="16"/>
  <c r="S81" i="16" s="1"/>
  <c r="S92" i="16"/>
  <c r="S102" i="16"/>
  <c r="S97" i="16"/>
  <c r="S109" i="16"/>
  <c r="Q124" i="16"/>
  <c r="S67" i="16"/>
  <c r="R68" i="16"/>
  <c r="R72" i="16" s="1"/>
  <c r="S71" i="16"/>
  <c r="O85" i="16"/>
  <c r="S83" i="16"/>
  <c r="S95" i="16"/>
  <c r="Q111" i="16"/>
  <c r="S118" i="16"/>
  <c r="S119" i="16"/>
  <c r="R120" i="16"/>
  <c r="R124" i="16" s="1"/>
  <c r="P85" i="16"/>
  <c r="Q33" i="16"/>
  <c r="O72" i="16"/>
  <c r="S105" i="16"/>
  <c r="S108" i="16"/>
  <c r="S110" i="16"/>
  <c r="S121" i="16"/>
  <c r="S80" i="16"/>
  <c r="S93" i="16"/>
  <c r="O20" i="16"/>
  <c r="S84" i="16"/>
  <c r="S79" i="16"/>
  <c r="S89" i="16"/>
  <c r="S96" i="16"/>
  <c r="R107" i="16"/>
  <c r="R111" i="16" s="1"/>
  <c r="S69" i="16"/>
  <c r="Q72" i="16"/>
  <c r="Q85" i="16"/>
  <c r="S106" i="16"/>
  <c r="S63" i="16"/>
  <c r="S115" i="16"/>
  <c r="S76" i="16"/>
  <c r="S82" i="16"/>
  <c r="O94" i="16"/>
  <c r="P107" i="16"/>
  <c r="P111" i="16" s="1"/>
  <c r="S15" i="16"/>
  <c r="S18" i="16"/>
  <c r="S30" i="16"/>
  <c r="R16" i="16"/>
  <c r="R20" i="16" s="1"/>
  <c r="S19" i="16"/>
  <c r="S27" i="16"/>
  <c r="S28" i="16"/>
  <c r="O29" i="16"/>
  <c r="O33" i="16" s="1"/>
  <c r="Q20" i="16"/>
  <c r="S17" i="16"/>
  <c r="S31" i="16"/>
  <c r="S24" i="16"/>
  <c r="S11" i="16"/>
  <c r="H16" i="31"/>
  <c r="H42" i="31"/>
  <c r="H55" i="31"/>
  <c r="H68" i="31"/>
  <c r="H81" i="31"/>
  <c r="G15" i="31"/>
  <c r="F15" i="31"/>
  <c r="E15" i="31"/>
  <c r="D15" i="31"/>
  <c r="C15" i="31"/>
  <c r="F13" i="31"/>
  <c r="D13" i="31"/>
  <c r="G12" i="31"/>
  <c r="F12" i="31"/>
  <c r="D12" i="31"/>
  <c r="C12" i="31"/>
  <c r="F10" i="31"/>
  <c r="D10" i="31"/>
  <c r="C10" i="31"/>
  <c r="C9" i="31"/>
  <c r="F8" i="31"/>
  <c r="D8" i="31"/>
  <c r="G28" i="31"/>
  <c r="F28" i="31"/>
  <c r="E28" i="31"/>
  <c r="D28" i="31"/>
  <c r="C28" i="31"/>
  <c r="F26" i="31"/>
  <c r="D26" i="31"/>
  <c r="G25" i="31"/>
  <c r="F25" i="31"/>
  <c r="D25" i="31"/>
  <c r="C25" i="31"/>
  <c r="F23" i="31"/>
  <c r="D23" i="31"/>
  <c r="C23" i="31"/>
  <c r="C22" i="31"/>
  <c r="F21" i="31"/>
  <c r="D21" i="31"/>
  <c r="G41" i="31"/>
  <c r="F41" i="31"/>
  <c r="E41" i="31"/>
  <c r="D41" i="31"/>
  <c r="C41" i="31"/>
  <c r="F39" i="31"/>
  <c r="D39" i="31"/>
  <c r="G38" i="31"/>
  <c r="F38" i="31"/>
  <c r="D38" i="31"/>
  <c r="C38" i="31"/>
  <c r="F36" i="31"/>
  <c r="D36" i="31"/>
  <c r="C36" i="31"/>
  <c r="C35" i="31"/>
  <c r="F34" i="31"/>
  <c r="D34" i="31"/>
  <c r="G54" i="31"/>
  <c r="F54" i="31"/>
  <c r="E54" i="31"/>
  <c r="D54" i="31"/>
  <c r="C54" i="31"/>
  <c r="F52" i="31"/>
  <c r="D52" i="31"/>
  <c r="G51" i="31"/>
  <c r="F51" i="31"/>
  <c r="D51" i="31"/>
  <c r="C51" i="31"/>
  <c r="F49" i="31"/>
  <c r="D49" i="31"/>
  <c r="C49" i="31"/>
  <c r="C48" i="31"/>
  <c r="F47" i="31"/>
  <c r="D47" i="31"/>
  <c r="G67" i="31"/>
  <c r="F67" i="31"/>
  <c r="E67" i="31"/>
  <c r="D67" i="31"/>
  <c r="C67" i="31"/>
  <c r="F65" i="31"/>
  <c r="D65" i="31"/>
  <c r="G64" i="31"/>
  <c r="F64" i="31"/>
  <c r="D64" i="31"/>
  <c r="C64" i="31"/>
  <c r="F62" i="31"/>
  <c r="D62" i="31"/>
  <c r="C62" i="31"/>
  <c r="C61" i="31"/>
  <c r="F60" i="31"/>
  <c r="D60" i="31"/>
  <c r="G80" i="31"/>
  <c r="F80" i="31"/>
  <c r="E80" i="31"/>
  <c r="D80" i="31"/>
  <c r="C80" i="31"/>
  <c r="F78" i="31"/>
  <c r="D78" i="31"/>
  <c r="G77" i="31"/>
  <c r="F77" i="31"/>
  <c r="D77" i="31"/>
  <c r="C77" i="31"/>
  <c r="F75" i="31"/>
  <c r="D75" i="31"/>
  <c r="C75" i="31"/>
  <c r="C74" i="31"/>
  <c r="F73" i="31"/>
  <c r="D73" i="31"/>
  <c r="AN66" i="32" l="1"/>
  <c r="AN64" i="32"/>
  <c r="AN63" i="32"/>
  <c r="AN37" i="32"/>
  <c r="AK64" i="32"/>
  <c r="AN65" i="32"/>
  <c r="AN67" i="32"/>
  <c r="AN48" i="32"/>
  <c r="T65" i="32"/>
  <c r="AE37" i="32"/>
  <c r="AE61" i="32"/>
  <c r="AI63" i="32"/>
  <c r="AE64" i="32"/>
  <c r="AE48" i="32"/>
  <c r="AK67" i="32"/>
  <c r="AE66" i="32"/>
  <c r="AL66" i="32"/>
  <c r="AB63" i="32"/>
  <c r="AG63" i="32"/>
  <c r="AT67" i="32"/>
  <c r="AB37" i="32"/>
  <c r="AE65" i="32"/>
  <c r="T62" i="32"/>
  <c r="AB62" i="32"/>
  <c r="AB67" i="32"/>
  <c r="AJ37" i="32"/>
  <c r="AB65" i="32"/>
  <c r="AT66" i="32"/>
  <c r="AT37" i="32"/>
  <c r="AT64" i="32"/>
  <c r="AL67" i="32"/>
  <c r="AB66" i="32"/>
  <c r="T63" i="32"/>
  <c r="AC65" i="32"/>
  <c r="AT65" i="32"/>
  <c r="AE63" i="32"/>
  <c r="AT61" i="32"/>
  <c r="AB64" i="32"/>
  <c r="AS61" i="32"/>
  <c r="AT62" i="32"/>
  <c r="AC66" i="32"/>
  <c r="AL65" i="32"/>
  <c r="AO67" i="32"/>
  <c r="Y37" i="32"/>
  <c r="AR67" i="32"/>
  <c r="AT63" i="32"/>
  <c r="S61" i="32"/>
  <c r="AL63" i="32"/>
  <c r="AL62" i="32"/>
  <c r="AG62" i="32"/>
  <c r="AM66" i="32"/>
  <c r="AJ64" i="32"/>
  <c r="AE67" i="32"/>
  <c r="AR65" i="32"/>
  <c r="Y64" i="32"/>
  <c r="Q67" i="32"/>
  <c r="AI64" i="32"/>
  <c r="AI48" i="32"/>
  <c r="AJ63" i="32"/>
  <c r="AM37" i="32"/>
  <c r="W64" i="32"/>
  <c r="AO48" i="32"/>
  <c r="AQ67" i="32"/>
  <c r="U67" i="32"/>
  <c r="AM64" i="32"/>
  <c r="Q65" i="32"/>
  <c r="AR61" i="32"/>
  <c r="U64" i="32"/>
  <c r="T66" i="32"/>
  <c r="AO63" i="32"/>
  <c r="AO62" i="32"/>
  <c r="AO61" i="32"/>
  <c r="AK66" i="32"/>
  <c r="AM63" i="32"/>
  <c r="AL64" i="32"/>
  <c r="Q62" i="32"/>
  <c r="AO64" i="32"/>
  <c r="AJ48" i="32"/>
  <c r="T67" i="32"/>
  <c r="Y61" i="32"/>
  <c r="AO37" i="32"/>
  <c r="AO66" i="32"/>
  <c r="AC67" i="32"/>
  <c r="T64" i="32"/>
  <c r="X62" i="32"/>
  <c r="AP61" i="32"/>
  <c r="AF67" i="32"/>
  <c r="AJ66" i="32"/>
  <c r="AL48" i="32"/>
  <c r="AK37" i="32"/>
  <c r="AF64" i="32"/>
  <c r="AJ65" i="32"/>
  <c r="AK48" i="32"/>
  <c r="AS37" i="32"/>
  <c r="AM62" i="32"/>
  <c r="AM67" i="32"/>
  <c r="AC48" i="32"/>
  <c r="X67" i="32"/>
  <c r="V48" i="32"/>
  <c r="AC64" i="32"/>
  <c r="R65" i="32"/>
  <c r="AG67" i="32"/>
  <c r="U66" i="32"/>
  <c r="AH37" i="32"/>
  <c r="AD67" i="32"/>
  <c r="AC62" i="32"/>
  <c r="AS48" i="32"/>
  <c r="AS67" i="32"/>
  <c r="AH63" i="32"/>
  <c r="Z37" i="32"/>
  <c r="AI65" i="32"/>
  <c r="AJ67" i="32"/>
  <c r="AS62" i="32"/>
  <c r="AR63" i="32"/>
  <c r="AP65" i="32"/>
  <c r="AM65" i="32"/>
  <c r="AK62" i="32"/>
  <c r="Z67" i="32"/>
  <c r="AG37" i="32"/>
  <c r="AF37" i="32"/>
  <c r="AH62" i="32"/>
  <c r="AI67" i="32"/>
  <c r="AD37" i="32"/>
  <c r="X65" i="32"/>
  <c r="S66" i="32"/>
  <c r="AJ61" i="32"/>
  <c r="AD65" i="32"/>
  <c r="AQ66" i="32"/>
  <c r="AF48" i="32"/>
  <c r="R61" i="32"/>
  <c r="AK65" i="32"/>
  <c r="R62" i="32"/>
  <c r="V37" i="32"/>
  <c r="W66" i="32"/>
  <c r="W65" i="32"/>
  <c r="AP63" i="32"/>
  <c r="AI66" i="32"/>
  <c r="AK61" i="32"/>
  <c r="Y48" i="32"/>
  <c r="AH61" i="32"/>
  <c r="Z64" i="32"/>
  <c r="AH67" i="32"/>
  <c r="AI62" i="32"/>
  <c r="T37" i="32"/>
  <c r="Q66" i="32"/>
  <c r="Y66" i="32"/>
  <c r="AI61" i="32"/>
  <c r="AP62" i="32"/>
  <c r="W67" i="32"/>
  <c r="V61" i="32"/>
  <c r="R48" i="32"/>
  <c r="AQ37" i="32"/>
  <c r="AF66" i="32"/>
  <c r="AS63" i="32"/>
  <c r="S37" i="32"/>
  <c r="Q61" i="32"/>
  <c r="W62" i="32"/>
  <c r="Y62" i="32"/>
  <c r="U37" i="32"/>
  <c r="AR66" i="32"/>
  <c r="V62" i="32"/>
  <c r="AQ63" i="32"/>
  <c r="Z61" i="32"/>
  <c r="AS66" i="32"/>
  <c r="Z66" i="32"/>
  <c r="AX10" i="32"/>
  <c r="AI37" i="32"/>
  <c r="X48" i="32"/>
  <c r="R64" i="32"/>
  <c r="AR37" i="32"/>
  <c r="AQ64" i="32"/>
  <c r="AG65" i="32"/>
  <c r="Z62" i="32"/>
  <c r="AF61" i="32"/>
  <c r="U63" i="32"/>
  <c r="AP66" i="32"/>
  <c r="AP67" i="32"/>
  <c r="AQ65" i="32"/>
  <c r="AH66" i="32"/>
  <c r="Z63" i="32"/>
  <c r="Q64" i="32"/>
  <c r="AR62" i="32"/>
  <c r="U65" i="32"/>
  <c r="W37" i="32"/>
  <c r="W48" i="32"/>
  <c r="AH64" i="32"/>
  <c r="X64" i="32"/>
  <c r="AF63" i="32"/>
  <c r="Z48" i="32"/>
  <c r="V66" i="32"/>
  <c r="AD61" i="32"/>
  <c r="X63" i="32"/>
  <c r="AS64" i="32"/>
  <c r="AP37" i="32"/>
  <c r="S65" i="32"/>
  <c r="AC61" i="32"/>
  <c r="AF62" i="32"/>
  <c r="AH48" i="32"/>
  <c r="R37" i="32"/>
  <c r="W61" i="32"/>
  <c r="Q63" i="32"/>
  <c r="V64" i="32"/>
  <c r="AD66" i="32"/>
  <c r="Y63" i="32"/>
  <c r="R66" i="32"/>
  <c r="S48" i="32"/>
  <c r="S67" i="32"/>
  <c r="S62" i="32"/>
  <c r="X66" i="32"/>
  <c r="AD48" i="32"/>
  <c r="S64" i="32"/>
  <c r="AD64" i="32"/>
  <c r="U62" i="32"/>
  <c r="AG66" i="32"/>
  <c r="AQ61" i="32"/>
  <c r="V63" i="32"/>
  <c r="AG64" i="32"/>
  <c r="V67" i="32"/>
  <c r="R67" i="32"/>
  <c r="AQ48" i="32"/>
  <c r="Q48" i="32"/>
  <c r="AC37" i="32"/>
  <c r="AD62" i="32"/>
  <c r="Q37" i="32"/>
  <c r="R85" i="16"/>
  <c r="S85" i="16" s="1"/>
  <c r="S120" i="16"/>
  <c r="S68" i="16"/>
  <c r="S94" i="16"/>
  <c r="S124" i="16"/>
  <c r="S33" i="16"/>
  <c r="S16" i="16"/>
  <c r="S20" i="16"/>
  <c r="S29" i="16"/>
  <c r="S111" i="16"/>
  <c r="S107" i="16"/>
  <c r="S72" i="16"/>
  <c r="O98" i="16"/>
  <c r="S98" i="16" s="1"/>
  <c r="H41" i="31"/>
  <c r="F126" i="16" l="1"/>
  <c r="C204" i="16" l="1"/>
  <c r="E5" i="13" l="1"/>
  <c r="F2" i="25" l="1"/>
  <c r="E2" i="25"/>
  <c r="E26" i="25" l="1"/>
  <c r="E28" i="25"/>
  <c r="E30" i="25"/>
  <c r="E32" i="25"/>
  <c r="E34" i="25"/>
  <c r="E36" i="25"/>
  <c r="E38" i="25"/>
  <c r="E40" i="25"/>
  <c r="E42" i="25"/>
  <c r="E44" i="25"/>
  <c r="E46" i="25"/>
  <c r="E48" i="25"/>
  <c r="E50" i="25"/>
  <c r="E52" i="25"/>
  <c r="E54" i="25"/>
  <c r="E56" i="25"/>
  <c r="E58" i="25"/>
  <c r="E60" i="25"/>
  <c r="E62" i="25"/>
  <c r="E64" i="25"/>
  <c r="E63" i="25"/>
  <c r="E27" i="25"/>
  <c r="E29" i="25"/>
  <c r="E31" i="25"/>
  <c r="E33" i="25"/>
  <c r="E35" i="25"/>
  <c r="E37" i="25"/>
  <c r="E39" i="25"/>
  <c r="E41" i="25"/>
  <c r="E43" i="25"/>
  <c r="E45" i="25"/>
  <c r="E47" i="25"/>
  <c r="E49" i="25"/>
  <c r="E51" i="25"/>
  <c r="E53" i="25"/>
  <c r="E55" i="25"/>
  <c r="E57" i="25"/>
  <c r="E59" i="25"/>
  <c r="E61" i="25"/>
  <c r="F63" i="25"/>
  <c r="F26" i="25"/>
  <c r="F28" i="25"/>
  <c r="F30" i="25"/>
  <c r="F32" i="25"/>
  <c r="F34" i="25"/>
  <c r="F36" i="25"/>
  <c r="F38" i="25"/>
  <c r="F40" i="25"/>
  <c r="F42" i="25"/>
  <c r="F44" i="25"/>
  <c r="F46" i="25"/>
  <c r="F48" i="25"/>
  <c r="F50" i="25"/>
  <c r="F52" i="25"/>
  <c r="F54" i="25"/>
  <c r="F56" i="25"/>
  <c r="F58" i="25"/>
  <c r="F60" i="25"/>
  <c r="F62" i="25"/>
  <c r="F64" i="25"/>
  <c r="F61" i="25"/>
  <c r="F59" i="25"/>
  <c r="F27" i="25"/>
  <c r="F29" i="25"/>
  <c r="F31" i="25"/>
  <c r="F33" i="25"/>
  <c r="F35" i="25"/>
  <c r="F37" i="25"/>
  <c r="F39" i="25"/>
  <c r="F41" i="25"/>
  <c r="F43" i="25"/>
  <c r="F45" i="25"/>
  <c r="F47" i="25"/>
  <c r="F49" i="25"/>
  <c r="F51" i="25"/>
  <c r="F53" i="25"/>
  <c r="F55" i="25"/>
  <c r="F57" i="25"/>
  <c r="B11" i="33"/>
  <c r="B10" i="33"/>
  <c r="B9" i="33"/>
  <c r="B8" i="33"/>
  <c r="B7" i="33"/>
  <c r="B6" i="33"/>
  <c r="B5" i="33"/>
  <c r="B4" i="33"/>
  <c r="A4" i="14"/>
  <c r="A26" i="25"/>
  <c r="A4" i="25"/>
  <c r="A3" i="31"/>
  <c r="A4" i="16"/>
  <c r="A31" i="13"/>
  <c r="A4" i="13"/>
  <c r="G76" i="31" l="1"/>
  <c r="G63" i="31"/>
  <c r="G50" i="31"/>
  <c r="G37" i="31"/>
  <c r="G24" i="31"/>
  <c r="C76" i="31"/>
  <c r="C50" i="31"/>
  <c r="C24" i="31"/>
  <c r="G11" i="31"/>
  <c r="C11" i="31"/>
  <c r="C19" i="31"/>
  <c r="G19" i="31"/>
  <c r="C72" i="31"/>
  <c r="C71" i="31" s="1"/>
  <c r="G71" i="31"/>
  <c r="G58" i="31"/>
  <c r="C58" i="31"/>
  <c r="G45" i="31"/>
  <c r="C45" i="31"/>
  <c r="G32" i="31"/>
  <c r="C32" i="31"/>
  <c r="G6" i="31"/>
  <c r="C6" i="31"/>
  <c r="G27" i="31" l="1"/>
  <c r="F63" i="31"/>
  <c r="F37" i="31"/>
  <c r="F76" i="31"/>
  <c r="G14" i="31"/>
  <c r="D24" i="31"/>
  <c r="G79" i="31"/>
  <c r="H80" i="31"/>
  <c r="D63" i="31"/>
  <c r="H54" i="31"/>
  <c r="F24" i="31"/>
  <c r="H67" i="31"/>
  <c r="D76" i="31"/>
  <c r="F50" i="31"/>
  <c r="C79" i="31"/>
  <c r="C53" i="31"/>
  <c r="H15" i="31"/>
  <c r="D37" i="31"/>
  <c r="G40" i="31"/>
  <c r="G53" i="31"/>
  <c r="H28" i="31"/>
  <c r="C14" i="31"/>
  <c r="F11" i="31"/>
  <c r="C27" i="31"/>
  <c r="G66" i="31"/>
  <c r="D11" i="31"/>
  <c r="C37" i="31"/>
  <c r="D50" i="31"/>
  <c r="C63" i="31"/>
  <c r="C40" i="31" l="1"/>
  <c r="C66" i="31"/>
  <c r="E70" i="25" l="1"/>
  <c r="E72" i="25"/>
  <c r="E79" i="25" l="1"/>
  <c r="E75" i="25"/>
  <c r="E78" i="25"/>
  <c r="E74" i="25"/>
  <c r="E91" i="25"/>
  <c r="E71" i="25"/>
  <c r="E82" i="25"/>
  <c r="E83" i="25"/>
  <c r="E81" i="25"/>
  <c r="E69" i="25"/>
  <c r="E106" i="25"/>
  <c r="E94" i="25"/>
  <c r="E105" i="25"/>
  <c r="E87" i="25"/>
  <c r="E95" i="25"/>
  <c r="F97" i="25"/>
  <c r="F80" i="25"/>
  <c r="G2" i="25"/>
  <c r="E103" i="25"/>
  <c r="E96" i="25"/>
  <c r="E100" i="25"/>
  <c r="E98" i="25"/>
  <c r="E93" i="25"/>
  <c r="E80" i="25"/>
  <c r="E76" i="25"/>
  <c r="E77" i="25"/>
  <c r="E101" i="25"/>
  <c r="E92" i="25"/>
  <c r="E99" i="25"/>
  <c r="E104" i="25"/>
  <c r="E102" i="25"/>
  <c r="E97" i="25"/>
  <c r="E68" i="25"/>
  <c r="E73" i="25"/>
  <c r="E84" i="25"/>
  <c r="E89" i="25" l="1"/>
  <c r="E4" i="25"/>
  <c r="F71" i="25"/>
  <c r="F95" i="25"/>
  <c r="G48" i="25"/>
  <c r="G43" i="25"/>
  <c r="G46" i="25"/>
  <c r="G51" i="25"/>
  <c r="G55" i="25"/>
  <c r="G59" i="25"/>
  <c r="G63" i="25"/>
  <c r="G47" i="25"/>
  <c r="G52" i="25"/>
  <c r="G56" i="25"/>
  <c r="G60" i="25"/>
  <c r="G64" i="25"/>
  <c r="G49" i="25"/>
  <c r="G57" i="25"/>
  <c r="G44" i="25"/>
  <c r="G50" i="25"/>
  <c r="G58" i="25"/>
  <c r="G61" i="25"/>
  <c r="G30" i="25"/>
  <c r="G34" i="25"/>
  <c r="G38" i="25"/>
  <c r="G42" i="25"/>
  <c r="G36" i="25"/>
  <c r="G40" i="25"/>
  <c r="G29" i="25"/>
  <c r="G33" i="25"/>
  <c r="G45" i="25"/>
  <c r="G62" i="25"/>
  <c r="G27" i="25"/>
  <c r="G31" i="25"/>
  <c r="G35" i="25"/>
  <c r="G39" i="25"/>
  <c r="G26" i="25"/>
  <c r="G53" i="25"/>
  <c r="G28" i="25"/>
  <c r="G32" i="25"/>
  <c r="G54" i="25"/>
  <c r="G37" i="25"/>
  <c r="G41" i="25"/>
  <c r="F74" i="25"/>
  <c r="F92" i="25"/>
  <c r="F82" i="25"/>
  <c r="F78" i="25"/>
  <c r="F75" i="25"/>
  <c r="F72" i="25"/>
  <c r="F100" i="25"/>
  <c r="F101" i="25"/>
  <c r="F105" i="25"/>
  <c r="F103" i="25"/>
  <c r="F98" i="25"/>
  <c r="F93" i="25"/>
  <c r="F96" i="25"/>
  <c r="F104" i="25"/>
  <c r="F91" i="25"/>
  <c r="F70" i="25"/>
  <c r="F83" i="25"/>
  <c r="F77" i="25"/>
  <c r="F69" i="25"/>
  <c r="F76" i="25"/>
  <c r="F79" i="25"/>
  <c r="F102" i="25"/>
  <c r="F73" i="25"/>
  <c r="F81" i="25"/>
  <c r="F84" i="25"/>
  <c r="F106" i="25"/>
  <c r="E90" i="25"/>
  <c r="E85" i="25"/>
  <c r="H2" i="25"/>
  <c r="F68" i="25"/>
  <c r="F99" i="25"/>
  <c r="F94" i="25"/>
  <c r="E88" i="25"/>
  <c r="E86" i="25"/>
  <c r="G4" i="25" l="1"/>
  <c r="G5" i="25" s="1"/>
  <c r="F86" i="25"/>
  <c r="F4" i="25"/>
  <c r="G78" i="25"/>
  <c r="F88" i="25"/>
  <c r="F87" i="25"/>
  <c r="F89" i="25"/>
  <c r="G75" i="25"/>
  <c r="H43" i="25"/>
  <c r="H44" i="25"/>
  <c r="H45" i="25"/>
  <c r="H46" i="25"/>
  <c r="H47" i="25"/>
  <c r="H48" i="25"/>
  <c r="H50" i="25"/>
  <c r="H51" i="25"/>
  <c r="H52" i="25"/>
  <c r="H53" i="25"/>
  <c r="H49" i="25"/>
  <c r="H26" i="25"/>
  <c r="H30" i="25"/>
  <c r="H34" i="25"/>
  <c r="H38" i="25"/>
  <c r="H42" i="25"/>
  <c r="H32" i="25"/>
  <c r="H40" i="25"/>
  <c r="H33" i="25"/>
  <c r="H54" i="25"/>
  <c r="H55" i="25"/>
  <c r="H56" i="25"/>
  <c r="H57" i="25"/>
  <c r="H58" i="25"/>
  <c r="H59" i="25"/>
  <c r="H60" i="25"/>
  <c r="H61" i="25"/>
  <c r="H62" i="25"/>
  <c r="H63" i="25"/>
  <c r="H64" i="25"/>
  <c r="H27" i="25"/>
  <c r="H31" i="25"/>
  <c r="H35" i="25"/>
  <c r="H39" i="25"/>
  <c r="H28" i="25"/>
  <c r="H36" i="25"/>
  <c r="H29" i="25"/>
  <c r="H37" i="25"/>
  <c r="H41" i="25"/>
  <c r="G97" i="25"/>
  <c r="G71" i="25"/>
  <c r="G81" i="25"/>
  <c r="G82" i="25"/>
  <c r="G69" i="25"/>
  <c r="G94" i="25"/>
  <c r="G84" i="25"/>
  <c r="G102" i="25"/>
  <c r="G92" i="25"/>
  <c r="G83" i="25"/>
  <c r="G99" i="25"/>
  <c r="G73" i="25"/>
  <c r="G80" i="25"/>
  <c r="G86" i="25"/>
  <c r="G105" i="25"/>
  <c r="G96" i="25"/>
  <c r="G103" i="25"/>
  <c r="G68" i="25"/>
  <c r="G77" i="25"/>
  <c r="G93" i="25"/>
  <c r="G106" i="25"/>
  <c r="G100" i="25"/>
  <c r="G91" i="25"/>
  <c r="G6" i="25" s="1"/>
  <c r="G70" i="25"/>
  <c r="I2" i="25"/>
  <c r="G72" i="25"/>
  <c r="G74" i="25"/>
  <c r="G76" i="25"/>
  <c r="G79" i="25"/>
  <c r="G98" i="25"/>
  <c r="G101" i="25"/>
  <c r="G88" i="25"/>
  <c r="G104" i="25"/>
  <c r="G95" i="25"/>
  <c r="F85" i="25"/>
  <c r="F90" i="25"/>
  <c r="H102" i="25" l="1"/>
  <c r="H4" i="25"/>
  <c r="H5" i="25" s="1"/>
  <c r="H91" i="25"/>
  <c r="H6" i="25" s="1"/>
  <c r="I43" i="25"/>
  <c r="I4" i="25" s="1"/>
  <c r="I5" i="25" s="1"/>
  <c r="I50" i="25"/>
  <c r="I51" i="25"/>
  <c r="I52" i="25"/>
  <c r="I53" i="25"/>
  <c r="I54" i="25"/>
  <c r="I55" i="25"/>
  <c r="I56" i="25"/>
  <c r="I57" i="25"/>
  <c r="I58" i="25"/>
  <c r="I59" i="25"/>
  <c r="I60" i="25"/>
  <c r="I61" i="25"/>
  <c r="I62" i="25"/>
  <c r="I63" i="25"/>
  <c r="I64" i="25"/>
  <c r="I44" i="25"/>
  <c r="I45" i="25"/>
  <c r="I46" i="25"/>
  <c r="I47" i="25"/>
  <c r="I48" i="25"/>
  <c r="I27" i="25"/>
  <c r="I32" i="25"/>
  <c r="I36" i="25"/>
  <c r="I49" i="25"/>
  <c r="I26" i="25"/>
  <c r="I31" i="25"/>
  <c r="I35" i="25"/>
  <c r="I39" i="25"/>
  <c r="I34" i="25"/>
  <c r="I29" i="25"/>
  <c r="I28" i="25"/>
  <c r="I33" i="25"/>
  <c r="I42" i="25"/>
  <c r="I30" i="25"/>
  <c r="I38" i="25"/>
  <c r="I41" i="25"/>
  <c r="I37" i="25"/>
  <c r="I40" i="25"/>
  <c r="G7" i="25"/>
  <c r="G8" i="25" s="1"/>
  <c r="G89" i="25"/>
  <c r="H95" i="25"/>
  <c r="H103" i="25"/>
  <c r="H72" i="25"/>
  <c r="H73" i="25"/>
  <c r="H80" i="25"/>
  <c r="H71" i="25"/>
  <c r="H81" i="25"/>
  <c r="H98" i="25"/>
  <c r="H105" i="25"/>
  <c r="H96" i="25"/>
  <c r="H79" i="25"/>
  <c r="H94" i="25"/>
  <c r="H99" i="25"/>
  <c r="H7" i="25" s="1"/>
  <c r="G87" i="25"/>
  <c r="H76" i="25"/>
  <c r="J2" i="25"/>
  <c r="H83" i="25"/>
  <c r="H70" i="25"/>
  <c r="H87" i="25"/>
  <c r="H93" i="25"/>
  <c r="H84" i="25"/>
  <c r="H100" i="25"/>
  <c r="H89" i="25"/>
  <c r="H86" i="25"/>
  <c r="H75" i="25"/>
  <c r="H69" i="25"/>
  <c r="H74" i="25"/>
  <c r="H97" i="25"/>
  <c r="H88" i="25"/>
  <c r="H104" i="25"/>
  <c r="H68" i="25"/>
  <c r="H78" i="25"/>
  <c r="H77" i="25"/>
  <c r="H82" i="25"/>
  <c r="H106" i="25"/>
  <c r="H101" i="25"/>
  <c r="H92" i="25"/>
  <c r="G85" i="25"/>
  <c r="G90" i="25"/>
  <c r="H8" i="25" l="1"/>
  <c r="I96" i="25"/>
  <c r="I103" i="25"/>
  <c r="J44" i="25"/>
  <c r="J45" i="25"/>
  <c r="J46" i="25"/>
  <c r="J47" i="25"/>
  <c r="J48" i="25"/>
  <c r="J49" i="25"/>
  <c r="J43" i="25"/>
  <c r="J4" i="25" s="1"/>
  <c r="J5" i="25" s="1"/>
  <c r="J26" i="25"/>
  <c r="J50" i="25"/>
  <c r="J51" i="25"/>
  <c r="J52" i="25"/>
  <c r="J53" i="25"/>
  <c r="J54" i="25"/>
  <c r="J55" i="25"/>
  <c r="J56" i="25"/>
  <c r="J57" i="25"/>
  <c r="J58" i="25"/>
  <c r="J59" i="25"/>
  <c r="J60" i="25"/>
  <c r="J61" i="25"/>
  <c r="J62" i="25"/>
  <c r="J63" i="25"/>
  <c r="J64" i="25"/>
  <c r="J28" i="25"/>
  <c r="J29" i="25"/>
  <c r="J33" i="25"/>
  <c r="J37" i="25"/>
  <c r="J27" i="25"/>
  <c r="J32" i="25"/>
  <c r="J36" i="25"/>
  <c r="J35" i="25"/>
  <c r="J40" i="25"/>
  <c r="J30" i="25"/>
  <c r="J34" i="25"/>
  <c r="J31" i="25"/>
  <c r="J39" i="25"/>
  <c r="J42" i="25"/>
  <c r="J38" i="25"/>
  <c r="J41" i="25"/>
  <c r="I91" i="25"/>
  <c r="I99" i="25"/>
  <c r="I94" i="25"/>
  <c r="I100" i="25"/>
  <c r="I104" i="25"/>
  <c r="I102" i="25"/>
  <c r="I97" i="25"/>
  <c r="I68" i="25"/>
  <c r="I73" i="25"/>
  <c r="I89" i="25"/>
  <c r="K2" i="25"/>
  <c r="I84" i="25"/>
  <c r="I82" i="25"/>
  <c r="I106" i="25"/>
  <c r="I101" i="25"/>
  <c r="I81" i="25"/>
  <c r="I80" i="25"/>
  <c r="I77" i="25"/>
  <c r="I74" i="25"/>
  <c r="I83" i="25"/>
  <c r="I87" i="25"/>
  <c r="I105" i="25"/>
  <c r="I69" i="25"/>
  <c r="I76" i="25"/>
  <c r="I78" i="25"/>
  <c r="I71" i="25"/>
  <c r="H85" i="25"/>
  <c r="H90" i="25"/>
  <c r="I79" i="25"/>
  <c r="I72" i="25"/>
  <c r="I70" i="25"/>
  <c r="I75" i="25"/>
  <c r="I92" i="25"/>
  <c r="I95" i="25"/>
  <c r="I98" i="25"/>
  <c r="I93" i="25"/>
  <c r="I18" i="25" l="1"/>
  <c r="J100" i="25"/>
  <c r="J95" i="25"/>
  <c r="J101" i="25"/>
  <c r="J97" i="25"/>
  <c r="J102" i="25"/>
  <c r="J91" i="25"/>
  <c r="J6" i="25" s="1"/>
  <c r="I16" i="25"/>
  <c r="I17" i="25"/>
  <c r="I7" i="25"/>
  <c r="I15" i="25"/>
  <c r="I6" i="25"/>
  <c r="I14" i="25"/>
  <c r="I13" i="25"/>
  <c r="J77" i="25"/>
  <c r="J73" i="25"/>
  <c r="J80" i="25"/>
  <c r="K44" i="25"/>
  <c r="K45" i="25"/>
  <c r="K46" i="25"/>
  <c r="K47" i="25"/>
  <c r="K48" i="25"/>
  <c r="K49" i="25"/>
  <c r="K27" i="25"/>
  <c r="K43" i="25"/>
  <c r="K4" i="25" s="1"/>
  <c r="K5" i="25" s="1"/>
  <c r="K26" i="25"/>
  <c r="K50" i="25"/>
  <c r="K51" i="25"/>
  <c r="K52" i="25"/>
  <c r="K53" i="25"/>
  <c r="K54" i="25"/>
  <c r="K55" i="25"/>
  <c r="K56" i="25"/>
  <c r="K57" i="25"/>
  <c r="K58" i="25"/>
  <c r="K59" i="25"/>
  <c r="K60" i="25"/>
  <c r="K61" i="25"/>
  <c r="K62" i="25"/>
  <c r="K63" i="25"/>
  <c r="K64" i="25"/>
  <c r="K30" i="25"/>
  <c r="K34" i="25"/>
  <c r="K38" i="25"/>
  <c r="K28" i="25"/>
  <c r="K29" i="25"/>
  <c r="K33" i="25"/>
  <c r="K37" i="25"/>
  <c r="K36" i="25"/>
  <c r="K41" i="25"/>
  <c r="K31" i="25"/>
  <c r="K35" i="25"/>
  <c r="K40" i="25"/>
  <c r="K32" i="25"/>
  <c r="K39" i="25"/>
  <c r="K42" i="25"/>
  <c r="I88" i="25"/>
  <c r="J78" i="25"/>
  <c r="J96" i="25"/>
  <c r="J93" i="25"/>
  <c r="J104" i="25"/>
  <c r="J92" i="25"/>
  <c r="J105" i="25"/>
  <c r="J68" i="25"/>
  <c r="J106" i="25"/>
  <c r="J89" i="25"/>
  <c r="J82" i="25"/>
  <c r="J74" i="25"/>
  <c r="J84" i="25"/>
  <c r="J72" i="25"/>
  <c r="J83" i="25"/>
  <c r="J99" i="25"/>
  <c r="J7" i="25" s="1"/>
  <c r="J94" i="25"/>
  <c r="I90" i="25"/>
  <c r="I85" i="25"/>
  <c r="J70" i="25"/>
  <c r="J81" i="25"/>
  <c r="L2" i="25"/>
  <c r="J75" i="25"/>
  <c r="J69" i="25"/>
  <c r="J71" i="25"/>
  <c r="J76" i="25"/>
  <c r="J79" i="25"/>
  <c r="J103" i="25"/>
  <c r="J98" i="25"/>
  <c r="I86" i="25"/>
  <c r="J8" i="25" l="1"/>
  <c r="I19" i="25"/>
  <c r="I8" i="25"/>
  <c r="K101" i="25"/>
  <c r="L43" i="25"/>
  <c r="L4" i="25" s="1"/>
  <c r="L5" i="25" s="1"/>
  <c r="L44" i="25"/>
  <c r="L45" i="25"/>
  <c r="L46" i="25"/>
  <c r="L47" i="25"/>
  <c r="L48" i="25"/>
  <c r="L49" i="25"/>
  <c r="L28" i="25"/>
  <c r="L31" i="25"/>
  <c r="L35" i="25"/>
  <c r="L39" i="25"/>
  <c r="L50" i="25"/>
  <c r="L51" i="25"/>
  <c r="L52" i="25"/>
  <c r="L53" i="25"/>
  <c r="L54" i="25"/>
  <c r="L55" i="25"/>
  <c r="L56" i="25"/>
  <c r="L57" i="25"/>
  <c r="L58" i="25"/>
  <c r="L59" i="25"/>
  <c r="L60" i="25"/>
  <c r="L61" i="25"/>
  <c r="L62" i="25"/>
  <c r="L63" i="25"/>
  <c r="L64" i="25"/>
  <c r="L30" i="25"/>
  <c r="L34" i="25"/>
  <c r="L38" i="25"/>
  <c r="L29" i="25"/>
  <c r="L37" i="25"/>
  <c r="L42" i="25"/>
  <c r="L32" i="25"/>
  <c r="L36" i="25"/>
  <c r="L41" i="25"/>
  <c r="L26" i="25"/>
  <c r="L27" i="25"/>
  <c r="L33" i="25"/>
  <c r="L40" i="25"/>
  <c r="K97" i="25"/>
  <c r="K104" i="25"/>
  <c r="K95" i="25"/>
  <c r="K93" i="25"/>
  <c r="K78" i="25"/>
  <c r="K72" i="25"/>
  <c r="K84" i="25"/>
  <c r="J87" i="25"/>
  <c r="K75" i="25"/>
  <c r="K76" i="25"/>
  <c r="K70" i="25"/>
  <c r="K81" i="25"/>
  <c r="K88" i="25"/>
  <c r="K98" i="25"/>
  <c r="K92" i="25"/>
  <c r="K83" i="25"/>
  <c r="K99" i="25"/>
  <c r="K7" i="25" s="1"/>
  <c r="J86" i="25"/>
  <c r="K68" i="25"/>
  <c r="K82" i="25"/>
  <c r="K74" i="25"/>
  <c r="K69" i="25"/>
  <c r="K106" i="25"/>
  <c r="K94" i="25"/>
  <c r="K102" i="25"/>
  <c r="K96" i="25"/>
  <c r="K103" i="25"/>
  <c r="K71" i="25"/>
  <c r="K77" i="25"/>
  <c r="J85" i="25"/>
  <c r="J90" i="25"/>
  <c r="M2" i="25"/>
  <c r="K79" i="25"/>
  <c r="K73" i="25"/>
  <c r="K80" i="25"/>
  <c r="K105" i="25"/>
  <c r="K100" i="25"/>
  <c r="K91" i="25"/>
  <c r="K6" i="25" s="1"/>
  <c r="J88" i="25"/>
  <c r="M43" i="25" l="1"/>
  <c r="M4" i="25" s="1"/>
  <c r="M5" i="25" s="1"/>
  <c r="M50" i="25"/>
  <c r="M51" i="25"/>
  <c r="M52" i="25"/>
  <c r="M53" i="25"/>
  <c r="M54" i="25"/>
  <c r="M55" i="25"/>
  <c r="M56" i="25"/>
  <c r="M57" i="25"/>
  <c r="M58" i="25"/>
  <c r="M59" i="25"/>
  <c r="M60" i="25"/>
  <c r="M61" i="25"/>
  <c r="M62" i="25"/>
  <c r="M63" i="25"/>
  <c r="M64" i="25"/>
  <c r="M49" i="25"/>
  <c r="M45" i="25"/>
  <c r="M47" i="25"/>
  <c r="M32" i="25"/>
  <c r="M36" i="25"/>
  <c r="M31" i="25"/>
  <c r="M35" i="25"/>
  <c r="M46" i="25"/>
  <c r="M30" i="25"/>
  <c r="M38" i="25"/>
  <c r="M39" i="25"/>
  <c r="M26" i="25"/>
  <c r="M27" i="25"/>
  <c r="M33" i="25"/>
  <c r="M40" i="25"/>
  <c r="M29" i="25"/>
  <c r="M37" i="25"/>
  <c r="M42" i="25"/>
  <c r="M44" i="25"/>
  <c r="M48" i="25"/>
  <c r="M28" i="25"/>
  <c r="M34" i="25"/>
  <c r="M41" i="25"/>
  <c r="K8" i="25"/>
  <c r="L78" i="25"/>
  <c r="L77" i="25"/>
  <c r="L74" i="25"/>
  <c r="L81" i="25"/>
  <c r="K89" i="25"/>
  <c r="L105" i="25"/>
  <c r="L96" i="25"/>
  <c r="K87" i="25"/>
  <c r="L68" i="25"/>
  <c r="L80" i="25"/>
  <c r="L71" i="25"/>
  <c r="L73" i="25"/>
  <c r="L79" i="25"/>
  <c r="L91" i="25"/>
  <c r="L6" i="25" s="1"/>
  <c r="L87" i="25"/>
  <c r="L93" i="25"/>
  <c r="L84" i="25"/>
  <c r="L72" i="25"/>
  <c r="L95" i="25"/>
  <c r="L75" i="25"/>
  <c r="N2" i="25"/>
  <c r="L83" i="25"/>
  <c r="L99" i="25"/>
  <c r="L7" i="25" s="1"/>
  <c r="L94" i="25"/>
  <c r="L97" i="25"/>
  <c r="L88" i="25"/>
  <c r="L104" i="25"/>
  <c r="L76" i="25"/>
  <c r="L69" i="25"/>
  <c r="L82" i="25"/>
  <c r="L70" i="25"/>
  <c r="L98" i="25"/>
  <c r="L102" i="25"/>
  <c r="L103" i="25"/>
  <c r="L101" i="25"/>
  <c r="L92" i="25"/>
  <c r="K85" i="25"/>
  <c r="K90" i="25"/>
  <c r="L106" i="25"/>
  <c r="L100" i="25"/>
  <c r="K86" i="25"/>
  <c r="M93" i="25" l="1"/>
  <c r="M69" i="25"/>
  <c r="M98" i="25"/>
  <c r="M94" i="25"/>
  <c r="M74" i="25"/>
  <c r="M70" i="25"/>
  <c r="N43" i="25"/>
  <c r="N4" i="25" s="1"/>
  <c r="N5" i="25" s="1"/>
  <c r="N50" i="25"/>
  <c r="N51" i="25"/>
  <c r="N52" i="25"/>
  <c r="N26" i="25"/>
  <c r="N53" i="25"/>
  <c r="N54" i="25"/>
  <c r="N55" i="25"/>
  <c r="N56" i="25"/>
  <c r="N57" i="25"/>
  <c r="N58" i="25"/>
  <c r="N59" i="25"/>
  <c r="N60" i="25"/>
  <c r="N61" i="25"/>
  <c r="N62" i="25"/>
  <c r="N63" i="25"/>
  <c r="N64" i="25"/>
  <c r="N27" i="25"/>
  <c r="N29" i="25"/>
  <c r="N33" i="25"/>
  <c r="N37" i="25"/>
  <c r="N45" i="25"/>
  <c r="N47" i="25"/>
  <c r="N32" i="25"/>
  <c r="N36" i="25"/>
  <c r="N31" i="25"/>
  <c r="N40" i="25"/>
  <c r="N42" i="25"/>
  <c r="N48" i="25"/>
  <c r="N34" i="25"/>
  <c r="N41" i="25"/>
  <c r="N46" i="25"/>
  <c r="N30" i="25"/>
  <c r="N38" i="25"/>
  <c r="N39" i="25"/>
  <c r="N49" i="25"/>
  <c r="N35" i="25"/>
  <c r="N44" i="25"/>
  <c r="N28" i="25"/>
  <c r="M91" i="25"/>
  <c r="M6" i="25" s="1"/>
  <c r="M80" i="25"/>
  <c r="M75" i="25"/>
  <c r="M99" i="25"/>
  <c r="M7" i="25" s="1"/>
  <c r="L8" i="25"/>
  <c r="M77" i="25"/>
  <c r="M83" i="25"/>
  <c r="M96" i="25"/>
  <c r="M103" i="25"/>
  <c r="M95" i="25"/>
  <c r="M92" i="25"/>
  <c r="M100" i="25"/>
  <c r="M82" i="25"/>
  <c r="M84" i="25"/>
  <c r="M72" i="25"/>
  <c r="M87" i="25"/>
  <c r="M104" i="25"/>
  <c r="M102" i="25"/>
  <c r="M97" i="25"/>
  <c r="L85" i="25"/>
  <c r="L90" i="25"/>
  <c r="M68" i="25"/>
  <c r="M79" i="25"/>
  <c r="O2" i="25"/>
  <c r="M106" i="25"/>
  <c r="M101" i="25"/>
  <c r="L86" i="25"/>
  <c r="L89" i="25"/>
  <c r="M73" i="25"/>
  <c r="M76" i="25"/>
  <c r="M81" i="25"/>
  <c r="M71" i="25"/>
  <c r="M78" i="25"/>
  <c r="M105" i="25"/>
  <c r="N77" i="25" l="1"/>
  <c r="N81" i="25"/>
  <c r="N71" i="25"/>
  <c r="N95" i="25"/>
  <c r="N91" i="25"/>
  <c r="N6" i="25" s="1"/>
  <c r="N105" i="25"/>
  <c r="N96" i="25"/>
  <c r="N93" i="25"/>
  <c r="O44" i="25"/>
  <c r="O45" i="25"/>
  <c r="O46" i="25"/>
  <c r="O47" i="25"/>
  <c r="O48" i="25"/>
  <c r="O49" i="25"/>
  <c r="O27" i="25"/>
  <c r="O50" i="25"/>
  <c r="O51" i="25"/>
  <c r="O52" i="25"/>
  <c r="O26" i="25"/>
  <c r="O43" i="25"/>
  <c r="O4" i="25" s="1"/>
  <c r="O5" i="25" s="1"/>
  <c r="O28" i="25"/>
  <c r="O30" i="25"/>
  <c r="O34" i="25"/>
  <c r="O38" i="25"/>
  <c r="O29" i="25"/>
  <c r="O33" i="25"/>
  <c r="O37" i="25"/>
  <c r="O32" i="25"/>
  <c r="O41" i="25"/>
  <c r="O35" i="25"/>
  <c r="O42" i="25"/>
  <c r="O31" i="25"/>
  <c r="O40" i="25"/>
  <c r="O53" i="25"/>
  <c r="O54" i="25"/>
  <c r="O55" i="25"/>
  <c r="O56" i="25"/>
  <c r="O57" i="25"/>
  <c r="O58" i="25"/>
  <c r="O59" i="25"/>
  <c r="O60" i="25"/>
  <c r="O61" i="25"/>
  <c r="O62" i="25"/>
  <c r="O63" i="25"/>
  <c r="O64" i="25"/>
  <c r="O36" i="25"/>
  <c r="O39" i="25"/>
  <c r="M8" i="25"/>
  <c r="M89" i="25"/>
  <c r="M88" i="25"/>
  <c r="N84" i="25"/>
  <c r="N78" i="25"/>
  <c r="N70" i="25"/>
  <c r="N69" i="25"/>
  <c r="N76" i="25"/>
  <c r="N83" i="25"/>
  <c r="N75" i="25"/>
  <c r="N74" i="25"/>
  <c r="N92" i="25"/>
  <c r="N101" i="25"/>
  <c r="N97" i="25"/>
  <c r="N99" i="25"/>
  <c r="N7" i="25" s="1"/>
  <c r="N100" i="25"/>
  <c r="N72" i="25"/>
  <c r="N79" i="25"/>
  <c r="N104" i="25"/>
  <c r="N103" i="25"/>
  <c r="N98" i="25"/>
  <c r="N89" i="25"/>
  <c r="N102" i="25"/>
  <c r="M90" i="25"/>
  <c r="M85" i="25"/>
  <c r="P2" i="25"/>
  <c r="N73" i="25"/>
  <c r="N80" i="25"/>
  <c r="N106" i="25"/>
  <c r="M86" i="25"/>
  <c r="N87" i="25"/>
  <c r="N68" i="25"/>
  <c r="N82" i="25"/>
  <c r="N94" i="25"/>
  <c r="O84" i="25" l="1"/>
  <c r="O71" i="25"/>
  <c r="O76" i="25"/>
  <c r="N8" i="25"/>
  <c r="O83" i="25"/>
  <c r="O77" i="25"/>
  <c r="O94" i="25"/>
  <c r="O72" i="25"/>
  <c r="P44" i="25"/>
  <c r="P45" i="25"/>
  <c r="P46" i="25"/>
  <c r="P47" i="25"/>
  <c r="P48" i="25"/>
  <c r="P49" i="25"/>
  <c r="P28" i="25"/>
  <c r="P26" i="25"/>
  <c r="P31" i="25"/>
  <c r="P35" i="25"/>
  <c r="P39" i="25"/>
  <c r="P43" i="25"/>
  <c r="P4" i="25" s="1"/>
  <c r="P5" i="25" s="1"/>
  <c r="P27" i="25"/>
  <c r="P30" i="25"/>
  <c r="P34" i="25"/>
  <c r="P38" i="25"/>
  <c r="P50" i="25"/>
  <c r="P52" i="25"/>
  <c r="P33" i="25"/>
  <c r="P42" i="25"/>
  <c r="P36" i="25"/>
  <c r="P32" i="25"/>
  <c r="P41" i="25"/>
  <c r="P51" i="25"/>
  <c r="P29" i="25"/>
  <c r="P37" i="25"/>
  <c r="P40" i="25"/>
  <c r="P53" i="25"/>
  <c r="P54" i="25"/>
  <c r="P55" i="25"/>
  <c r="P56" i="25"/>
  <c r="P57" i="25"/>
  <c r="P58" i="25"/>
  <c r="P59" i="25"/>
  <c r="P60" i="25"/>
  <c r="P61" i="25"/>
  <c r="P62" i="25"/>
  <c r="P63" i="25"/>
  <c r="P64" i="25"/>
  <c r="O70" i="25"/>
  <c r="O78" i="25"/>
  <c r="Q2" i="25"/>
  <c r="O101" i="25"/>
  <c r="O103" i="25"/>
  <c r="N90" i="25"/>
  <c r="N85" i="25"/>
  <c r="O99" i="25"/>
  <c r="O7" i="25" s="1"/>
  <c r="O102" i="25"/>
  <c r="O96" i="25"/>
  <c r="O82" i="25"/>
  <c r="O75" i="25"/>
  <c r="O74" i="25"/>
  <c r="O69" i="25"/>
  <c r="O97" i="25"/>
  <c r="O105" i="25"/>
  <c r="O106" i="25"/>
  <c r="O100" i="25"/>
  <c r="O91" i="25"/>
  <c r="O6" i="25" s="1"/>
  <c r="N86" i="25"/>
  <c r="O92" i="25"/>
  <c r="O98" i="25"/>
  <c r="O68" i="25"/>
  <c r="O79" i="25"/>
  <c r="O81" i="25"/>
  <c r="O73" i="25"/>
  <c r="O80" i="25"/>
  <c r="O93" i="25"/>
  <c r="O104" i="25"/>
  <c r="O95" i="25"/>
  <c r="N88" i="25"/>
  <c r="P91" i="25" l="1"/>
  <c r="P6" i="25" s="1"/>
  <c r="P94" i="25"/>
  <c r="O8" i="25"/>
  <c r="Q43" i="25"/>
  <c r="Q4" i="25" s="1"/>
  <c r="Q5" i="25" s="1"/>
  <c r="Q50" i="25"/>
  <c r="Q51" i="25"/>
  <c r="Q52" i="25"/>
  <c r="Q44" i="25"/>
  <c r="Q45" i="25"/>
  <c r="Q46" i="25"/>
  <c r="Q47" i="25"/>
  <c r="Q48" i="25"/>
  <c r="Q53" i="25"/>
  <c r="Q54" i="25"/>
  <c r="Q55" i="25"/>
  <c r="Q56" i="25"/>
  <c r="Q57" i="25"/>
  <c r="Q58" i="25"/>
  <c r="Q59" i="25"/>
  <c r="Q60" i="25"/>
  <c r="Q61" i="25"/>
  <c r="Q62" i="25"/>
  <c r="Q63" i="25"/>
  <c r="Q64" i="25"/>
  <c r="Q32" i="25"/>
  <c r="Q36" i="25"/>
  <c r="Q26" i="25"/>
  <c r="Q28" i="25"/>
  <c r="Q31" i="25"/>
  <c r="Q35" i="25"/>
  <c r="Q27" i="25"/>
  <c r="Q34" i="25"/>
  <c r="Q37" i="25"/>
  <c r="Q39" i="25"/>
  <c r="Q33" i="25"/>
  <c r="Q42" i="25"/>
  <c r="Q30" i="25"/>
  <c r="Q38" i="25"/>
  <c r="Q41" i="25"/>
  <c r="Q49" i="25"/>
  <c r="Q29" i="25"/>
  <c r="Q40" i="25"/>
  <c r="P92" i="25"/>
  <c r="P98" i="25"/>
  <c r="P106" i="25"/>
  <c r="P101" i="25"/>
  <c r="O85" i="25"/>
  <c r="O90" i="25"/>
  <c r="P86" i="25"/>
  <c r="P80" i="25"/>
  <c r="P74" i="25"/>
  <c r="P95" i="25"/>
  <c r="P99" i="25"/>
  <c r="P7" i="25" s="1"/>
  <c r="P105" i="25"/>
  <c r="P96" i="25"/>
  <c r="P70" i="25"/>
  <c r="O86" i="25"/>
  <c r="O89" i="25"/>
  <c r="O87" i="25"/>
  <c r="P75" i="25"/>
  <c r="O88" i="25"/>
  <c r="P73" i="25"/>
  <c r="P76" i="25"/>
  <c r="P79" i="25"/>
  <c r="R2" i="25"/>
  <c r="P83" i="25"/>
  <c r="P102" i="25"/>
  <c r="P93" i="25"/>
  <c r="P84" i="25"/>
  <c r="P100" i="25"/>
  <c r="P68" i="25"/>
  <c r="P78" i="25"/>
  <c r="P69" i="25"/>
  <c r="P72" i="25"/>
  <c r="P77" i="25"/>
  <c r="P82" i="25"/>
  <c r="P71" i="25"/>
  <c r="P81" i="25"/>
  <c r="P103" i="25"/>
  <c r="P97" i="25"/>
  <c r="P104" i="25"/>
  <c r="P8" i="25" l="1"/>
  <c r="Q92" i="25"/>
  <c r="Q103" i="25"/>
  <c r="Q73" i="25"/>
  <c r="Q69" i="25"/>
  <c r="R43" i="25"/>
  <c r="R4" i="25" s="1"/>
  <c r="R5" i="25" s="1"/>
  <c r="R44" i="25"/>
  <c r="R45" i="25"/>
  <c r="R46" i="25"/>
  <c r="R47" i="25"/>
  <c r="R48" i="25"/>
  <c r="R49" i="25"/>
  <c r="R26" i="25"/>
  <c r="R53" i="25"/>
  <c r="R54" i="25"/>
  <c r="R55" i="25"/>
  <c r="R56" i="25"/>
  <c r="R57" i="25"/>
  <c r="R58" i="25"/>
  <c r="R59" i="25"/>
  <c r="R60" i="25"/>
  <c r="R61" i="25"/>
  <c r="R62" i="25"/>
  <c r="R63" i="25"/>
  <c r="R64" i="25"/>
  <c r="R29" i="25"/>
  <c r="R33" i="25"/>
  <c r="R37" i="25"/>
  <c r="R32" i="25"/>
  <c r="R36" i="25"/>
  <c r="R28" i="25"/>
  <c r="R35" i="25"/>
  <c r="R39" i="25"/>
  <c r="R40" i="25"/>
  <c r="R51" i="25"/>
  <c r="R38" i="25"/>
  <c r="R50" i="25"/>
  <c r="R52" i="25"/>
  <c r="R27" i="25"/>
  <c r="R34" i="25"/>
  <c r="R31" i="25"/>
  <c r="R42" i="25"/>
  <c r="R30" i="25"/>
  <c r="R41" i="25"/>
  <c r="Q70" i="25"/>
  <c r="Q100" i="25"/>
  <c r="Q94" i="25"/>
  <c r="Q91" i="25"/>
  <c r="Q6" i="25" s="1"/>
  <c r="Q96" i="25"/>
  <c r="Q99" i="25"/>
  <c r="Q7" i="25" s="1"/>
  <c r="Q104" i="25"/>
  <c r="Q76" i="25"/>
  <c r="Q77" i="25"/>
  <c r="Q80" i="25"/>
  <c r="Q83" i="25"/>
  <c r="Q74" i="25"/>
  <c r="Q71" i="25"/>
  <c r="Q84" i="25"/>
  <c r="Q95" i="25"/>
  <c r="Q102" i="25"/>
  <c r="Q97" i="25"/>
  <c r="P87" i="25"/>
  <c r="Q68" i="25"/>
  <c r="Q75" i="25"/>
  <c r="Q106" i="25"/>
  <c r="Q101" i="25"/>
  <c r="P85" i="25"/>
  <c r="P90" i="25"/>
  <c r="Q72" i="25"/>
  <c r="Q79" i="25"/>
  <c r="Q78" i="25"/>
  <c r="Q105" i="25"/>
  <c r="P88" i="25"/>
  <c r="S2" i="25"/>
  <c r="Q81" i="25"/>
  <c r="Q82" i="25"/>
  <c r="Q87" i="25"/>
  <c r="Q98" i="25"/>
  <c r="Q93" i="25"/>
  <c r="P89" i="25"/>
  <c r="R73" i="25" l="1"/>
  <c r="R81" i="25"/>
  <c r="R93" i="25"/>
  <c r="R74" i="25"/>
  <c r="R78" i="25"/>
  <c r="R92" i="25"/>
  <c r="R96" i="25"/>
  <c r="R100" i="25"/>
  <c r="R97" i="25"/>
  <c r="R95" i="25"/>
  <c r="R91" i="25"/>
  <c r="R6" i="25" s="1"/>
  <c r="R69" i="25"/>
  <c r="R80" i="25"/>
  <c r="Q8" i="25"/>
  <c r="R70" i="25"/>
  <c r="R71" i="25"/>
  <c r="R82" i="25"/>
  <c r="S44" i="25"/>
  <c r="S45" i="25"/>
  <c r="S46" i="25"/>
  <c r="S47" i="25"/>
  <c r="S48" i="25"/>
  <c r="S49" i="25"/>
  <c r="S43" i="25"/>
  <c r="S4" i="25" s="1"/>
  <c r="S5" i="25" s="1"/>
  <c r="S50" i="25"/>
  <c r="S51" i="25"/>
  <c r="S52" i="25"/>
  <c r="S27" i="25"/>
  <c r="S26" i="25"/>
  <c r="S68" i="25" s="1"/>
  <c r="S53" i="25"/>
  <c r="S54" i="25"/>
  <c r="S55" i="25"/>
  <c r="S56" i="25"/>
  <c r="S57" i="25"/>
  <c r="S58" i="25"/>
  <c r="S59" i="25"/>
  <c r="S60" i="25"/>
  <c r="S61" i="25"/>
  <c r="S62" i="25"/>
  <c r="S63" i="25"/>
  <c r="S64" i="25"/>
  <c r="S30" i="25"/>
  <c r="S34" i="25"/>
  <c r="S38" i="25"/>
  <c r="S29" i="25"/>
  <c r="S33" i="25"/>
  <c r="S37" i="25"/>
  <c r="S36" i="25"/>
  <c r="S41" i="25"/>
  <c r="S28" i="25"/>
  <c r="S35" i="25"/>
  <c r="S39" i="25"/>
  <c r="S40" i="25"/>
  <c r="S32" i="25"/>
  <c r="S31" i="25"/>
  <c r="S42" i="25"/>
  <c r="R75" i="25"/>
  <c r="R79" i="25"/>
  <c r="Q89" i="25"/>
  <c r="R99" i="25"/>
  <c r="R7" i="25" s="1"/>
  <c r="R104" i="25"/>
  <c r="R101" i="25"/>
  <c r="R94" i="25"/>
  <c r="R105" i="25"/>
  <c r="Q90" i="25"/>
  <c r="Q85" i="25"/>
  <c r="R68" i="25"/>
  <c r="R84" i="25"/>
  <c r="R103" i="25"/>
  <c r="R98" i="25"/>
  <c r="R83" i="25"/>
  <c r="R72" i="25"/>
  <c r="R89" i="25"/>
  <c r="R102" i="25"/>
  <c r="Q86" i="25"/>
  <c r="R77" i="25"/>
  <c r="R88" i="25"/>
  <c r="R76" i="25"/>
  <c r="R106" i="25"/>
  <c r="Q88" i="25"/>
  <c r="S70" i="25" l="1"/>
  <c r="S71" i="25"/>
  <c r="S69" i="25"/>
  <c r="S79" i="25"/>
  <c r="R8" i="25"/>
  <c r="S75" i="25"/>
  <c r="T43" i="25"/>
  <c r="T4" i="25" s="1"/>
  <c r="T5" i="25" s="1"/>
  <c r="T28" i="25"/>
  <c r="T44" i="25"/>
  <c r="T45" i="25"/>
  <c r="T46" i="25"/>
  <c r="T47" i="25"/>
  <c r="T48" i="25"/>
  <c r="T49" i="25"/>
  <c r="T50" i="25"/>
  <c r="T51" i="25"/>
  <c r="T52" i="25"/>
  <c r="T27" i="25"/>
  <c r="T31" i="25"/>
  <c r="T35" i="25"/>
  <c r="T39" i="25"/>
  <c r="T53" i="25"/>
  <c r="T54" i="25"/>
  <c r="T55" i="25"/>
  <c r="T56" i="25"/>
  <c r="T57" i="25"/>
  <c r="T58" i="25"/>
  <c r="T59" i="25"/>
  <c r="T60" i="25"/>
  <c r="T61" i="25"/>
  <c r="T62" i="25"/>
  <c r="T63" i="25"/>
  <c r="T64" i="25"/>
  <c r="T30" i="25"/>
  <c r="T34" i="25"/>
  <c r="T38" i="25"/>
  <c r="T26" i="25"/>
  <c r="T29" i="25"/>
  <c r="T37" i="25"/>
  <c r="T42" i="25"/>
  <c r="T36" i="25"/>
  <c r="T41" i="25"/>
  <c r="T33" i="25"/>
  <c r="T40" i="25"/>
  <c r="T32" i="25"/>
  <c r="X43" i="25"/>
  <c r="X4" i="25" s="1"/>
  <c r="X5" i="25" s="1"/>
  <c r="X49" i="25"/>
  <c r="X50" i="25"/>
  <c r="X51" i="25"/>
  <c r="X52" i="25"/>
  <c r="X44" i="25"/>
  <c r="X46" i="25"/>
  <c r="X48" i="25"/>
  <c r="X26" i="25"/>
  <c r="X31" i="25"/>
  <c r="X35" i="25"/>
  <c r="X39" i="25"/>
  <c r="X30" i="25"/>
  <c r="X34" i="25"/>
  <c r="X38" i="25"/>
  <c r="X47" i="25"/>
  <c r="X33" i="25"/>
  <c r="X42" i="25"/>
  <c r="X28" i="25"/>
  <c r="X53" i="25"/>
  <c r="X54" i="25"/>
  <c r="X55" i="25"/>
  <c r="X56" i="25"/>
  <c r="X57" i="25"/>
  <c r="X58" i="25"/>
  <c r="X59" i="25"/>
  <c r="X60" i="25"/>
  <c r="X61" i="25"/>
  <c r="X62" i="25"/>
  <c r="X63" i="25"/>
  <c r="X64" i="25"/>
  <c r="X32" i="25"/>
  <c r="X41" i="25"/>
  <c r="X45" i="25"/>
  <c r="X29" i="25"/>
  <c r="X37" i="25"/>
  <c r="X40" i="25"/>
  <c r="X27" i="25"/>
  <c r="X36" i="25"/>
  <c r="S101" i="25"/>
  <c r="S93" i="25"/>
  <c r="S72" i="25"/>
  <c r="S78" i="25"/>
  <c r="S82" i="25"/>
  <c r="S94" i="25"/>
  <c r="S102" i="25"/>
  <c r="S92" i="25"/>
  <c r="S83" i="25"/>
  <c r="S99" i="25"/>
  <c r="S89" i="25"/>
  <c r="S84" i="25"/>
  <c r="S105" i="25"/>
  <c r="S96" i="25"/>
  <c r="S103" i="25"/>
  <c r="R85" i="25"/>
  <c r="R90" i="25"/>
  <c r="S73" i="25"/>
  <c r="S97" i="25"/>
  <c r="S106" i="25"/>
  <c r="S100" i="25"/>
  <c r="S91" i="25"/>
  <c r="S6" i="25" s="1"/>
  <c r="Y2" i="25"/>
  <c r="AC2" i="25"/>
  <c r="R86" i="25"/>
  <c r="R87" i="25"/>
  <c r="U2" i="25"/>
  <c r="S81" i="25"/>
  <c r="S74" i="25"/>
  <c r="S76" i="25"/>
  <c r="S77" i="25"/>
  <c r="S80" i="25"/>
  <c r="S98" i="25"/>
  <c r="S88" i="25"/>
  <c r="S104" i="25"/>
  <c r="S95" i="25"/>
  <c r="X105" i="25" l="1"/>
  <c r="T104" i="25"/>
  <c r="X91" i="25"/>
  <c r="X6" i="25" s="1"/>
  <c r="X102" i="25"/>
  <c r="X94" i="25"/>
  <c r="AC43" i="25"/>
  <c r="AC4" i="25" s="1"/>
  <c r="AC5" i="25" s="1"/>
  <c r="AC49" i="25"/>
  <c r="AC50" i="25"/>
  <c r="AC51" i="25"/>
  <c r="AC52" i="25"/>
  <c r="AC44" i="25"/>
  <c r="AC45" i="25"/>
  <c r="AC46" i="25"/>
  <c r="AC47" i="25"/>
  <c r="AC48" i="25"/>
  <c r="AC53" i="25"/>
  <c r="AC54" i="25"/>
  <c r="AC55" i="25"/>
  <c r="AC56" i="25"/>
  <c r="AC57" i="25"/>
  <c r="AC58" i="25"/>
  <c r="AC59" i="25"/>
  <c r="AC60" i="25"/>
  <c r="AC61" i="25"/>
  <c r="AC62" i="25"/>
  <c r="AC63" i="25"/>
  <c r="AC64" i="25"/>
  <c r="AC28" i="25"/>
  <c r="AC32" i="25"/>
  <c r="AC36" i="25"/>
  <c r="AC31" i="25"/>
  <c r="AC35" i="25"/>
  <c r="AC30" i="25"/>
  <c r="AC38" i="25"/>
  <c r="AC39" i="25"/>
  <c r="AC41" i="25"/>
  <c r="AC33" i="25"/>
  <c r="AC40" i="25"/>
  <c r="AC27" i="25"/>
  <c r="AC29" i="25"/>
  <c r="AC37" i="25"/>
  <c r="AC42" i="25"/>
  <c r="AC34" i="25"/>
  <c r="AC26" i="25"/>
  <c r="Y43" i="25"/>
  <c r="Y4" i="25" s="1"/>
  <c r="Y5" i="25" s="1"/>
  <c r="Y49" i="25"/>
  <c r="Y50" i="25"/>
  <c r="Y51" i="25"/>
  <c r="Y52" i="25"/>
  <c r="Y53" i="25"/>
  <c r="Y54" i="25"/>
  <c r="Y55" i="25"/>
  <c r="Y56" i="25"/>
  <c r="Y57" i="25"/>
  <c r="Y58" i="25"/>
  <c r="Y59" i="25"/>
  <c r="Y60" i="25"/>
  <c r="Y61" i="25"/>
  <c r="Y62" i="25"/>
  <c r="Y63" i="25"/>
  <c r="Y64" i="25"/>
  <c r="Y27" i="25"/>
  <c r="Y28" i="25"/>
  <c r="Y32" i="25"/>
  <c r="Y36" i="25"/>
  <c r="Y44" i="25"/>
  <c r="Y46" i="25"/>
  <c r="Y48" i="25"/>
  <c r="Y26" i="25"/>
  <c r="Y31" i="25"/>
  <c r="Y35" i="25"/>
  <c r="Y34" i="25"/>
  <c r="Y45" i="25"/>
  <c r="Y29" i="25"/>
  <c r="Y47" i="25"/>
  <c r="Y33" i="25"/>
  <c r="Y39" i="25"/>
  <c r="Y42" i="25"/>
  <c r="Y30" i="25"/>
  <c r="Y38" i="25"/>
  <c r="Y41" i="25"/>
  <c r="Y37" i="25"/>
  <c r="Y40" i="25"/>
  <c r="J16" i="25"/>
  <c r="U43" i="25"/>
  <c r="U4" i="25" s="1"/>
  <c r="U5" i="25" s="1"/>
  <c r="U44" i="25"/>
  <c r="U45" i="25"/>
  <c r="U46" i="25"/>
  <c r="U47" i="25"/>
  <c r="U48" i="25"/>
  <c r="U49" i="25"/>
  <c r="U50" i="25"/>
  <c r="U51" i="25"/>
  <c r="U52" i="25"/>
  <c r="U53" i="25"/>
  <c r="U54" i="25"/>
  <c r="U55" i="25"/>
  <c r="U56" i="25"/>
  <c r="U57" i="25"/>
  <c r="U58" i="25"/>
  <c r="U59" i="25"/>
  <c r="U60" i="25"/>
  <c r="U61" i="25"/>
  <c r="U62" i="25"/>
  <c r="U63" i="25"/>
  <c r="U64" i="25"/>
  <c r="U28" i="25"/>
  <c r="U32" i="25"/>
  <c r="U36" i="25"/>
  <c r="U27" i="25"/>
  <c r="U31" i="25"/>
  <c r="U35" i="25"/>
  <c r="U30" i="25"/>
  <c r="U38" i="25"/>
  <c r="U41" i="25"/>
  <c r="U40" i="25"/>
  <c r="U26" i="25"/>
  <c r="U29" i="25"/>
  <c r="U37" i="25"/>
  <c r="U42" i="25"/>
  <c r="U34" i="25"/>
  <c r="U39" i="25"/>
  <c r="U33" i="25"/>
  <c r="J15" i="25"/>
  <c r="S7" i="25"/>
  <c r="S8" i="25" s="1"/>
  <c r="T91" i="25"/>
  <c r="T6" i="25" s="1"/>
  <c r="T94" i="25"/>
  <c r="T97" i="25"/>
  <c r="T102" i="25"/>
  <c r="X96" i="25"/>
  <c r="X75" i="25"/>
  <c r="X82" i="25"/>
  <c r="J17" i="25"/>
  <c r="T103" i="25"/>
  <c r="T68" i="25"/>
  <c r="T75" i="25"/>
  <c r="T72" i="25"/>
  <c r="T73" i="25"/>
  <c r="T89" i="25"/>
  <c r="T70" i="25"/>
  <c r="T95" i="25"/>
  <c r="T99" i="25"/>
  <c r="T7" i="25" s="1"/>
  <c r="T106" i="25"/>
  <c r="T101" i="25"/>
  <c r="T92" i="25"/>
  <c r="X68" i="25"/>
  <c r="X69" i="25"/>
  <c r="X78" i="25"/>
  <c r="X71" i="25"/>
  <c r="X95" i="25"/>
  <c r="X99" i="25"/>
  <c r="X7" i="25" s="1"/>
  <c r="X93" i="25"/>
  <c r="X84" i="25"/>
  <c r="X100" i="25"/>
  <c r="J18" i="25"/>
  <c r="T105" i="25"/>
  <c r="T96" i="25"/>
  <c r="X72" i="25"/>
  <c r="X79" i="25"/>
  <c r="X80" i="25"/>
  <c r="X70" i="25"/>
  <c r="X77" i="25"/>
  <c r="X103" i="25"/>
  <c r="X97" i="25"/>
  <c r="X88" i="25"/>
  <c r="X104" i="25"/>
  <c r="S85" i="25"/>
  <c r="S90" i="25"/>
  <c r="T82" i="25"/>
  <c r="T80" i="25"/>
  <c r="AD2" i="25"/>
  <c r="X89" i="25"/>
  <c r="T76" i="25"/>
  <c r="Z2" i="25"/>
  <c r="V2" i="25"/>
  <c r="T69" i="25"/>
  <c r="T74" i="25"/>
  <c r="T81" i="25"/>
  <c r="T98" i="25"/>
  <c r="T79" i="25"/>
  <c r="T71" i="25"/>
  <c r="T77" i="25"/>
  <c r="T78" i="25"/>
  <c r="T83" i="25"/>
  <c r="T93" i="25"/>
  <c r="T84" i="25"/>
  <c r="T100" i="25"/>
  <c r="X83" i="25"/>
  <c r="X76" i="25"/>
  <c r="AH2" i="25"/>
  <c r="X73" i="25"/>
  <c r="X74" i="25"/>
  <c r="X81" i="25"/>
  <c r="X98" i="25"/>
  <c r="X106" i="25"/>
  <c r="X101" i="25"/>
  <c r="X92" i="25"/>
  <c r="J13" i="25"/>
  <c r="J14" i="25"/>
  <c r="S87" i="25"/>
  <c r="S86" i="25"/>
  <c r="X8" i="25" l="1"/>
  <c r="AC91" i="25"/>
  <c r="AC6" i="25" s="1"/>
  <c r="AC92" i="25"/>
  <c r="U92" i="25"/>
  <c r="U99" i="25"/>
  <c r="U7" i="25" s="1"/>
  <c r="U73" i="25"/>
  <c r="Y99" i="25"/>
  <c r="Y7" i="25" s="1"/>
  <c r="Y77" i="25"/>
  <c r="Y73" i="25"/>
  <c r="AC95" i="25"/>
  <c r="V44" i="25"/>
  <c r="V45" i="25"/>
  <c r="V46" i="25"/>
  <c r="V47" i="25"/>
  <c r="V48" i="25"/>
  <c r="V26" i="25"/>
  <c r="V43" i="25"/>
  <c r="V4" i="25" s="1"/>
  <c r="V5" i="25" s="1"/>
  <c r="V53" i="25"/>
  <c r="V54" i="25"/>
  <c r="V55" i="25"/>
  <c r="V56" i="25"/>
  <c r="V57" i="25"/>
  <c r="V58" i="25"/>
  <c r="V59" i="25"/>
  <c r="V60" i="25"/>
  <c r="V61" i="25"/>
  <c r="V62" i="25"/>
  <c r="V63" i="25"/>
  <c r="V64" i="25"/>
  <c r="V49" i="25"/>
  <c r="V50" i="25"/>
  <c r="V51" i="25"/>
  <c r="V52" i="25"/>
  <c r="V29" i="25"/>
  <c r="V33" i="25"/>
  <c r="V37" i="25"/>
  <c r="V28" i="25"/>
  <c r="V32" i="25"/>
  <c r="V36" i="25"/>
  <c r="V31" i="25"/>
  <c r="V40" i="25"/>
  <c r="V42" i="25"/>
  <c r="V41" i="25"/>
  <c r="V30" i="25"/>
  <c r="V38" i="25"/>
  <c r="V27" i="25"/>
  <c r="V35" i="25"/>
  <c r="V34" i="25"/>
  <c r="V39" i="25"/>
  <c r="AD43" i="25"/>
  <c r="AD4" i="25" s="1"/>
  <c r="AD5" i="25" s="1"/>
  <c r="AD49" i="25"/>
  <c r="AD50" i="25"/>
  <c r="AD51" i="25"/>
  <c r="AD52" i="25"/>
  <c r="AD26" i="25"/>
  <c r="AD44" i="25"/>
  <c r="AD45" i="25"/>
  <c r="AD46" i="25"/>
  <c r="AD47" i="25"/>
  <c r="AD48" i="25"/>
  <c r="AD53" i="25"/>
  <c r="AD54" i="25"/>
  <c r="AD55" i="25"/>
  <c r="AD56" i="25"/>
  <c r="AD57" i="25"/>
  <c r="AD58" i="25"/>
  <c r="AD59" i="25"/>
  <c r="AD60" i="25"/>
  <c r="AD61" i="25"/>
  <c r="AD62" i="25"/>
  <c r="AD63" i="25"/>
  <c r="AD64" i="25"/>
  <c r="AD27" i="25"/>
  <c r="AD29" i="25"/>
  <c r="AD33" i="25"/>
  <c r="AD37" i="25"/>
  <c r="AD28" i="25"/>
  <c r="AD32" i="25"/>
  <c r="AD36" i="25"/>
  <c r="AD31" i="25"/>
  <c r="AD40" i="25"/>
  <c r="AD42" i="25"/>
  <c r="AD34" i="25"/>
  <c r="AD41" i="25"/>
  <c r="AD30" i="25"/>
  <c r="AD38" i="25"/>
  <c r="AD39" i="25"/>
  <c r="AD35" i="25"/>
  <c r="Y84" i="25"/>
  <c r="T8" i="25"/>
  <c r="AH43" i="25"/>
  <c r="AH4" i="25" s="1"/>
  <c r="AH5" i="25" s="1"/>
  <c r="AH26" i="25"/>
  <c r="AH53" i="25"/>
  <c r="AH54" i="25"/>
  <c r="AH55" i="25"/>
  <c r="AH56" i="25"/>
  <c r="AH57" i="25"/>
  <c r="AH58" i="25"/>
  <c r="AH59" i="25"/>
  <c r="AH60" i="25"/>
  <c r="AH61" i="25"/>
  <c r="AH62" i="25"/>
  <c r="AH63" i="25"/>
  <c r="AH64" i="25"/>
  <c r="AH45" i="25"/>
  <c r="AH47" i="25"/>
  <c r="AH29" i="25"/>
  <c r="AH33" i="25"/>
  <c r="AH37" i="25"/>
  <c r="AH49" i="25"/>
  <c r="AH50" i="25"/>
  <c r="AH51" i="25"/>
  <c r="AH52" i="25"/>
  <c r="AH28" i="25"/>
  <c r="AH32" i="25"/>
  <c r="AH36" i="25"/>
  <c r="AH44" i="25"/>
  <c r="AH35" i="25"/>
  <c r="AH40" i="25"/>
  <c r="AH27" i="25"/>
  <c r="AH38" i="25"/>
  <c r="AH48" i="25"/>
  <c r="AH34" i="25"/>
  <c r="AH39" i="25"/>
  <c r="AH46" i="25"/>
  <c r="AH31" i="25"/>
  <c r="AH42" i="25"/>
  <c r="AH30" i="25"/>
  <c r="AH41" i="25"/>
  <c r="Z44" i="25"/>
  <c r="Z45" i="25"/>
  <c r="Z46" i="25"/>
  <c r="Z47" i="25"/>
  <c r="Z48" i="25"/>
  <c r="Z26" i="25"/>
  <c r="Z49" i="25"/>
  <c r="Z50" i="25"/>
  <c r="Z51" i="25"/>
  <c r="Z52" i="25"/>
  <c r="Z53" i="25"/>
  <c r="Z54" i="25"/>
  <c r="Z55" i="25"/>
  <c r="Z56" i="25"/>
  <c r="Z57" i="25"/>
  <c r="Z58" i="25"/>
  <c r="Z59" i="25"/>
  <c r="Z60" i="25"/>
  <c r="Z61" i="25"/>
  <c r="Z62" i="25"/>
  <c r="Z63" i="25"/>
  <c r="Z64" i="25"/>
  <c r="Z29" i="25"/>
  <c r="Z33" i="25"/>
  <c r="Z37" i="25"/>
  <c r="Z27" i="25"/>
  <c r="Z28" i="25"/>
  <c r="Z32" i="25"/>
  <c r="Z36" i="25"/>
  <c r="Z43" i="25"/>
  <c r="Z4" i="25" s="1"/>
  <c r="Z5" i="25" s="1"/>
  <c r="Z35" i="25"/>
  <c r="Z40" i="25"/>
  <c r="Z30" i="25"/>
  <c r="Z34" i="25"/>
  <c r="Z31" i="25"/>
  <c r="Z39" i="25"/>
  <c r="Z42" i="25"/>
  <c r="Z38" i="25"/>
  <c r="Z41" i="25"/>
  <c r="Y69" i="25"/>
  <c r="J19" i="25"/>
  <c r="T87" i="25"/>
  <c r="U103" i="25"/>
  <c r="U94" i="25"/>
  <c r="U105" i="25"/>
  <c r="Y95" i="25"/>
  <c r="U95" i="25"/>
  <c r="U96" i="25"/>
  <c r="U100" i="25"/>
  <c r="U98" i="25"/>
  <c r="U93" i="25"/>
  <c r="Y96" i="25"/>
  <c r="Y91" i="25"/>
  <c r="Y6" i="25" s="1"/>
  <c r="AC99" i="25"/>
  <c r="AC7" i="25" s="1"/>
  <c r="AC94" i="25"/>
  <c r="AC105" i="25"/>
  <c r="U80" i="25"/>
  <c r="U77" i="25"/>
  <c r="U76" i="25"/>
  <c r="U84" i="25"/>
  <c r="U71" i="25"/>
  <c r="U82" i="25"/>
  <c r="U83" i="25"/>
  <c r="Y72" i="25"/>
  <c r="Y80" i="25"/>
  <c r="Y83" i="25"/>
  <c r="Y94" i="25"/>
  <c r="Y105" i="25"/>
  <c r="T86" i="25"/>
  <c r="AC96" i="25"/>
  <c r="U91" i="25"/>
  <c r="U6" i="25" s="1"/>
  <c r="T88" i="25"/>
  <c r="AC68" i="25"/>
  <c r="AC71" i="25"/>
  <c r="AC73" i="25"/>
  <c r="AC76" i="25"/>
  <c r="AC74" i="25"/>
  <c r="AC75" i="25"/>
  <c r="AC82" i="25"/>
  <c r="AC103" i="25"/>
  <c r="AC100" i="25"/>
  <c r="AC98" i="25"/>
  <c r="AC93" i="25"/>
  <c r="U79" i="25"/>
  <c r="U72" i="25"/>
  <c r="U75" i="25"/>
  <c r="U88" i="25"/>
  <c r="U104" i="25"/>
  <c r="U102" i="25"/>
  <c r="U97" i="25"/>
  <c r="Y79" i="25"/>
  <c r="Y76" i="25"/>
  <c r="AI2" i="25"/>
  <c r="Y92" i="25"/>
  <c r="Y104" i="25"/>
  <c r="Y98" i="25"/>
  <c r="Y93" i="25"/>
  <c r="X85" i="25"/>
  <c r="X90" i="25"/>
  <c r="AC69" i="25"/>
  <c r="Y86" i="25"/>
  <c r="AC70" i="25"/>
  <c r="AC89" i="25"/>
  <c r="AC80" i="25"/>
  <c r="AC72" i="25"/>
  <c r="AC77" i="25"/>
  <c r="AC87" i="25"/>
  <c r="AC84" i="25"/>
  <c r="AC104" i="25"/>
  <c r="AC102" i="25"/>
  <c r="AC97" i="25"/>
  <c r="U69" i="25"/>
  <c r="U74" i="25"/>
  <c r="U81" i="25"/>
  <c r="W2" i="25"/>
  <c r="U87" i="25"/>
  <c r="U106" i="25"/>
  <c r="U101" i="25"/>
  <c r="Y74" i="25"/>
  <c r="Y81" i="25"/>
  <c r="Y70" i="25"/>
  <c r="Y71" i="25"/>
  <c r="Y78" i="25"/>
  <c r="Y100" i="25"/>
  <c r="Y103" i="25"/>
  <c r="Y102" i="25"/>
  <c r="Y97" i="25"/>
  <c r="X86" i="25"/>
  <c r="T85" i="25"/>
  <c r="T90" i="25"/>
  <c r="AC78" i="25"/>
  <c r="AC79" i="25"/>
  <c r="AC81" i="25"/>
  <c r="AC83" i="25"/>
  <c r="AM2" i="25"/>
  <c r="AC88" i="25"/>
  <c r="AC106" i="25"/>
  <c r="AC101" i="25"/>
  <c r="U68" i="25"/>
  <c r="U70" i="25"/>
  <c r="AA2" i="25"/>
  <c r="AE2" i="25"/>
  <c r="U78" i="25"/>
  <c r="U89" i="25"/>
  <c r="Y68" i="25"/>
  <c r="Y75" i="25"/>
  <c r="Y82" i="25"/>
  <c r="Y106" i="25"/>
  <c r="Y101" i="25"/>
  <c r="X87" i="25"/>
  <c r="AC8" i="25" l="1"/>
  <c r="V100" i="25"/>
  <c r="V96" i="25"/>
  <c r="Z101" i="25"/>
  <c r="Z97" i="25"/>
  <c r="AD81" i="25"/>
  <c r="AD78" i="25"/>
  <c r="Z80" i="25"/>
  <c r="Z69" i="25"/>
  <c r="U8" i="25"/>
  <c r="Z70" i="25"/>
  <c r="V93" i="25"/>
  <c r="V105" i="25"/>
  <c r="AH80" i="25"/>
  <c r="AD97" i="25"/>
  <c r="V77" i="25"/>
  <c r="Y8" i="25"/>
  <c r="AD74" i="25"/>
  <c r="AD105" i="25"/>
  <c r="AH97" i="25"/>
  <c r="AD71" i="25"/>
  <c r="AD70" i="25"/>
  <c r="AD69" i="25"/>
  <c r="AH100" i="25"/>
  <c r="AH104" i="25"/>
  <c r="AH96" i="25"/>
  <c r="AH101" i="25"/>
  <c r="AD77" i="25"/>
  <c r="AD73" i="25"/>
  <c r="AH92" i="25"/>
  <c r="AD101" i="25"/>
  <c r="AD92" i="25"/>
  <c r="V75" i="25"/>
  <c r="V74" i="25"/>
  <c r="AD91" i="25"/>
  <c r="AD6" i="25" s="1"/>
  <c r="Z74" i="25"/>
  <c r="AH99" i="25"/>
  <c r="AH7" i="25" s="1"/>
  <c r="AD104" i="25"/>
  <c r="AD100" i="25"/>
  <c r="AD96" i="25"/>
  <c r="V95" i="25"/>
  <c r="AD93" i="25"/>
  <c r="Z81" i="25"/>
  <c r="Z77" i="25"/>
  <c r="Z71" i="25"/>
  <c r="AH93" i="25"/>
  <c r="AD95" i="25"/>
  <c r="V70" i="25"/>
  <c r="AE44" i="25"/>
  <c r="AE45" i="25"/>
  <c r="AE46" i="25"/>
  <c r="AE47" i="25"/>
  <c r="AE48" i="25"/>
  <c r="AE43" i="25"/>
  <c r="AE4" i="25" s="1"/>
  <c r="AE5" i="25" s="1"/>
  <c r="AE27" i="25"/>
  <c r="AE49" i="25"/>
  <c r="AE50" i="25"/>
  <c r="AE51" i="25"/>
  <c r="AE52" i="25"/>
  <c r="AE26" i="25"/>
  <c r="AE30" i="25"/>
  <c r="AE34" i="25"/>
  <c r="AE38" i="25"/>
  <c r="AE29" i="25"/>
  <c r="AE33" i="25"/>
  <c r="AE37" i="25"/>
  <c r="AE32" i="25"/>
  <c r="AE41" i="25"/>
  <c r="AE35" i="25"/>
  <c r="AE42" i="25"/>
  <c r="AE31" i="25"/>
  <c r="AE40" i="25"/>
  <c r="AE53" i="25"/>
  <c r="AE54" i="25"/>
  <c r="AE55" i="25"/>
  <c r="AE56" i="25"/>
  <c r="AE57" i="25"/>
  <c r="AE58" i="25"/>
  <c r="AE59" i="25"/>
  <c r="AE60" i="25"/>
  <c r="AE61" i="25"/>
  <c r="AE62" i="25"/>
  <c r="AE63" i="25"/>
  <c r="AE64" i="25"/>
  <c r="AE28" i="25"/>
  <c r="AE36" i="25"/>
  <c r="AE39" i="25"/>
  <c r="AM44" i="25"/>
  <c r="AM45" i="25"/>
  <c r="AM46" i="25"/>
  <c r="AM47" i="25"/>
  <c r="AM48" i="25"/>
  <c r="AM43" i="25"/>
  <c r="AM4" i="25" s="1"/>
  <c r="AM5" i="25" s="1"/>
  <c r="AM27" i="25"/>
  <c r="AM26" i="25"/>
  <c r="AM30" i="25"/>
  <c r="AM34" i="25"/>
  <c r="AM38" i="25"/>
  <c r="AM29" i="25"/>
  <c r="AM33" i="25"/>
  <c r="AM37" i="25"/>
  <c r="AM53" i="25"/>
  <c r="AM54" i="25"/>
  <c r="AM55" i="25"/>
  <c r="AM56" i="25"/>
  <c r="AM57" i="25"/>
  <c r="AM58" i="25"/>
  <c r="AM59" i="25"/>
  <c r="AM60" i="25"/>
  <c r="AM61" i="25"/>
  <c r="AM62" i="25"/>
  <c r="AM63" i="25"/>
  <c r="AM64" i="25"/>
  <c r="AM32" i="25"/>
  <c r="AM41" i="25"/>
  <c r="AM49" i="25"/>
  <c r="AM42" i="25"/>
  <c r="AM50" i="25"/>
  <c r="AM52" i="25"/>
  <c r="AM31" i="25"/>
  <c r="AM40" i="25"/>
  <c r="AM28" i="25"/>
  <c r="AM36" i="25"/>
  <c r="AM39" i="25"/>
  <c r="AM51" i="25"/>
  <c r="AM35" i="25"/>
  <c r="AI44" i="25"/>
  <c r="AI45" i="25"/>
  <c r="AI46" i="25"/>
  <c r="AI47" i="25"/>
  <c r="AI48" i="25"/>
  <c r="AI43" i="25"/>
  <c r="AI4" i="25" s="1"/>
  <c r="AI5" i="25" s="1"/>
  <c r="AI49" i="25"/>
  <c r="AI50" i="25"/>
  <c r="AI51" i="25"/>
  <c r="AI52" i="25"/>
  <c r="AI27" i="25"/>
  <c r="AI26" i="25"/>
  <c r="AI53" i="25"/>
  <c r="AI54" i="25"/>
  <c r="AI55" i="25"/>
  <c r="AI56" i="25"/>
  <c r="AI57" i="25"/>
  <c r="AI58" i="25"/>
  <c r="AI59" i="25"/>
  <c r="AI60" i="25"/>
  <c r="AI61" i="25"/>
  <c r="AI62" i="25"/>
  <c r="AI63" i="25"/>
  <c r="AI64" i="25"/>
  <c r="AI30" i="25"/>
  <c r="AI34" i="25"/>
  <c r="AI38" i="25"/>
  <c r="AI29" i="25"/>
  <c r="AI33" i="25"/>
  <c r="AI37" i="25"/>
  <c r="AI28" i="25"/>
  <c r="AI36" i="25"/>
  <c r="AI41" i="25"/>
  <c r="AI35" i="25"/>
  <c r="AI40" i="25"/>
  <c r="AI32" i="25"/>
  <c r="AI39" i="25"/>
  <c r="AI31" i="25"/>
  <c r="AI42" i="25"/>
  <c r="AA44" i="25"/>
  <c r="AA45" i="25"/>
  <c r="AA46" i="25"/>
  <c r="AA47" i="25"/>
  <c r="AA48" i="25"/>
  <c r="AA27" i="25"/>
  <c r="AA26" i="25"/>
  <c r="AA53" i="25"/>
  <c r="AA54" i="25"/>
  <c r="AA55" i="25"/>
  <c r="AA56" i="25"/>
  <c r="AA57" i="25"/>
  <c r="AA58" i="25"/>
  <c r="AA59" i="25"/>
  <c r="AA60" i="25"/>
  <c r="AA61" i="25"/>
  <c r="AA62" i="25"/>
  <c r="AA63" i="25"/>
  <c r="AA64" i="25"/>
  <c r="AA30" i="25"/>
  <c r="AA34" i="25"/>
  <c r="AA38" i="25"/>
  <c r="AA29" i="25"/>
  <c r="AA33" i="25"/>
  <c r="AA37" i="25"/>
  <c r="AA49" i="25"/>
  <c r="AA51" i="25"/>
  <c r="AA28" i="25"/>
  <c r="AA36" i="25"/>
  <c r="AA41" i="25"/>
  <c r="AA31" i="25"/>
  <c r="AA39" i="25"/>
  <c r="AA43" i="25"/>
  <c r="AA4" i="25" s="1"/>
  <c r="AA5" i="25" s="1"/>
  <c r="AA35" i="25"/>
  <c r="AA40" i="25"/>
  <c r="AA50" i="25"/>
  <c r="AA52" i="25"/>
  <c r="AA32" i="25"/>
  <c r="AA42" i="25"/>
  <c r="W44" i="25"/>
  <c r="W45" i="25"/>
  <c r="W46" i="25"/>
  <c r="W47" i="25"/>
  <c r="W48" i="25"/>
  <c r="W43" i="25"/>
  <c r="W4" i="25" s="1"/>
  <c r="W5" i="25" s="1"/>
  <c r="W27" i="25"/>
  <c r="W26" i="25"/>
  <c r="W30" i="25"/>
  <c r="W34" i="25"/>
  <c r="W38" i="25"/>
  <c r="W49" i="25"/>
  <c r="W50" i="25"/>
  <c r="W51" i="25"/>
  <c r="W52" i="25"/>
  <c r="W29" i="25"/>
  <c r="W33" i="25"/>
  <c r="W37" i="25"/>
  <c r="W53" i="25"/>
  <c r="W54" i="25"/>
  <c r="W55" i="25"/>
  <c r="W56" i="25"/>
  <c r="W57" i="25"/>
  <c r="W58" i="25"/>
  <c r="W59" i="25"/>
  <c r="W60" i="25"/>
  <c r="W61" i="25"/>
  <c r="W62" i="25"/>
  <c r="W63" i="25"/>
  <c r="W64" i="25"/>
  <c r="W32" i="25"/>
  <c r="W39" i="25"/>
  <c r="W41" i="25"/>
  <c r="W42" i="25"/>
  <c r="W31" i="25"/>
  <c r="W40" i="25"/>
  <c r="W28" i="25"/>
  <c r="W36" i="25"/>
  <c r="W35" i="25"/>
  <c r="Y87" i="25"/>
  <c r="V92" i="25"/>
  <c r="Z75" i="25"/>
  <c r="Z73" i="25"/>
  <c r="Z78" i="25"/>
  <c r="V82" i="25"/>
  <c r="V71" i="25"/>
  <c r="V76" i="25"/>
  <c r="V79" i="25"/>
  <c r="V104" i="25"/>
  <c r="V103" i="25"/>
  <c r="V98" i="25"/>
  <c r="Z82" i="25"/>
  <c r="Z84" i="25"/>
  <c r="Z72" i="25"/>
  <c r="Z79" i="25"/>
  <c r="AH74" i="25"/>
  <c r="AH69" i="25"/>
  <c r="AH71" i="25"/>
  <c r="AH76" i="25"/>
  <c r="AH91" i="25"/>
  <c r="AH6" i="25" s="1"/>
  <c r="AH82" i="25"/>
  <c r="AH98" i="25"/>
  <c r="V91" i="25"/>
  <c r="V6" i="25" s="1"/>
  <c r="AD75" i="25"/>
  <c r="AD76" i="25"/>
  <c r="AD79" i="25"/>
  <c r="AD103" i="25"/>
  <c r="AD98" i="25"/>
  <c r="AD80" i="25"/>
  <c r="Z106" i="25"/>
  <c r="AB2" i="25"/>
  <c r="AJ2" i="25"/>
  <c r="Z68" i="25"/>
  <c r="Z93" i="25"/>
  <c r="Z83" i="25"/>
  <c r="Z104" i="25"/>
  <c r="Z99" i="25"/>
  <c r="Z7" i="25" s="1"/>
  <c r="Z94" i="25"/>
  <c r="AH81" i="25"/>
  <c r="AH78" i="25"/>
  <c r="AH73" i="25"/>
  <c r="AH83" i="25"/>
  <c r="AH77" i="25"/>
  <c r="AH95" i="25"/>
  <c r="AH102" i="25"/>
  <c r="V73" i="25"/>
  <c r="V69" i="25"/>
  <c r="V81" i="25"/>
  <c r="V84" i="25"/>
  <c r="V87" i="25"/>
  <c r="V102" i="25"/>
  <c r="Y90" i="25"/>
  <c r="Y85" i="25"/>
  <c r="AD83" i="25"/>
  <c r="AD88" i="25"/>
  <c r="AD102" i="25"/>
  <c r="U90" i="25"/>
  <c r="U85" i="25"/>
  <c r="AF2" i="25"/>
  <c r="Z92" i="25"/>
  <c r="Z105" i="25"/>
  <c r="Z103" i="25"/>
  <c r="Z98" i="25"/>
  <c r="AH68" i="25"/>
  <c r="AH79" i="25"/>
  <c r="AH106" i="25"/>
  <c r="V68" i="25"/>
  <c r="V83" i="25"/>
  <c r="V106" i="25"/>
  <c r="AC90" i="25"/>
  <c r="AC85" i="25"/>
  <c r="AD89" i="25"/>
  <c r="AD68" i="25"/>
  <c r="AD82" i="25"/>
  <c r="AD106" i="25"/>
  <c r="U86" i="25"/>
  <c r="Z95" i="25"/>
  <c r="AD87" i="25"/>
  <c r="Z96" i="25"/>
  <c r="Z76" i="25"/>
  <c r="Z100" i="25"/>
  <c r="Z91" i="25"/>
  <c r="Z6" i="25" s="1"/>
  <c r="Z86" i="25"/>
  <c r="Z102" i="25"/>
  <c r="AH70" i="25"/>
  <c r="AH75" i="25"/>
  <c r="AH72" i="25"/>
  <c r="AH84" i="25"/>
  <c r="AH105" i="25"/>
  <c r="AH103" i="25"/>
  <c r="AH94" i="25"/>
  <c r="V80" i="25"/>
  <c r="V78" i="25"/>
  <c r="V72" i="25"/>
  <c r="V101" i="25"/>
  <c r="V97" i="25"/>
  <c r="V99" i="25"/>
  <c r="V7" i="25" s="1"/>
  <c r="V94" i="25"/>
  <c r="AC86" i="25"/>
  <c r="Y88" i="25"/>
  <c r="AD72" i="25"/>
  <c r="AD84" i="25"/>
  <c r="AD99" i="25"/>
  <c r="AD7" i="25" s="1"/>
  <c r="AD94" i="25"/>
  <c r="Y89" i="25"/>
  <c r="AE82" i="25" l="1"/>
  <c r="AI71" i="25"/>
  <c r="AE92" i="25"/>
  <c r="AD8" i="25"/>
  <c r="AE93" i="25"/>
  <c r="AE81" i="25"/>
  <c r="AH8" i="25"/>
  <c r="AE102" i="25"/>
  <c r="V8" i="25"/>
  <c r="Z8" i="25"/>
  <c r="AE77" i="25"/>
  <c r="AF44" i="25"/>
  <c r="AF45" i="25"/>
  <c r="AF46" i="25"/>
  <c r="AF47" i="25"/>
  <c r="AF48" i="25"/>
  <c r="AF43" i="25"/>
  <c r="AF4" i="25" s="1"/>
  <c r="AF5" i="25" s="1"/>
  <c r="AF49" i="25"/>
  <c r="AF50" i="25"/>
  <c r="AF51" i="25"/>
  <c r="AF52" i="25"/>
  <c r="AF26" i="25"/>
  <c r="AF31" i="25"/>
  <c r="AF35" i="25"/>
  <c r="AF27" i="25"/>
  <c r="AF30" i="25"/>
  <c r="AF34" i="25"/>
  <c r="AF38" i="25"/>
  <c r="AF33" i="25"/>
  <c r="AF42" i="25"/>
  <c r="AF53" i="25"/>
  <c r="AF54" i="25"/>
  <c r="AF55" i="25"/>
  <c r="AF56" i="25"/>
  <c r="AF57" i="25"/>
  <c r="AF58" i="25"/>
  <c r="AF59" i="25"/>
  <c r="AF60" i="25"/>
  <c r="AF61" i="25"/>
  <c r="AF62" i="25"/>
  <c r="AF63" i="25"/>
  <c r="AF64" i="25"/>
  <c r="AF36" i="25"/>
  <c r="AF32" i="25"/>
  <c r="AF41" i="25"/>
  <c r="AF29" i="25"/>
  <c r="AF37" i="25"/>
  <c r="AF40" i="25"/>
  <c r="AF28" i="25"/>
  <c r="AF39" i="25"/>
  <c r="AJ48" i="25"/>
  <c r="AJ49" i="25"/>
  <c r="AJ50" i="25"/>
  <c r="AJ51" i="25"/>
  <c r="AJ52" i="25"/>
  <c r="AJ43" i="25"/>
  <c r="AJ4" i="25" s="1"/>
  <c r="AJ5" i="25" s="1"/>
  <c r="AJ27" i="25"/>
  <c r="AJ31" i="25"/>
  <c r="AJ35" i="25"/>
  <c r="AJ45" i="25"/>
  <c r="AJ47" i="25"/>
  <c r="AJ53" i="25"/>
  <c r="AJ54" i="25"/>
  <c r="AJ55" i="25"/>
  <c r="AJ56" i="25"/>
  <c r="AJ57" i="25"/>
  <c r="AJ58" i="25"/>
  <c r="AJ59" i="25"/>
  <c r="AJ60" i="25"/>
  <c r="AJ61" i="25"/>
  <c r="AJ62" i="25"/>
  <c r="AJ63" i="25"/>
  <c r="AJ64" i="25"/>
  <c r="AJ30" i="25"/>
  <c r="AJ34" i="25"/>
  <c r="AJ38" i="25"/>
  <c r="AJ26" i="25"/>
  <c r="AJ29" i="25"/>
  <c r="AJ37" i="25"/>
  <c r="AJ42" i="25"/>
  <c r="AJ39" i="25"/>
  <c r="AJ44" i="25"/>
  <c r="AJ28" i="25"/>
  <c r="AJ36" i="25"/>
  <c r="AJ41" i="25"/>
  <c r="AJ33" i="25"/>
  <c r="AJ40" i="25"/>
  <c r="AJ46" i="25"/>
  <c r="AJ32" i="25"/>
  <c r="AE72" i="25"/>
  <c r="AB43" i="25"/>
  <c r="AB4" i="25" s="1"/>
  <c r="AB5" i="25" s="1"/>
  <c r="AB44" i="25"/>
  <c r="AB45" i="25"/>
  <c r="AB46" i="25"/>
  <c r="AB47" i="25"/>
  <c r="AB48" i="25"/>
  <c r="AB31" i="25"/>
  <c r="AB35" i="25"/>
  <c r="AB39" i="25"/>
  <c r="AB53" i="25"/>
  <c r="AB54" i="25"/>
  <c r="AB55" i="25"/>
  <c r="AB56" i="25"/>
  <c r="AB57" i="25"/>
  <c r="AB58" i="25"/>
  <c r="AB59" i="25"/>
  <c r="AB60" i="25"/>
  <c r="AB61" i="25"/>
  <c r="AB62" i="25"/>
  <c r="AB63" i="25"/>
  <c r="AB64" i="25"/>
  <c r="AB30" i="25"/>
  <c r="AB34" i="25"/>
  <c r="AB38" i="25"/>
  <c r="AB27" i="25"/>
  <c r="AB29" i="25"/>
  <c r="AB37" i="25"/>
  <c r="AB42" i="25"/>
  <c r="AB52" i="25"/>
  <c r="AB32" i="25"/>
  <c r="AB49" i="25"/>
  <c r="AB51" i="25"/>
  <c r="AB28" i="25"/>
  <c r="AB36" i="25"/>
  <c r="AB41" i="25"/>
  <c r="AB26" i="25"/>
  <c r="AB33" i="25"/>
  <c r="AB40" i="25"/>
  <c r="AB50" i="25"/>
  <c r="AA97" i="25"/>
  <c r="AA93" i="25"/>
  <c r="AE94" i="25"/>
  <c r="AM97" i="25"/>
  <c r="AE97" i="25"/>
  <c r="AE105" i="25"/>
  <c r="AM94" i="25"/>
  <c r="AE79" i="25"/>
  <c r="AD86" i="25"/>
  <c r="AI75" i="25"/>
  <c r="AI76" i="25"/>
  <c r="AI82" i="25"/>
  <c r="AI70" i="25"/>
  <c r="W71" i="25"/>
  <c r="W76" i="25"/>
  <c r="W72" i="25"/>
  <c r="W77" i="25"/>
  <c r="AM102" i="25"/>
  <c r="AM92" i="25"/>
  <c r="AM99" i="25"/>
  <c r="AM7" i="25" s="1"/>
  <c r="AA98" i="25"/>
  <c r="AA104" i="25"/>
  <c r="AA95" i="25"/>
  <c r="AE84" i="25"/>
  <c r="AE76" i="25"/>
  <c r="AE80" i="25"/>
  <c r="AE83" i="25"/>
  <c r="AE99" i="25"/>
  <c r="AE7" i="25" s="1"/>
  <c r="AI81" i="25"/>
  <c r="AI79" i="25"/>
  <c r="AI93" i="25"/>
  <c r="AI69" i="25"/>
  <c r="AI101" i="25"/>
  <c r="AI97" i="25"/>
  <c r="AI106" i="25"/>
  <c r="AI100" i="25"/>
  <c r="AI91" i="25"/>
  <c r="AI6" i="25" s="1"/>
  <c r="AA68" i="25"/>
  <c r="AA79" i="25"/>
  <c r="AA73" i="25"/>
  <c r="V85" i="25"/>
  <c r="V90" i="25"/>
  <c r="AH85" i="25"/>
  <c r="AH90" i="25"/>
  <c r="AM68" i="25"/>
  <c r="AM73" i="25"/>
  <c r="AM84" i="25"/>
  <c r="V89" i="25"/>
  <c r="AH87" i="25"/>
  <c r="AH89" i="25"/>
  <c r="AA72" i="25"/>
  <c r="AK2" i="25"/>
  <c r="AA101" i="25"/>
  <c r="AA81" i="25"/>
  <c r="AA94" i="25"/>
  <c r="AA102" i="25"/>
  <c r="AA92" i="25"/>
  <c r="AA83" i="25"/>
  <c r="AA99" i="25"/>
  <c r="AA7" i="25" s="1"/>
  <c r="V86" i="25"/>
  <c r="AH86" i="25"/>
  <c r="AE71" i="25"/>
  <c r="AE70" i="25"/>
  <c r="AE69" i="25"/>
  <c r="AE101" i="25"/>
  <c r="AE96" i="25"/>
  <c r="AE103" i="25"/>
  <c r="AI84" i="25"/>
  <c r="AI74" i="25"/>
  <c r="AI72" i="25"/>
  <c r="AI73" i="25"/>
  <c r="AI80" i="25"/>
  <c r="AI98" i="25"/>
  <c r="AI104" i="25"/>
  <c r="AI95" i="25"/>
  <c r="W75" i="25"/>
  <c r="W70" i="25"/>
  <c r="W81" i="25"/>
  <c r="W79" i="25"/>
  <c r="W98" i="25"/>
  <c r="W93" i="25"/>
  <c r="W104" i="25"/>
  <c r="W95" i="25"/>
  <c r="AM72" i="25"/>
  <c r="AM75" i="25"/>
  <c r="AM77" i="25"/>
  <c r="AM82" i="25"/>
  <c r="AM86" i="25"/>
  <c r="AM105" i="25"/>
  <c r="AM96" i="25"/>
  <c r="AM103" i="25"/>
  <c r="AA89" i="25"/>
  <c r="V88" i="25"/>
  <c r="W87" i="25"/>
  <c r="W91" i="25"/>
  <c r="W6" i="25" s="1"/>
  <c r="AM74" i="25"/>
  <c r="AM80" i="25"/>
  <c r="AM83" i="25"/>
  <c r="AA76" i="25"/>
  <c r="AA71" i="25"/>
  <c r="AA74" i="25"/>
  <c r="AA70" i="25"/>
  <c r="AA80" i="25"/>
  <c r="AA105" i="25"/>
  <c r="AA96" i="25"/>
  <c r="AA103" i="25"/>
  <c r="AE75" i="25"/>
  <c r="AE74" i="25"/>
  <c r="AE73" i="25"/>
  <c r="AE98" i="25"/>
  <c r="AE106" i="25"/>
  <c r="AE100" i="25"/>
  <c r="AE91" i="25"/>
  <c r="AE6" i="25" s="1"/>
  <c r="AI68" i="25"/>
  <c r="AI78" i="25"/>
  <c r="AI77" i="25"/>
  <c r="AI89" i="25"/>
  <c r="AI94" i="25"/>
  <c r="AI102" i="25"/>
  <c r="AI92" i="25"/>
  <c r="AI83" i="25"/>
  <c r="AI99" i="25"/>
  <c r="AI7" i="25" s="1"/>
  <c r="W97" i="25"/>
  <c r="W78" i="25"/>
  <c r="W74" i="25"/>
  <c r="W69" i="25"/>
  <c r="W94" i="25"/>
  <c r="W102" i="25"/>
  <c r="W101" i="25"/>
  <c r="W92" i="25"/>
  <c r="W83" i="25"/>
  <c r="W99" i="25"/>
  <c r="W7" i="25" s="1"/>
  <c r="AM76" i="25"/>
  <c r="AM78" i="25"/>
  <c r="AM81" i="25"/>
  <c r="AM79" i="25"/>
  <c r="AM93" i="25"/>
  <c r="AM106" i="25"/>
  <c r="AM100" i="25"/>
  <c r="AM91" i="25"/>
  <c r="AM6" i="25" s="1"/>
  <c r="AA82" i="25"/>
  <c r="AE86" i="25"/>
  <c r="W106" i="25"/>
  <c r="W100" i="25"/>
  <c r="AM71" i="25"/>
  <c r="AH88" i="25"/>
  <c r="Z85" i="25"/>
  <c r="Z90" i="25"/>
  <c r="Z89" i="25"/>
  <c r="Z88" i="25"/>
  <c r="AA78" i="25"/>
  <c r="AA75" i="25"/>
  <c r="AA77" i="25"/>
  <c r="AA69" i="25"/>
  <c r="AA84" i="25"/>
  <c r="AA106" i="25"/>
  <c r="AA100" i="25"/>
  <c r="AA91" i="25"/>
  <c r="AA6" i="25" s="1"/>
  <c r="AD90" i="25"/>
  <c r="AD85" i="25"/>
  <c r="AE68" i="25"/>
  <c r="AE78" i="25"/>
  <c r="AE88" i="25"/>
  <c r="AE104" i="25"/>
  <c r="AE95" i="25"/>
  <c r="AI105" i="25"/>
  <c r="AI96" i="25"/>
  <c r="AI103" i="25"/>
  <c r="AG2" i="25"/>
  <c r="W68" i="25"/>
  <c r="W82" i="25"/>
  <c r="W73" i="25"/>
  <c r="W80" i="25"/>
  <c r="W84" i="25"/>
  <c r="W105" i="25"/>
  <c r="W96" i="25"/>
  <c r="W103" i="25"/>
  <c r="AM70" i="25"/>
  <c r="AM69" i="25"/>
  <c r="AM98" i="25"/>
  <c r="AM101" i="25"/>
  <c r="AM88" i="25"/>
  <c r="AM104" i="25"/>
  <c r="AM95" i="25"/>
  <c r="Z87" i="25"/>
  <c r="K15" i="25" l="1"/>
  <c r="K17" i="25"/>
  <c r="AF102" i="25"/>
  <c r="AF91" i="25"/>
  <c r="AF6" i="25" s="1"/>
  <c r="AF94" i="25"/>
  <c r="AM8" i="25"/>
  <c r="AK43" i="25"/>
  <c r="AK4" i="25" s="1"/>
  <c r="AK5" i="25" s="1"/>
  <c r="AK44" i="25"/>
  <c r="AK45" i="25"/>
  <c r="AK46" i="25"/>
  <c r="AK47" i="25"/>
  <c r="AK48" i="25"/>
  <c r="AK49" i="25"/>
  <c r="AK50" i="25"/>
  <c r="AK51" i="25"/>
  <c r="AK52" i="25"/>
  <c r="AK53" i="25"/>
  <c r="AK54" i="25"/>
  <c r="AK55" i="25"/>
  <c r="AK56" i="25"/>
  <c r="AK57" i="25"/>
  <c r="AK58" i="25"/>
  <c r="AK59" i="25"/>
  <c r="AK60" i="25"/>
  <c r="AK61" i="25"/>
  <c r="AK62" i="25"/>
  <c r="AK63" i="25"/>
  <c r="AK64" i="25"/>
  <c r="AK28" i="25"/>
  <c r="AK32" i="25"/>
  <c r="AK36" i="25"/>
  <c r="AK27" i="25"/>
  <c r="AK31" i="25"/>
  <c r="AK35" i="25"/>
  <c r="AK30" i="25"/>
  <c r="AK38" i="25"/>
  <c r="AK39" i="25"/>
  <c r="AK41" i="25"/>
  <c r="AK40" i="25"/>
  <c r="AK26" i="25"/>
  <c r="AK29" i="25"/>
  <c r="AK37" i="25"/>
  <c r="AK42" i="25"/>
  <c r="AK34" i="25"/>
  <c r="AK33" i="25"/>
  <c r="W8" i="25"/>
  <c r="AA8" i="25"/>
  <c r="AG43" i="25"/>
  <c r="AG4" i="25" s="1"/>
  <c r="AG5" i="25" s="1"/>
  <c r="AG49" i="25"/>
  <c r="AG50" i="25"/>
  <c r="AG51" i="25"/>
  <c r="AG52" i="25"/>
  <c r="AG44" i="25"/>
  <c r="AG45" i="25"/>
  <c r="AG46" i="25"/>
  <c r="AG47" i="25"/>
  <c r="AG53" i="25"/>
  <c r="AG54" i="25"/>
  <c r="AG55" i="25"/>
  <c r="AG56" i="25"/>
  <c r="AG57" i="25"/>
  <c r="AG58" i="25"/>
  <c r="AG59" i="25"/>
  <c r="AG60" i="25"/>
  <c r="AG61" i="25"/>
  <c r="AG62" i="25"/>
  <c r="AG63" i="25"/>
  <c r="AG64" i="25"/>
  <c r="AG28" i="25"/>
  <c r="AG32" i="25"/>
  <c r="AG36" i="25"/>
  <c r="AG26" i="25"/>
  <c r="AG31" i="25"/>
  <c r="AG35" i="25"/>
  <c r="AG48" i="25"/>
  <c r="AG34" i="25"/>
  <c r="AG39" i="25"/>
  <c r="AG37" i="25"/>
  <c r="AG33" i="25"/>
  <c r="AG42" i="25"/>
  <c r="AG27" i="25"/>
  <c r="AG30" i="25"/>
  <c r="AG38" i="25"/>
  <c r="AG41" i="25"/>
  <c r="AG29" i="25"/>
  <c r="AG40" i="25"/>
  <c r="AE8" i="25"/>
  <c r="AI8" i="25"/>
  <c r="AM89" i="25"/>
  <c r="AM87" i="25"/>
  <c r="AF98" i="25"/>
  <c r="AF95" i="25"/>
  <c r="AF99" i="25"/>
  <c r="AF7" i="25" s="1"/>
  <c r="AJ105" i="25"/>
  <c r="AJ96" i="25"/>
  <c r="AF72" i="25"/>
  <c r="AF69" i="25"/>
  <c r="AF70" i="25"/>
  <c r="AF77" i="25"/>
  <c r="AF93" i="25"/>
  <c r="AF84" i="25"/>
  <c r="AF100" i="25"/>
  <c r="AB72" i="25"/>
  <c r="AB83" i="25"/>
  <c r="AB71" i="25"/>
  <c r="AB79" i="25"/>
  <c r="K18" i="25"/>
  <c r="AF103" i="25"/>
  <c r="AB99" i="25"/>
  <c r="AB7" i="25" s="1"/>
  <c r="AB92" i="25"/>
  <c r="AI85" i="25"/>
  <c r="AI90" i="25"/>
  <c r="W85" i="25"/>
  <c r="W90" i="25"/>
  <c r="AJ69" i="25"/>
  <c r="W89" i="25"/>
  <c r="AB69" i="25"/>
  <c r="AB76" i="25"/>
  <c r="AB95" i="25"/>
  <c r="AB75" i="25"/>
  <c r="AL2" i="25"/>
  <c r="AB77" i="25"/>
  <c r="AB89" i="25"/>
  <c r="AB105" i="25"/>
  <c r="AB96" i="25"/>
  <c r="AI87" i="25"/>
  <c r="AE85" i="25"/>
  <c r="AE90" i="25"/>
  <c r="K13" i="25"/>
  <c r="K14" i="25"/>
  <c r="AI86" i="25"/>
  <c r="W86" i="25"/>
  <c r="AJ73" i="25"/>
  <c r="AJ72" i="25"/>
  <c r="AJ71" i="25"/>
  <c r="AJ70" i="25"/>
  <c r="AJ82" i="25"/>
  <c r="AJ83" i="25"/>
  <c r="AJ94" i="25"/>
  <c r="AJ93" i="25"/>
  <c r="AJ84" i="25"/>
  <c r="AJ100" i="25"/>
  <c r="AM85" i="25"/>
  <c r="AM90" i="25"/>
  <c r="W88" i="25"/>
  <c r="AF76" i="25"/>
  <c r="AF75" i="25"/>
  <c r="AF78" i="25"/>
  <c r="AF74" i="25"/>
  <c r="AF81" i="25"/>
  <c r="AF83" i="25"/>
  <c r="AF97" i="25"/>
  <c r="AF104" i="25"/>
  <c r="AB101" i="25"/>
  <c r="AJ86" i="25"/>
  <c r="AA85" i="25"/>
  <c r="AA90" i="25"/>
  <c r="AB73" i="25"/>
  <c r="AB78" i="25"/>
  <c r="AB98" i="25"/>
  <c r="AB82" i="25"/>
  <c r="AB70" i="25"/>
  <c r="AB81" i="25"/>
  <c r="AB94" i="25"/>
  <c r="AB93" i="25"/>
  <c r="AB84" i="25"/>
  <c r="AB100" i="25"/>
  <c r="K16" i="25"/>
  <c r="AA87" i="25"/>
  <c r="AJ76" i="25"/>
  <c r="AJ75" i="25"/>
  <c r="AJ74" i="25"/>
  <c r="AJ95" i="25"/>
  <c r="AJ91" i="25"/>
  <c r="AJ6" i="25" s="1"/>
  <c r="AJ102" i="25"/>
  <c r="AJ97" i="25"/>
  <c r="AJ104" i="25"/>
  <c r="AF82" i="25"/>
  <c r="AF79" i="25"/>
  <c r="AF80" i="25"/>
  <c r="AF87" i="25"/>
  <c r="AF106" i="25"/>
  <c r="AF101" i="25"/>
  <c r="AF92" i="25"/>
  <c r="AB106" i="25"/>
  <c r="AJ68" i="25"/>
  <c r="AJ80" i="25"/>
  <c r="AJ81" i="25"/>
  <c r="AB68" i="25"/>
  <c r="AB80" i="25"/>
  <c r="AB103" i="25"/>
  <c r="AB87" i="25"/>
  <c r="AB74" i="25"/>
  <c r="AB91" i="25"/>
  <c r="AB6" i="25" s="1"/>
  <c r="AB102" i="25"/>
  <c r="AB97" i="25"/>
  <c r="AB88" i="25"/>
  <c r="AB104" i="25"/>
  <c r="AA88" i="25"/>
  <c r="AJ106" i="25"/>
  <c r="AJ79" i="25"/>
  <c r="AJ98" i="25"/>
  <c r="AJ78" i="25"/>
  <c r="AJ77" i="25"/>
  <c r="AJ99" i="25"/>
  <c r="AJ7" i="25" s="1"/>
  <c r="AJ103" i="25"/>
  <c r="AJ101" i="25"/>
  <c r="AJ92" i="25"/>
  <c r="AA86" i="25"/>
  <c r="AI88" i="25"/>
  <c r="AE87" i="25"/>
  <c r="AE89" i="25"/>
  <c r="AF68" i="25"/>
  <c r="AF73" i="25"/>
  <c r="AF71" i="25"/>
  <c r="AF105" i="25"/>
  <c r="AF96" i="25"/>
  <c r="AF8" i="25" l="1"/>
  <c r="AK103" i="25"/>
  <c r="AK91" i="25"/>
  <c r="AK6" i="25" s="1"/>
  <c r="AG91" i="25"/>
  <c r="AG6" i="25" s="1"/>
  <c r="AG100" i="25"/>
  <c r="AG99" i="25"/>
  <c r="AG7" i="25" s="1"/>
  <c r="AG94" i="25"/>
  <c r="K19" i="25"/>
  <c r="AG104" i="25"/>
  <c r="AG96" i="25"/>
  <c r="AG92" i="25"/>
  <c r="AB8" i="25"/>
  <c r="AJ8" i="25"/>
  <c r="AL44" i="25"/>
  <c r="AL45" i="25"/>
  <c r="AL46" i="25"/>
  <c r="AL47" i="25"/>
  <c r="AL26" i="25"/>
  <c r="AL48" i="25"/>
  <c r="AL53" i="25"/>
  <c r="AL54" i="25"/>
  <c r="AL55" i="25"/>
  <c r="AL56" i="25"/>
  <c r="AL57" i="25"/>
  <c r="AL58" i="25"/>
  <c r="AL59" i="25"/>
  <c r="AL60" i="25"/>
  <c r="AL61" i="25"/>
  <c r="AL62" i="25"/>
  <c r="AL63" i="25"/>
  <c r="AL64" i="25"/>
  <c r="AL29" i="25"/>
  <c r="AL33" i="25"/>
  <c r="AL37" i="25"/>
  <c r="AL43" i="25"/>
  <c r="AL4" i="25" s="1"/>
  <c r="AL5" i="25" s="1"/>
  <c r="AL28" i="25"/>
  <c r="AL32" i="25"/>
  <c r="AL36" i="25"/>
  <c r="AL50" i="25"/>
  <c r="AL52" i="25"/>
  <c r="AL27" i="25"/>
  <c r="AL31" i="25"/>
  <c r="AL40" i="25"/>
  <c r="AL42" i="25"/>
  <c r="AL41" i="25"/>
  <c r="AL30" i="25"/>
  <c r="AL38" i="25"/>
  <c r="AL39" i="25"/>
  <c r="AL49" i="25"/>
  <c r="AL51" i="25"/>
  <c r="AL35" i="25"/>
  <c r="AL34" i="25"/>
  <c r="AK99" i="25"/>
  <c r="AK7" i="25" s="1"/>
  <c r="AK100" i="25"/>
  <c r="AJ88" i="25"/>
  <c r="AK95" i="25"/>
  <c r="AK92" i="25"/>
  <c r="AK96" i="25"/>
  <c r="AK104" i="25"/>
  <c r="AJ89" i="25"/>
  <c r="AG103" i="25"/>
  <c r="AG102" i="25"/>
  <c r="AG97" i="25"/>
  <c r="AJ87" i="25"/>
  <c r="AK98" i="25"/>
  <c r="AK93" i="25"/>
  <c r="AF89" i="25"/>
  <c r="AF86" i="25"/>
  <c r="AK102" i="25"/>
  <c r="AK77" i="25"/>
  <c r="AG77" i="25"/>
  <c r="AK76" i="25"/>
  <c r="AK78" i="25"/>
  <c r="AK83" i="25"/>
  <c r="AK97" i="25"/>
  <c r="AB85" i="25"/>
  <c r="AB90" i="25"/>
  <c r="AG72" i="25"/>
  <c r="AG79" i="25"/>
  <c r="AG78" i="25"/>
  <c r="AG106" i="25"/>
  <c r="AG101" i="25"/>
  <c r="AK80" i="25"/>
  <c r="AK84" i="25"/>
  <c r="AG80" i="25"/>
  <c r="AG75" i="25"/>
  <c r="AK70" i="25"/>
  <c r="AK69" i="25"/>
  <c r="AK79" i="25"/>
  <c r="AK72" i="25"/>
  <c r="AK87" i="25"/>
  <c r="AK106" i="25"/>
  <c r="AK101" i="25"/>
  <c r="AB86" i="25"/>
  <c r="AG69" i="25"/>
  <c r="AG74" i="25"/>
  <c r="AG70" i="25"/>
  <c r="AG81" i="25"/>
  <c r="AG82" i="25"/>
  <c r="AG87" i="25"/>
  <c r="AG105" i="25"/>
  <c r="AK68" i="25"/>
  <c r="AK75" i="25"/>
  <c r="AG68" i="25"/>
  <c r="AF85" i="25"/>
  <c r="AF90" i="25"/>
  <c r="AK74" i="25"/>
  <c r="AK73" i="25"/>
  <c r="AK82" i="25"/>
  <c r="AK81" i="25"/>
  <c r="AK71" i="25"/>
  <c r="AK88" i="25"/>
  <c r="AK94" i="25"/>
  <c r="AK89" i="25"/>
  <c r="AK105" i="25"/>
  <c r="AJ85" i="25"/>
  <c r="AJ90" i="25"/>
  <c r="AF88" i="25"/>
  <c r="AG73" i="25"/>
  <c r="AG76" i="25"/>
  <c r="AG71" i="25"/>
  <c r="AG83" i="25"/>
  <c r="AG84" i="25"/>
  <c r="AG95" i="25"/>
  <c r="AG98" i="25"/>
  <c r="AG93" i="25"/>
  <c r="AK8" i="25" l="1"/>
  <c r="AG8" i="25"/>
  <c r="AL80" i="25"/>
  <c r="AL93" i="25"/>
  <c r="AL105" i="25"/>
  <c r="AL104" i="25"/>
  <c r="AL74" i="25"/>
  <c r="AL83" i="25"/>
  <c r="AL75" i="25"/>
  <c r="AL71" i="25"/>
  <c r="AL95" i="25"/>
  <c r="AL77" i="25"/>
  <c r="AG89" i="25"/>
  <c r="AL100" i="25"/>
  <c r="AL96" i="25"/>
  <c r="AL91" i="25"/>
  <c r="AL6" i="25" s="1"/>
  <c r="AL92" i="25"/>
  <c r="AL101" i="25"/>
  <c r="AL97" i="25"/>
  <c r="AL99" i="25"/>
  <c r="AL7" i="25" s="1"/>
  <c r="AL73" i="25"/>
  <c r="AL69" i="25"/>
  <c r="AL81" i="25"/>
  <c r="AL84" i="25"/>
  <c r="AL82" i="25"/>
  <c r="AL98" i="25"/>
  <c r="AG90" i="25"/>
  <c r="AG85" i="25"/>
  <c r="AL68" i="25"/>
  <c r="AL102" i="25"/>
  <c r="AK90" i="25"/>
  <c r="AK85" i="25"/>
  <c r="AG88" i="25"/>
  <c r="AG86" i="25"/>
  <c r="AL72" i="25"/>
  <c r="AL106" i="25"/>
  <c r="AK86" i="25"/>
  <c r="AL70" i="25"/>
  <c r="AL78" i="25"/>
  <c r="AL76" i="25"/>
  <c r="AL79" i="25"/>
  <c r="AL103" i="25"/>
  <c r="AL94" i="25"/>
  <c r="AL8" i="25" l="1"/>
  <c r="AL85" i="25"/>
  <c r="AL90" i="25"/>
  <c r="AL86" i="25"/>
  <c r="AL88" i="25"/>
  <c r="AL87" i="25"/>
  <c r="AL89" i="25"/>
  <c r="E2" i="14" l="1"/>
  <c r="F2" i="14" s="1"/>
  <c r="G2" i="14" s="1"/>
  <c r="H2" i="14" l="1"/>
  <c r="G11" i="14"/>
  <c r="G7" i="14"/>
  <c r="G10" i="14"/>
  <c r="G6" i="14"/>
  <c r="G9" i="14"/>
  <c r="G5" i="14"/>
  <c r="G8" i="14"/>
  <c r="G15" i="14"/>
  <c r="E50" i="13"/>
  <c r="E46" i="13"/>
  <c r="E41" i="13"/>
  <c r="E37" i="13"/>
  <c r="E35" i="13"/>
  <c r="E49" i="13"/>
  <c r="E51" i="13"/>
  <c r="E47" i="13"/>
  <c r="E42" i="13"/>
  <c r="E38" i="13"/>
  <c r="E40" i="13"/>
  <c r="E52" i="13"/>
  <c r="E48" i="13"/>
  <c r="E43" i="13"/>
  <c r="E39" i="13"/>
  <c r="E44" i="13"/>
  <c r="E34" i="13"/>
  <c r="E11" i="13"/>
  <c r="E15" i="13"/>
  <c r="E20" i="13"/>
  <c r="E24" i="13"/>
  <c r="E12" i="13"/>
  <c r="E16" i="13"/>
  <c r="E21" i="13"/>
  <c r="E25" i="13"/>
  <c r="E8" i="13"/>
  <c r="E13" i="13"/>
  <c r="E17" i="13"/>
  <c r="E22" i="13"/>
  <c r="E26" i="13"/>
  <c r="E9" i="13"/>
  <c r="E14" i="13"/>
  <c r="E18" i="13"/>
  <c r="E23" i="13"/>
  <c r="F5" i="13"/>
  <c r="E5" i="14"/>
  <c r="E4" i="14"/>
  <c r="E33" i="13" l="1"/>
  <c r="G5" i="13"/>
  <c r="G44" i="13" s="1"/>
  <c r="F9" i="31"/>
  <c r="G19" i="14"/>
  <c r="G21" i="14"/>
  <c r="G16" i="14"/>
  <c r="G18" i="14"/>
  <c r="G20" i="14"/>
  <c r="G22" i="14"/>
  <c r="G17" i="14"/>
  <c r="I2" i="14"/>
  <c r="H15" i="14"/>
  <c r="H8" i="14"/>
  <c r="H7" i="14"/>
  <c r="H11" i="14"/>
  <c r="H6" i="14"/>
  <c r="H10" i="14"/>
  <c r="H5" i="14"/>
  <c r="H9" i="14"/>
  <c r="F51" i="13"/>
  <c r="F47" i="13"/>
  <c r="F42" i="13"/>
  <c r="F38" i="13"/>
  <c r="F41" i="13"/>
  <c r="F37" i="13"/>
  <c r="F35" i="13"/>
  <c r="F52" i="13"/>
  <c r="F48" i="13"/>
  <c r="F43" i="13"/>
  <c r="F39" i="13"/>
  <c r="F40" i="13"/>
  <c r="F34" i="13"/>
  <c r="F49" i="13"/>
  <c r="F44" i="13"/>
  <c r="F50" i="13"/>
  <c r="F46" i="13"/>
  <c r="E36" i="13"/>
  <c r="E45" i="13"/>
  <c r="E6" i="14"/>
  <c r="E17" i="14" s="1"/>
  <c r="E11" i="14"/>
  <c r="E22" i="14" s="1"/>
  <c r="E7" i="14"/>
  <c r="E18" i="14" s="1"/>
  <c r="E8" i="14"/>
  <c r="E19" i="14" s="1"/>
  <c r="F10" i="14"/>
  <c r="E9" i="14"/>
  <c r="E20" i="14" s="1"/>
  <c r="E10" i="14"/>
  <c r="E21" i="14" s="1"/>
  <c r="J14" i="16"/>
  <c r="H17" i="16"/>
  <c r="H14" i="16"/>
  <c r="I14" i="16"/>
  <c r="D9" i="31" s="1"/>
  <c r="K13" i="16"/>
  <c r="I17" i="16"/>
  <c r="J13" i="16"/>
  <c r="J15" i="16"/>
  <c r="K19" i="16"/>
  <c r="H19" i="16"/>
  <c r="E7" i="13"/>
  <c r="E19" i="13"/>
  <c r="E10" i="13"/>
  <c r="E16" i="14"/>
  <c r="E15" i="14"/>
  <c r="H13" i="16"/>
  <c r="K15" i="16"/>
  <c r="J19" i="16"/>
  <c r="H15" i="16"/>
  <c r="I19" i="16"/>
  <c r="J17" i="16"/>
  <c r="K18" i="16"/>
  <c r="I13" i="16"/>
  <c r="I12" i="16"/>
  <c r="D7" i="31" s="1"/>
  <c r="J12" i="16"/>
  <c r="K17" i="16"/>
  <c r="I18" i="16"/>
  <c r="F20" i="13"/>
  <c r="F11" i="13"/>
  <c r="H12" i="16"/>
  <c r="J18" i="16"/>
  <c r="F26" i="13"/>
  <c r="F25" i="13"/>
  <c r="F23" i="13"/>
  <c r="K12" i="16"/>
  <c r="F7" i="31" s="1"/>
  <c r="F6" i="31" s="1"/>
  <c r="F13" i="13"/>
  <c r="F9" i="13"/>
  <c r="F12" i="13"/>
  <c r="I15" i="16"/>
  <c r="F22" i="13"/>
  <c r="F15" i="13"/>
  <c r="F8" i="13"/>
  <c r="F14" i="13"/>
  <c r="F16" i="13"/>
  <c r="H18" i="16"/>
  <c r="F24" i="13"/>
  <c r="F17" i="13"/>
  <c r="F18" i="13"/>
  <c r="F21" i="13"/>
  <c r="H16" i="16" l="1"/>
  <c r="K16" i="16"/>
  <c r="J16" i="16"/>
  <c r="I16" i="16"/>
  <c r="G15" i="13"/>
  <c r="G39" i="13"/>
  <c r="G17" i="13"/>
  <c r="G16" i="13"/>
  <c r="G48" i="13"/>
  <c r="G14" i="13"/>
  <c r="G51" i="13"/>
  <c r="G24" i="13"/>
  <c r="G11" i="13"/>
  <c r="G47" i="13"/>
  <c r="G13" i="13"/>
  <c r="G12" i="13"/>
  <c r="G23" i="13"/>
  <c r="G9" i="13"/>
  <c r="G35" i="13"/>
  <c r="G26" i="13"/>
  <c r="G41" i="13"/>
  <c r="G22" i="13"/>
  <c r="G8" i="13"/>
  <c r="G49" i="13"/>
  <c r="G34" i="13"/>
  <c r="H5" i="13"/>
  <c r="H37" i="13" s="1"/>
  <c r="G25" i="13"/>
  <c r="G46" i="13"/>
  <c r="G21" i="13"/>
  <c r="G20" i="13"/>
  <c r="G43" i="13"/>
  <c r="G18" i="13"/>
  <c r="G38" i="13"/>
  <c r="G52" i="13"/>
  <c r="G50" i="13"/>
  <c r="G40" i="13"/>
  <c r="G37" i="13"/>
  <c r="G42" i="13"/>
  <c r="F14" i="31"/>
  <c r="H17" i="14"/>
  <c r="H16" i="14"/>
  <c r="H18" i="14"/>
  <c r="H21" i="14"/>
  <c r="H19" i="14"/>
  <c r="H20" i="14"/>
  <c r="H22" i="14"/>
  <c r="J2" i="14"/>
  <c r="I5" i="14"/>
  <c r="I9" i="14"/>
  <c r="I15" i="14"/>
  <c r="I8" i="14"/>
  <c r="I7" i="14"/>
  <c r="I11" i="14"/>
  <c r="I6" i="14"/>
  <c r="I10" i="14"/>
  <c r="H50" i="13"/>
  <c r="H35" i="13"/>
  <c r="H25" i="13"/>
  <c r="H11" i="13"/>
  <c r="H15" i="13"/>
  <c r="D6" i="31"/>
  <c r="E53" i="13"/>
  <c r="F36" i="13"/>
  <c r="F45" i="13"/>
  <c r="F33" i="13"/>
  <c r="F6" i="14"/>
  <c r="F4" i="14"/>
  <c r="F15" i="14" s="1"/>
  <c r="F8" i="14"/>
  <c r="F11" i="14"/>
  <c r="F9" i="14"/>
  <c r="F7" i="14"/>
  <c r="F5" i="14"/>
  <c r="J11" i="16"/>
  <c r="L14" i="16"/>
  <c r="K11" i="16"/>
  <c r="E27" i="13"/>
  <c r="F7" i="13"/>
  <c r="I11" i="16"/>
  <c r="L17" i="16"/>
  <c r="L19" i="16"/>
  <c r="L13" i="16"/>
  <c r="H11" i="16"/>
  <c r="L12" i="16"/>
  <c r="F19" i="13"/>
  <c r="L15" i="16"/>
  <c r="L18" i="16"/>
  <c r="F10" i="13"/>
  <c r="I20" i="16" l="1"/>
  <c r="H20" i="16"/>
  <c r="J20" i="16"/>
  <c r="K20" i="16"/>
  <c r="L16" i="16"/>
  <c r="G7" i="13"/>
  <c r="G45" i="13"/>
  <c r="G33" i="13"/>
  <c r="G10" i="13"/>
  <c r="G19" i="13"/>
  <c r="H40" i="13"/>
  <c r="H43" i="13"/>
  <c r="H52" i="13"/>
  <c r="H24" i="13"/>
  <c r="H34" i="13"/>
  <c r="H33" i="13" s="1"/>
  <c r="H41" i="13"/>
  <c r="H22" i="13"/>
  <c r="H38" i="13"/>
  <c r="H42" i="13"/>
  <c r="H20" i="13"/>
  <c r="H44" i="13"/>
  <c r="H46" i="13"/>
  <c r="H13" i="13"/>
  <c r="H9" i="13"/>
  <c r="H47" i="13"/>
  <c r="H21" i="13"/>
  <c r="H17" i="13"/>
  <c r="H26" i="13"/>
  <c r="H8" i="13"/>
  <c r="H51" i="13"/>
  <c r="H14" i="13"/>
  <c r="H16" i="13"/>
  <c r="H23" i="13"/>
  <c r="H39" i="13"/>
  <c r="H48" i="13"/>
  <c r="I5" i="13"/>
  <c r="I42" i="13" s="1"/>
  <c r="H12" i="13"/>
  <c r="H18" i="13"/>
  <c r="H49" i="13"/>
  <c r="G36" i="13"/>
  <c r="I17" i="14"/>
  <c r="I22" i="14"/>
  <c r="I20" i="14"/>
  <c r="I18" i="14"/>
  <c r="I16" i="14"/>
  <c r="I21" i="14"/>
  <c r="I19" i="14"/>
  <c r="J5" i="13"/>
  <c r="I51" i="13"/>
  <c r="I47" i="13"/>
  <c r="I38" i="13"/>
  <c r="I49" i="13"/>
  <c r="I52" i="13"/>
  <c r="I48" i="13"/>
  <c r="I43" i="13"/>
  <c r="I39" i="13"/>
  <c r="I34" i="13"/>
  <c r="I44" i="13"/>
  <c r="I41" i="13"/>
  <c r="I37" i="13"/>
  <c r="I46" i="13"/>
  <c r="I50" i="13"/>
  <c r="I40" i="13"/>
  <c r="I8" i="13"/>
  <c r="I9" i="13"/>
  <c r="I11" i="13"/>
  <c r="I12" i="13"/>
  <c r="I13" i="13"/>
  <c r="I14" i="13"/>
  <c r="I15" i="13"/>
  <c r="I16" i="13"/>
  <c r="I17" i="13"/>
  <c r="I18" i="13"/>
  <c r="I20" i="13"/>
  <c r="I21" i="13"/>
  <c r="I22" i="13"/>
  <c r="I23" i="13"/>
  <c r="I24" i="13"/>
  <c r="I25" i="13"/>
  <c r="I26" i="13"/>
  <c r="K2" i="14"/>
  <c r="J6" i="14"/>
  <c r="J10" i="14"/>
  <c r="J5" i="14"/>
  <c r="J9" i="14"/>
  <c r="J15" i="14"/>
  <c r="J8" i="14"/>
  <c r="J7" i="14"/>
  <c r="J11" i="14"/>
  <c r="D14" i="31"/>
  <c r="F53" i="13"/>
  <c r="F17" i="14"/>
  <c r="F22" i="14"/>
  <c r="F21" i="14"/>
  <c r="F16" i="14"/>
  <c r="F19" i="14"/>
  <c r="F18" i="14"/>
  <c r="F20" i="14"/>
  <c r="L11" i="16"/>
  <c r="F27" i="13"/>
  <c r="L20" i="16" l="1"/>
  <c r="L21" i="16"/>
  <c r="G27" i="13"/>
  <c r="G53" i="13"/>
  <c r="H45" i="13"/>
  <c r="H7" i="13"/>
  <c r="H10" i="13"/>
  <c r="H36" i="13"/>
  <c r="H19" i="13"/>
  <c r="I35" i="13"/>
  <c r="I33" i="13" s="1"/>
  <c r="AA47" i="13" s="1"/>
  <c r="F22" i="31"/>
  <c r="H31" i="16"/>
  <c r="H28" i="16"/>
  <c r="I31" i="16"/>
  <c r="K30" i="16"/>
  <c r="J30" i="16"/>
  <c r="J27" i="16"/>
  <c r="I25" i="16"/>
  <c r="D20" i="31" s="1"/>
  <c r="J28" i="16"/>
  <c r="H26" i="16"/>
  <c r="H30" i="16"/>
  <c r="H32" i="16"/>
  <c r="I32" i="16"/>
  <c r="I27" i="16"/>
  <c r="D22" i="31" s="1"/>
  <c r="J31" i="16"/>
  <c r="K28" i="16"/>
  <c r="H25" i="16"/>
  <c r="I28" i="16"/>
  <c r="J25" i="16"/>
  <c r="K26" i="16"/>
  <c r="H27" i="16"/>
  <c r="I30" i="16"/>
  <c r="K25" i="16"/>
  <c r="F20" i="31" s="1"/>
  <c r="J32" i="16"/>
  <c r="K31" i="16"/>
  <c r="J26" i="16"/>
  <c r="K32" i="16"/>
  <c r="I26" i="16"/>
  <c r="E7" i="31"/>
  <c r="E8" i="31"/>
  <c r="H8" i="31" s="1"/>
  <c r="E12" i="31"/>
  <c r="E10" i="31"/>
  <c r="H10" i="31" s="1"/>
  <c r="E13" i="31"/>
  <c r="H13" i="31" s="1"/>
  <c r="E9" i="31"/>
  <c r="H9" i="31" s="1"/>
  <c r="Z17" i="14"/>
  <c r="J18" i="14"/>
  <c r="Z18" i="14"/>
  <c r="Z19" i="14"/>
  <c r="J16" i="14"/>
  <c r="J22" i="14"/>
  <c r="J20" i="14"/>
  <c r="L2" i="14"/>
  <c r="K7" i="14"/>
  <c r="K11" i="14"/>
  <c r="K6" i="14"/>
  <c r="K10" i="14"/>
  <c r="K5" i="14"/>
  <c r="K9" i="14"/>
  <c r="K15" i="14"/>
  <c r="K8" i="14"/>
  <c r="AK34" i="13"/>
  <c r="I7" i="13"/>
  <c r="AA46" i="13"/>
  <c r="AK33" i="13"/>
  <c r="I45" i="13"/>
  <c r="AA48" i="13"/>
  <c r="AA45" i="13"/>
  <c r="J19" i="14"/>
  <c r="J21" i="14"/>
  <c r="I36" i="13"/>
  <c r="AA44" i="13" s="1"/>
  <c r="J17" i="14"/>
  <c r="I19" i="13"/>
  <c r="I10" i="13"/>
  <c r="K5" i="13"/>
  <c r="J52" i="13"/>
  <c r="J48" i="13"/>
  <c r="J43" i="13"/>
  <c r="J39" i="13"/>
  <c r="J34" i="13"/>
  <c r="J50" i="13"/>
  <c r="J41" i="13"/>
  <c r="J49" i="13"/>
  <c r="J44" i="13"/>
  <c r="J40" i="13"/>
  <c r="J35" i="13"/>
  <c r="J46" i="13"/>
  <c r="J42" i="13"/>
  <c r="J51" i="13"/>
  <c r="J38" i="13"/>
  <c r="J47" i="13"/>
  <c r="J37" i="13"/>
  <c r="J8" i="13"/>
  <c r="J9" i="13"/>
  <c r="J11" i="13"/>
  <c r="J12" i="13"/>
  <c r="J13" i="13"/>
  <c r="J14" i="13"/>
  <c r="J15" i="13"/>
  <c r="J16" i="13"/>
  <c r="J17" i="13"/>
  <c r="J18" i="13"/>
  <c r="J20" i="13"/>
  <c r="J21" i="13"/>
  <c r="J22" i="13"/>
  <c r="J23" i="13"/>
  <c r="J24" i="13"/>
  <c r="J25" i="13"/>
  <c r="J26" i="13"/>
  <c r="H53" i="13" l="1"/>
  <c r="H27" i="13"/>
  <c r="J24" i="16"/>
  <c r="J29" i="16"/>
  <c r="L27" i="16"/>
  <c r="K29" i="16"/>
  <c r="L25" i="16"/>
  <c r="H24" i="16"/>
  <c r="K24" i="16"/>
  <c r="F19" i="31"/>
  <c r="F27" i="31" s="1"/>
  <c r="L30" i="16"/>
  <c r="H29" i="16"/>
  <c r="I29" i="16"/>
  <c r="L26" i="16"/>
  <c r="L28" i="16"/>
  <c r="L31" i="16"/>
  <c r="D19" i="31"/>
  <c r="D27" i="31" s="1"/>
  <c r="I24" i="16"/>
  <c r="L32" i="16"/>
  <c r="AA33" i="13"/>
  <c r="Z20" i="14"/>
  <c r="K19" i="14"/>
  <c r="AA49" i="13"/>
  <c r="AF33" i="13"/>
  <c r="J36" i="13"/>
  <c r="I27" i="13"/>
  <c r="AA8" i="13" s="1"/>
  <c r="K20" i="14"/>
  <c r="J33" i="13"/>
  <c r="AA37" i="13"/>
  <c r="AA38" i="13"/>
  <c r="K22" i="14"/>
  <c r="J19" i="13"/>
  <c r="J10" i="13"/>
  <c r="J45" i="13"/>
  <c r="L5" i="13"/>
  <c r="K49" i="13"/>
  <c r="K44" i="13"/>
  <c r="K40" i="13"/>
  <c r="K35" i="13"/>
  <c r="K51" i="13"/>
  <c r="K50" i="13"/>
  <c r="K46" i="13"/>
  <c r="K41" i="13"/>
  <c r="K37" i="13"/>
  <c r="K47" i="13"/>
  <c r="K42" i="13"/>
  <c r="K43" i="13"/>
  <c r="K34" i="13"/>
  <c r="K39" i="13"/>
  <c r="K48" i="13"/>
  <c r="K38" i="13"/>
  <c r="K52" i="13"/>
  <c r="K8" i="13"/>
  <c r="K9" i="13"/>
  <c r="K11" i="13"/>
  <c r="K12" i="13"/>
  <c r="K13" i="13"/>
  <c r="K14" i="13"/>
  <c r="K15" i="13"/>
  <c r="K16" i="13"/>
  <c r="K17" i="13"/>
  <c r="K18" i="13"/>
  <c r="K20" i="13"/>
  <c r="K21" i="13"/>
  <c r="K22" i="13"/>
  <c r="K23" i="13"/>
  <c r="K24" i="13"/>
  <c r="K26" i="13"/>
  <c r="K25" i="13"/>
  <c r="AA34" i="13"/>
  <c r="AF34" i="13"/>
  <c r="K16" i="14"/>
  <c r="K18" i="14"/>
  <c r="I53" i="13"/>
  <c r="K21" i="14"/>
  <c r="M2" i="14"/>
  <c r="L15" i="14"/>
  <c r="L8" i="14"/>
  <c r="L7" i="14"/>
  <c r="L11" i="14"/>
  <c r="L6" i="14"/>
  <c r="L10" i="14"/>
  <c r="L5" i="14"/>
  <c r="L9" i="14"/>
  <c r="J7" i="13"/>
  <c r="AA35" i="13"/>
  <c r="AK35" i="13"/>
  <c r="AA36" i="13"/>
  <c r="K17" i="14"/>
  <c r="E6" i="31"/>
  <c r="H7" i="31"/>
  <c r="E11" i="31"/>
  <c r="H11" i="31" s="1"/>
  <c r="H12" i="31"/>
  <c r="K33" i="16" l="1"/>
  <c r="J33" i="16"/>
  <c r="I33" i="16"/>
  <c r="L29" i="16"/>
  <c r="H33" i="16"/>
  <c r="L24" i="16"/>
  <c r="J27" i="13"/>
  <c r="AF35" i="13"/>
  <c r="L17" i="14"/>
  <c r="K33" i="13"/>
  <c r="L20" i="14"/>
  <c r="L22" i="14"/>
  <c r="L16" i="14"/>
  <c r="L18" i="14"/>
  <c r="AA39" i="13"/>
  <c r="L21" i="14"/>
  <c r="L19" i="14"/>
  <c r="J53" i="13"/>
  <c r="N2" i="14"/>
  <c r="M5" i="14"/>
  <c r="M9" i="14"/>
  <c r="M15" i="14"/>
  <c r="M8" i="14"/>
  <c r="M7" i="14"/>
  <c r="M11" i="14"/>
  <c r="M6" i="14"/>
  <c r="M10" i="14"/>
  <c r="K7" i="13"/>
  <c r="K36" i="13"/>
  <c r="K19" i="13"/>
  <c r="K10" i="13"/>
  <c r="M5" i="13"/>
  <c r="L50" i="13"/>
  <c r="L46" i="13"/>
  <c r="L41" i="13"/>
  <c r="L37" i="13"/>
  <c r="L43" i="13"/>
  <c r="L51" i="13"/>
  <c r="L47" i="13"/>
  <c r="L42" i="13"/>
  <c r="L38" i="13"/>
  <c r="L52" i="13"/>
  <c r="L48" i="13"/>
  <c r="L44" i="13"/>
  <c r="L35" i="13"/>
  <c r="L40" i="13"/>
  <c r="L49" i="13"/>
  <c r="L39" i="13"/>
  <c r="L34" i="13"/>
  <c r="L8" i="13"/>
  <c r="L9" i="13"/>
  <c r="L13" i="13"/>
  <c r="L17" i="13"/>
  <c r="L22" i="13"/>
  <c r="L11" i="13"/>
  <c r="L15" i="13"/>
  <c r="L25" i="13"/>
  <c r="L12" i="13"/>
  <c r="L16" i="13"/>
  <c r="L21" i="13"/>
  <c r="L26" i="13"/>
  <c r="L14" i="13"/>
  <c r="L18" i="13"/>
  <c r="L23" i="13"/>
  <c r="L20" i="13"/>
  <c r="L24" i="13"/>
  <c r="K45" i="13"/>
  <c r="E14" i="31"/>
  <c r="H14" i="31" s="1"/>
  <c r="H6" i="31"/>
  <c r="L33" i="16" l="1"/>
  <c r="E22" i="31"/>
  <c r="H22" i="31" s="1"/>
  <c r="L9" i="31" s="1"/>
  <c r="E25" i="31"/>
  <c r="E23" i="31"/>
  <c r="H23" i="31" s="1"/>
  <c r="L10" i="31" s="1"/>
  <c r="E26" i="31"/>
  <c r="H26" i="31" s="1"/>
  <c r="E21" i="31"/>
  <c r="H21" i="31" s="1"/>
  <c r="E20" i="31"/>
  <c r="L33" i="13"/>
  <c r="K53" i="13"/>
  <c r="M17" i="14"/>
  <c r="L7" i="13"/>
  <c r="K27" i="13"/>
  <c r="L36" i="13"/>
  <c r="N5" i="13"/>
  <c r="F35" i="31" s="1"/>
  <c r="M51" i="13"/>
  <c r="M47" i="13"/>
  <c r="M42" i="13"/>
  <c r="M38" i="13"/>
  <c r="M44" i="13"/>
  <c r="M52" i="13"/>
  <c r="M48" i="13"/>
  <c r="M43" i="13"/>
  <c r="M39" i="13"/>
  <c r="M34" i="13"/>
  <c r="M49" i="13"/>
  <c r="M46" i="13"/>
  <c r="M37" i="13"/>
  <c r="M50" i="13"/>
  <c r="M40" i="13"/>
  <c r="M41" i="13"/>
  <c r="M35" i="13"/>
  <c r="M8" i="13"/>
  <c r="M9" i="13"/>
  <c r="M11" i="13"/>
  <c r="M12" i="13"/>
  <c r="M13" i="13"/>
  <c r="M14" i="13"/>
  <c r="M15" i="13"/>
  <c r="M16" i="13"/>
  <c r="M17" i="13"/>
  <c r="M18" i="13"/>
  <c r="M20" i="13"/>
  <c r="M21" i="13"/>
  <c r="M22" i="13"/>
  <c r="M23" i="13"/>
  <c r="M24" i="13"/>
  <c r="M25" i="13"/>
  <c r="M26" i="13"/>
  <c r="L10" i="13"/>
  <c r="M22" i="14"/>
  <c r="M20" i="14"/>
  <c r="L45" i="13"/>
  <c r="M18" i="14"/>
  <c r="M16" i="14"/>
  <c r="L19" i="13"/>
  <c r="M21" i="14"/>
  <c r="M19" i="14"/>
  <c r="O2" i="14"/>
  <c r="N6" i="14"/>
  <c r="N10" i="14"/>
  <c r="N5" i="14"/>
  <c r="N9" i="14"/>
  <c r="N15" i="14"/>
  <c r="N8" i="14"/>
  <c r="N7" i="14"/>
  <c r="N11" i="14"/>
  <c r="E19" i="31" l="1"/>
  <c r="H19" i="31" s="1"/>
  <c r="L8" i="31" s="1"/>
  <c r="H20" i="31"/>
  <c r="H25" i="31"/>
  <c r="E24" i="31"/>
  <c r="L53" i="13"/>
  <c r="L27" i="13"/>
  <c r="N18" i="14"/>
  <c r="N22" i="14"/>
  <c r="N20" i="14"/>
  <c r="P2" i="14"/>
  <c r="O7" i="14"/>
  <c r="O11" i="14"/>
  <c r="O6" i="14"/>
  <c r="O10" i="14"/>
  <c r="O5" i="14"/>
  <c r="O9" i="14"/>
  <c r="O15" i="14"/>
  <c r="O8" i="14"/>
  <c r="M7" i="13"/>
  <c r="M33" i="13"/>
  <c r="N16" i="14"/>
  <c r="M36" i="13"/>
  <c r="N19" i="14"/>
  <c r="N21" i="14"/>
  <c r="M19" i="13"/>
  <c r="M10" i="13"/>
  <c r="M45" i="13"/>
  <c r="O5" i="13"/>
  <c r="N52" i="13"/>
  <c r="N48" i="13"/>
  <c r="N43" i="13"/>
  <c r="N39" i="13"/>
  <c r="N34" i="13"/>
  <c r="N46" i="13"/>
  <c r="N49" i="13"/>
  <c r="N44" i="13"/>
  <c r="N40" i="13"/>
  <c r="N35" i="13"/>
  <c r="N50" i="13"/>
  <c r="N41" i="13"/>
  <c r="N47" i="13"/>
  <c r="N38" i="13"/>
  <c r="N42" i="13"/>
  <c r="N51" i="13"/>
  <c r="N37" i="13"/>
  <c r="N25" i="13"/>
  <c r="N8" i="13"/>
  <c r="N9" i="13"/>
  <c r="N11" i="13"/>
  <c r="N12" i="13"/>
  <c r="N13" i="13"/>
  <c r="N14" i="13"/>
  <c r="N15" i="13"/>
  <c r="N16" i="13"/>
  <c r="N17" i="13"/>
  <c r="N18" i="13"/>
  <c r="N20" i="13"/>
  <c r="N21" i="13"/>
  <c r="N22" i="13"/>
  <c r="N23" i="13"/>
  <c r="N24" i="13"/>
  <c r="N26" i="13"/>
  <c r="H71" i="16"/>
  <c r="H70" i="16"/>
  <c r="H66" i="16"/>
  <c r="K69" i="16"/>
  <c r="K64" i="16"/>
  <c r="F33" i="31" s="1"/>
  <c r="J69" i="16"/>
  <c r="I71" i="16"/>
  <c r="I65" i="16"/>
  <c r="J64" i="16"/>
  <c r="H69" i="16"/>
  <c r="H67" i="16"/>
  <c r="I69" i="16"/>
  <c r="K70" i="16"/>
  <c r="K65" i="16"/>
  <c r="I67" i="16"/>
  <c r="J71" i="16"/>
  <c r="K67" i="16"/>
  <c r="K71" i="16"/>
  <c r="H65" i="16"/>
  <c r="H64" i="16"/>
  <c r="I70" i="16"/>
  <c r="J67" i="16"/>
  <c r="I64" i="16"/>
  <c r="D33" i="31" s="1"/>
  <c r="J65" i="16"/>
  <c r="J66" i="16"/>
  <c r="I66" i="16"/>
  <c r="D35" i="31" s="1"/>
  <c r="J70" i="16"/>
  <c r="N17" i="14"/>
  <c r="H24" i="31" l="1"/>
  <c r="L11" i="31" s="1"/>
  <c r="L12" i="31" s="1"/>
  <c r="E27" i="31"/>
  <c r="H27" i="31" s="1"/>
  <c r="M27" i="13"/>
  <c r="N7" i="13"/>
  <c r="M53" i="13"/>
  <c r="J63" i="16"/>
  <c r="F32" i="31"/>
  <c r="F40" i="31" s="1"/>
  <c r="K63" i="16"/>
  <c r="L71" i="16"/>
  <c r="O17" i="14"/>
  <c r="I68" i="16"/>
  <c r="N45" i="13"/>
  <c r="O20" i="14"/>
  <c r="O22" i="14"/>
  <c r="I63" i="16"/>
  <c r="H63" i="16"/>
  <c r="L64" i="16"/>
  <c r="K68" i="16"/>
  <c r="L65" i="16"/>
  <c r="L67" i="16"/>
  <c r="L66" i="16"/>
  <c r="N19" i="13"/>
  <c r="N10" i="13"/>
  <c r="N36" i="13"/>
  <c r="N33" i="13"/>
  <c r="O16" i="14"/>
  <c r="O18" i="14"/>
  <c r="L69" i="16"/>
  <c r="H68" i="16"/>
  <c r="J68" i="16"/>
  <c r="L70" i="16"/>
  <c r="P5" i="13"/>
  <c r="O49" i="13"/>
  <c r="O44" i="13"/>
  <c r="O40" i="13"/>
  <c r="O35" i="13"/>
  <c r="O47" i="13"/>
  <c r="O42" i="13"/>
  <c r="O50" i="13"/>
  <c r="O46" i="13"/>
  <c r="O41" i="13"/>
  <c r="O37" i="13"/>
  <c r="O51" i="13"/>
  <c r="O48" i="13"/>
  <c r="O39" i="13"/>
  <c r="O52" i="13"/>
  <c r="O34" i="13"/>
  <c r="O43" i="13"/>
  <c r="O38" i="13"/>
  <c r="O8" i="13"/>
  <c r="O9" i="13"/>
  <c r="O11" i="13"/>
  <c r="O12" i="13"/>
  <c r="O13" i="13"/>
  <c r="O14" i="13"/>
  <c r="O15" i="13"/>
  <c r="O16" i="13"/>
  <c r="O17" i="13"/>
  <c r="O18" i="13"/>
  <c r="O20" i="13"/>
  <c r="O21" i="13"/>
  <c r="O22" i="13"/>
  <c r="O23" i="13"/>
  <c r="O24" i="13"/>
  <c r="O25" i="13"/>
  <c r="O26" i="13"/>
  <c r="O19" i="14"/>
  <c r="O21" i="14"/>
  <c r="Q2" i="14"/>
  <c r="P15" i="14"/>
  <c r="P8" i="14"/>
  <c r="P7" i="14"/>
  <c r="P11" i="14"/>
  <c r="P6" i="14"/>
  <c r="P10" i="14"/>
  <c r="P5" i="14"/>
  <c r="P9" i="14"/>
  <c r="O33" i="13" l="1"/>
  <c r="N27" i="13"/>
  <c r="P17" i="14"/>
  <c r="P16" i="14"/>
  <c r="N53" i="13"/>
  <c r="I72" i="16"/>
  <c r="O7" i="13"/>
  <c r="O36" i="13"/>
  <c r="L63" i="16"/>
  <c r="H72" i="16"/>
  <c r="K72" i="16"/>
  <c r="P20" i="14"/>
  <c r="P22" i="14"/>
  <c r="R2" i="14"/>
  <c r="Q5" i="14"/>
  <c r="Q9" i="14"/>
  <c r="Q15" i="14"/>
  <c r="Q8" i="14"/>
  <c r="Q7" i="14"/>
  <c r="Q11" i="14"/>
  <c r="Q6" i="14"/>
  <c r="Q10" i="14"/>
  <c r="P18" i="14"/>
  <c r="O19" i="13"/>
  <c r="O10" i="13"/>
  <c r="O45" i="13"/>
  <c r="Q5" i="13"/>
  <c r="P50" i="13"/>
  <c r="P46" i="13"/>
  <c r="P41" i="13"/>
  <c r="P37" i="13"/>
  <c r="P52" i="13"/>
  <c r="P48" i="13"/>
  <c r="P51" i="13"/>
  <c r="P47" i="13"/>
  <c r="P42" i="13"/>
  <c r="P38" i="13"/>
  <c r="P43" i="13"/>
  <c r="P49" i="13"/>
  <c r="P40" i="13"/>
  <c r="P44" i="13"/>
  <c r="P39" i="13"/>
  <c r="P34" i="13"/>
  <c r="P35" i="13"/>
  <c r="P8" i="13"/>
  <c r="P9" i="13"/>
  <c r="P14" i="13"/>
  <c r="P18" i="13"/>
  <c r="P23" i="13"/>
  <c r="P25" i="13"/>
  <c r="P16" i="13"/>
  <c r="P21" i="13"/>
  <c r="P13" i="13"/>
  <c r="P17" i="13"/>
  <c r="P22" i="13"/>
  <c r="P12" i="13"/>
  <c r="P11" i="13"/>
  <c r="P15" i="13"/>
  <c r="P20" i="13"/>
  <c r="P24" i="13"/>
  <c r="P26" i="13"/>
  <c r="L68" i="16"/>
  <c r="D32" i="31"/>
  <c r="P21" i="14"/>
  <c r="P19" i="14"/>
  <c r="J72" i="16"/>
  <c r="E34" i="31" l="1"/>
  <c r="H34" i="31" s="1"/>
  <c r="E35" i="31"/>
  <c r="E36" i="31"/>
  <c r="H36" i="31" s="1"/>
  <c r="E39" i="31"/>
  <c r="H39" i="31" s="1"/>
  <c r="E38" i="31"/>
  <c r="E33" i="31"/>
  <c r="Q17" i="14"/>
  <c r="Q18" i="14"/>
  <c r="O27" i="13"/>
  <c r="Q22" i="14"/>
  <c r="Q21" i="14"/>
  <c r="O53" i="13"/>
  <c r="Q20" i="14"/>
  <c r="P19" i="13"/>
  <c r="P33" i="13"/>
  <c r="P36" i="13"/>
  <c r="R5" i="13"/>
  <c r="Q51" i="13"/>
  <c r="Q47" i="13"/>
  <c r="Q42" i="13"/>
  <c r="Q38" i="13"/>
  <c r="Q49" i="13"/>
  <c r="Q52" i="13"/>
  <c r="Q48" i="13"/>
  <c r="Q43" i="13"/>
  <c r="Q39" i="13"/>
  <c r="Q34" i="13"/>
  <c r="Q44" i="13"/>
  <c r="Q50" i="13"/>
  <c r="Q41" i="13"/>
  <c r="Q46" i="13"/>
  <c r="Q40" i="13"/>
  <c r="Q35" i="13"/>
  <c r="Q37" i="13"/>
  <c r="Q8" i="13"/>
  <c r="Q9" i="13"/>
  <c r="Q11" i="13"/>
  <c r="Q12" i="13"/>
  <c r="Q13" i="13"/>
  <c r="Q14" i="13"/>
  <c r="Q15" i="13"/>
  <c r="Q16" i="13"/>
  <c r="Q17" i="13"/>
  <c r="Q18" i="13"/>
  <c r="Q20" i="13"/>
  <c r="Q21" i="13"/>
  <c r="Q22" i="13"/>
  <c r="Q23" i="13"/>
  <c r="Q24" i="13"/>
  <c r="Q25" i="13"/>
  <c r="Q26" i="13"/>
  <c r="Q16" i="14"/>
  <c r="D40" i="31"/>
  <c r="Q19" i="14"/>
  <c r="S2" i="14"/>
  <c r="R6" i="14"/>
  <c r="R10" i="14"/>
  <c r="R5" i="14"/>
  <c r="R9" i="14"/>
  <c r="R15" i="14"/>
  <c r="R8" i="14"/>
  <c r="R7" i="14"/>
  <c r="R11" i="14"/>
  <c r="L72" i="16"/>
  <c r="P10" i="13"/>
  <c r="P7" i="13"/>
  <c r="P45" i="13"/>
  <c r="P53" i="13" l="1"/>
  <c r="P27" i="13"/>
  <c r="Q7" i="13"/>
  <c r="Q45" i="13"/>
  <c r="Q36" i="13"/>
  <c r="R17" i="14"/>
  <c r="Q33" i="13"/>
  <c r="R22" i="14"/>
  <c r="R20" i="14"/>
  <c r="S15" i="14"/>
  <c r="S8" i="14"/>
  <c r="S5" i="14"/>
  <c r="S9" i="14"/>
  <c r="S6" i="14"/>
  <c r="S10" i="14"/>
  <c r="S7" i="14"/>
  <c r="S11" i="14"/>
  <c r="E37" i="31"/>
  <c r="H37" i="31" s="1"/>
  <c r="H38" i="31"/>
  <c r="E32" i="31"/>
  <c r="H32" i="31" s="1"/>
  <c r="H33" i="31"/>
  <c r="R18" i="14"/>
  <c r="R16" i="14"/>
  <c r="Q19" i="13"/>
  <c r="Q10" i="13"/>
  <c r="S5" i="13"/>
  <c r="F48" i="31" s="1"/>
  <c r="R52" i="13"/>
  <c r="R48" i="13"/>
  <c r="R43" i="13"/>
  <c r="R39" i="13"/>
  <c r="R34" i="13"/>
  <c r="R50" i="13"/>
  <c r="R49" i="13"/>
  <c r="R44" i="13"/>
  <c r="R40" i="13"/>
  <c r="R35" i="13"/>
  <c r="R46" i="13"/>
  <c r="R41" i="13"/>
  <c r="R51" i="13"/>
  <c r="R37" i="13"/>
  <c r="R42" i="13"/>
  <c r="R38" i="13"/>
  <c r="R47" i="13"/>
  <c r="R8" i="13"/>
  <c r="R9" i="13"/>
  <c r="R11" i="13"/>
  <c r="R12" i="13"/>
  <c r="R13" i="13"/>
  <c r="R14" i="13"/>
  <c r="R15" i="13"/>
  <c r="R16" i="13"/>
  <c r="R17" i="13"/>
  <c r="R18" i="13"/>
  <c r="R20" i="13"/>
  <c r="R21" i="13"/>
  <c r="R22" i="13"/>
  <c r="R23" i="13"/>
  <c r="R24" i="13"/>
  <c r="R25" i="13"/>
  <c r="R26" i="13"/>
  <c r="R19" i="14"/>
  <c r="R21" i="14"/>
  <c r="H35" i="31"/>
  <c r="Y10" i="14" l="1"/>
  <c r="S17" i="14"/>
  <c r="S21" i="14"/>
  <c r="S22" i="14"/>
  <c r="E40" i="31"/>
  <c r="H40" i="31" s="1"/>
  <c r="S18" i="14"/>
  <c r="S19" i="14"/>
  <c r="S20" i="14"/>
  <c r="Q27" i="13"/>
  <c r="Q53" i="13"/>
  <c r="R45" i="13"/>
  <c r="R19" i="13"/>
  <c r="R10" i="13"/>
  <c r="S49" i="13"/>
  <c r="S44" i="13"/>
  <c r="S40" i="13"/>
  <c r="S35" i="13"/>
  <c r="S51" i="13"/>
  <c r="S42" i="13"/>
  <c r="S50" i="13"/>
  <c r="S46" i="13"/>
  <c r="S41" i="13"/>
  <c r="S37" i="13"/>
  <c r="S47" i="13"/>
  <c r="S52" i="13"/>
  <c r="S34" i="13"/>
  <c r="S43" i="13"/>
  <c r="S38" i="13"/>
  <c r="S39" i="13"/>
  <c r="S48" i="13"/>
  <c r="I84" i="16"/>
  <c r="J80" i="16"/>
  <c r="I78" i="16"/>
  <c r="I79" i="16"/>
  <c r="D48" i="31" s="1"/>
  <c r="K84" i="16"/>
  <c r="S25" i="13"/>
  <c r="K82" i="16"/>
  <c r="S9" i="13"/>
  <c r="K80" i="16"/>
  <c r="S12" i="13"/>
  <c r="S14" i="13"/>
  <c r="S17" i="13"/>
  <c r="T5" i="13"/>
  <c r="F61" i="31" s="1"/>
  <c r="H78" i="16"/>
  <c r="H83" i="16"/>
  <c r="H84" i="16"/>
  <c r="S20" i="13"/>
  <c r="K83" i="16"/>
  <c r="K78" i="16"/>
  <c r="S13" i="13"/>
  <c r="K77" i="16"/>
  <c r="F46" i="31" s="1"/>
  <c r="S15" i="13"/>
  <c r="S21" i="13"/>
  <c r="I83" i="16"/>
  <c r="H82" i="16"/>
  <c r="S16" i="13"/>
  <c r="S24" i="13"/>
  <c r="J83" i="16"/>
  <c r="H79" i="16"/>
  <c r="I80" i="16"/>
  <c r="J84" i="16"/>
  <c r="I82" i="16"/>
  <c r="S18" i="13"/>
  <c r="S23" i="13"/>
  <c r="J78" i="16"/>
  <c r="H80" i="16"/>
  <c r="I77" i="16"/>
  <c r="D46" i="31" s="1"/>
  <c r="J77" i="16"/>
  <c r="H77" i="16"/>
  <c r="S22" i="13"/>
  <c r="J82" i="16"/>
  <c r="S11" i="13"/>
  <c r="J79" i="16"/>
  <c r="S26" i="13"/>
  <c r="S8" i="13"/>
  <c r="U2" i="14"/>
  <c r="U4" i="14" s="1"/>
  <c r="T6" i="14"/>
  <c r="T10" i="14"/>
  <c r="T7" i="14"/>
  <c r="T11" i="14"/>
  <c r="T15" i="14"/>
  <c r="T8" i="14"/>
  <c r="T5" i="14"/>
  <c r="T9" i="14"/>
  <c r="R7" i="13"/>
  <c r="R36" i="13"/>
  <c r="S16" i="14"/>
  <c r="R33" i="13"/>
  <c r="AA19" i="14" l="1"/>
  <c r="AA18" i="14"/>
  <c r="S19" i="13"/>
  <c r="AA17" i="14"/>
  <c r="I81" i="16"/>
  <c r="R27" i="13"/>
  <c r="AL34" i="13"/>
  <c r="T22" i="14"/>
  <c r="T16" i="14"/>
  <c r="T18" i="14"/>
  <c r="S7" i="13"/>
  <c r="AB45" i="13"/>
  <c r="T20" i="14"/>
  <c r="T19" i="14"/>
  <c r="T21" i="14"/>
  <c r="L80" i="16"/>
  <c r="L84" i="16"/>
  <c r="U5" i="13"/>
  <c r="T44" i="13"/>
  <c r="T46" i="13"/>
  <c r="T42" i="13"/>
  <c r="T43" i="13"/>
  <c r="K95" i="16"/>
  <c r="I91" i="16"/>
  <c r="I95" i="16"/>
  <c r="I93" i="16"/>
  <c r="I92" i="16"/>
  <c r="D61" i="31" s="1"/>
  <c r="T20" i="13"/>
  <c r="H97" i="16"/>
  <c r="T26" i="13"/>
  <c r="J93" i="16"/>
  <c r="T24" i="13"/>
  <c r="T9" i="13"/>
  <c r="T40" i="13"/>
  <c r="T41" i="13"/>
  <c r="T38" i="13"/>
  <c r="T52" i="13"/>
  <c r="K96" i="16"/>
  <c r="I97" i="16"/>
  <c r="K91" i="16"/>
  <c r="T14" i="13"/>
  <c r="H95" i="16"/>
  <c r="H93" i="16"/>
  <c r="T8" i="13"/>
  <c r="H92" i="16"/>
  <c r="T13" i="13"/>
  <c r="T16" i="13"/>
  <c r="T23" i="13"/>
  <c r="T25" i="13"/>
  <c r="T34" i="13"/>
  <c r="T37" i="13"/>
  <c r="T51" i="13"/>
  <c r="T48" i="13"/>
  <c r="J97" i="16"/>
  <c r="I90" i="16"/>
  <c r="D59" i="31" s="1"/>
  <c r="J91" i="16"/>
  <c r="K93" i="16"/>
  <c r="I96" i="16"/>
  <c r="T17" i="13"/>
  <c r="H91" i="16"/>
  <c r="H90" i="16"/>
  <c r="T12" i="13"/>
  <c r="H96" i="16"/>
  <c r="T18" i="13"/>
  <c r="T15" i="13"/>
  <c r="T50" i="13"/>
  <c r="T47" i="13"/>
  <c r="J92" i="16"/>
  <c r="K90" i="16"/>
  <c r="F59" i="31" s="1"/>
  <c r="J90" i="16"/>
  <c r="T21" i="13"/>
  <c r="T22" i="13"/>
  <c r="T49" i="13"/>
  <c r="T35" i="13"/>
  <c r="T39" i="13"/>
  <c r="K97" i="16"/>
  <c r="J95" i="16"/>
  <c r="J96" i="16"/>
  <c r="T11" i="13"/>
  <c r="S36" i="13"/>
  <c r="AB44" i="13" s="1"/>
  <c r="R53" i="13"/>
  <c r="T17" i="14"/>
  <c r="H76" i="16"/>
  <c r="L77" i="16"/>
  <c r="S33" i="13"/>
  <c r="AB47" i="13" s="1"/>
  <c r="S10" i="13"/>
  <c r="J76" i="16"/>
  <c r="L83" i="16"/>
  <c r="K81" i="16"/>
  <c r="AB48" i="13"/>
  <c r="AL33" i="13"/>
  <c r="AB46" i="13"/>
  <c r="S45" i="13"/>
  <c r="V2" i="14"/>
  <c r="V4" i="14" s="1"/>
  <c r="U15" i="14"/>
  <c r="U8" i="14"/>
  <c r="U5" i="14"/>
  <c r="U9" i="14"/>
  <c r="U6" i="14"/>
  <c r="U10" i="14"/>
  <c r="U7" i="14"/>
  <c r="U11" i="14"/>
  <c r="J81" i="16"/>
  <c r="I76" i="16"/>
  <c r="L79" i="16"/>
  <c r="H81" i="16"/>
  <c r="L82" i="16"/>
  <c r="F45" i="31"/>
  <c r="F53" i="31" s="1"/>
  <c r="K76" i="16"/>
  <c r="L78" i="16"/>
  <c r="S27" i="13" l="1"/>
  <c r="AB8" i="13" s="1"/>
  <c r="AA20" i="14"/>
  <c r="I85" i="16"/>
  <c r="T7" i="13"/>
  <c r="AL35" i="13"/>
  <c r="U21" i="14"/>
  <c r="U19" i="14"/>
  <c r="U17" i="14"/>
  <c r="U22" i="14"/>
  <c r="AB33" i="13"/>
  <c r="U20" i="14"/>
  <c r="L81" i="16"/>
  <c r="K85" i="16"/>
  <c r="T10" i="13"/>
  <c r="L96" i="16"/>
  <c r="U18" i="14"/>
  <c r="U16" i="14"/>
  <c r="AG34" i="13"/>
  <c r="AB36" i="13"/>
  <c r="S53" i="13"/>
  <c r="AB37" i="13"/>
  <c r="AB35" i="13"/>
  <c r="L93" i="16"/>
  <c r="T19" i="13"/>
  <c r="T45" i="13"/>
  <c r="AB38" i="13"/>
  <c r="J85" i="16"/>
  <c r="AG33" i="13"/>
  <c r="AB34" i="13"/>
  <c r="J89" i="16"/>
  <c r="T33" i="13"/>
  <c r="H94" i="16"/>
  <c r="L95" i="16"/>
  <c r="K94" i="16"/>
  <c r="W2" i="14"/>
  <c r="W4" i="14" s="1"/>
  <c r="V5" i="14"/>
  <c r="V9" i="14"/>
  <c r="V6" i="14"/>
  <c r="V10" i="14"/>
  <c r="V7" i="14"/>
  <c r="V11" i="14"/>
  <c r="V8" i="14"/>
  <c r="V15" i="14"/>
  <c r="AB49" i="13"/>
  <c r="J94" i="16"/>
  <c r="F58" i="31"/>
  <c r="F66" i="31" s="1"/>
  <c r="K89" i="16"/>
  <c r="L90" i="16"/>
  <c r="H89" i="16"/>
  <c r="L92" i="16"/>
  <c r="V5" i="13"/>
  <c r="U50" i="13"/>
  <c r="U46" i="13"/>
  <c r="U41" i="13"/>
  <c r="U37" i="13"/>
  <c r="U43" i="13"/>
  <c r="U51" i="13"/>
  <c r="U47" i="13"/>
  <c r="U42" i="13"/>
  <c r="U38" i="13"/>
  <c r="U52" i="13"/>
  <c r="U48" i="13"/>
  <c r="U35" i="13"/>
  <c r="U44" i="13"/>
  <c r="U49" i="13"/>
  <c r="U34" i="13"/>
  <c r="U39" i="13"/>
  <c r="U40" i="13"/>
  <c r="U8" i="13"/>
  <c r="U11" i="13"/>
  <c r="U13" i="13"/>
  <c r="U15" i="13"/>
  <c r="U17" i="13"/>
  <c r="U20" i="13"/>
  <c r="U22" i="13"/>
  <c r="U24" i="13"/>
  <c r="U26" i="13"/>
  <c r="U9" i="13"/>
  <c r="U12" i="13"/>
  <c r="U14" i="13"/>
  <c r="U16" i="13"/>
  <c r="U18" i="13"/>
  <c r="U21" i="13"/>
  <c r="U23" i="13"/>
  <c r="U25" i="13"/>
  <c r="I89" i="16"/>
  <c r="T36" i="13"/>
  <c r="D45" i="31"/>
  <c r="H85" i="16"/>
  <c r="L76" i="16"/>
  <c r="L91" i="16"/>
  <c r="L97" i="16"/>
  <c r="I94" i="16"/>
  <c r="E48" i="31" l="1"/>
  <c r="E46" i="31"/>
  <c r="E47" i="31"/>
  <c r="H47" i="31" s="1"/>
  <c r="E51" i="31"/>
  <c r="E52" i="31"/>
  <c r="H52" i="31" s="1"/>
  <c r="E49" i="31"/>
  <c r="H49" i="31" s="1"/>
  <c r="M10" i="31" s="1"/>
  <c r="L85" i="16"/>
  <c r="T53" i="13"/>
  <c r="T27" i="13"/>
  <c r="V22" i="14"/>
  <c r="V20" i="14"/>
  <c r="AB39" i="13"/>
  <c r="I98" i="16"/>
  <c r="V18" i="14"/>
  <c r="V16" i="14"/>
  <c r="AG35" i="13"/>
  <c r="U19" i="13"/>
  <c r="U10" i="13"/>
  <c r="U33" i="13"/>
  <c r="K98" i="16"/>
  <c r="U36" i="13"/>
  <c r="W5" i="13"/>
  <c r="V51" i="13"/>
  <c r="V47" i="13"/>
  <c r="V42" i="13"/>
  <c r="V38" i="13"/>
  <c r="V44" i="13"/>
  <c r="V52" i="13"/>
  <c r="V48" i="13"/>
  <c r="V43" i="13"/>
  <c r="V39" i="13"/>
  <c r="V34" i="13"/>
  <c r="V49" i="13"/>
  <c r="V37" i="13"/>
  <c r="V35" i="13"/>
  <c r="V41" i="13"/>
  <c r="V40" i="13"/>
  <c r="V46" i="13"/>
  <c r="V50" i="13"/>
  <c r="V8" i="13"/>
  <c r="V11" i="13"/>
  <c r="V13" i="13"/>
  <c r="V15" i="13"/>
  <c r="V17" i="13"/>
  <c r="V20" i="13"/>
  <c r="V22" i="13"/>
  <c r="V24" i="13"/>
  <c r="V26" i="13"/>
  <c r="V9" i="13"/>
  <c r="V12" i="13"/>
  <c r="V14" i="13"/>
  <c r="V16" i="13"/>
  <c r="V18" i="13"/>
  <c r="V21" i="13"/>
  <c r="V23" i="13"/>
  <c r="V25" i="13"/>
  <c r="L94" i="16"/>
  <c r="J98" i="16"/>
  <c r="D58" i="31"/>
  <c r="D53" i="31"/>
  <c r="U7" i="13"/>
  <c r="U45" i="13"/>
  <c r="V21" i="14"/>
  <c r="W5" i="14"/>
  <c r="W9" i="14"/>
  <c r="W6" i="14"/>
  <c r="W10" i="14"/>
  <c r="W7" i="14"/>
  <c r="W11" i="14"/>
  <c r="W8" i="14"/>
  <c r="W15" i="14"/>
  <c r="L89" i="16"/>
  <c r="H98" i="16"/>
  <c r="V19" i="14"/>
  <c r="V17" i="14"/>
  <c r="F74" i="31" l="1"/>
  <c r="K133" i="16"/>
  <c r="R133" i="16"/>
  <c r="E62" i="31"/>
  <c r="H62" i="31" s="1"/>
  <c r="E61" i="31"/>
  <c r="E59" i="31"/>
  <c r="E60" i="31"/>
  <c r="H60" i="31" s="1"/>
  <c r="E65" i="31"/>
  <c r="H65" i="31" s="1"/>
  <c r="E64" i="31"/>
  <c r="U27" i="13"/>
  <c r="L98" i="16"/>
  <c r="W18" i="14"/>
  <c r="W16" i="14"/>
  <c r="U53" i="13"/>
  <c r="W22" i="14"/>
  <c r="V7" i="13"/>
  <c r="V33" i="13"/>
  <c r="W21" i="14"/>
  <c r="D66" i="31"/>
  <c r="H48" i="31"/>
  <c r="M9" i="31" s="1"/>
  <c r="W19" i="14"/>
  <c r="W17" i="14"/>
  <c r="V45" i="13"/>
  <c r="V36" i="13"/>
  <c r="W43" i="13"/>
  <c r="X43" i="13" s="1"/>
  <c r="W40" i="13"/>
  <c r="X40" i="13" s="1"/>
  <c r="W50" i="13"/>
  <c r="X50" i="13" s="1"/>
  <c r="W42" i="13"/>
  <c r="X42" i="13" s="1"/>
  <c r="H117" i="16"/>
  <c r="J123" i="16"/>
  <c r="J121" i="16"/>
  <c r="H116" i="16"/>
  <c r="W25" i="13"/>
  <c r="X25" i="13" s="1"/>
  <c r="H123" i="16"/>
  <c r="W8" i="13"/>
  <c r="X8" i="13" s="1"/>
  <c r="I116" i="16"/>
  <c r="W15" i="13"/>
  <c r="X15" i="13" s="1"/>
  <c r="J118" i="16"/>
  <c r="I117" i="16"/>
  <c r="I118" i="16"/>
  <c r="W14" i="13"/>
  <c r="X14" i="13" s="1"/>
  <c r="W18" i="13"/>
  <c r="X18" i="13" s="1"/>
  <c r="W39" i="13"/>
  <c r="X39" i="13" s="1"/>
  <c r="W34" i="13"/>
  <c r="X34" i="13" s="1"/>
  <c r="W46" i="13"/>
  <c r="X46" i="13" s="1"/>
  <c r="W51" i="13"/>
  <c r="X51" i="13" s="1"/>
  <c r="H118" i="16"/>
  <c r="J117" i="16"/>
  <c r="K119" i="16"/>
  <c r="J116" i="16"/>
  <c r="W24" i="13"/>
  <c r="X24" i="13" s="1"/>
  <c r="I121" i="16"/>
  <c r="J122" i="16"/>
  <c r="H121" i="16"/>
  <c r="W13" i="13"/>
  <c r="X13" i="13" s="1"/>
  <c r="H122" i="16"/>
  <c r="W12" i="13"/>
  <c r="X12" i="13" s="1"/>
  <c r="W20" i="13"/>
  <c r="X20" i="13" s="1"/>
  <c r="W52" i="13"/>
  <c r="W49" i="13"/>
  <c r="X49" i="13" s="1"/>
  <c r="W41" i="13"/>
  <c r="X41" i="13" s="1"/>
  <c r="W37" i="13"/>
  <c r="X37" i="13" s="1"/>
  <c r="W38" i="13"/>
  <c r="X38" i="13" s="1"/>
  <c r="J119" i="16"/>
  <c r="H119" i="16"/>
  <c r="K121" i="16"/>
  <c r="K116" i="16"/>
  <c r="I122" i="16"/>
  <c r="W22" i="13"/>
  <c r="X22" i="13" s="1"/>
  <c r="W23" i="13"/>
  <c r="X23" i="13" s="1"/>
  <c r="W17" i="13"/>
  <c r="X17" i="13" s="1"/>
  <c r="I119" i="16"/>
  <c r="W9" i="13"/>
  <c r="X9" i="13" s="1"/>
  <c r="W48" i="13"/>
  <c r="X48" i="13" s="1"/>
  <c r="W44" i="13"/>
  <c r="X44" i="13" s="1"/>
  <c r="W47" i="13"/>
  <c r="X47" i="13" s="1"/>
  <c r="W35" i="13"/>
  <c r="X35" i="13" s="1"/>
  <c r="I123" i="16"/>
  <c r="K123" i="16"/>
  <c r="K117" i="16"/>
  <c r="K122" i="16"/>
  <c r="W26" i="13"/>
  <c r="W21" i="13"/>
  <c r="X21" i="13" s="1"/>
  <c r="W11" i="13"/>
  <c r="X11" i="13" s="1"/>
  <c r="W16" i="13"/>
  <c r="X16" i="13" s="1"/>
  <c r="E45" i="31"/>
  <c r="H45" i="31" s="1"/>
  <c r="M8" i="31" s="1"/>
  <c r="H46" i="31"/>
  <c r="E50" i="31"/>
  <c r="H50" i="31" s="1"/>
  <c r="M11" i="31" s="1"/>
  <c r="H51" i="31"/>
  <c r="W20" i="14"/>
  <c r="V19" i="13"/>
  <c r="V10" i="13"/>
  <c r="P134" i="16" l="1"/>
  <c r="I134" i="16"/>
  <c r="J132" i="16"/>
  <c r="Q132" i="16"/>
  <c r="D72" i="31"/>
  <c r="I131" i="16"/>
  <c r="P131" i="16"/>
  <c r="O133" i="16"/>
  <c r="H133" i="16"/>
  <c r="K132" i="16"/>
  <c r="R132" i="16"/>
  <c r="I137" i="16"/>
  <c r="P137" i="16"/>
  <c r="H137" i="16"/>
  <c r="O137" i="16"/>
  <c r="H131" i="16"/>
  <c r="O131" i="16"/>
  <c r="K138" i="16"/>
  <c r="R138" i="16"/>
  <c r="F72" i="31"/>
  <c r="F71" i="31" s="1"/>
  <c r="F79" i="31" s="1"/>
  <c r="R131" i="16"/>
  <c r="K131" i="16"/>
  <c r="Q136" i="16"/>
  <c r="J136" i="16"/>
  <c r="J138" i="16"/>
  <c r="Q138" i="16"/>
  <c r="I138" i="16"/>
  <c r="P138" i="16"/>
  <c r="H136" i="16"/>
  <c r="O136" i="16"/>
  <c r="O134" i="16"/>
  <c r="H134" i="16"/>
  <c r="H132" i="16"/>
  <c r="O132" i="16"/>
  <c r="R136" i="16"/>
  <c r="K136" i="16"/>
  <c r="H138" i="16"/>
  <c r="O138" i="16"/>
  <c r="R137" i="16"/>
  <c r="K137" i="16"/>
  <c r="J137" i="16"/>
  <c r="Q137" i="16"/>
  <c r="Q134" i="16"/>
  <c r="J134" i="16"/>
  <c r="P136" i="16"/>
  <c r="I136" i="16"/>
  <c r="D74" i="31"/>
  <c r="P133" i="16"/>
  <c r="I133" i="16"/>
  <c r="I132" i="16"/>
  <c r="P132" i="16"/>
  <c r="J131" i="16"/>
  <c r="Q131" i="16"/>
  <c r="J133" i="16"/>
  <c r="Q133" i="16"/>
  <c r="R134" i="16"/>
  <c r="K134" i="16"/>
  <c r="L117" i="16"/>
  <c r="AM34" i="13"/>
  <c r="L116" i="16"/>
  <c r="AB17" i="14"/>
  <c r="M12" i="31"/>
  <c r="AB19" i="14"/>
  <c r="V27" i="13"/>
  <c r="K120" i="16"/>
  <c r="W7" i="13"/>
  <c r="V53" i="13"/>
  <c r="AB18" i="14"/>
  <c r="J120" i="16"/>
  <c r="H120" i="16"/>
  <c r="L121" i="16"/>
  <c r="L119" i="16"/>
  <c r="AM33" i="13"/>
  <c r="W45" i="13"/>
  <c r="AC46" i="13"/>
  <c r="L123" i="16"/>
  <c r="E63" i="31"/>
  <c r="H63" i="31" s="1"/>
  <c r="H64" i="31"/>
  <c r="E53" i="31"/>
  <c r="H53" i="31" s="1"/>
  <c r="W19" i="13"/>
  <c r="W10" i="13"/>
  <c r="AC45" i="13"/>
  <c r="L122" i="16"/>
  <c r="I120" i="16"/>
  <c r="W33" i="13"/>
  <c r="AC47" i="13" s="1"/>
  <c r="H61" i="31"/>
  <c r="E58" i="31"/>
  <c r="H58" i="31" s="1"/>
  <c r="H59" i="31"/>
  <c r="W36" i="13"/>
  <c r="AC44" i="13" s="1"/>
  <c r="J115" i="16"/>
  <c r="K115" i="16"/>
  <c r="AC48" i="13"/>
  <c r="L118" i="16"/>
  <c r="I115" i="16"/>
  <c r="H115" i="16"/>
  <c r="L120" i="16" l="1"/>
  <c r="L133" i="16"/>
  <c r="S133" i="16"/>
  <c r="L132" i="16"/>
  <c r="S132" i="16"/>
  <c r="Q135" i="16"/>
  <c r="J135" i="16"/>
  <c r="R130" i="16"/>
  <c r="K130" i="16"/>
  <c r="Q130" i="16"/>
  <c r="J130" i="16"/>
  <c r="R135" i="16"/>
  <c r="K135" i="16"/>
  <c r="L138" i="16"/>
  <c r="S138" i="16"/>
  <c r="H130" i="16"/>
  <c r="O130" i="16"/>
  <c r="P135" i="16"/>
  <c r="I135" i="16"/>
  <c r="L134" i="16"/>
  <c r="S134" i="16"/>
  <c r="S131" i="16"/>
  <c r="L131" i="16"/>
  <c r="O135" i="16"/>
  <c r="H135" i="16"/>
  <c r="P130" i="16"/>
  <c r="I130" i="16"/>
  <c r="S137" i="16"/>
  <c r="L137" i="16"/>
  <c r="S136" i="16"/>
  <c r="L136" i="16"/>
  <c r="AM35" i="13"/>
  <c r="AC38" i="13"/>
  <c r="W27" i="13"/>
  <c r="AC8" i="13" s="1"/>
  <c r="AB20" i="14"/>
  <c r="J124" i="16"/>
  <c r="AC36" i="13"/>
  <c r="AC33" i="13"/>
  <c r="AC34" i="13"/>
  <c r="K124" i="16"/>
  <c r="I124" i="16"/>
  <c r="AC35" i="13"/>
  <c r="AC37" i="13"/>
  <c r="AC49" i="13"/>
  <c r="D71" i="31"/>
  <c r="W53" i="13"/>
  <c r="L115" i="16"/>
  <c r="H124" i="16"/>
  <c r="E66" i="31"/>
  <c r="H66" i="31" s="1"/>
  <c r="AH33" i="13"/>
  <c r="AH34" i="13"/>
  <c r="O139" i="16" l="1"/>
  <c r="H139" i="16"/>
  <c r="S130" i="16"/>
  <c r="L130" i="16"/>
  <c r="J139" i="16"/>
  <c r="Q139" i="16"/>
  <c r="S135" i="16"/>
  <c r="L135" i="16"/>
  <c r="P139" i="16"/>
  <c r="I139" i="16"/>
  <c r="K139" i="16"/>
  <c r="R139" i="16"/>
  <c r="E75" i="31"/>
  <c r="H75" i="31" s="1"/>
  <c r="N10" i="31" s="1"/>
  <c r="E74" i="31"/>
  <c r="H74" i="31" s="1"/>
  <c r="N9" i="31" s="1"/>
  <c r="E73" i="31"/>
  <c r="H73" i="31" s="1"/>
  <c r="E78" i="31"/>
  <c r="H78" i="31" s="1"/>
  <c r="E77" i="31"/>
  <c r="E72" i="31"/>
  <c r="H72" i="31" s="1"/>
  <c r="L124" i="16"/>
  <c r="AC39" i="13"/>
  <c r="AH35" i="13"/>
  <c r="D79" i="31"/>
  <c r="L139" i="16" l="1"/>
  <c r="S139" i="16"/>
  <c r="E76" i="31"/>
  <c r="H76" i="31" s="1"/>
  <c r="N11" i="31" s="1"/>
  <c r="H77" i="31"/>
  <c r="E71" i="31"/>
  <c r="H71" i="31" s="1"/>
  <c r="N8" i="31" s="1"/>
  <c r="N12" i="31" l="1"/>
  <c r="E79" i="31"/>
  <c r="H79" i="3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S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33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S27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35" authorId="0" shapeId="0" xr:uid="{00000000-0006-0000-0A00-000002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69" authorId="0" shapeId="0" xr:uid="{00000000-0006-0000-0A00-000003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77" authorId="0" shapeId="0" xr:uid="{00000000-0006-0000-0A00-000004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</commentList>
</comments>
</file>

<file path=xl/sharedStrings.xml><?xml version="1.0" encoding="utf-8"?>
<sst xmlns="http://schemas.openxmlformats.org/spreadsheetml/2006/main" count="1877" uniqueCount="543">
  <si>
    <t>Refined petroleum products</t>
  </si>
  <si>
    <t>Total</t>
  </si>
  <si>
    <t>Oil</t>
  </si>
  <si>
    <t>Biofuels</t>
  </si>
  <si>
    <t>Electric power generation, transmission and distribution</t>
  </si>
  <si>
    <t>Nuclear</t>
  </si>
  <si>
    <t>Fuel</t>
  </si>
  <si>
    <t>Combined gas</t>
  </si>
  <si>
    <t>Coal</t>
  </si>
  <si>
    <t>Wind</t>
  </si>
  <si>
    <t>Solar</t>
  </si>
  <si>
    <t>Hydraulic</t>
  </si>
  <si>
    <t>Cogeneration (CHP)</t>
  </si>
  <si>
    <t>Natural gas</t>
  </si>
  <si>
    <t>Wood</t>
  </si>
  <si>
    <t>Biogas</t>
  </si>
  <si>
    <t>Waste incineration</t>
  </si>
  <si>
    <t>Geothermal</t>
  </si>
  <si>
    <t>Transport</t>
  </si>
  <si>
    <t>Personal vehicles</t>
  </si>
  <si>
    <t xml:space="preserve">Public and freight transport </t>
  </si>
  <si>
    <t>Residential</t>
  </si>
  <si>
    <t>Service</t>
  </si>
  <si>
    <t>Industry and agriculture</t>
  </si>
  <si>
    <t xml:space="preserve">Industry </t>
  </si>
  <si>
    <t>Agriculture</t>
  </si>
  <si>
    <t>Total Final Mtep</t>
  </si>
  <si>
    <t>Class A</t>
  </si>
  <si>
    <t>Class B</t>
  </si>
  <si>
    <t>Class C</t>
  </si>
  <si>
    <t>Class D</t>
  </si>
  <si>
    <t>Class E</t>
  </si>
  <si>
    <t>Class F</t>
  </si>
  <si>
    <t>Class G</t>
  </si>
  <si>
    <t>Electricity</t>
  </si>
  <si>
    <t>Gas</t>
  </si>
  <si>
    <t>coal</t>
  </si>
  <si>
    <t>oil</t>
  </si>
  <si>
    <t>elec</t>
  </si>
  <si>
    <t>gas</t>
  </si>
  <si>
    <t>decarb</t>
  </si>
  <si>
    <t>Total Final MTEC</t>
  </si>
  <si>
    <t>charbon</t>
  </si>
  <si>
    <t>Verif</t>
  </si>
  <si>
    <t>stock of housing and %</t>
  </si>
  <si>
    <t>electric</t>
  </si>
  <si>
    <t>Combustion</t>
  </si>
  <si>
    <t>Industry non energetic uses</t>
  </si>
  <si>
    <t>gas biogas biomass</t>
  </si>
  <si>
    <t>fuel and biofuel</t>
  </si>
  <si>
    <t>Hors bois domestique non marchand, avec consommation à double usage</t>
  </si>
  <si>
    <t>New vehicle sales</t>
  </si>
  <si>
    <t>stock of vehicles</t>
  </si>
  <si>
    <t>Gas and heat</t>
  </si>
  <si>
    <t>Basse consommation</t>
  </si>
  <si>
    <t xml:space="preserve">Consommation modérée </t>
  </si>
  <si>
    <t>Faiblement émettrices</t>
  </si>
  <si>
    <t>Modérément émettrices</t>
  </si>
  <si>
    <t>Fortement émettrices</t>
  </si>
  <si>
    <t>Electriques</t>
  </si>
  <si>
    <t>Passoires énergétiques</t>
  </si>
  <si>
    <t>nucléaire</t>
  </si>
  <si>
    <t>solaire</t>
  </si>
  <si>
    <t xml:space="preserve">éolien </t>
  </si>
  <si>
    <t>autres renouvelables</t>
  </si>
  <si>
    <t>biocarburants</t>
  </si>
  <si>
    <t>gaz naturel</t>
  </si>
  <si>
    <t>biogaz</t>
  </si>
  <si>
    <t>Energie primaire</t>
  </si>
  <si>
    <t>Automobile - synthèse</t>
  </si>
  <si>
    <t>verif</t>
  </si>
  <si>
    <t>parc automobile (milliers)</t>
  </si>
  <si>
    <t>parc automobile (M)</t>
  </si>
  <si>
    <t>parc véhicules élec (%)</t>
  </si>
  <si>
    <t>parc véhicules thermiques (%)</t>
  </si>
  <si>
    <t>part véhicules thermiques</t>
  </si>
  <si>
    <t>Automobile - detail</t>
  </si>
  <si>
    <t>Ventes (milliers)</t>
  </si>
  <si>
    <t>Parc (milliers)</t>
  </si>
  <si>
    <t>Ventes (%)</t>
  </si>
  <si>
    <t>Parc (%)</t>
  </si>
  <si>
    <t>Energie primaire (Mtep)</t>
  </si>
  <si>
    <t>Energie finale (Mtep)</t>
  </si>
  <si>
    <t>Consos résultats de ThreeME</t>
  </si>
  <si>
    <t>Consos cibles d'Enerdata</t>
  </si>
  <si>
    <t>Hors bois domestique auto produit (8MTEP entre 2015 et 2030 4 Mtep en 2050)</t>
  </si>
  <si>
    <t>Emissions CO2 (MtCO2)</t>
  </si>
  <si>
    <t>Residentiel</t>
  </si>
  <si>
    <t>Industrie et agriculture</t>
  </si>
  <si>
    <t>Cf. onglet "G emissions"</t>
  </si>
  <si>
    <t>Cf. onglet "G énergie"</t>
  </si>
  <si>
    <t>Cf. onglet "G mix elec"</t>
  </si>
  <si>
    <t xml:space="preserve">Total </t>
  </si>
  <si>
    <t>hydraulique</t>
  </si>
  <si>
    <t>Cf. onglet "G mix carb"</t>
  </si>
  <si>
    <t>Cf. onglet "G mix gaz"</t>
  </si>
  <si>
    <t>carburants fossiles</t>
  </si>
  <si>
    <t>Energie par vecteur énergétique</t>
  </si>
  <si>
    <t>Energie par usage</t>
  </si>
  <si>
    <t>Logement</t>
  </si>
  <si>
    <t>Parc logement (m²)</t>
  </si>
  <si>
    <t>Parc logement (%)</t>
  </si>
  <si>
    <t>Cf. onglet "G parc logt"</t>
  </si>
  <si>
    <t>ER_OIL_2</t>
  </si>
  <si>
    <t>ER_OIL_2201_2</t>
  </si>
  <si>
    <t>ER_OIL_2202_2</t>
  </si>
  <si>
    <t>ER_ELEC_2301_2</t>
  </si>
  <si>
    <t>ER_ELEC_2302_2</t>
  </si>
  <si>
    <t>ER_ELEC_2303_2</t>
  </si>
  <si>
    <t>ER_ELEC_2304_2</t>
  </si>
  <si>
    <t>ER_ELEC_2305_2</t>
  </si>
  <si>
    <t>ER_ELEC_2306_2</t>
  </si>
  <si>
    <t>ER_ELEC_2307_2</t>
  </si>
  <si>
    <t>ER_ELEC_2308_2</t>
  </si>
  <si>
    <t>ER_ELEC_2</t>
  </si>
  <si>
    <t>ER_GAS_2</t>
  </si>
  <si>
    <t>ER_GAS_2401_2</t>
  </si>
  <si>
    <t>ER_GAS_2402_2</t>
  </si>
  <si>
    <t>ER_GAS_2403_2</t>
  </si>
  <si>
    <t>ER_GAS_2404_2</t>
  </si>
  <si>
    <t>ER_GAS_2405_2</t>
  </si>
  <si>
    <t>ER_GAS_2406_2</t>
  </si>
  <si>
    <t>ER_COAL_2</t>
  </si>
  <si>
    <t>ER_TOTAL_2</t>
  </si>
  <si>
    <t>ER_AGRICULTURE_2</t>
  </si>
  <si>
    <t>ER_INDUS_2</t>
  </si>
  <si>
    <t>ER_RESIDENTIAL_2</t>
  </si>
  <si>
    <t>ER_TERTIARY_2</t>
  </si>
  <si>
    <t>ER_TRANS_PRIVATE_2</t>
  </si>
  <si>
    <t>ER_TRANS_PUBLIC_2</t>
  </si>
  <si>
    <t>ER_AUTO_2</t>
  </si>
  <si>
    <t>ER_AUTO_TH_A_2</t>
  </si>
  <si>
    <t>ER_AUTO_TH_B_2</t>
  </si>
  <si>
    <t>ER_AUTO_TH_C_2</t>
  </si>
  <si>
    <t>ER_AUTO_TH_D_2</t>
  </si>
  <si>
    <t>ER_AUTO_TH_E_2</t>
  </si>
  <si>
    <t>ER_AUTO_TH_F_2</t>
  </si>
  <si>
    <t>ER_AUTO_TH_G_2</t>
  </si>
  <si>
    <t>ER_AUTO_ELEC_A_2</t>
  </si>
  <si>
    <t>ER_AUTO_ELEC_B_2</t>
  </si>
  <si>
    <t>ER_AUTO_ELEC_C_2</t>
  </si>
  <si>
    <t>ER_AUTO_ELEC_D_2</t>
  </si>
  <si>
    <t>ER_AUTO_ELEC_E_2</t>
  </si>
  <si>
    <t>ER_AUTO_ELEC_F_2</t>
  </si>
  <si>
    <t>ER_AUTO_ELEC_G_2</t>
  </si>
  <si>
    <t>ER_AUTO_COAL_2</t>
  </si>
  <si>
    <t>ER_AUTO_TH_2</t>
  </si>
  <si>
    <t>ER_AUTO_ELEC_2</t>
  </si>
  <si>
    <t>ER_AUTO_GAS_2</t>
  </si>
  <si>
    <t>ER_NEWAUTO_2</t>
  </si>
  <si>
    <t>ER_NEWAUTO_TH_2</t>
  </si>
  <si>
    <t>ER_NEWAUTO_TH_A_2</t>
  </si>
  <si>
    <t>ER_NEWAUTO_TH_B_2</t>
  </si>
  <si>
    <t>ER_NEWAUTO_TH_C_2</t>
  </si>
  <si>
    <t>ER_NEWAUTO_TH_D_2</t>
  </si>
  <si>
    <t>ER_NEWAUTO_TH_E_2</t>
  </si>
  <si>
    <t>ER_NEWAUTO_TH_F_2</t>
  </si>
  <si>
    <t>ER_NEWAUTO_TH_G_2</t>
  </si>
  <si>
    <t>ER_NEWAUTO_ELEC_2</t>
  </si>
  <si>
    <t>ER_NEWAUTO_ELEC_A_2</t>
  </si>
  <si>
    <t>ER_NEWAUTO_ELEC_B_2</t>
  </si>
  <si>
    <t>ER_NEWAUTO_ELEC_C_2</t>
  </si>
  <si>
    <t>ER_NEWAUTO_ELEC_D_2</t>
  </si>
  <si>
    <t>ER_NEWAUTO_ELEC_E_2</t>
  </si>
  <si>
    <t>ER_NEWAUTO_ELEC_F_2</t>
  </si>
  <si>
    <t>ER_NEWAUTO_ELEC_G_2</t>
  </si>
  <si>
    <t>ER_AGRICULTURE_COAL_2</t>
  </si>
  <si>
    <t>ER_INDUS_COAL_2</t>
  </si>
  <si>
    <t>ER_RESIDENTIAL_COAL_2</t>
  </si>
  <si>
    <t>ER_TERTIARY_COAL_2</t>
  </si>
  <si>
    <t>ER_TRANS_PRIVATE_COAL_2</t>
  </si>
  <si>
    <t>ER_TRANS_PUBLIC_COAL_2</t>
  </si>
  <si>
    <t>ER_AGRICULTURE_OIL_2</t>
  </si>
  <si>
    <t>ER_INDUS_OIL_2</t>
  </si>
  <si>
    <t>ER_RESIDENTIAL_OIL_2</t>
  </si>
  <si>
    <t>ER_TERTIARY_OIL_2</t>
  </si>
  <si>
    <t>ER_TRANS_PRIVATE_OIL_2</t>
  </si>
  <si>
    <t>ER_TRANS_PUBLIC_OIL_2</t>
  </si>
  <si>
    <t>ER_AGRICULTURE_ELEC_2</t>
  </si>
  <si>
    <t>ER_INDUS_ELEC_2</t>
  </si>
  <si>
    <t>ER_RESIDENTIAL_ELEC_2</t>
  </si>
  <si>
    <t>ER_TERTIARY_ELEC_2</t>
  </si>
  <si>
    <t>ER_TRANS_PRIVATE_ELEC_2</t>
  </si>
  <si>
    <t>ER_TRANS_PUBLIC_ELEC_2</t>
  </si>
  <si>
    <t>ER_AGRICULTURE_GAS_2</t>
  </si>
  <si>
    <t>ER_INDUS_GAS_2</t>
  </si>
  <si>
    <t>ER_RESIDENTIAL_GAS_2</t>
  </si>
  <si>
    <t>ER_TERTIARY_GAS_2</t>
  </si>
  <si>
    <t>ER_TRANS_PRIVATE_GAS_2</t>
  </si>
  <si>
    <t>ER_TRANS_PUBLIC_GAS_2</t>
  </si>
  <si>
    <t>ER_BUIL_2</t>
  </si>
  <si>
    <t>ER_BUIL_A_2</t>
  </si>
  <si>
    <t>ER_BUIL_B_2</t>
  </si>
  <si>
    <t>ER_BUIL_C_2</t>
  </si>
  <si>
    <t>ER_BUIL_D_2</t>
  </si>
  <si>
    <t>ER_BUIL_E_2</t>
  </si>
  <si>
    <t>ER_BUIL_F_2</t>
  </si>
  <si>
    <t>ER_BUIL_G_2</t>
  </si>
  <si>
    <t>TTCO_VOL_SIGNAL_2</t>
  </si>
  <si>
    <t>PGDP_2</t>
  </si>
  <si>
    <t>100*(GDP_2/@ELEM(GDP_2,"2006"))</t>
  </si>
  <si>
    <t>100*(EMS_TOT_2/@ELEM(EMS_TOT_2,"2006"))</t>
  </si>
  <si>
    <t>EMS_DC_04_2</t>
  </si>
  <si>
    <t>EMS_DC_05_2</t>
  </si>
  <si>
    <t>EMS_DC_2</t>
  </si>
  <si>
    <t>EMS_HH_2</t>
  </si>
  <si>
    <t>EMS_HH_21_2</t>
  </si>
  <si>
    <t>EMS_HH_21_H01_2</t>
  </si>
  <si>
    <t>EMS_HH_22_2</t>
  </si>
  <si>
    <t>EMS_HH_22_H01_2</t>
  </si>
  <si>
    <t>EMS_HH_24_2</t>
  </si>
  <si>
    <t>EMS_HH_24_H01_2</t>
  </si>
  <si>
    <t>EMS_SEC_TOT_01_2</t>
  </si>
  <si>
    <t>EMS_SEC_TOT_02_2</t>
  </si>
  <si>
    <t>EMS_SEC_TOT_03_2</t>
  </si>
  <si>
    <t>EMS_SEC_TOT_04_2</t>
  </si>
  <si>
    <t>EMS_SEC_TOT_05_2</t>
  </si>
  <si>
    <t>EMS_SEC_TOT_06_2</t>
  </si>
  <si>
    <t>EMS_SEC_TOT_07_2</t>
  </si>
  <si>
    <t>EMS_SEC_TOT_08_2</t>
  </si>
  <si>
    <t>EMS_SEC_TOT_09_2</t>
  </si>
  <si>
    <t>EMS_SEC_TOT_10_2</t>
  </si>
  <si>
    <t>EMS_SEC_TOT_11_2</t>
  </si>
  <si>
    <t>EMS_SEC_TOT_12_2</t>
  </si>
  <si>
    <t>EMS_SEC_TOT_13_2</t>
  </si>
  <si>
    <t>EMS_SEC_TOT_14_2</t>
  </si>
  <si>
    <t>EMS_SEC_TOT_15_2</t>
  </si>
  <si>
    <t>EMS_SEC_TOT_16_2</t>
  </si>
  <si>
    <t>EMS_SEC_TOT_17_2</t>
  </si>
  <si>
    <t>EMS_SEC_TOT_18_2</t>
  </si>
  <si>
    <t>EMS_SEC_TOT_19_2</t>
  </si>
  <si>
    <t>EMS_SEC_TOT_2</t>
  </si>
  <si>
    <t>EMS_SEC_TOT_20_2</t>
  </si>
  <si>
    <t>EMS_SEC_TOT_21_05_2</t>
  </si>
  <si>
    <t>EMS_SEC_TOT_21_06_2</t>
  </si>
  <si>
    <t>EMS_SEC_TOT_21_07_2</t>
  </si>
  <si>
    <t>EMS_SEC_TOT_21_08_2</t>
  </si>
  <si>
    <t>EMS_SEC_TOT_21_10_2</t>
  </si>
  <si>
    <t>EMS_SEC_TOT_21_12_2</t>
  </si>
  <si>
    <t>EMS_SEC_TOT_21_19_2</t>
  </si>
  <si>
    <t>EMS_SEC_TOT_21_20_2</t>
  </si>
  <si>
    <t>EMS_SEC_TOT_21_2304_2</t>
  </si>
  <si>
    <t>EMS_SEC_TOT_2201_2</t>
  </si>
  <si>
    <t>EMS_SEC_TOT_22_01_2</t>
  </si>
  <si>
    <t>EMS_SEC_TOT_22_02_2</t>
  </si>
  <si>
    <t>EMS_SEC_TOT_22_03_2</t>
  </si>
  <si>
    <t>EMS_SEC_TOT_22_04_2</t>
  </si>
  <si>
    <t>EMS_SEC_TOT_22_05_2</t>
  </si>
  <si>
    <t>EMS_SEC_TOT_22_06_2</t>
  </si>
  <si>
    <t>EMS_SEC_TOT_22_07_2</t>
  </si>
  <si>
    <t>EMS_SEC_TOT_22_08_2</t>
  </si>
  <si>
    <t>EMS_SEC_TOT_22_09_2</t>
  </si>
  <si>
    <t>EMS_SEC_TOT_22_12_2</t>
  </si>
  <si>
    <t>EMS_SEC_TOT_22_13_2</t>
  </si>
  <si>
    <t>EMS_SEC_TOT_22_14_2</t>
  </si>
  <si>
    <t>EMS_SEC_TOT_22_15_2</t>
  </si>
  <si>
    <t>EMS_SEC_TOT_22_16_2</t>
  </si>
  <si>
    <t>EMS_SEC_TOT_22_17_2</t>
  </si>
  <si>
    <t>EMS_SEC_TOT_22_18_2</t>
  </si>
  <si>
    <t>EMS_SEC_TOT_22_19_2</t>
  </si>
  <si>
    <t>EMS_SEC_TOT_22_20_2</t>
  </si>
  <si>
    <t>EMS_SEC_TOT_22_2201_2</t>
  </si>
  <si>
    <t>EMS_SEC_TOT_22_2302_2</t>
  </si>
  <si>
    <t>EMS_SEC_TOT_2302_2</t>
  </si>
  <si>
    <t>EMS_SEC_TOT_2303_2</t>
  </si>
  <si>
    <t>EMS_SEC_TOT_2304_2</t>
  </si>
  <si>
    <t>EMS_SEC_TOT_2401_2</t>
  </si>
  <si>
    <t>EMS_SEC_TOT_24_01_2</t>
  </si>
  <si>
    <t>EMS_SEC_TOT_24_02_2</t>
  </si>
  <si>
    <t>EMS_SEC_TOT_24_03_2</t>
  </si>
  <si>
    <t>EMS_SEC_TOT_24_04_2</t>
  </si>
  <si>
    <t>EMS_SEC_TOT_24_05_2</t>
  </si>
  <si>
    <t>EMS_SEC_TOT_24_06_2</t>
  </si>
  <si>
    <t>EMS_SEC_TOT_24_07_2</t>
  </si>
  <si>
    <t>EMS_SEC_TOT_24_08_2</t>
  </si>
  <si>
    <t>EMS_SEC_TOT_24_09_2</t>
  </si>
  <si>
    <t>EMS_SEC_TOT_24_10_2</t>
  </si>
  <si>
    <t>EMS_SEC_TOT_24_11_2</t>
  </si>
  <si>
    <t>EMS_SEC_TOT_24_12_2</t>
  </si>
  <si>
    <t>EMS_SEC_TOT_24_13_2</t>
  </si>
  <si>
    <t>EMS_SEC_TOT_24_14_2</t>
  </si>
  <si>
    <t>EMS_SEC_TOT_24_15_2</t>
  </si>
  <si>
    <t>EMS_SEC_TOT_24_16_2</t>
  </si>
  <si>
    <t>EMS_SEC_TOT_24_17_2</t>
  </si>
  <si>
    <t>EMS_SEC_TOT_24_18_2</t>
  </si>
  <si>
    <t>EMS_SEC_TOT_24_19_2</t>
  </si>
  <si>
    <t>EMS_SEC_TOT_24_20_2</t>
  </si>
  <si>
    <t>EMS_SEC_TOT_24_2201_2</t>
  </si>
  <si>
    <t>EMS_SEC_TOT_24_2303_2</t>
  </si>
  <si>
    <t>EMS_SEC_TOT_24_2401_2</t>
  </si>
  <si>
    <t>EMS_SECSOU_2</t>
  </si>
  <si>
    <t>EMS_SECSOU_21_2</t>
  </si>
  <si>
    <t>EMS_SECSOU_22_2</t>
  </si>
  <si>
    <t>EMS_SECSOU_24_2</t>
  </si>
  <si>
    <t>EMS_SOU_2</t>
  </si>
  <si>
    <t>EMS_SOU_21_2</t>
  </si>
  <si>
    <t>EMS_SOU_22_2</t>
  </si>
  <si>
    <t>EMS_SOU_24_2</t>
  </si>
  <si>
    <t>EMS_TOT_2</t>
  </si>
  <si>
    <t>Q_MTEP_EP_2</t>
  </si>
  <si>
    <t>Q_MTEP_EP_21_2</t>
  </si>
  <si>
    <t>Q_MTEP_EP_21_21_2</t>
  </si>
  <si>
    <t>Q_MTEP_EP_2201_2</t>
  </si>
  <si>
    <t>Q_MTEP_EP_2202_2</t>
  </si>
  <si>
    <t>Q_MTEP_EP_22_2201_2</t>
  </si>
  <si>
    <t>Q_MTEP_EP_22_2202_2</t>
  </si>
  <si>
    <t>Q_MTEP_EP_2301_2</t>
  </si>
  <si>
    <t>Q_MTEP_EP_2302_2</t>
  </si>
  <si>
    <t>Q_MTEP_EP_2303_2</t>
  </si>
  <si>
    <t>Q_MTEP_EP_2304_2</t>
  </si>
  <si>
    <t>Q_MTEP_EP_2305_2</t>
  </si>
  <si>
    <t>Q_MTEP_EP_2306_2</t>
  </si>
  <si>
    <t>Q_MTEP_EP_2307_2</t>
  </si>
  <si>
    <t>Q_MTEP_EP_2308_2</t>
  </si>
  <si>
    <t>Q_MTEP_EP_23_2301_2</t>
  </si>
  <si>
    <t>Q_MTEP_EP_23_2302_2</t>
  </si>
  <si>
    <t>Q_MTEP_EP_23_2303_2</t>
  </si>
  <si>
    <t>Q_MTEP_EP_23_2304_2</t>
  </si>
  <si>
    <t>Q_MTEP_EP_23_2305_2</t>
  </si>
  <si>
    <t>Q_MTEP_EP_23_2306_2</t>
  </si>
  <si>
    <t>Q_MTEP_EP_23_2307_2</t>
  </si>
  <si>
    <t>Q_MTEP_EP_23_2308_2</t>
  </si>
  <si>
    <t>Q_MTEP_EP_2401_2</t>
  </si>
  <si>
    <t>Q_MTEP_EP_2402_2</t>
  </si>
  <si>
    <t>Q_MTEP_EP_2403_2</t>
  </si>
  <si>
    <t>Q_MTEP_EP_2404_2</t>
  </si>
  <si>
    <t>Q_MTEP_EP_2405_2</t>
  </si>
  <si>
    <t>Q_MTEP_EP_2406_2</t>
  </si>
  <si>
    <t>Q_MTEP_EP_24_2401_2</t>
  </si>
  <si>
    <t>Q_MTEP_EP_24_2402_2</t>
  </si>
  <si>
    <t>Q_MTEP_EP_24_2403_2</t>
  </si>
  <si>
    <t>Q_MTEP_EP_24_2404_2</t>
  </si>
  <si>
    <t>Q_MTEP_EP_24_2405_2</t>
  </si>
  <si>
    <t>Q_MTEP_EP_24_2406_2</t>
  </si>
  <si>
    <t>Q_MTEP_INDUS_21_2</t>
  </si>
  <si>
    <t>Q_MTEP_INDUS_22_2</t>
  </si>
  <si>
    <t>Q_MTEP_INDUS_23_2</t>
  </si>
  <si>
    <t>Q_MTEP_INDUS_24_2</t>
  </si>
  <si>
    <t>PHIY_EF_TOT_22_2201_2</t>
  </si>
  <si>
    <t>PHIY_EF_TOT_22_2202_2</t>
  </si>
  <si>
    <t>PHIY_EF_TOT_23_2301_2</t>
  </si>
  <si>
    <t>PHIY_EF_TOT_23_2302_2</t>
  </si>
  <si>
    <t>PHIY_EF_TOT_23_2303_2</t>
  </si>
  <si>
    <t>PHIY_EF_TOT_23_2304_2</t>
  </si>
  <si>
    <t>PHIY_EF_TOT_23_2305_2</t>
  </si>
  <si>
    <t>PHIY_EF_TOT_23_2306_2</t>
  </si>
  <si>
    <t>PHIY_EF_TOT_23_2307_2</t>
  </si>
  <si>
    <t>PHIY_EF_TOT_23_2308_2</t>
  </si>
  <si>
    <t>PHIY_EF_TOT_24_2401_2</t>
  </si>
  <si>
    <t>PHIY_EF_TOT_24_2402_2</t>
  </si>
  <si>
    <t>PHIY_EF_TOT_24_2403_2</t>
  </si>
  <si>
    <t>PHIY_EF_TOT_24_2404_2</t>
  </si>
  <si>
    <t>PHIY_EF_TOT_24_2405_2</t>
  </si>
  <si>
    <t>PHIY_EF_TOT_24_2406_2</t>
  </si>
  <si>
    <t>IC_HH_22_H01_2</t>
  </si>
  <si>
    <t>IC_HH_24_H01_2</t>
  </si>
  <si>
    <t>Q_Mtep_ep_2201_2</t>
  </si>
  <si>
    <t>Q_Mtep_ep_2202_2</t>
  </si>
  <si>
    <t>Q_Mtep_ep_2301_2</t>
  </si>
  <si>
    <t>Q_Mtep_ep_2302_2</t>
  </si>
  <si>
    <t>Q_Mtep_ep_2303_2</t>
  </si>
  <si>
    <t>Q_Mtep_ep_2304_2</t>
  </si>
  <si>
    <t>Q_Mtep_ep_2305_2</t>
  </si>
  <si>
    <t>Q_Mtep_ep_2306_2</t>
  </si>
  <si>
    <t>Q_Mtep_ep_2307_2</t>
  </si>
  <si>
    <t>Q_Mtep_ep_2308_2</t>
  </si>
  <si>
    <t>Q_Mtep_ep_2401_2</t>
  </si>
  <si>
    <t>Q_Mtep_ep_2402_2</t>
  </si>
  <si>
    <t>Q_Mtep_ep_2403_2</t>
  </si>
  <si>
    <t>Q_Mtep_ep_2404_2</t>
  </si>
  <si>
    <t>Q_Mtep_ep_2405_2</t>
  </si>
  <si>
    <t>Q_Mtep_ep_2406_2</t>
  </si>
  <si>
    <t>Q_Mtep_ep_21_2</t>
  </si>
  <si>
    <t>ER_Oil_2</t>
  </si>
  <si>
    <t>ER_oil_2201_2</t>
  </si>
  <si>
    <t>ER_oil_2202_2</t>
  </si>
  <si>
    <t>ER_elec_2</t>
  </si>
  <si>
    <t>ER_Elec_2301_2</t>
  </si>
  <si>
    <t>ER_elec_2302_2</t>
  </si>
  <si>
    <t>ER_Elec_2303_2</t>
  </si>
  <si>
    <t>ER_elec_2304_2</t>
  </si>
  <si>
    <t>ER_Elec_2305_2</t>
  </si>
  <si>
    <t>ER_elec_2306_2</t>
  </si>
  <si>
    <t>ER_Elec_2307_2</t>
  </si>
  <si>
    <t>ER_elec_2308_2</t>
  </si>
  <si>
    <t>ER_Gas_2</t>
  </si>
  <si>
    <t>ER_Gas_2401_2</t>
  </si>
  <si>
    <t>ER_Gas_2402_2</t>
  </si>
  <si>
    <t>ER_Gas_2403_2</t>
  </si>
  <si>
    <t>ER_Gas_2404_2</t>
  </si>
  <si>
    <t>ER_Gas_2405_2</t>
  </si>
  <si>
    <t>ER_Gas_2406_2</t>
  </si>
  <si>
    <t>ER_coal_2</t>
  </si>
  <si>
    <t>ER_Total_2</t>
  </si>
  <si>
    <t>ER_TRANS_PRIVATE_coal_2</t>
  </si>
  <si>
    <t>ER_TRANS_PRIVATE_oil_2</t>
  </si>
  <si>
    <t>ER_TRANS_PRIVATE_elec_2</t>
  </si>
  <si>
    <t>ER_TRANS_PRIVATE_gas_2</t>
  </si>
  <si>
    <t>ER_TRANS_PUBLIC_coal_2</t>
  </si>
  <si>
    <t>ER_TRANS_PUBLIC_oil_2</t>
  </si>
  <si>
    <t>ER_TRANS_PUBLIC_elec_2</t>
  </si>
  <si>
    <t>ER_TRANS_PUBLIC_gas_2</t>
  </si>
  <si>
    <t>ER_RESIDENTIAL_coal_2</t>
  </si>
  <si>
    <t>ER_RESIDENTIAL_oil_2</t>
  </si>
  <si>
    <t>ER_RESIDENTIAL_elec_2</t>
  </si>
  <si>
    <t>ER_RESIDENTIAL_gas_2</t>
  </si>
  <si>
    <t>ER_TERTIARY_coal_2</t>
  </si>
  <si>
    <t>ER_TERTIARY_oil_2</t>
  </si>
  <si>
    <t>ER_TERTIARY_elec_2</t>
  </si>
  <si>
    <t>ER_TERTIARY_gas_2</t>
  </si>
  <si>
    <t>ER_INDUS_coal_2</t>
  </si>
  <si>
    <t>ER_INDUS_oil_2</t>
  </si>
  <si>
    <t>ER_INDUS_elec_2</t>
  </si>
  <si>
    <t>ER_INDUS_gas_2</t>
  </si>
  <si>
    <t>Q_Mtep_indus_21_2</t>
  </si>
  <si>
    <t>Q_Mtep_indus_22_2</t>
  </si>
  <si>
    <t>Q_Mtep_indus_23_2</t>
  </si>
  <si>
    <t>Q_Mtep_indus_24_2</t>
  </si>
  <si>
    <t>ER_AGRICULTURE_coal_2</t>
  </si>
  <si>
    <t>ER_AGRICULTURE_oil_2</t>
  </si>
  <si>
    <t>ER_AGRICULTURE_elec_2</t>
  </si>
  <si>
    <t>ER_AGRICULTURE_gas_2</t>
  </si>
  <si>
    <t>ER_AUTO_2/1000</t>
  </si>
  <si>
    <t>ER_AUTO_ELEC_2/ER_AUTO_2</t>
  </si>
  <si>
    <t>ER_AUTO_TH_2/ER_AUTO_2</t>
  </si>
  <si>
    <t>ER_NEWAUTO_ELEC_2/ER_NEWAUTO_2</t>
  </si>
  <si>
    <t>ER_NEWAUTO_ELEC_A_2/ER_NEWAUTO_2</t>
  </si>
  <si>
    <t>ER_NEWAUTO_ELEC_B_2/ER_NEWAUTO_2</t>
  </si>
  <si>
    <t>ER_NEWAUTO_ELEC_C_2/ER_NEWAUTO_2</t>
  </si>
  <si>
    <t>ER_NEWAUTO_ELEC_D_2/ER_NEWAUTO_2</t>
  </si>
  <si>
    <t>ER_NEWAUTO_ELEC_E_2/ER_NEWAUTO_2</t>
  </si>
  <si>
    <t>ER_NEWAUTO_ELEC_F_2/ER_NEWAUTO_2</t>
  </si>
  <si>
    <t>ER_NEWAUTO_ELEC_G_2/ER_NEWAUTO_2</t>
  </si>
  <si>
    <t>ER_NEWAUTO_TH_2/ER_NEWAUTO_2</t>
  </si>
  <si>
    <t>ER_NEWAUTO_TH_A_2/ER_NEWAUTO_2</t>
  </si>
  <si>
    <t>ER_NEWAUTO_TH_B_2/ER_NEWAUTO_2</t>
  </si>
  <si>
    <t>ER_NEWAUTO_TH_C_2/ER_NEWAUTO_2</t>
  </si>
  <si>
    <t>ER_NEWAUTO_TH_D_2/ER_NEWAUTO_2</t>
  </si>
  <si>
    <t>ER_NEWAUTO_TH_E_2/ER_NEWAUTO_2</t>
  </si>
  <si>
    <t>ER_NEWAUTO_TH_F_2/ER_NEWAUTO_2</t>
  </si>
  <si>
    <t>ER_NEWAUTO_TH_G_2/ER_NEWAUTO_2</t>
  </si>
  <si>
    <t>ER_AUTO_COAL_2/ER_AUTO_2</t>
  </si>
  <si>
    <t>ER_AUTO_GAS_2/ER_AUTO_2</t>
  </si>
  <si>
    <t>ER_AUTO_ELEC_A_2/ER_AUTO_2</t>
  </si>
  <si>
    <t>ER_AUTO_ELEC_B_2/ER_AUTO_2</t>
  </si>
  <si>
    <t>ER_AUTO_ELEC_C_2/ER_AUTO_2</t>
  </si>
  <si>
    <t>ER_AUTO_ELEC_D_2/ER_AUTO_2</t>
  </si>
  <si>
    <t>ER_AUTO_ELEC_E_2/ER_AUTO_2</t>
  </si>
  <si>
    <t>ER_AUTO_ELEC_F_2/ER_AUTO_2</t>
  </si>
  <si>
    <t>ER_AUTO_ELEC_G_2/ER_AUTO_2</t>
  </si>
  <si>
    <t>ER_AUTO_TH_A_2/ER_AUTO_2</t>
  </si>
  <si>
    <t>ER_AUTO_TH_B_2/ER_AUTO_2</t>
  </si>
  <si>
    <t>ER_AUTO_TH_C_2/ER_AUTO_2</t>
  </si>
  <si>
    <t>ER_AUTO_TH_D_2/ER_AUTO_2</t>
  </si>
  <si>
    <t>ER_AUTO_TH_E_2/ER_AUTO_2</t>
  </si>
  <si>
    <t>ER_AUTO_TH_F_2/ER_AUTO_2</t>
  </si>
  <si>
    <t>ER_AUTO_TH_G_2/ER_AUTO_2</t>
  </si>
  <si>
    <t>Cf. onglet "G mix energie"</t>
  </si>
  <si>
    <t>electricité</t>
  </si>
  <si>
    <t>chaleur (bois…)</t>
  </si>
  <si>
    <t>gaz</t>
  </si>
  <si>
    <t>carburant</t>
  </si>
  <si>
    <t>Electric</t>
  </si>
  <si>
    <t>Stock of vehicles</t>
  </si>
  <si>
    <t>S1</t>
  </si>
  <si>
    <t>Transport (milliers de km voyageurs)</t>
  </si>
  <si>
    <t>Avion (France + RDM)</t>
  </si>
  <si>
    <t>Longue Distance (LD)</t>
  </si>
  <si>
    <t xml:space="preserve">    voiture LD</t>
  </si>
  <si>
    <t xml:space="preserve">    train</t>
  </si>
  <si>
    <t>Courte Distance (CD)</t>
  </si>
  <si>
    <t xml:space="preserve">    voiture CD</t>
  </si>
  <si>
    <t xml:space="preserve">    bus</t>
  </si>
  <si>
    <t>Voiture CD+LD</t>
  </si>
  <si>
    <t>TEND</t>
  </si>
  <si>
    <t>Ecarts de transport 
(milliers de km voyageurs)</t>
  </si>
  <si>
    <t>KM_AUTO_H01_2</t>
  </si>
  <si>
    <t>KM_TRAVELER_18_H01_2</t>
  </si>
  <si>
    <t>KM_TRAV_AUTO_LD_H01_2</t>
  </si>
  <si>
    <t>KM_TRAV_AUTO_CD_H01_2</t>
  </si>
  <si>
    <t>KM_TRAVELER_14_H01_2</t>
  </si>
  <si>
    <t>KM_TRAVELER_15_H01_2</t>
  </si>
  <si>
    <t>KM_TRAVELER_CD_H01_2</t>
  </si>
  <si>
    <t>KM_TRAVELER_LD_H01_2</t>
  </si>
  <si>
    <t>1) Copier-coller sorties Eviews en B2
2) veillez à ce que les données commencent en 2004
3) modifier le scénario si besoin en B1</t>
  </si>
  <si>
    <t>Energie finale</t>
  </si>
  <si>
    <t>EMS_TOT_2/@ELEM(EMS_TOT,"2006")*100</t>
  </si>
  <si>
    <t>c</t>
  </si>
  <si>
    <t>Différences en 2050 résultant des modifs de chocs</t>
  </si>
  <si>
    <t>Ecarts par rapport à la cible</t>
  </si>
  <si>
    <t>Industry</t>
  </si>
  <si>
    <t>Industry energetic uses</t>
  </si>
  <si>
    <t>SNBC3</t>
  </si>
  <si>
    <t>Part modale hors avion</t>
  </si>
  <si>
    <t>voiture CD</t>
  </si>
  <si>
    <t>voiture LD</t>
  </si>
  <si>
    <t>voiture CD+LD</t>
  </si>
  <si>
    <t>Transport (parts modales en %)</t>
  </si>
  <si>
    <t>2030/2019</t>
  </si>
  <si>
    <t>2050/2019</t>
  </si>
  <si>
    <t>Total hors avion</t>
  </si>
  <si>
    <t>Ecarts de transport 
(points de %)</t>
  </si>
  <si>
    <t>Avion</t>
  </si>
  <si>
    <t>train</t>
  </si>
  <si>
    <t>bus</t>
  </si>
  <si>
    <t>route</t>
  </si>
  <si>
    <t>Cibles DGEC</t>
  </si>
  <si>
    <t>TTCO_VOL_SIGNAL_1</t>
  </si>
  <si>
    <t>PGDP_1</t>
  </si>
  <si>
    <t>(GDP_2/GDP_1-1)*100</t>
  </si>
  <si>
    <t>(CH_2/CH_1-1)*100</t>
  </si>
  <si>
    <t>(I_2/I_1-1)*100</t>
  </si>
  <si>
    <t>(X_2/X_1-1)*100</t>
  </si>
  <si>
    <t>(M_2/M_1-1)*100</t>
  </si>
  <si>
    <t>(DC_VAL_2/(PGDP_2*GDP_2)-DC_VAL_1/(PGDP_1*GDP_1))*100</t>
  </si>
  <si>
    <t>(UNR_TOT_2-UNR_TOT_1)*100</t>
  </si>
  <si>
    <t>(L_2/L_1-1)*100</t>
  </si>
  <si>
    <t>((W_S_2/PCH_2)/(W_S_1/PCH_1)-1)*100</t>
  </si>
  <si>
    <t>INFL_FR_2-INFL_FR_1</t>
  </si>
  <si>
    <t>R_2-R_1</t>
  </si>
  <si>
    <t>(DEBT_G_VAL_2/(PGDP_2*GDP_2)-DEBT_G_VAL_1/(PGDP_1*GDP_1))*100</t>
  </si>
  <si>
    <t>(DP_G_VAL_2-DP_G_VAL_1)*100</t>
  </si>
  <si>
    <t>100*(GDP_2/GDP_1-1)</t>
  </si>
  <si>
    <t>100*(CH_2/CH_1-1)</t>
  </si>
  <si>
    <t>100*(I_2/I_1-1)</t>
  </si>
  <si>
    <t>100*(X_2/X_1-1)</t>
  </si>
  <si>
    <t>100*(M_2/M_1-1)</t>
  </si>
  <si>
    <t>100*(UNR_TOT_2-UNR_TOT_1)</t>
  </si>
  <si>
    <t>100*(L_2/L_1-1)</t>
  </si>
  <si>
    <t>100*((W_2/PCH_2)/(W_1/PCH_1)-1)</t>
  </si>
  <si>
    <t>100*(PCH_2/PCH_1-1)</t>
  </si>
  <si>
    <t>100*(R_2-R_1)</t>
  </si>
  <si>
    <t>100*(DEBT_G_VAL_2/(PGDP_2*GDP_2)-DEBT_G_VAL_1/(PGDP_1*GDP_1))</t>
  </si>
  <si>
    <t>100*(DP_G_VAL_2-DP_G_VAL_1)</t>
  </si>
  <si>
    <t>100*(EMS_TOT_2/EMS_TOT_1-1)</t>
  </si>
  <si>
    <t>KM_AUTO_H01_1</t>
  </si>
  <si>
    <t>KM_TRAVELER_18_H01_1</t>
  </si>
  <si>
    <t>KM_TRAV_AUTO_LD_H01_1</t>
  </si>
  <si>
    <t>KM_TRAV_AUTO_CD_H01_1</t>
  </si>
  <si>
    <t>KM_TRAVELER_14_H01_1</t>
  </si>
  <si>
    <t>KM_TRAVELER_15_H01_1</t>
  </si>
  <si>
    <t>KM_TRAVELER_CD_H01_1</t>
  </si>
  <si>
    <t>KM_TRAVELER_LD_H01_1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</si>
</sst>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%"/>
    <numFmt numFmtId="166" formatCode="#,##0.0"/>
    <numFmt numFmtId="167" formatCode="0.000"/>
    <numFmt numFmtId="168" formatCode="0.000%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theme="1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  <scheme val="minor"/>
    </font>
    <font>
      <b/>
      <sz val="16"/>
      <color theme="1"/>
      <name val="Calibri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42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auto="1"/>
      </top>
      <bottom style="dotted">
        <color auto="1"/>
      </bottom>
      <diagonal/>
    </border>
    <border>
      <left/>
      <right style="thin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 style="dotted">
        <color auto="1"/>
      </bottom>
      <diagonal/>
    </border>
    <border>
      <left/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/>
      <top style="dotted">
        <color auto="1"/>
      </top>
      <bottom style="dotted">
        <color auto="1"/>
      </bottom>
      <diagonal/>
    </border>
    <border>
      <left/>
      <right style="thin">
        <color indexed="64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15" fillId="0" borderId="0"/>
    <xf numFmtId="0" fontId="19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15" fillId="0" borderId="0"/>
  </cellStyleXfs>
  <cellXfs count="321">
    <xf numFmtId="0" fontId="0" fillId="0" borderId="0" xfId="0"/>
    <xf numFmtId="0" fontId="3" fillId="0" borderId="0" xfId="0" applyFont="1"/>
    <xf numFmtId="0" fontId="0" fillId="2" borderId="1" xfId="0" applyFill="1" applyBorder="1"/>
    <xf numFmtId="0" fontId="0" fillId="2" borderId="0" xfId="0" applyFill="1"/>
    <xf numFmtId="0" fontId="2" fillId="2" borderId="1" xfId="0" applyFont="1" applyFill="1" applyBorder="1" applyAlignment="1">
      <alignment horizontal="right"/>
    </xf>
    <xf numFmtId="0" fontId="2" fillId="2" borderId="1" xfId="0" applyFont="1" applyFill="1" applyBorder="1"/>
    <xf numFmtId="1" fontId="2" fillId="3" borderId="3" xfId="0" applyNumberFormat="1" applyFont="1" applyFill="1" applyBorder="1" applyAlignment="1">
      <alignment horizontal="right"/>
    </xf>
    <xf numFmtId="0" fontId="0" fillId="2" borderId="3" xfId="0" applyFill="1" applyBorder="1"/>
    <xf numFmtId="1" fontId="2" fillId="3" borderId="1" xfId="0" applyNumberFormat="1" applyFont="1" applyFill="1" applyBorder="1" applyAlignment="1">
      <alignment horizontal="right"/>
    </xf>
    <xf numFmtId="1" fontId="2" fillId="4" borderId="1" xfId="0" applyNumberFormat="1" applyFont="1" applyFill="1" applyBorder="1"/>
    <xf numFmtId="0" fontId="0" fillId="0" borderId="3" xfId="0" applyBorder="1"/>
    <xf numFmtId="0" fontId="5" fillId="0" borderId="0" xfId="0" applyFont="1"/>
    <xf numFmtId="0" fontId="2" fillId="0" borderId="1" xfId="0" applyFont="1" applyBorder="1"/>
    <xf numFmtId="0" fontId="10" fillId="0" borderId="0" xfId="0" applyFont="1"/>
    <xf numFmtId="1" fontId="2" fillId="2" borderId="1" xfId="0" applyNumberFormat="1" applyFont="1" applyFill="1" applyBorder="1" applyAlignment="1">
      <alignment horizontal="left"/>
    </xf>
    <xf numFmtId="0" fontId="0" fillId="2" borderId="2" xfId="0" applyFill="1" applyBorder="1"/>
    <xf numFmtId="1" fontId="0" fillId="2" borderId="0" xfId="0" applyNumberFormat="1" applyFill="1" applyAlignment="1">
      <alignment horizontal="right"/>
    </xf>
    <xf numFmtId="1" fontId="0" fillId="2" borderId="3" xfId="0" applyNumberFormat="1" applyFill="1" applyBorder="1" applyAlignment="1">
      <alignment horizontal="right"/>
    </xf>
    <xf numFmtId="3" fontId="2" fillId="3" borderId="3" xfId="0" applyNumberFormat="1" applyFont="1" applyFill="1" applyBorder="1" applyAlignment="1">
      <alignment horizontal="right"/>
    </xf>
    <xf numFmtId="0" fontId="2" fillId="2" borderId="0" xfId="0" applyFont="1" applyFill="1" applyAlignment="1">
      <alignment horizontal="right"/>
    </xf>
    <xf numFmtId="0" fontId="2" fillId="2" borderId="4" xfId="0" applyFont="1" applyFill="1" applyBorder="1" applyAlignment="1">
      <alignment horizontal="right"/>
    </xf>
    <xf numFmtId="1" fontId="2" fillId="3" borderId="4" xfId="0" applyNumberFormat="1" applyFont="1" applyFill="1" applyBorder="1" applyAlignment="1">
      <alignment horizontal="right"/>
    </xf>
    <xf numFmtId="1" fontId="0" fillId="2" borderId="5" xfId="0" applyNumberFormat="1" applyFill="1" applyBorder="1" applyAlignment="1">
      <alignment horizontal="right"/>
    </xf>
    <xf numFmtId="1" fontId="2" fillId="4" borderId="4" xfId="0" applyNumberFormat="1" applyFont="1" applyFill="1" applyBorder="1"/>
    <xf numFmtId="0" fontId="6" fillId="0" borderId="1" xfId="0" applyFont="1" applyBorder="1"/>
    <xf numFmtId="3" fontId="0" fillId="2" borderId="0" xfId="0" applyNumberFormat="1" applyFill="1" applyAlignment="1">
      <alignment horizontal="right"/>
    </xf>
    <xf numFmtId="0" fontId="10" fillId="0" borderId="3" xfId="0" applyFont="1" applyBorder="1"/>
    <xf numFmtId="1" fontId="2" fillId="2" borderId="1" xfId="0" applyNumberFormat="1" applyFont="1" applyFill="1" applyBorder="1" applyAlignment="1">
      <alignment horizontal="right"/>
    </xf>
    <xf numFmtId="1" fontId="11" fillId="5" borderId="1" xfId="0" applyNumberFormat="1" applyFont="1" applyFill="1" applyBorder="1" applyAlignment="1">
      <alignment horizontal="right"/>
    </xf>
    <xf numFmtId="1" fontId="11" fillId="5" borderId="4" xfId="0" applyNumberFormat="1" applyFont="1" applyFill="1" applyBorder="1" applyAlignment="1">
      <alignment horizontal="right"/>
    </xf>
    <xf numFmtId="1" fontId="16" fillId="2" borderId="0" xfId="0" applyNumberFormat="1" applyFont="1" applyFill="1" applyAlignment="1">
      <alignment horizontal="right"/>
    </xf>
    <xf numFmtId="1" fontId="11" fillId="6" borderId="1" xfId="0" applyNumberFormat="1" applyFont="1" applyFill="1" applyBorder="1"/>
    <xf numFmtId="1" fontId="11" fillId="6" borderId="4" xfId="0" applyNumberFormat="1" applyFont="1" applyFill="1" applyBorder="1"/>
    <xf numFmtId="2" fontId="2" fillId="0" borderId="0" xfId="0" applyNumberFormat="1" applyFont="1"/>
    <xf numFmtId="164" fontId="0" fillId="2" borderId="0" xfId="0" applyNumberFormat="1" applyFill="1" applyAlignment="1">
      <alignment horizontal="right"/>
    </xf>
    <xf numFmtId="0" fontId="7" fillId="2" borderId="0" xfId="0" applyFont="1" applyFill="1" applyAlignment="1">
      <alignment horizontal="left" indent="2"/>
    </xf>
    <xf numFmtId="1" fontId="2" fillId="7" borderId="1" xfId="0" applyNumberFormat="1" applyFont="1" applyFill="1" applyBorder="1" applyAlignment="1">
      <alignment horizontal="right"/>
    </xf>
    <xf numFmtId="1" fontId="2" fillId="8" borderId="1" xfId="0" applyNumberFormat="1" applyFont="1" applyFill="1" applyBorder="1"/>
    <xf numFmtId="2" fontId="0" fillId="2" borderId="0" xfId="0" applyNumberFormat="1" applyFill="1" applyAlignment="1">
      <alignment horizontal="right"/>
    </xf>
    <xf numFmtId="11" fontId="0" fillId="0" borderId="0" xfId="0" applyNumberFormat="1"/>
    <xf numFmtId="0" fontId="19" fillId="0" borderId="0" xfId="3" applyFill="1"/>
    <xf numFmtId="0" fontId="4" fillId="2" borderId="0" xfId="0" applyFont="1" applyFill="1"/>
    <xf numFmtId="0" fontId="5" fillId="2" borderId="0" xfId="0" applyFont="1" applyFill="1"/>
    <xf numFmtId="0" fontId="6" fillId="2" borderId="3" xfId="0" applyFont="1" applyFill="1" applyBorder="1"/>
    <xf numFmtId="0" fontId="6" fillId="2" borderId="0" xfId="0" applyFont="1" applyFill="1"/>
    <xf numFmtId="1" fontId="0" fillId="2" borderId="0" xfId="0" applyNumberFormat="1" applyFill="1"/>
    <xf numFmtId="0" fontId="3" fillId="2" borderId="0" xfId="0" applyFont="1" applyFill="1"/>
    <xf numFmtId="164" fontId="0" fillId="2" borderId="0" xfId="0" applyNumberFormat="1" applyFill="1"/>
    <xf numFmtId="1" fontId="2" fillId="8" borderId="4" xfId="0" applyNumberFormat="1" applyFont="1" applyFill="1" applyBorder="1"/>
    <xf numFmtId="0" fontId="6" fillId="2" borderId="1" xfId="0" applyFont="1" applyFill="1" applyBorder="1"/>
    <xf numFmtId="0" fontId="8" fillId="2" borderId="2" xfId="0" applyFont="1" applyFill="1" applyBorder="1"/>
    <xf numFmtId="3" fontId="2" fillId="9" borderId="11" xfId="0" applyNumberFormat="1" applyFont="1" applyFill="1" applyBorder="1" applyAlignment="1">
      <alignment horizontal="right"/>
    </xf>
    <xf numFmtId="0" fontId="0" fillId="2" borderId="12" xfId="0" applyFill="1" applyBorder="1"/>
    <xf numFmtId="3" fontId="2" fillId="3" borderId="13" xfId="0" applyNumberFormat="1" applyFont="1" applyFill="1" applyBorder="1" applyAlignment="1">
      <alignment horizontal="right"/>
    </xf>
    <xf numFmtId="0" fontId="10" fillId="2" borderId="0" xfId="0" applyFont="1" applyFill="1"/>
    <xf numFmtId="3" fontId="0" fillId="2" borderId="13" xfId="0" applyNumberFormat="1" applyFill="1" applyBorder="1" applyAlignment="1">
      <alignment horizontal="right"/>
    </xf>
    <xf numFmtId="0" fontId="7" fillId="2" borderId="3" xfId="0" applyFont="1" applyFill="1" applyBorder="1" applyAlignment="1">
      <alignment horizontal="left" indent="2"/>
    </xf>
    <xf numFmtId="3" fontId="0" fillId="2" borderId="3" xfId="0" applyNumberFormat="1" applyFill="1" applyBorder="1" applyAlignment="1">
      <alignment horizontal="right"/>
    </xf>
    <xf numFmtId="0" fontId="2" fillId="2" borderId="11" xfId="0" applyFont="1" applyFill="1" applyBorder="1"/>
    <xf numFmtId="3" fontId="2" fillId="9" borderId="2" xfId="0" applyNumberFormat="1" applyFont="1" applyFill="1" applyBorder="1" applyAlignment="1">
      <alignment horizontal="right"/>
    </xf>
    <xf numFmtId="0" fontId="2" fillId="2" borderId="0" xfId="0" applyFont="1" applyFill="1"/>
    <xf numFmtId="3" fontId="2" fillId="3" borderId="12" xfId="0" applyNumberFormat="1" applyFont="1" applyFill="1" applyBorder="1" applyAlignment="1">
      <alignment horizontal="right"/>
    </xf>
    <xf numFmtId="0" fontId="7" fillId="2" borderId="14" xfId="0" applyFont="1" applyFill="1" applyBorder="1" applyAlignment="1">
      <alignment horizontal="left" indent="2"/>
    </xf>
    <xf numFmtId="0" fontId="10" fillId="2" borderId="14" xfId="0" applyFont="1" applyFill="1" applyBorder="1"/>
    <xf numFmtId="0" fontId="2" fillId="2" borderId="12" xfId="0" applyFont="1" applyFill="1" applyBorder="1"/>
    <xf numFmtId="3" fontId="0" fillId="2" borderId="0" xfId="1" applyNumberFormat="1" applyFont="1" applyFill="1" applyBorder="1" applyAlignment="1">
      <alignment horizontal="right"/>
    </xf>
    <xf numFmtId="0" fontId="10" fillId="2" borderId="3" xfId="0" applyFont="1" applyFill="1" applyBorder="1"/>
    <xf numFmtId="165" fontId="2" fillId="3" borderId="13" xfId="0" applyNumberFormat="1" applyFont="1" applyFill="1" applyBorder="1" applyAlignment="1">
      <alignment horizontal="right"/>
    </xf>
    <xf numFmtId="165" fontId="0" fillId="2" borderId="0" xfId="0" applyNumberFormat="1" applyFill="1" applyAlignment="1">
      <alignment horizontal="right"/>
    </xf>
    <xf numFmtId="165" fontId="0" fillId="2" borderId="13" xfId="0" applyNumberFormat="1" applyFill="1" applyBorder="1" applyAlignment="1">
      <alignment horizontal="right"/>
    </xf>
    <xf numFmtId="165" fontId="0" fillId="2" borderId="3" xfId="0" applyNumberFormat="1" applyFill="1" applyBorder="1" applyAlignment="1">
      <alignment horizontal="right"/>
    </xf>
    <xf numFmtId="165" fontId="2" fillId="3" borderId="12" xfId="0" applyNumberFormat="1" applyFont="1" applyFill="1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65" fontId="0" fillId="2" borderId="3" xfId="1" applyNumberFormat="1" applyFont="1" applyFill="1" applyBorder="1" applyAlignment="1">
      <alignment horizontal="right"/>
    </xf>
    <xf numFmtId="165" fontId="0" fillId="2" borderId="2" xfId="0" applyNumberFormat="1" applyFill="1" applyBorder="1" applyAlignment="1">
      <alignment horizontal="right"/>
    </xf>
    <xf numFmtId="1" fontId="2" fillId="2" borderId="0" xfId="0" applyNumberFormat="1" applyFont="1" applyFill="1" applyAlignment="1">
      <alignment horizontal="right"/>
    </xf>
    <xf numFmtId="0" fontId="2" fillId="2" borderId="1" xfId="0" applyFont="1" applyFill="1" applyBorder="1" applyAlignment="1">
      <alignment horizontal="right" wrapText="1" shrinkToFit="1"/>
    </xf>
    <xf numFmtId="164" fontId="20" fillId="2" borderId="0" xfId="0" applyNumberFormat="1" applyFont="1" applyFill="1"/>
    <xf numFmtId="1" fontId="20" fillId="2" borderId="0" xfId="0" applyNumberFormat="1" applyFont="1" applyFill="1"/>
    <xf numFmtId="1" fontId="2" fillId="2" borderId="0" xfId="0" applyNumberFormat="1" applyFont="1" applyFill="1"/>
    <xf numFmtId="1" fontId="11" fillId="2" borderId="0" xfId="0" applyNumberFormat="1" applyFont="1" applyFill="1"/>
    <xf numFmtId="0" fontId="16" fillId="2" borderId="0" xfId="0" applyFont="1" applyFill="1"/>
    <xf numFmtId="1" fontId="11" fillId="2" borderId="0" xfId="0" applyNumberFormat="1" applyFont="1" applyFill="1" applyAlignment="1">
      <alignment horizontal="right"/>
    </xf>
    <xf numFmtId="1" fontId="2" fillId="2" borderId="16" xfId="0" applyNumberFormat="1" applyFont="1" applyFill="1" applyBorder="1" applyAlignment="1">
      <alignment horizontal="right"/>
    </xf>
    <xf numFmtId="1" fontId="2" fillId="3" borderId="9" xfId="0" applyNumberFormat="1" applyFont="1" applyFill="1" applyBorder="1" applyAlignment="1">
      <alignment horizontal="right"/>
    </xf>
    <xf numFmtId="1" fontId="2" fillId="3" borderId="10" xfId="0" applyNumberFormat="1" applyFont="1" applyFill="1" applyBorder="1" applyAlignment="1">
      <alignment horizontal="right"/>
    </xf>
    <xf numFmtId="1" fontId="0" fillId="2" borderId="6" xfId="0" applyNumberFormat="1" applyFill="1" applyBorder="1" applyAlignment="1">
      <alignment horizontal="right"/>
    </xf>
    <xf numFmtId="1" fontId="2" fillId="3" borderId="16" xfId="0" applyNumberFormat="1" applyFont="1" applyFill="1" applyBorder="1" applyAlignment="1">
      <alignment horizontal="right"/>
    </xf>
    <xf numFmtId="1" fontId="0" fillId="2" borderId="9" xfId="0" applyNumberFormat="1" applyFill="1" applyBorder="1" applyAlignment="1">
      <alignment horizontal="right"/>
    </xf>
    <xf numFmtId="1" fontId="0" fillId="2" borderId="10" xfId="0" applyNumberFormat="1" applyFill="1" applyBorder="1" applyAlignment="1">
      <alignment horizontal="right"/>
    </xf>
    <xf numFmtId="1" fontId="2" fillId="4" borderId="16" xfId="0" applyNumberFormat="1" applyFont="1" applyFill="1" applyBorder="1"/>
    <xf numFmtId="1" fontId="2" fillId="2" borderId="4" xfId="0" applyNumberFormat="1" applyFont="1" applyFill="1" applyBorder="1" applyAlignment="1">
      <alignment horizontal="right"/>
    </xf>
    <xf numFmtId="0" fontId="2" fillId="2" borderId="16" xfId="0" applyFont="1" applyFill="1" applyBorder="1" applyAlignment="1">
      <alignment horizontal="right"/>
    </xf>
    <xf numFmtId="0" fontId="2" fillId="2" borderId="15" xfId="0" applyFont="1" applyFill="1" applyBorder="1" applyAlignment="1">
      <alignment horizontal="right"/>
    </xf>
    <xf numFmtId="1" fontId="2" fillId="3" borderId="17" xfId="0" applyNumberFormat="1" applyFont="1" applyFill="1" applyBorder="1" applyAlignment="1">
      <alignment horizontal="right"/>
    </xf>
    <xf numFmtId="1" fontId="0" fillId="2" borderId="18" xfId="0" applyNumberFormat="1" applyFill="1" applyBorder="1" applyAlignment="1">
      <alignment horizontal="right"/>
    </xf>
    <xf numFmtId="1" fontId="2" fillId="3" borderId="15" xfId="0" applyNumberFormat="1" applyFont="1" applyFill="1" applyBorder="1" applyAlignment="1">
      <alignment horizontal="right"/>
    </xf>
    <xf numFmtId="1" fontId="0" fillId="2" borderId="17" xfId="0" applyNumberFormat="1" applyFill="1" applyBorder="1" applyAlignment="1">
      <alignment horizontal="right"/>
    </xf>
    <xf numFmtId="1" fontId="2" fillId="4" borderId="15" xfId="0" applyNumberFormat="1" applyFont="1" applyFill="1" applyBorder="1"/>
    <xf numFmtId="3" fontId="2" fillId="9" borderId="19" xfId="0" applyNumberFormat="1" applyFont="1" applyFill="1" applyBorder="1" applyAlignment="1">
      <alignment horizontal="right"/>
    </xf>
    <xf numFmtId="3" fontId="2" fillId="9" borderId="20" xfId="0" applyNumberFormat="1" applyFont="1" applyFill="1" applyBorder="1" applyAlignment="1">
      <alignment horizontal="right"/>
    </xf>
    <xf numFmtId="3" fontId="0" fillId="2" borderId="5" xfId="0" applyNumberFormat="1" applyFill="1" applyBorder="1" applyAlignment="1">
      <alignment horizontal="right"/>
    </xf>
    <xf numFmtId="3" fontId="0" fillId="2" borderId="6" xfId="0" applyNumberFormat="1" applyFill="1" applyBorder="1" applyAlignment="1">
      <alignment horizontal="right"/>
    </xf>
    <xf numFmtId="3" fontId="2" fillId="9" borderId="7" xfId="0" applyNumberFormat="1" applyFont="1" applyFill="1" applyBorder="1" applyAlignment="1">
      <alignment horizontal="right"/>
    </xf>
    <xf numFmtId="3" fontId="2" fillId="9" borderId="25" xfId="0" applyNumberFormat="1" applyFont="1" applyFill="1" applyBorder="1" applyAlignment="1">
      <alignment horizontal="right"/>
    </xf>
    <xf numFmtId="3" fontId="0" fillId="2" borderId="18" xfId="0" applyNumberFormat="1" applyFill="1" applyBorder="1" applyAlignment="1">
      <alignment horizontal="right"/>
    </xf>
    <xf numFmtId="3" fontId="2" fillId="3" borderId="9" xfId="0" applyNumberFormat="1" applyFont="1" applyFill="1" applyBorder="1" applyAlignment="1">
      <alignment horizontal="right"/>
    </xf>
    <xf numFmtId="3" fontId="2" fillId="3" borderId="10" xfId="0" applyNumberFormat="1" applyFont="1" applyFill="1" applyBorder="1" applyAlignment="1">
      <alignment horizontal="right"/>
    </xf>
    <xf numFmtId="165" fontId="0" fillId="2" borderId="8" xfId="0" applyNumberFormat="1" applyFill="1" applyBorder="1" applyAlignment="1">
      <alignment horizontal="right"/>
    </xf>
    <xf numFmtId="165" fontId="0" fillId="2" borderId="7" xfId="0" applyNumberFormat="1" applyFill="1" applyBorder="1" applyAlignment="1">
      <alignment horizontal="right"/>
    </xf>
    <xf numFmtId="165" fontId="0" fillId="2" borderId="5" xfId="0" applyNumberFormat="1" applyFill="1" applyBorder="1" applyAlignment="1">
      <alignment horizontal="right"/>
    </xf>
    <xf numFmtId="165" fontId="0" fillId="2" borderId="6" xfId="0" applyNumberFormat="1" applyFill="1" applyBorder="1" applyAlignment="1">
      <alignment horizontal="right"/>
    </xf>
    <xf numFmtId="165" fontId="0" fillId="2" borderId="9" xfId="0" applyNumberFormat="1" applyFill="1" applyBorder="1" applyAlignment="1">
      <alignment horizontal="right"/>
    </xf>
    <xf numFmtId="165" fontId="0" fillId="2" borderId="10" xfId="0" applyNumberFormat="1" applyFill="1" applyBorder="1" applyAlignment="1">
      <alignment horizontal="right"/>
    </xf>
    <xf numFmtId="3" fontId="2" fillId="3" borderId="17" xfId="0" applyNumberFormat="1" applyFont="1" applyFill="1" applyBorder="1" applyAlignment="1">
      <alignment horizontal="right"/>
    </xf>
    <xf numFmtId="165" fontId="0" fillId="2" borderId="27" xfId="0" applyNumberFormat="1" applyFill="1" applyBorder="1" applyAlignment="1">
      <alignment horizontal="right"/>
    </xf>
    <xf numFmtId="165" fontId="0" fillId="2" borderId="18" xfId="0" applyNumberFormat="1" applyFill="1" applyBorder="1" applyAlignment="1">
      <alignment horizontal="right"/>
    </xf>
    <xf numFmtId="165" fontId="0" fillId="2" borderId="17" xfId="0" applyNumberFormat="1" applyFill="1" applyBorder="1" applyAlignment="1">
      <alignment horizontal="right"/>
    </xf>
    <xf numFmtId="165" fontId="2" fillId="3" borderId="26" xfId="0" applyNumberFormat="1" applyFont="1" applyFill="1" applyBorder="1" applyAlignment="1">
      <alignment horizontal="right"/>
    </xf>
    <xf numFmtId="165" fontId="0" fillId="2" borderId="26" xfId="0" applyNumberFormat="1" applyFill="1" applyBorder="1" applyAlignment="1">
      <alignment horizontal="right"/>
    </xf>
    <xf numFmtId="165" fontId="2" fillId="3" borderId="28" xfId="0" applyNumberFormat="1" applyFont="1" applyFill="1" applyBorder="1" applyAlignment="1">
      <alignment horizontal="right"/>
    </xf>
    <xf numFmtId="165" fontId="0" fillId="2" borderId="18" xfId="1" applyNumberFormat="1" applyFont="1" applyFill="1" applyBorder="1" applyAlignment="1">
      <alignment horizontal="right"/>
    </xf>
    <xf numFmtId="165" fontId="0" fillId="2" borderId="17" xfId="1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165" fontId="2" fillId="3" borderId="22" xfId="0" applyNumberFormat="1" applyFont="1" applyFill="1" applyBorder="1" applyAlignment="1">
      <alignment horizontal="right"/>
    </xf>
    <xf numFmtId="165" fontId="0" fillId="2" borderId="21" xfId="0" applyNumberFormat="1" applyFill="1" applyBorder="1" applyAlignment="1">
      <alignment horizontal="right"/>
    </xf>
    <xf numFmtId="165" fontId="0" fillId="2" borderId="22" xfId="0" applyNumberFormat="1" applyFill="1" applyBorder="1" applyAlignment="1">
      <alignment horizontal="right"/>
    </xf>
    <xf numFmtId="165" fontId="2" fillId="3" borderId="23" xfId="0" applyNumberFormat="1" applyFont="1" applyFill="1" applyBorder="1" applyAlignment="1">
      <alignment horizontal="right"/>
    </xf>
    <xf numFmtId="165" fontId="2" fillId="3" borderId="24" xfId="0" applyNumberFormat="1" applyFont="1" applyFill="1" applyBorder="1" applyAlignment="1">
      <alignment horizontal="right"/>
    </xf>
    <xf numFmtId="165" fontId="0" fillId="2" borderId="5" xfId="1" applyNumberFormat="1" applyFont="1" applyFill="1" applyBorder="1" applyAlignment="1">
      <alignment horizontal="right"/>
    </xf>
    <xf numFmtId="165" fontId="0" fillId="2" borderId="6" xfId="1" applyNumberFormat="1" applyFont="1" applyFill="1" applyBorder="1" applyAlignment="1">
      <alignment horizontal="right"/>
    </xf>
    <xf numFmtId="165" fontId="0" fillId="2" borderId="9" xfId="1" applyNumberFormat="1" applyFont="1" applyFill="1" applyBorder="1" applyAlignment="1">
      <alignment horizontal="right"/>
    </xf>
    <xf numFmtId="165" fontId="0" fillId="2" borderId="10" xfId="1" applyNumberFormat="1" applyFont="1" applyFill="1" applyBorder="1" applyAlignment="1">
      <alignment horizontal="right"/>
    </xf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32" xfId="0" applyBorder="1"/>
    <xf numFmtId="165" fontId="0" fillId="0" borderId="0" xfId="0" applyNumberFormat="1"/>
    <xf numFmtId="165" fontId="0" fillId="0" borderId="33" xfId="0" applyNumberFormat="1" applyBorder="1"/>
    <xf numFmtId="0" fontId="0" fillId="0" borderId="34" xfId="0" applyBorder="1"/>
    <xf numFmtId="165" fontId="0" fillId="0" borderId="35" xfId="0" applyNumberFormat="1" applyBorder="1"/>
    <xf numFmtId="0" fontId="2" fillId="2" borderId="4" xfId="0" applyFont="1" applyFill="1" applyBorder="1" applyAlignment="1">
      <alignment horizontal="right" wrapText="1" shrinkToFit="1"/>
    </xf>
    <xf numFmtId="1" fontId="11" fillId="5" borderId="15" xfId="0" applyNumberFormat="1" applyFont="1" applyFill="1" applyBorder="1" applyAlignment="1">
      <alignment horizontal="right"/>
    </xf>
    <xf numFmtId="1" fontId="16" fillId="2" borderId="5" xfId="0" applyNumberFormat="1" applyFont="1" applyFill="1" applyBorder="1" applyAlignment="1">
      <alignment horizontal="right"/>
    </xf>
    <xf numFmtId="1" fontId="11" fillId="6" borderId="15" xfId="0" applyNumberFormat="1" applyFont="1" applyFill="1" applyBorder="1"/>
    <xf numFmtId="0" fontId="12" fillId="2" borderId="4" xfId="0" applyFont="1" applyFill="1" applyBorder="1"/>
    <xf numFmtId="0" fontId="0" fillId="0" borderId="2" xfId="0" applyBorder="1"/>
    <xf numFmtId="1" fontId="2" fillId="3" borderId="4" xfId="0" applyNumberFormat="1" applyFont="1" applyFill="1" applyBorder="1" applyAlignment="1">
      <alignment horizontal="left"/>
    </xf>
    <xf numFmtId="0" fontId="7" fillId="2" borderId="8" xfId="0" applyFont="1" applyFill="1" applyBorder="1" applyAlignment="1">
      <alignment horizontal="left" indent="2"/>
    </xf>
    <xf numFmtId="0" fontId="7" fillId="2" borderId="5" xfId="0" applyFont="1" applyFill="1" applyBorder="1" applyAlignment="1">
      <alignment horizontal="left" indent="2"/>
    </xf>
    <xf numFmtId="1" fontId="2" fillId="5" borderId="4" xfId="0" applyNumberFormat="1" applyFont="1" applyFill="1" applyBorder="1" applyAlignment="1">
      <alignment horizontal="left"/>
    </xf>
    <xf numFmtId="1" fontId="2" fillId="6" borderId="4" xfId="0" applyNumberFormat="1" applyFont="1" applyFill="1" applyBorder="1"/>
    <xf numFmtId="0" fontId="2" fillId="10" borderId="0" xfId="0" applyFont="1" applyFill="1"/>
    <xf numFmtId="0" fontId="22" fillId="2" borderId="0" xfId="4" applyFill="1" applyBorder="1"/>
    <xf numFmtId="166" fontId="2" fillId="9" borderId="2" xfId="0" applyNumberFormat="1" applyFont="1" applyFill="1" applyBorder="1" applyAlignment="1">
      <alignment horizontal="right"/>
    </xf>
    <xf numFmtId="9" fontId="2" fillId="3" borderId="23" xfId="0" applyNumberFormat="1" applyFont="1" applyFill="1" applyBorder="1" applyAlignment="1">
      <alignment horizontal="right"/>
    </xf>
    <xf numFmtId="0" fontId="5" fillId="0" borderId="4" xfId="0" applyFont="1" applyBorder="1"/>
    <xf numFmtId="0" fontId="2" fillId="2" borderId="5" xfId="0" applyFont="1" applyFill="1" applyBorder="1"/>
    <xf numFmtId="0" fontId="7" fillId="2" borderId="38" xfId="0" applyFon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22" fillId="0" borderId="9" xfId="4" applyBorder="1"/>
    <xf numFmtId="0" fontId="3" fillId="10" borderId="0" xfId="0" applyFont="1" applyFill="1"/>
    <xf numFmtId="1" fontId="2" fillId="7" borderId="4" xfId="0" applyNumberFormat="1" applyFont="1" applyFill="1" applyBorder="1" applyAlignment="1">
      <alignment horizontal="left"/>
    </xf>
    <xf numFmtId="1" fontId="2" fillId="7" borderId="15" xfId="0" applyNumberFormat="1" applyFont="1" applyFill="1" applyBorder="1" applyAlignment="1">
      <alignment horizontal="right"/>
    </xf>
    <xf numFmtId="0" fontId="22" fillId="2" borderId="0" xfId="4" applyFill="1"/>
    <xf numFmtId="1" fontId="22" fillId="2" borderId="0" xfId="4" applyNumberFormat="1" applyFill="1"/>
    <xf numFmtId="2" fontId="2" fillId="2" borderId="0" xfId="0" applyNumberFormat="1" applyFont="1" applyFill="1"/>
    <xf numFmtId="1" fontId="2" fillId="8" borderId="15" xfId="0" applyNumberFormat="1" applyFont="1" applyFill="1" applyBorder="1"/>
    <xf numFmtId="0" fontId="0" fillId="2" borderId="4" xfId="0" applyFill="1" applyBorder="1"/>
    <xf numFmtId="0" fontId="2" fillId="2" borderId="4" xfId="0" applyFont="1" applyFill="1" applyBorder="1"/>
    <xf numFmtId="0" fontId="23" fillId="2" borderId="4" xfId="0" applyFont="1" applyFill="1" applyBorder="1" applyAlignment="1">
      <alignment horizontal="left" vertical="center" wrapText="1"/>
    </xf>
    <xf numFmtId="0" fontId="24" fillId="2" borderId="0" xfId="0" applyFont="1" applyFill="1"/>
    <xf numFmtId="0" fontId="25" fillId="2" borderId="0" xfId="0" applyFont="1" applyFill="1"/>
    <xf numFmtId="0" fontId="22" fillId="0" borderId="0" xfId="4" applyFill="1" applyBorder="1"/>
    <xf numFmtId="9" fontId="22" fillId="0" borderId="0" xfId="4" applyNumberFormat="1" applyFill="1" applyBorder="1"/>
    <xf numFmtId="0" fontId="2" fillId="2" borderId="19" xfId="0" applyFont="1" applyFill="1" applyBorder="1"/>
    <xf numFmtId="166" fontId="2" fillId="9" borderId="7" xfId="0" applyNumberFormat="1" applyFont="1" applyFill="1" applyBorder="1" applyAlignment="1">
      <alignment horizontal="right"/>
    </xf>
    <xf numFmtId="9" fontId="2" fillId="3" borderId="28" xfId="0" applyNumberFormat="1" applyFont="1" applyFill="1" applyBorder="1" applyAlignment="1">
      <alignment horizontal="right"/>
    </xf>
    <xf numFmtId="0" fontId="2" fillId="2" borderId="9" xfId="0" applyFont="1" applyFill="1" applyBorder="1"/>
    <xf numFmtId="9" fontId="2" fillId="3" borderId="39" xfId="0" applyNumberFormat="1" applyFont="1" applyFill="1" applyBorder="1" applyAlignment="1">
      <alignment horizontal="right"/>
    </xf>
    <xf numFmtId="9" fontId="2" fillId="3" borderId="40" xfId="0" applyNumberFormat="1" applyFont="1" applyFill="1" applyBorder="1" applyAlignment="1">
      <alignment horizontal="right"/>
    </xf>
    <xf numFmtId="9" fontId="2" fillId="3" borderId="21" xfId="0" applyNumberFormat="1" applyFont="1" applyFill="1" applyBorder="1" applyAlignment="1">
      <alignment horizontal="center"/>
    </xf>
    <xf numFmtId="9" fontId="2" fillId="3" borderId="26" xfId="0" applyNumberFormat="1" applyFont="1" applyFill="1" applyBorder="1" applyAlignment="1">
      <alignment horizontal="center"/>
    </xf>
    <xf numFmtId="9" fontId="0" fillId="2" borderId="18" xfId="0" applyNumberFormat="1" applyFill="1" applyBorder="1" applyAlignment="1">
      <alignment vertical="center"/>
    </xf>
    <xf numFmtId="9" fontId="0" fillId="2" borderId="37" xfId="0" applyNumberFormat="1" applyFill="1" applyBorder="1" applyAlignment="1">
      <alignment vertical="center"/>
    </xf>
    <xf numFmtId="9" fontId="22" fillId="2" borderId="17" xfId="4" applyNumberFormat="1" applyFill="1" applyBorder="1" applyAlignment="1">
      <alignment vertical="center"/>
    </xf>
    <xf numFmtId="0" fontId="12" fillId="2" borderId="1" xfId="0" applyFont="1" applyFill="1" applyBorder="1"/>
    <xf numFmtId="1" fontId="2" fillId="7" borderId="1" xfId="0" applyNumberFormat="1" applyFont="1" applyFill="1" applyBorder="1" applyAlignment="1">
      <alignment horizontal="left"/>
    </xf>
    <xf numFmtId="1" fontId="22" fillId="2" borderId="0" xfId="4" applyNumberFormat="1" applyFill="1" applyBorder="1"/>
    <xf numFmtId="1" fontId="22" fillId="2" borderId="0" xfId="4" applyNumberFormat="1" applyFill="1" applyBorder="1" applyAlignment="1">
      <alignment horizontal="right"/>
    </xf>
    <xf numFmtId="1" fontId="2" fillId="2" borderId="15" xfId="0" applyNumberFormat="1" applyFont="1" applyFill="1" applyBorder="1" applyAlignment="1">
      <alignment horizontal="right"/>
    </xf>
    <xf numFmtId="1" fontId="2" fillId="2" borderId="3" xfId="0" applyNumberFormat="1" applyFont="1" applyFill="1" applyBorder="1" applyAlignment="1">
      <alignment horizontal="right"/>
    </xf>
    <xf numFmtId="1" fontId="0" fillId="0" borderId="0" xfId="0" applyNumberFormat="1" applyAlignment="1">
      <alignment vertical="center"/>
    </xf>
    <xf numFmtId="1" fontId="26" fillId="10" borderId="0" xfId="5" applyNumberFormat="1" applyFont="1" applyFill="1"/>
    <xf numFmtId="2" fontId="2" fillId="2" borderId="8" xfId="0" applyNumberFormat="1" applyFont="1" applyFill="1" applyBorder="1"/>
    <xf numFmtId="1" fontId="2" fillId="2" borderId="2" xfId="0" applyNumberFormat="1" applyFont="1" applyFill="1" applyBorder="1"/>
    <xf numFmtId="1" fontId="2" fillId="2" borderId="7" xfId="0" applyNumberFormat="1" applyFont="1" applyFill="1" applyBorder="1"/>
    <xf numFmtId="2" fontId="2" fillId="2" borderId="5" xfId="0" applyNumberFormat="1" applyFont="1" applyFill="1" applyBorder="1"/>
    <xf numFmtId="2" fontId="2" fillId="2" borderId="9" xfId="0" applyNumberFormat="1" applyFont="1" applyFill="1" applyBorder="1"/>
    <xf numFmtId="1" fontId="0" fillId="2" borderId="3" xfId="0" applyNumberFormat="1" applyFill="1" applyBorder="1"/>
    <xf numFmtId="2" fontId="22" fillId="2" borderId="0" xfId="4" applyNumberFormat="1" applyFill="1" applyBorder="1"/>
    <xf numFmtId="9" fontId="0" fillId="2" borderId="0" xfId="0" applyNumberFormat="1" applyFill="1" applyAlignment="1">
      <alignment horizontal="right"/>
    </xf>
    <xf numFmtId="9" fontId="0" fillId="2" borderId="6" xfId="0" applyNumberFormat="1" applyFill="1" applyBorder="1" applyAlignment="1">
      <alignment horizontal="right"/>
    </xf>
    <xf numFmtId="9" fontId="0" fillId="2" borderId="3" xfId="0" applyNumberFormat="1" applyFill="1" applyBorder="1" applyAlignment="1">
      <alignment horizontal="right"/>
    </xf>
    <xf numFmtId="9" fontId="0" fillId="2" borderId="10" xfId="0" applyNumberFormat="1" applyFill="1" applyBorder="1" applyAlignment="1">
      <alignment horizontal="right"/>
    </xf>
    <xf numFmtId="9" fontId="22" fillId="2" borderId="0" xfId="4" applyNumberFormat="1" applyFill="1" applyBorder="1" applyAlignment="1">
      <alignment horizontal="right"/>
    </xf>
    <xf numFmtId="165" fontId="2" fillId="2" borderId="0" xfId="1" applyNumberFormat="1" applyFont="1" applyFill="1" applyBorder="1"/>
    <xf numFmtId="2" fontId="2" fillId="2" borderId="0" xfId="0" applyNumberFormat="1" applyFont="1" applyFill="1" applyAlignment="1">
      <alignment horizontal="right"/>
    </xf>
    <xf numFmtId="165" fontId="2" fillId="2" borderId="0" xfId="1" applyNumberFormat="1" applyFont="1" applyFill="1" applyBorder="1" applyAlignment="1">
      <alignment horizontal="right"/>
    </xf>
    <xf numFmtId="1" fontId="13" fillId="2" borderId="0" xfId="0" applyNumberFormat="1" applyFont="1" applyFill="1"/>
    <xf numFmtId="164" fontId="14" fillId="2" borderId="0" xfId="0" applyNumberFormat="1" applyFont="1" applyFill="1"/>
    <xf numFmtId="11" fontId="0" fillId="2" borderId="0" xfId="0" applyNumberFormat="1" applyFill="1"/>
    <xf numFmtId="3" fontId="0" fillId="2" borderId="0" xfId="0" applyNumberFormat="1" applyFill="1"/>
    <xf numFmtId="3" fontId="2" fillId="3" borderId="22" xfId="0" applyNumberFormat="1" applyFont="1" applyFill="1" applyBorder="1" applyAlignment="1">
      <alignment horizontal="right"/>
    </xf>
    <xf numFmtId="3" fontId="0" fillId="2" borderId="22" xfId="0" applyNumberFormat="1" applyFill="1" applyBorder="1" applyAlignment="1">
      <alignment horizontal="right"/>
    </xf>
    <xf numFmtId="3" fontId="0" fillId="2" borderId="10" xfId="0" applyNumberFormat="1" applyFill="1" applyBorder="1" applyAlignment="1">
      <alignment horizontal="right"/>
    </xf>
    <xf numFmtId="0" fontId="8" fillId="2" borderId="27" xfId="0" applyFont="1" applyFill="1" applyBorder="1"/>
    <xf numFmtId="0" fontId="0" fillId="2" borderId="28" xfId="0" applyFill="1" applyBorder="1"/>
    <xf numFmtId="0" fontId="7" fillId="2" borderId="18" xfId="0" applyFont="1" applyFill="1" applyBorder="1" applyAlignment="1">
      <alignment horizontal="left" indent="2"/>
    </xf>
    <xf numFmtId="0" fontId="7" fillId="2" borderId="17" xfId="0" applyFont="1" applyFill="1" applyBorder="1" applyAlignment="1">
      <alignment horizontal="left" indent="2"/>
    </xf>
    <xf numFmtId="0" fontId="2" fillId="2" borderId="25" xfId="0" applyFont="1" applyFill="1" applyBorder="1"/>
    <xf numFmtId="0" fontId="2" fillId="2" borderId="18" xfId="0" applyFont="1" applyFill="1" applyBorder="1"/>
    <xf numFmtId="0" fontId="7" fillId="2" borderId="37" xfId="0" applyFont="1" applyFill="1" applyBorder="1" applyAlignment="1">
      <alignment horizontal="left" indent="2"/>
    </xf>
    <xf numFmtId="0" fontId="2" fillId="2" borderId="28" xfId="0" applyFont="1" applyFill="1" applyBorder="1"/>
    <xf numFmtId="3" fontId="0" fillId="2" borderId="3" xfId="1" applyNumberFormat="1" applyFont="1" applyFill="1" applyBorder="1" applyAlignment="1">
      <alignment horizontal="right"/>
    </xf>
    <xf numFmtId="3" fontId="2" fillId="3" borderId="24" xfId="0" applyNumberFormat="1" applyFont="1" applyFill="1" applyBorder="1" applyAlignment="1">
      <alignment horizontal="right"/>
    </xf>
    <xf numFmtId="3" fontId="0" fillId="2" borderId="6" xfId="1" applyNumberFormat="1" applyFont="1" applyFill="1" applyBorder="1" applyAlignment="1">
      <alignment horizontal="right"/>
    </xf>
    <xf numFmtId="3" fontId="0" fillId="2" borderId="10" xfId="1" applyNumberFormat="1" applyFont="1" applyFill="1" applyBorder="1" applyAlignment="1">
      <alignment horizontal="right"/>
    </xf>
    <xf numFmtId="0" fontId="9" fillId="2" borderId="0" xfId="0" applyFont="1" applyFill="1"/>
    <xf numFmtId="0" fontId="2" fillId="2" borderId="6" xfId="0" applyFont="1" applyFill="1" applyBorder="1"/>
    <xf numFmtId="0" fontId="0" fillId="2" borderId="6" xfId="0" applyFill="1" applyBorder="1"/>
    <xf numFmtId="9" fontId="22" fillId="2" borderId="0" xfId="4" applyNumberFormat="1" applyFill="1"/>
    <xf numFmtId="165" fontId="0" fillId="2" borderId="0" xfId="0" applyNumberFormat="1" applyFill="1"/>
    <xf numFmtId="3" fontId="2" fillId="3" borderId="15" xfId="0" applyNumberFormat="1" applyFont="1" applyFill="1" applyBorder="1" applyAlignment="1">
      <alignment horizontal="right"/>
    </xf>
    <xf numFmtId="1" fontId="26" fillId="10" borderId="0" xfId="5" applyNumberFormat="1" applyFont="1" applyFill="1" applyAlignment="1">
      <alignment horizontal="left" vertical="center" wrapText="1"/>
    </xf>
    <xf numFmtId="0" fontId="27" fillId="11" borderId="0" xfId="0" applyFont="1" applyFill="1"/>
    <xf numFmtId="0" fontId="27" fillId="11" borderId="3" xfId="0" applyFont="1" applyFill="1" applyBorder="1"/>
    <xf numFmtId="0" fontId="6" fillId="0" borderId="4" xfId="0" applyFont="1" applyBorder="1"/>
    <xf numFmtId="0" fontId="6" fillId="2" borderId="4" xfId="0" applyFont="1" applyFill="1" applyBorder="1"/>
    <xf numFmtId="0" fontId="2" fillId="10" borderId="0" xfId="0" applyFont="1" applyFill="1" applyAlignment="1">
      <alignment horizontal="center" vertical="center"/>
    </xf>
    <xf numFmtId="0" fontId="11" fillId="11" borderId="15" xfId="0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2" borderId="16" xfId="0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0" borderId="18" xfId="0" applyFont="1" applyBorder="1"/>
    <xf numFmtId="3" fontId="2" fillId="2" borderId="5" xfId="0" applyNumberFormat="1" applyFont="1" applyFill="1" applyBorder="1"/>
    <xf numFmtId="3" fontId="2" fillId="2" borderId="0" xfId="0" applyNumberFormat="1" applyFont="1" applyFill="1"/>
    <xf numFmtId="3" fontId="2" fillId="2" borderId="7" xfId="0" applyNumberFormat="1" applyFont="1" applyFill="1" applyBorder="1"/>
    <xf numFmtId="0" fontId="0" fillId="0" borderId="15" xfId="0" applyBorder="1"/>
    <xf numFmtId="3" fontId="0" fillId="2" borderId="4" xfId="0" applyNumberFormat="1" applyFill="1" applyBorder="1"/>
    <xf numFmtId="3" fontId="0" fillId="2" borderId="1" xfId="0" applyNumberFormat="1" applyFill="1" applyBorder="1"/>
    <xf numFmtId="3" fontId="0" fillId="2" borderId="16" xfId="0" applyNumberFormat="1" applyFill="1" applyBorder="1"/>
    <xf numFmtId="3" fontId="0" fillId="0" borderId="0" xfId="0" applyNumberFormat="1"/>
    <xf numFmtId="0" fontId="0" fillId="0" borderId="27" xfId="0" applyBorder="1"/>
    <xf numFmtId="3" fontId="0" fillId="2" borderId="8" xfId="0" applyNumberFormat="1" applyFill="1" applyBorder="1"/>
    <xf numFmtId="3" fontId="0" fillId="2" borderId="2" xfId="0" applyNumberFormat="1" applyFill="1" applyBorder="1"/>
    <xf numFmtId="3" fontId="0" fillId="2" borderId="7" xfId="0" applyNumberFormat="1" applyFill="1" applyBorder="1"/>
    <xf numFmtId="0" fontId="0" fillId="0" borderId="18" xfId="0" applyBorder="1"/>
    <xf numFmtId="3" fontId="0" fillId="2" borderId="5" xfId="0" applyNumberFormat="1" applyFill="1" applyBorder="1"/>
    <xf numFmtId="3" fontId="0" fillId="2" borderId="6" xfId="0" applyNumberFormat="1" applyFill="1" applyBorder="1"/>
    <xf numFmtId="0" fontId="0" fillId="0" borderId="17" xfId="0" applyBorder="1"/>
    <xf numFmtId="3" fontId="0" fillId="2" borderId="9" xfId="0" applyNumberFormat="1" applyFill="1" applyBorder="1"/>
    <xf numFmtId="3" fontId="0" fillId="2" borderId="3" xfId="0" applyNumberFormat="1" applyFill="1" applyBorder="1"/>
    <xf numFmtId="3" fontId="0" fillId="2" borderId="10" xfId="0" applyNumberFormat="1" applyFill="1" applyBorder="1"/>
    <xf numFmtId="167" fontId="0" fillId="2" borderId="0" xfId="0" applyNumberFormat="1" applyFill="1"/>
    <xf numFmtId="0" fontId="11" fillId="11" borderId="15" xfId="0" applyFont="1" applyFill="1" applyBorder="1" applyAlignment="1">
      <alignment horizontal="center" vertical="center" wrapText="1"/>
    </xf>
    <xf numFmtId="0" fontId="0" fillId="0" borderId="5" xfId="0" applyBorder="1" applyAlignment="1">
      <alignment vertical="center"/>
    </xf>
    <xf numFmtId="0" fontId="0" fillId="0" borderId="5" xfId="0" applyBorder="1"/>
    <xf numFmtId="0" fontId="2" fillId="5" borderId="41" xfId="0" applyFont="1" applyFill="1" applyBorder="1" applyAlignment="1">
      <alignment horizontal="center" vertical="center"/>
    </xf>
    <xf numFmtId="2" fontId="21" fillId="2" borderId="0" xfId="0" applyNumberFormat="1" applyFont="1" applyFill="1" applyAlignment="1">
      <alignment horizontal="right"/>
    </xf>
    <xf numFmtId="164" fontId="16" fillId="2" borderId="0" xfId="0" applyNumberFormat="1" applyFont="1" applyFill="1" applyAlignment="1">
      <alignment horizontal="right"/>
    </xf>
    <xf numFmtId="165" fontId="0" fillId="10" borderId="36" xfId="0" applyNumberFormat="1" applyFill="1" applyBorder="1"/>
    <xf numFmtId="1" fontId="0" fillId="0" borderId="0" xfId="0" applyNumberFormat="1" applyAlignment="1">
      <alignment horizontal="right"/>
    </xf>
    <xf numFmtId="0" fontId="13" fillId="0" borderId="0" xfId="0" applyFont="1"/>
    <xf numFmtId="0" fontId="16" fillId="0" borderId="0" xfId="0" applyFont="1"/>
    <xf numFmtId="1" fontId="2" fillId="13" borderId="4" xfId="0" applyNumberFormat="1" applyFont="1" applyFill="1" applyBorder="1" applyAlignment="1">
      <alignment horizontal="left"/>
    </xf>
    <xf numFmtId="0" fontId="0" fillId="13" borderId="0" xfId="0" applyFill="1"/>
    <xf numFmtId="164" fontId="2" fillId="13" borderId="1" xfId="0" applyNumberFormat="1" applyFont="1" applyFill="1" applyBorder="1" applyAlignment="1">
      <alignment horizontal="right"/>
    </xf>
    <xf numFmtId="164" fontId="2" fillId="13" borderId="15" xfId="0" applyNumberFormat="1" applyFont="1" applyFill="1" applyBorder="1" applyAlignment="1">
      <alignment horizontal="right"/>
    </xf>
    <xf numFmtId="164" fontId="0" fillId="2" borderId="18" xfId="0" applyNumberFormat="1" applyFill="1" applyBorder="1" applyAlignment="1">
      <alignment horizontal="right"/>
    </xf>
    <xf numFmtId="1" fontId="2" fillId="14" borderId="4" xfId="0" applyNumberFormat="1" applyFont="1" applyFill="1" applyBorder="1"/>
    <xf numFmtId="0" fontId="0" fillId="14" borderId="3" xfId="0" applyFill="1" applyBorder="1"/>
    <xf numFmtId="164" fontId="2" fillId="14" borderId="1" xfId="0" applyNumberFormat="1" applyFont="1" applyFill="1" applyBorder="1"/>
    <xf numFmtId="164" fontId="2" fillId="14" borderId="15" xfId="0" applyNumberFormat="1" applyFont="1" applyFill="1" applyBorder="1"/>
    <xf numFmtId="164" fontId="11" fillId="13" borderId="4" xfId="0" quotePrefix="1" applyNumberFormat="1" applyFont="1" applyFill="1" applyBorder="1" applyAlignment="1">
      <alignment horizontal="right"/>
    </xf>
    <xf numFmtId="164" fontId="11" fillId="13" borderId="1" xfId="0" applyNumberFormat="1" applyFont="1" applyFill="1" applyBorder="1" applyAlignment="1">
      <alignment horizontal="right"/>
    </xf>
    <xf numFmtId="164" fontId="11" fillId="13" borderId="15" xfId="0" applyNumberFormat="1" applyFont="1" applyFill="1" applyBorder="1" applyAlignment="1">
      <alignment horizontal="right"/>
    </xf>
    <xf numFmtId="164" fontId="16" fillId="2" borderId="5" xfId="0" applyNumberFormat="1" applyFont="1" applyFill="1" applyBorder="1" applyAlignment="1">
      <alignment horizontal="right"/>
    </xf>
    <xf numFmtId="164" fontId="11" fillId="13" borderId="4" xfId="0" applyNumberFormat="1" applyFont="1" applyFill="1" applyBorder="1" applyAlignment="1">
      <alignment horizontal="right"/>
    </xf>
    <xf numFmtId="164" fontId="0" fillId="2" borderId="5" xfId="0" applyNumberFormat="1" applyFill="1" applyBorder="1" applyAlignment="1">
      <alignment horizontal="right"/>
    </xf>
    <xf numFmtId="164" fontId="11" fillId="14" borderId="4" xfId="0" applyNumberFormat="1" applyFont="1" applyFill="1" applyBorder="1"/>
    <xf numFmtId="164" fontId="11" fillId="14" borderId="1" xfId="0" applyNumberFormat="1" applyFont="1" applyFill="1" applyBorder="1"/>
    <xf numFmtId="164" fontId="11" fillId="14" borderId="15" xfId="0" applyNumberFormat="1" applyFont="1" applyFill="1" applyBorder="1"/>
    <xf numFmtId="164" fontId="2" fillId="3" borderId="1" xfId="0" applyNumberFormat="1" applyFont="1" applyFill="1" applyBorder="1" applyAlignment="1">
      <alignment horizontal="right"/>
    </xf>
    <xf numFmtId="0" fontId="21" fillId="2" borderId="0" xfId="0" applyFont="1" applyFill="1"/>
    <xf numFmtId="168" fontId="21" fillId="2" borderId="6" xfId="0" applyNumberFormat="1" applyFont="1" applyFill="1" applyBorder="1" applyAlignment="1">
      <alignment horizontal="right"/>
    </xf>
    <xf numFmtId="168" fontId="21" fillId="2" borderId="10" xfId="0" applyNumberFormat="1" applyFont="1" applyFill="1" applyBorder="1" applyAlignment="1">
      <alignment horizontal="right"/>
    </xf>
    <xf numFmtId="0" fontId="21" fillId="0" borderId="0" xfId="0" applyFont="1"/>
    <xf numFmtId="9" fontId="0" fillId="0" borderId="0" xfId="1" applyFont="1"/>
    <xf numFmtId="9" fontId="0" fillId="2" borderId="4" xfId="1" applyFont="1" applyFill="1" applyBorder="1"/>
    <xf numFmtId="9" fontId="0" fillId="2" borderId="2" xfId="1" applyFont="1" applyFill="1" applyBorder="1"/>
    <xf numFmtId="9" fontId="0" fillId="2" borderId="7" xfId="1" applyFont="1" applyFill="1" applyBorder="1"/>
    <xf numFmtId="9" fontId="0" fillId="0" borderId="0" xfId="0" applyNumberFormat="1"/>
    <xf numFmtId="9" fontId="0" fillId="2" borderId="0" xfId="1" applyFont="1" applyFill="1"/>
    <xf numFmtId="9" fontId="0" fillId="2" borderId="6" xfId="1" applyFont="1" applyFill="1" applyBorder="1"/>
    <xf numFmtId="9" fontId="0" fillId="2" borderId="3" xfId="1" applyFont="1" applyFill="1" applyBorder="1"/>
    <xf numFmtId="9" fontId="0" fillId="2" borderId="10" xfId="1" applyFont="1" applyFill="1" applyBorder="1"/>
    <xf numFmtId="9" fontId="0" fillId="2" borderId="1" xfId="1" applyFont="1" applyFill="1" applyBorder="1"/>
    <xf numFmtId="9" fontId="0" fillId="2" borderId="16" xfId="1" applyFont="1" applyFill="1" applyBorder="1"/>
    <xf numFmtId="9" fontId="2" fillId="0" borderId="0" xfId="0" applyNumberFormat="1" applyFont="1"/>
    <xf numFmtId="9" fontId="2" fillId="2" borderId="0" xfId="1" applyFont="1" applyFill="1"/>
    <xf numFmtId="165" fontId="0" fillId="0" borderId="0" xfId="1" applyNumberFormat="1" applyFont="1"/>
    <xf numFmtId="0" fontId="28" fillId="15" borderId="5" xfId="0" applyFont="1" applyFill="1" applyBorder="1" applyAlignment="1">
      <alignment horizontal="left" indent="2"/>
    </xf>
    <xf numFmtId="0" fontId="2" fillId="15" borderId="0" xfId="0" applyFont="1" applyFill="1"/>
    <xf numFmtId="1" fontId="2" fillId="15" borderId="0" xfId="0" applyNumberFormat="1" applyFont="1" applyFill="1" applyAlignment="1">
      <alignment horizontal="right"/>
    </xf>
    <xf numFmtId="1" fontId="2" fillId="15" borderId="18" xfId="0" applyNumberFormat="1" applyFont="1" applyFill="1" applyBorder="1" applyAlignment="1">
      <alignment horizontal="right"/>
    </xf>
    <xf numFmtId="164" fontId="2" fillId="3" borderId="15" xfId="0" applyNumberFormat="1" applyFont="1" applyFill="1" applyBorder="1" applyAlignment="1">
      <alignment horizontal="right"/>
    </xf>
    <xf numFmtId="0" fontId="23" fillId="2" borderId="8" xfId="0" applyFont="1" applyFill="1" applyBorder="1" applyAlignment="1">
      <alignment horizontal="left" vertical="center" wrapText="1"/>
    </xf>
    <xf numFmtId="0" fontId="23" fillId="2" borderId="5" xfId="0" applyFont="1" applyFill="1" applyBorder="1" applyAlignment="1">
      <alignment horizontal="left" vertical="center" wrapText="1"/>
    </xf>
    <xf numFmtId="0" fontId="23" fillId="2" borderId="9" xfId="0" applyFont="1" applyFill="1" applyBorder="1" applyAlignment="1">
      <alignment horizontal="left" vertical="center" wrapText="1"/>
    </xf>
  </cellXfs>
  <cellStyles count="6">
    <cellStyle name="Lien hypertexte" xfId="3" builtinId="8"/>
    <cellStyle name="Motif 2 2" xfId="2" xr:uid="{00000000-0005-0000-0000-000001000000}"/>
    <cellStyle name="Normal" xfId="0" builtinId="0"/>
    <cellStyle name="Normal 2" xfId="5" xr:uid="{00000000-0005-0000-0000-000003000000}"/>
    <cellStyle name="Pourcentage" xfId="1" builtinId="5"/>
    <cellStyle name="Texte explicatif" xfId="4" builtinId="53"/>
  </cellStyles>
  <dxfs count="0"/>
  <tableStyles count="0" defaultTableStyle="TableStyleMedium2" defaultPivotStyle="PivotStyleLight16"/>
  <colors>
    <mruColors>
      <color rgb="FFFFFF99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2.xml"/><Relationship Id="rId13" Type="http://schemas.openxmlformats.org/officeDocument/2006/relationships/worksheet" Target="worksheets/sheet7.xml"/><Relationship Id="rId18" Type="http://schemas.openxmlformats.org/officeDocument/2006/relationships/worksheet" Target="worksheets/sheet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chartsheet" Target="chartsheets/sheet1.xml"/><Relationship Id="rId12" Type="http://schemas.openxmlformats.org/officeDocument/2006/relationships/chartsheet" Target="chartsheets/sheet6.xml"/><Relationship Id="rId17" Type="http://schemas.openxmlformats.org/officeDocument/2006/relationships/chartsheet" Target="chartsheets/sheet10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hartsheet" Target="chartsheets/sheet9.xml"/><Relationship Id="rId20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hartsheet" Target="chartsheets/sheet5.xml"/><Relationship Id="rId24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chartsheet" Target="chartsheets/sheet8.xml"/><Relationship Id="rId23" Type="http://schemas.openxmlformats.org/officeDocument/2006/relationships/externalLink" Target="externalLinks/externalLink5.xml"/><Relationship Id="rId28" Type="http://schemas.openxmlformats.org/officeDocument/2006/relationships/calcChain" Target="calcChain.xml"/><Relationship Id="rId10" Type="http://schemas.openxmlformats.org/officeDocument/2006/relationships/chartsheet" Target="chartsheets/sheet4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hartsheet" Target="chartsheets/sheet3.xml"/><Relationship Id="rId14" Type="http://schemas.openxmlformats.org/officeDocument/2006/relationships/chartsheet" Target="chartsheets/sheet7.xml"/><Relationship Id="rId22" Type="http://schemas.openxmlformats.org/officeDocument/2006/relationships/externalLink" Target="externalLinks/externalLink4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Graphs'!$B$4</c:f>
          <c:strCache>
            <c:ptCount val="1"/>
            <c:pt idx="0">
              <c:v>SNBC3 : Energie finale par usage et énergie primaire (Mtep)</c:v>
            </c:pt>
          </c:strCache>
        </c:strRef>
      </c:tx>
      <c:layout>
        <c:manualLayout>
          <c:xMode val="edge"/>
          <c:yMode val="edge"/>
          <c:x val="4.15560737277888E-2"/>
          <c:y val="1.8790867843499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Arial" panose="020B0604020202020204" pitchFamily="34" charset="0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2368481705777662E-2"/>
          <c:y val="9.2178709531540379E-2"/>
          <c:w val="0.72086842510503502"/>
          <c:h val="0.80743011521699826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energie usages'!#REF!</c:f>
              <c:strCache>
                <c:ptCount val="1"/>
                <c:pt idx="0">
                  <c:v>ER_RESIDENTIAL_coal_2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9E4B-4528-ADD6-F8FC9A686728}"/>
            </c:ext>
          </c:extLst>
        </c:ser>
        <c:ser>
          <c:idx val="0"/>
          <c:order val="1"/>
          <c:tx>
            <c:strRef>
              <c:f>'T energie usages'!#REF!</c:f>
              <c:strCache>
                <c:ptCount val="1"/>
                <c:pt idx="0">
                  <c:v>ER_TRANS_PUBLIC_coal_2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9E4B-4528-ADD6-F8FC9A686728}"/>
            </c:ext>
          </c:extLst>
        </c:ser>
        <c:ser>
          <c:idx val="2"/>
          <c:order val="2"/>
          <c:tx>
            <c:strRef>
              <c:f>'T energie usages'!#REF!</c:f>
              <c:strCache>
                <c:ptCount val="1"/>
                <c:pt idx="0">
                  <c:v>ER_TERTIARY_coal_2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9E4B-4528-ADD6-F8FC9A686728}"/>
            </c:ext>
          </c:extLst>
        </c:ser>
        <c:ser>
          <c:idx val="3"/>
          <c:order val="3"/>
          <c:tx>
            <c:strRef>
              <c:f>'T energie usages'!#REF!</c:f>
              <c:strCache>
                <c:ptCount val="1"/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9E4B-4528-ADD6-F8FC9A686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5744"/>
        <c:axId val="213036528"/>
      </c:barChart>
      <c:lineChart>
        <c:grouping val="standard"/>
        <c:varyColors val="0"/>
        <c:ser>
          <c:idx val="4"/>
          <c:order val="4"/>
          <c:tx>
            <c:strRef>
              <c:f>'T energie vecteurs'!$Z$8</c:f>
              <c:strCache>
                <c:ptCount val="1"/>
                <c:pt idx="0">
                  <c:v>Energie primaire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7369058718806952E-3"/>
                  <c:y val="-3.9594284114668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E4B-4528-ADD6-F8FC9A686728}"/>
                </c:ext>
              </c:extLst>
            </c:dLbl>
            <c:dLbl>
              <c:idx val="1"/>
              <c:layout>
                <c:manualLayout>
                  <c:x val="1.3684529359403977E-3"/>
                  <c:y val="-2.70908259731940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E4B-4528-ADD6-F8FC9A68672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vecteurs'!$AA$8:$AC$8</c:f>
              <c:numCache>
                <c:formatCode>0</c:formatCode>
                <c:ptCount val="3"/>
                <c:pt idx="0">
                  <c:v>235.8989677564</c:v>
                </c:pt>
                <c:pt idx="1">
                  <c:v>217.71144622080001</c:v>
                </c:pt>
                <c:pt idx="2">
                  <c:v>133.92674253898002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9E4B-4528-ADD6-F8FC9A686728}"/>
            </c:ext>
          </c:extLst>
        </c:ser>
        <c:ser>
          <c:idx val="5"/>
          <c:order val="5"/>
          <c:tx>
            <c:strRef>
              <c:f>'T energie usages'!#REF!</c:f>
              <c:strCache>
                <c:ptCount val="1"/>
                <c:pt idx="0">
                  <c:v>ER_INDUS_coal_2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3647219379051268E-3"/>
                  <c:y val="-3.134796238244513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687-4F22-A5E8-E4153E109927}"/>
                </c:ext>
              </c:extLst>
            </c:dLbl>
            <c:dLbl>
              <c:idx val="1"/>
              <c:layout>
                <c:manualLayout>
                  <c:x val="1.3647219379051519E-3"/>
                  <c:y val="-2.50783699059561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687-4F22-A5E8-E4153E109927}"/>
                </c:ext>
              </c:extLst>
            </c:dLbl>
            <c:dLbl>
              <c:idx val="2"/>
              <c:layout>
                <c:manualLayout>
                  <c:x val="5.4588877516206077E-3"/>
                  <c:y val="-1.46290491118078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687-4F22-A5E8-E4153E109927}"/>
                </c:ext>
              </c:extLst>
            </c:dLbl>
            <c:spPr>
              <a:solidFill>
                <a:srgbClr val="FFFF99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</c:numRef>
          </c:val>
          <c:smooth val="0"/>
          <c:extLst>
            <c:ext xmlns:c16="http://schemas.microsoft.com/office/drawing/2014/chart" uri="{C3380CC4-5D6E-409C-BE32-E72D297353CC}">
              <c16:uniqueId val="{00000000-B687-4F22-A5E8-E4153E1099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035744"/>
        <c:axId val="213036528"/>
      </c:lineChart>
      <c:catAx>
        <c:axId val="21303574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528"/>
        <c:crosses val="autoZero"/>
        <c:auto val="1"/>
        <c:lblAlgn val="ctr"/>
        <c:lblOffset val="100"/>
        <c:noMultiLvlLbl val="0"/>
      </c:catAx>
      <c:valAx>
        <c:axId val="213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688045232372196"/>
          <c:y val="0.13592261164763317"/>
          <c:w val="0.19311954480613158"/>
          <c:h val="0.50685722278445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vecteurs'!$Z$48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7.8001817348599803E-2"/>
                  <c:y val="-1.46075714542750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1CC-4F25-BB18-D2DE93E1EAE8}"/>
                </c:ext>
              </c:extLst>
            </c:dLbl>
            <c:dLbl>
              <c:idx val="1"/>
              <c:layout>
                <c:manualLayout>
                  <c:x val="7.9370270284540051E-2"/>
                  <c:y val="-1.66943673763142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1CC-4F25-BB18-D2DE93E1EAE8}"/>
                </c:ext>
              </c:extLst>
            </c:dLbl>
            <c:dLbl>
              <c:idx val="2"/>
              <c:layout>
                <c:manualLayout>
                  <c:x val="8.2107176156420852E-2"/>
                  <c:y val="-2.92151429085498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1CC-4F25-BB18-D2DE93E1EAE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vecteurs'!$AA$43:$AC$43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vecteurs'!$AA$48:$AC$48</c:f>
              <c:numCache>
                <c:formatCode>0</c:formatCode>
                <c:ptCount val="3"/>
                <c:pt idx="0">
                  <c:v>2.0619886350000001</c:v>
                </c:pt>
                <c:pt idx="1">
                  <c:v>0.30087888940000002</c:v>
                </c:pt>
                <c:pt idx="2">
                  <c:v>0.1012603856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CC-4F25-BB18-D2DE93E1EAE8}"/>
            </c:ext>
          </c:extLst>
        </c:ser>
        <c:ser>
          <c:idx val="3"/>
          <c:order val="1"/>
          <c:tx>
            <c:strRef>
              <c:f>'T energie vecteurs'!$Z$47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solidFill>
                <a:schemeClr val="accent6"/>
              </a:solidFill>
            </a:ln>
            <a:effectLst/>
          </c:spPr>
          <c:invertIfNegative val="0"/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1CC-4F25-BB18-D2DE93E1EAE8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1CC-4F25-BB18-D2DE93E1EAE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vecteurs'!$AA$43:$AC$43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vecteurs'!$AA$47:$AC$47</c:f>
              <c:numCache>
                <c:formatCode>0</c:formatCode>
                <c:ptCount val="3"/>
                <c:pt idx="0">
                  <c:v>63.291786894000005</c:v>
                </c:pt>
                <c:pt idx="1">
                  <c:v>46.813992595000002</c:v>
                </c:pt>
                <c:pt idx="2">
                  <c:v>18.637907180999999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1CC-4F25-BB18-D2DE93E1EAE8}"/>
            </c:ext>
          </c:extLst>
        </c:ser>
        <c:ser>
          <c:idx val="1"/>
          <c:order val="2"/>
          <c:tx>
            <c:strRef>
              <c:f>'T energie vecteurs'!$Z$45</c:f>
              <c:strCache>
                <c:ptCount val="1"/>
                <c:pt idx="0">
                  <c:v>chaleur (bois…)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vecteurs'!$AA$43:$AC$43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vecteurs'!$AA$45:$AC$45</c:f>
              <c:numCache>
                <c:formatCode>0</c:formatCode>
                <c:ptCount val="3"/>
                <c:pt idx="0">
                  <c:v>12.459379790900002</c:v>
                </c:pt>
                <c:pt idx="1">
                  <c:v>16.159740878299999</c:v>
                </c:pt>
                <c:pt idx="2">
                  <c:v>16.154679578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CC-4F25-BB18-D2DE93E1EAE8}"/>
            </c:ext>
          </c:extLst>
        </c:ser>
        <c:ser>
          <c:idx val="2"/>
          <c:order val="3"/>
          <c:tx>
            <c:strRef>
              <c:f>'T energie vecteurs'!$Z$46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vecteurs'!$AA$43:$AC$43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vecteurs'!$AA$46:$AC$46</c:f>
              <c:numCache>
                <c:formatCode>0</c:formatCode>
                <c:ptCount val="3"/>
                <c:pt idx="0">
                  <c:v>28.427392837500001</c:v>
                </c:pt>
                <c:pt idx="1">
                  <c:v>19.810791945999998</c:v>
                </c:pt>
                <c:pt idx="2">
                  <c:v>14.290456383999999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CC-4F25-BB18-D2DE93E1EAE8}"/>
            </c:ext>
          </c:extLst>
        </c:ser>
        <c:ser>
          <c:idx val="4"/>
          <c:order val="4"/>
          <c:tx>
            <c:strRef>
              <c:f>'T energie vecteurs'!$Z$44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vecteurs'!$AA$43:$AC$43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vecteurs'!$AA$44:$AC$44</c:f>
              <c:numCache>
                <c:formatCode>0</c:formatCode>
                <c:ptCount val="3"/>
                <c:pt idx="0">
                  <c:v>37.898259448100006</c:v>
                </c:pt>
                <c:pt idx="1">
                  <c:v>41.401204060299996</c:v>
                </c:pt>
                <c:pt idx="2">
                  <c:v>41.3010708646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1CC-4F25-BB18-D2DE93E1EA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11088"/>
        <c:axId val="231610696"/>
      </c:barChart>
      <c:catAx>
        <c:axId val="23161108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10696"/>
        <c:crosses val="autoZero"/>
        <c:auto val="1"/>
        <c:lblAlgn val="ctr"/>
        <c:lblOffset val="100"/>
        <c:noMultiLvlLbl val="0"/>
      </c:catAx>
      <c:valAx>
        <c:axId val="231610696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Graphs'!$B$5</c:f>
              <c:strCache>
                <c:ptCount val="1"/>
                <c:pt idx="0">
                  <c:v>SNBC3 : Ventilation du mix énergie (Mtep)</c:v>
                </c:pt>
              </c:strCache>
            </c:strRef>
          </c:tx>
          <c:layout>
            <c:manualLayout>
              <c:xMode val="edge"/>
              <c:yMode val="edge"/>
              <c:x val="2.0489572797247235E-2"/>
              <c:y val="9.0671820577557447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1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76142380739596005"/>
          <c:y val="0.24874563404511155"/>
          <c:w val="0.1834512958142259"/>
          <c:h val="0.236074017393593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17079043396847435"/>
          <c:w val="0.69226941862961444"/>
          <c:h val="0.6323643943840473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vecteurs'!$Z$33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7.8001817348599803E-2"/>
                  <c:y val="-1.46075714542750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16E-4ECA-9D5C-5B4727E02E74}"/>
                </c:ext>
              </c:extLst>
            </c:dLbl>
            <c:dLbl>
              <c:idx val="1"/>
              <c:layout>
                <c:manualLayout>
                  <c:x val="7.9370270284540051E-2"/>
                  <c:y val="-1.66943673763142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16E-4ECA-9D5C-5B4727E02E74}"/>
                </c:ext>
              </c:extLst>
            </c:dLbl>
            <c:dLbl>
              <c:idx val="2"/>
              <c:layout>
                <c:manualLayout>
                  <c:x val="8.2107176156420852E-2"/>
                  <c:y val="-2.92151429085498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16E-4ECA-9D5C-5B4727E02E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vecteurs'!$AA$33:$AC$33</c:f>
              <c:numCache>
                <c:formatCode>0%</c:formatCode>
                <c:ptCount val="3"/>
                <c:pt idx="0">
                  <c:v>8.6413757773885994E-3</c:v>
                </c:pt>
                <c:pt idx="1">
                  <c:v>9.4212087511247528E-4</c:v>
                </c:pt>
                <c:pt idx="2">
                  <c:v>3.4818941492206936E-4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6E-4ECA-9D5C-5B4727E02E74}"/>
            </c:ext>
          </c:extLst>
        </c:ser>
        <c:ser>
          <c:idx val="1"/>
          <c:order val="1"/>
          <c:tx>
            <c:strRef>
              <c:f>'T energie vecteurs'!$Z$34</c:f>
              <c:strCache>
                <c:ptCount val="1"/>
                <c:pt idx="0">
                  <c:v>nucléaire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vecteurs'!$AA$34:$AC$34</c:f>
              <c:numCache>
                <c:formatCode>0%</c:formatCode>
                <c:ptCount val="3"/>
                <c:pt idx="0">
                  <c:v>0.69408091303039376</c:v>
                </c:pt>
                <c:pt idx="1">
                  <c:v>0.62114143570668079</c:v>
                </c:pt>
                <c:pt idx="2">
                  <c:v>0.32025252694687245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6E-4ECA-9D5C-5B4727E02E74}"/>
            </c:ext>
          </c:extLst>
        </c:ser>
        <c:ser>
          <c:idx val="2"/>
          <c:order val="2"/>
          <c:tx>
            <c:strRef>
              <c:f>'T energie vecteurs'!$Z$35</c:f>
              <c:strCache>
                <c:ptCount val="1"/>
                <c:pt idx="0">
                  <c:v>hydraulique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vecteurs'!$AA$35:$AC$35</c:f>
              <c:numCache>
                <c:formatCode>0%</c:formatCode>
                <c:ptCount val="3"/>
                <c:pt idx="0">
                  <c:v>0.1025860132263914</c:v>
                </c:pt>
                <c:pt idx="1">
                  <c:v>0.10094479365655716</c:v>
                </c:pt>
                <c:pt idx="2">
                  <c:v>8.5931446902069872E-2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6E-4ECA-9D5C-5B4727E02E74}"/>
            </c:ext>
          </c:extLst>
        </c:ser>
        <c:ser>
          <c:idx val="3"/>
          <c:order val="3"/>
          <c:tx>
            <c:strRef>
              <c:f>'T energie vecteurs'!$Z$36</c:f>
              <c:strCache>
                <c:ptCount val="1"/>
                <c:pt idx="0">
                  <c:v>solaire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rgbClr val="FFFF00"/>
              </a:solidFill>
            </a:ln>
            <a:effectLst/>
          </c:spPr>
          <c:invertIfNegative val="0"/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16E-4ECA-9D5C-5B4727E02E74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16E-4ECA-9D5C-5B4727E02E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vecteurs'!$AA$36:$AC$36</c:f>
              <c:numCache>
                <c:formatCode>0%</c:formatCode>
                <c:ptCount val="3"/>
                <c:pt idx="0">
                  <c:v>3.6998234283561443E-2</c:v>
                </c:pt>
                <c:pt idx="1">
                  <c:v>8.7555323867402848E-2</c:v>
                </c:pt>
                <c:pt idx="2">
                  <c:v>0.19408802050870588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16E-4ECA-9D5C-5B4727E02E74}"/>
            </c:ext>
          </c:extLst>
        </c:ser>
        <c:ser>
          <c:idx val="4"/>
          <c:order val="4"/>
          <c:tx>
            <c:strRef>
              <c:f>'T energie vecteurs'!$Z$37</c:f>
              <c:strCache>
                <c:ptCount val="1"/>
                <c:pt idx="0">
                  <c:v>éolien 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5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vecteurs'!$AA$37:$AC$37</c:f>
              <c:numCache>
                <c:formatCode>0%</c:formatCode>
                <c:ptCount val="3"/>
                <c:pt idx="0">
                  <c:v>8.3952357056321467E-2</c:v>
                </c:pt>
                <c:pt idx="1">
                  <c:v>0.12657892133685994</c:v>
                </c:pt>
                <c:pt idx="2">
                  <c:v>0.3732405070206718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16E-4ECA-9D5C-5B4727E02E74}"/>
            </c:ext>
          </c:extLst>
        </c:ser>
        <c:ser>
          <c:idx val="5"/>
          <c:order val="5"/>
          <c:tx>
            <c:strRef>
              <c:f>'T energie vecteurs'!$Z$38</c:f>
              <c:strCache>
                <c:ptCount val="1"/>
                <c:pt idx="0">
                  <c:v>autres renouvelables</c:v>
                </c:pt>
              </c:strCache>
            </c:strRef>
          </c:tx>
          <c:spPr>
            <a:solidFill>
              <a:srgbClr val="92D050"/>
            </a:solidFill>
            <a:ln>
              <a:solidFill>
                <a:srgbClr val="92D050"/>
              </a:solidFill>
            </a:ln>
            <a:effectLst>
              <a:glow rad="12700">
                <a:schemeClr val="accent1">
                  <a:alpha val="40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vecteurs'!$AA$38:$AC$38</c:f>
              <c:numCache>
                <c:formatCode>0%</c:formatCode>
                <c:ptCount val="3"/>
                <c:pt idx="0">
                  <c:v>7.3741106625943145E-2</c:v>
                </c:pt>
                <c:pt idx="1">
                  <c:v>6.28374045573869E-2</c:v>
                </c:pt>
                <c:pt idx="2">
                  <c:v>2.6139309206757916E-2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16E-4ECA-9D5C-5B4727E02E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9912"/>
        <c:axId val="231609520"/>
      </c:barChart>
      <c:catAx>
        <c:axId val="2316099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9520"/>
        <c:crosses val="autoZero"/>
        <c:auto val="1"/>
        <c:lblAlgn val="ctr"/>
        <c:lblOffset val="100"/>
        <c:noMultiLvlLbl val="0"/>
      </c:catAx>
      <c:valAx>
        <c:axId val="23160952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Graphs'!$B$6</c:f>
              <c:strCache>
                <c:ptCount val="1"/>
                <c:pt idx="0">
                  <c:v>SNBC3 : Ventilation du mix electrique (%)</c:v>
                </c:pt>
              </c:strCache>
            </c:strRef>
          </c:tx>
          <c:layout>
            <c:manualLayout>
              <c:xMode val="edge"/>
              <c:yMode val="edge"/>
              <c:x val="2.32246046167306E-2"/>
              <c:y val="2.402380831726580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9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</c:legendEntry>
      <c:layout>
        <c:manualLayout>
          <c:xMode val="edge"/>
          <c:yMode val="edge"/>
          <c:x val="0.76142382417816912"/>
          <c:y val="0.18003801760696372"/>
          <c:w val="0.23418248890987423"/>
          <c:h val="0.62626537444194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vecteurs'!$AE$33</c:f>
              <c:strCache>
                <c:ptCount val="1"/>
                <c:pt idx="0">
                  <c:v>carburants fossiles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solidFill>
                <a:schemeClr val="accent3">
                  <a:lumMod val="50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3684529359403476E-3"/>
                  <c:y val="-1.4607550579113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244-4744-9C62-05D9B6E91931}"/>
                </c:ext>
              </c:extLst>
            </c:dLbl>
            <c:dLbl>
              <c:idx val="1"/>
              <c:layout>
                <c:manualLayout>
                  <c:x val="5.4738117437613401E-3"/>
                  <c:y val="-1.669441384214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244-4744-9C62-05D9B6E91931}"/>
                </c:ext>
              </c:extLst>
            </c:dLbl>
            <c:dLbl>
              <c:idx val="2"/>
              <c:layout>
                <c:manualLayout>
                  <c:x val="4.1053588078210426E-3"/>
                  <c:y val="2.043544195458258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244-4744-9C62-05D9B6E919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vecteurs'!$AF$32:$AH$32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vecteurs'!$AF$33:$AH$33</c:f>
              <c:numCache>
                <c:formatCode>0%</c:formatCode>
                <c:ptCount val="3"/>
                <c:pt idx="0">
                  <c:v>0.95161573824533141</c:v>
                </c:pt>
                <c:pt idx="1">
                  <c:v>0.91402602081348916</c:v>
                </c:pt>
                <c:pt idx="2">
                  <c:v>0.33469665989962843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44-4744-9C62-05D9B6E91931}"/>
            </c:ext>
          </c:extLst>
        </c:ser>
        <c:ser>
          <c:idx val="1"/>
          <c:order val="1"/>
          <c:tx>
            <c:strRef>
              <c:f>'T energie vecteurs'!$AE$34</c:f>
              <c:strCache>
                <c:ptCount val="1"/>
                <c:pt idx="0">
                  <c:v>biocarburants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solidFill>
                <a:schemeClr val="accent3">
                  <a:lumMod val="60000"/>
                  <a:lumOff val="4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vecteurs'!$AF$32:$AH$32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vecteurs'!$AF$34:$AH$34</c:f>
              <c:numCache>
                <c:formatCode>0%</c:formatCode>
                <c:ptCount val="3"/>
                <c:pt idx="0">
                  <c:v>4.8384261754668603E-2</c:v>
                </c:pt>
                <c:pt idx="1">
                  <c:v>8.5973979186510771E-2</c:v>
                </c:pt>
                <c:pt idx="2">
                  <c:v>0.66530334010037151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44-4744-9C62-05D9B6E919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8736"/>
        <c:axId val="231608344"/>
      </c:barChart>
      <c:catAx>
        <c:axId val="23160873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8344"/>
        <c:crosses val="autoZero"/>
        <c:auto val="1"/>
        <c:lblAlgn val="ctr"/>
        <c:lblOffset val="100"/>
        <c:noMultiLvlLbl val="0"/>
      </c:catAx>
      <c:valAx>
        <c:axId val="2316083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Graphs'!$B$7</c:f>
              <c:strCache>
                <c:ptCount val="1"/>
                <c:pt idx="0">
                  <c:v>SNBC3 : Ventilation du mix carburant (%)</c:v>
                </c:pt>
              </c:strCache>
            </c:strRef>
          </c:tx>
          <c:layout>
            <c:manualLayout>
              <c:xMode val="edge"/>
              <c:yMode val="edge"/>
              <c:x val="2.3226525402096191E-2"/>
              <c:y val="6.358106917365924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76142382417816912"/>
          <c:y val="0.29042382785002546"/>
          <c:w val="0.23418248890987423"/>
          <c:h val="0.515879555927049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vecteurs'!$AJ$33</c:f>
              <c:strCache>
                <c:ptCount val="1"/>
                <c:pt idx="0">
                  <c:v>gaz naturel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3684529359403476E-3"/>
                  <c:y val="-1.4607550579113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21A-429A-8A28-44CA5ABCCE07}"/>
                </c:ext>
              </c:extLst>
            </c:dLbl>
            <c:dLbl>
              <c:idx val="1"/>
              <c:layout>
                <c:manualLayout>
                  <c:x val="5.4738117437613401E-3"/>
                  <c:y val="-1.669441384214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21A-429A-8A28-44CA5ABCCE07}"/>
                </c:ext>
              </c:extLst>
            </c:dLbl>
            <c:dLbl>
              <c:idx val="2"/>
              <c:layout>
                <c:manualLayout>
                  <c:x val="8.484408202830164E-2"/>
                  <c:y val="-2.713119146798161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21A-429A-8A28-44CA5ABCCE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vecteurs'!$AK$32:$AM$32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vecteurs'!$AK$33:$AM$33</c:f>
              <c:numCache>
                <c:formatCode>0%</c:formatCode>
                <c:ptCount val="3"/>
                <c:pt idx="0">
                  <c:v>0.98439656249746288</c:v>
                </c:pt>
                <c:pt idx="1">
                  <c:v>0.84664427276399601</c:v>
                </c:pt>
                <c:pt idx="2">
                  <c:v>0.35516193903244347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1A-429A-8A28-44CA5ABCCE07}"/>
            </c:ext>
          </c:extLst>
        </c:ser>
        <c:ser>
          <c:idx val="1"/>
          <c:order val="1"/>
          <c:tx>
            <c:strRef>
              <c:f>'T energie vecteurs'!$AJ$34</c:f>
              <c:strCache>
                <c:ptCount val="1"/>
                <c:pt idx="0">
                  <c:v>biogaz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solidFill>
                <a:schemeClr val="tx2">
                  <a:lumMod val="40000"/>
                  <a:lumOff val="60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0.10536902887139103"/>
                  <c:y val="2.70862739908040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21A-429A-8A28-44CA5ABCCE07}"/>
                </c:ext>
              </c:extLst>
            </c:dLbl>
            <c:dLbl>
              <c:idx val="1"/>
              <c:layout>
                <c:manualLayout>
                  <c:x val="9.7156470825762162E-2"/>
                  <c:y val="2.70792221527424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21A-429A-8A28-44CA5ABCCE07}"/>
                </c:ext>
              </c:extLst>
            </c:dLbl>
            <c:dLbl>
              <c:idx val="2"/>
              <c:layout>
                <c:manualLayout>
                  <c:x val="7.9316239316239323E-2"/>
                  <c:y val="2.08275217167912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21A-429A-8A28-44CA5ABCCE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vecteurs'!$AK$32:$AM$32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vecteurs'!$AK$34:$AM$34</c:f>
              <c:numCache>
                <c:formatCode>0%</c:formatCode>
                <c:ptCount val="3"/>
                <c:pt idx="0">
                  <c:v>1.5603437502537027E-2</c:v>
                </c:pt>
                <c:pt idx="1">
                  <c:v>0.15335572723600396</c:v>
                </c:pt>
                <c:pt idx="2">
                  <c:v>0.64483806096755658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1A-429A-8A28-44CA5ABCCE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7560"/>
        <c:axId val="231607168"/>
      </c:barChart>
      <c:catAx>
        <c:axId val="23160756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7168"/>
        <c:crosses val="autoZero"/>
        <c:auto val="1"/>
        <c:lblAlgn val="ctr"/>
        <c:lblOffset val="100"/>
        <c:noMultiLvlLbl val="0"/>
      </c:catAx>
      <c:valAx>
        <c:axId val="231607168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Graphs'!$B$8</c:f>
              <c:strCache>
                <c:ptCount val="1"/>
                <c:pt idx="0">
                  <c:v>SNBC3 : Ventilation du mix gaz (%)</c:v>
                </c:pt>
              </c:strCache>
            </c:strRef>
          </c:tx>
          <c:layout>
            <c:manualLayout>
              <c:xMode val="edge"/>
              <c:yMode val="edge"/>
              <c:x val="2.0489572797247235E-2"/>
              <c:y val="9.0671820577557447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7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81753037776951432"/>
          <c:y val="0.29042382785002546"/>
          <c:w val="0.13839078339404989"/>
          <c:h val="0.515879555927049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9740912847575234E-2"/>
          <c:y val="0.17593989942704161"/>
          <c:w val="0.73258526136090329"/>
          <c:h val="0.74056220214541801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CO2'!$K$8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CO2'!$L$8:$N$8</c:f>
              <c:numCache>
                <c:formatCode>0</c:formatCode>
                <c:ptCount val="3"/>
                <c:pt idx="0">
                  <c:v>128.05956102086083</c:v>
                </c:pt>
                <c:pt idx="1">
                  <c:v>98.864437400512031</c:v>
                </c:pt>
                <c:pt idx="2">
                  <c:v>10.413069780666026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CF-409C-BDBE-F99B69B3F72E}"/>
            </c:ext>
          </c:extLst>
        </c:ser>
        <c:ser>
          <c:idx val="0"/>
          <c:order val="1"/>
          <c:tx>
            <c:strRef>
              <c:f>'T CO2'!$K$9</c:f>
              <c:strCache>
                <c:ptCount val="1"/>
                <c:pt idx="0">
                  <c:v>Residentiel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CO2'!$L$9:$N$9</c:f>
              <c:numCache>
                <c:formatCode>0</c:formatCode>
                <c:ptCount val="3"/>
                <c:pt idx="0">
                  <c:v>45.077731845377158</c:v>
                </c:pt>
                <c:pt idx="1">
                  <c:v>25.644927390321332</c:v>
                </c:pt>
                <c:pt idx="2">
                  <c:v>4.1190840351979947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CF-409C-BDBE-F99B69B3F72E}"/>
            </c:ext>
          </c:extLst>
        </c:ser>
        <c:ser>
          <c:idx val="2"/>
          <c:order val="2"/>
          <c:tx>
            <c:strRef>
              <c:f>'T CO2'!$K$10</c:f>
              <c:strCache>
                <c:ptCount val="1"/>
                <c:pt idx="0">
                  <c:v>Service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CO2'!$L$10:$N$10</c:f>
              <c:numCache>
                <c:formatCode>0</c:formatCode>
                <c:ptCount val="3"/>
                <c:pt idx="0">
                  <c:v>28.815545658120186</c:v>
                </c:pt>
                <c:pt idx="1">
                  <c:v>20.866867717565718</c:v>
                </c:pt>
                <c:pt idx="2">
                  <c:v>4.6746177133084155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CF-409C-BDBE-F99B69B3F72E}"/>
            </c:ext>
          </c:extLst>
        </c:ser>
        <c:ser>
          <c:idx val="3"/>
          <c:order val="3"/>
          <c:tx>
            <c:strRef>
              <c:f>'T CO2'!$K$11</c:f>
              <c:strCache>
                <c:ptCount val="1"/>
                <c:pt idx="0">
                  <c:v>Industrie et agriculture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CO2'!$L$11:$N$11</c:f>
              <c:numCache>
                <c:formatCode>0</c:formatCode>
                <c:ptCount val="3"/>
                <c:pt idx="0">
                  <c:v>96.316808021292928</c:v>
                </c:pt>
                <c:pt idx="1">
                  <c:v>66.192369079301031</c:v>
                </c:pt>
                <c:pt idx="2">
                  <c:v>40.949380885413049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CF-409C-BDBE-F99B69B3F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7312"/>
        <c:axId val="213036136"/>
      </c:barChart>
      <c:catAx>
        <c:axId val="2130373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136"/>
        <c:crosses val="autoZero"/>
        <c:auto val="1"/>
        <c:lblAlgn val="ctr"/>
        <c:lblOffset val="100"/>
        <c:noMultiLvlLbl val="0"/>
      </c:catAx>
      <c:valAx>
        <c:axId val="213036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Graphs'!$B$9</c:f>
              <c:strCache>
                <c:ptCount val="1"/>
                <c:pt idx="0">
                  <c:v>SNBC3 : Emissions CO2 (Mt.eqCO2)</c:v>
                </c:pt>
              </c:strCache>
            </c:strRef>
          </c:tx>
          <c:layout>
            <c:manualLayout>
              <c:xMode val="edge"/>
              <c:yMode val="edge"/>
              <c:x val="1.3659715198164822E-2"/>
              <c:y val="2.390465555681330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691366156517532"/>
          <c:y val="0.28558169209001705"/>
          <c:w val="0.16625648083574224"/>
          <c:h val="0.680136041576351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Titre du graphique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677304466662714E-2"/>
          <c:y val="0.18782278038184441"/>
          <c:w val="0.91111197791769516"/>
          <c:h val="0.62158940284337161"/>
        </c:manualLayout>
      </c:layout>
      <c:lineChart>
        <c:grouping val="standard"/>
        <c:varyColors val="0"/>
        <c:ser>
          <c:idx val="1"/>
          <c:order val="0"/>
          <c:tx>
            <c:strRef>
              <c:f>'T parc auto'!$A$4</c:f>
              <c:strCache>
                <c:ptCount val="1"/>
                <c:pt idx="0">
                  <c:v>SNBC3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'T parc auto'!$I$3:$AM$3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'T parc auto'!$I$5:$AM$5</c:f>
              <c:numCache>
                <c:formatCode>#\ ##0.0</c:formatCode>
                <c:ptCount val="31"/>
                <c:pt idx="0">
                  <c:v>37.424567750000001</c:v>
                </c:pt>
                <c:pt idx="1">
                  <c:v>37.524066040000001</c:v>
                </c:pt>
                <c:pt idx="2">
                  <c:v>37.519450830000004</c:v>
                </c:pt>
                <c:pt idx="3">
                  <c:v>37.485429020000005</c:v>
                </c:pt>
                <c:pt idx="4">
                  <c:v>37.329956899999999</c:v>
                </c:pt>
                <c:pt idx="5">
                  <c:v>37.080500119999996</c:v>
                </c:pt>
                <c:pt idx="6">
                  <c:v>36.714006900000001</c:v>
                </c:pt>
                <c:pt idx="7">
                  <c:v>36.274392760000005</c:v>
                </c:pt>
                <c:pt idx="8">
                  <c:v>35.78935637</c:v>
                </c:pt>
                <c:pt idx="9">
                  <c:v>35.253540430000001</c:v>
                </c:pt>
                <c:pt idx="10">
                  <c:v>34.682527520000001</c:v>
                </c:pt>
                <c:pt idx="11">
                  <c:v>34.090323759999997</c:v>
                </c:pt>
                <c:pt idx="12">
                  <c:v>33.503832549999998</c:v>
                </c:pt>
                <c:pt idx="13">
                  <c:v>32.930056999999998</c:v>
                </c:pt>
                <c:pt idx="14">
                  <c:v>32.374559529999999</c:v>
                </c:pt>
                <c:pt idx="15">
                  <c:v>31.837927520000001</c:v>
                </c:pt>
                <c:pt idx="16">
                  <c:v>31.35909977</c:v>
                </c:pt>
                <c:pt idx="17">
                  <c:v>30.921538330000001</c:v>
                </c:pt>
                <c:pt idx="18">
                  <c:v>30.50546727</c:v>
                </c:pt>
                <c:pt idx="19">
                  <c:v>30.106435829999999</c:v>
                </c:pt>
                <c:pt idx="20">
                  <c:v>29.71445048</c:v>
                </c:pt>
                <c:pt idx="21">
                  <c:v>29.332799169999998</c:v>
                </c:pt>
                <c:pt idx="22">
                  <c:v>28.96502224</c:v>
                </c:pt>
                <c:pt idx="23">
                  <c:v>28.604418409999997</c:v>
                </c:pt>
                <c:pt idx="24">
                  <c:v>28.247906449999999</c:v>
                </c:pt>
                <c:pt idx="25">
                  <c:v>27.823219120000001</c:v>
                </c:pt>
                <c:pt idx="26">
                  <c:v>27.42759027</c:v>
                </c:pt>
                <c:pt idx="27">
                  <c:v>27.04989161</c:v>
                </c:pt>
                <c:pt idx="28">
                  <c:v>26.687180680000001</c:v>
                </c:pt>
                <c:pt idx="29">
                  <c:v>26.334977180000003</c:v>
                </c:pt>
                <c:pt idx="30">
                  <c:v>25.97533439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C3-45D2-B2A5-76AA1C492B9B}"/>
            </c:ext>
          </c:extLst>
        </c:ser>
        <c:ser>
          <c:idx val="2"/>
          <c:order val="1"/>
          <c:tx>
            <c:strRef>
              <c:f>'[6]T parc auto'!$A$4</c:f>
              <c:strCache>
                <c:ptCount val="1"/>
                <c:pt idx="0">
                  <c:v>TEND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'T parc auto'!$I$3:$AM$3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'[6]T parc auto'!$I$5:$AM$5</c:f>
              <c:numCache>
                <c:formatCode>General</c:formatCode>
                <c:ptCount val="31"/>
                <c:pt idx="0">
                  <c:v>34.664492700000004</c:v>
                </c:pt>
                <c:pt idx="1">
                  <c:v>34.956187980000003</c:v>
                </c:pt>
                <c:pt idx="2">
                  <c:v>35.116030049999999</c:v>
                </c:pt>
                <c:pt idx="3">
                  <c:v>35.22984451</c:v>
                </c:pt>
                <c:pt idx="4">
                  <c:v>35.293663940000002</c:v>
                </c:pt>
                <c:pt idx="5">
                  <c:v>35.310390290000001</c:v>
                </c:pt>
                <c:pt idx="6">
                  <c:v>35.378433780000002</c:v>
                </c:pt>
                <c:pt idx="7">
                  <c:v>35.496856720000004</c:v>
                </c:pt>
                <c:pt idx="8">
                  <c:v>35.653829440000003</c:v>
                </c:pt>
                <c:pt idx="9">
                  <c:v>35.834650719999999</c:v>
                </c:pt>
                <c:pt idx="10">
                  <c:v>36.029956510000005</c:v>
                </c:pt>
                <c:pt idx="11">
                  <c:v>36.22702245</c:v>
                </c:pt>
                <c:pt idx="12">
                  <c:v>36.422585409999996</c:v>
                </c:pt>
                <c:pt idx="13">
                  <c:v>36.615497920000003</c:v>
                </c:pt>
                <c:pt idx="14">
                  <c:v>36.806113070000002</c:v>
                </c:pt>
                <c:pt idx="15">
                  <c:v>36.99621071</c:v>
                </c:pt>
                <c:pt idx="16">
                  <c:v>37.184294620000003</c:v>
                </c:pt>
                <c:pt idx="17">
                  <c:v>37.372872549999997</c:v>
                </c:pt>
                <c:pt idx="18">
                  <c:v>37.563526299999999</c:v>
                </c:pt>
                <c:pt idx="19">
                  <c:v>37.757729379999994</c:v>
                </c:pt>
                <c:pt idx="20">
                  <c:v>37.955981359999996</c:v>
                </c:pt>
                <c:pt idx="21">
                  <c:v>38.166927919999999</c:v>
                </c:pt>
                <c:pt idx="22">
                  <c:v>38.388725370000003</c:v>
                </c:pt>
                <c:pt idx="23">
                  <c:v>38.617999920000003</c:v>
                </c:pt>
                <c:pt idx="24">
                  <c:v>38.852641049999995</c:v>
                </c:pt>
                <c:pt idx="25">
                  <c:v>39.090289320000004</c:v>
                </c:pt>
                <c:pt idx="26">
                  <c:v>39.328744280000002</c:v>
                </c:pt>
                <c:pt idx="27">
                  <c:v>39.56777889</c:v>
                </c:pt>
                <c:pt idx="28">
                  <c:v>39.807161919999999</c:v>
                </c:pt>
                <c:pt idx="29">
                  <c:v>40.046711999999999</c:v>
                </c:pt>
                <c:pt idx="30">
                  <c:v>40.288447350000006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BC3-45D2-B2A5-76AA1C492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753344"/>
        <c:axId val="688757280"/>
      </c:lineChart>
      <c:catAx>
        <c:axId val="68875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1920000" spcFirstLastPara="1" vertOverflow="ellipsis" wrap="square" anchor="ctr" anchorCtr="1"/>
          <a:lstStyle/>
          <a:p>
            <a:pPr>
              <a:defRPr sz="1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8757280"/>
        <c:crosses val="autoZero"/>
        <c:auto val="1"/>
        <c:lblAlgn val="ctr"/>
        <c:lblOffset val="100"/>
        <c:noMultiLvlLbl val="0"/>
      </c:catAx>
      <c:valAx>
        <c:axId val="688757280"/>
        <c:scaling>
          <c:orientation val="minMax"/>
          <c:max val="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b="1">
                    <a:solidFill>
                      <a:schemeClr val="tx1"/>
                    </a:solidFill>
                  </a:rPr>
                  <a:t>Parc auto</a:t>
                </a:r>
                <a:br>
                  <a:rPr lang="fr-FR" b="1">
                    <a:solidFill>
                      <a:schemeClr val="tx1"/>
                    </a:solidFill>
                  </a:rPr>
                </a:br>
                <a:r>
                  <a:rPr lang="fr-FR" b="1">
                    <a:solidFill>
                      <a:schemeClr val="tx1"/>
                    </a:solidFill>
                  </a:rPr>
                  <a:t>(millions de</a:t>
                </a:r>
                <a:r>
                  <a:rPr lang="fr-FR" b="1" baseline="0">
                    <a:solidFill>
                      <a:schemeClr val="tx1"/>
                    </a:solidFill>
                  </a:rPr>
                  <a:t> véhicules)</a:t>
                </a:r>
              </a:p>
              <a:p>
                <a:pPr>
                  <a:defRPr>
                    <a:solidFill>
                      <a:schemeClr val="tx1"/>
                    </a:solidFill>
                  </a:defRPr>
                </a:pPr>
                <a:r>
                  <a:rPr lang="fr-FR" b="1" baseline="0">
                    <a:solidFill>
                      <a:schemeClr val="tx1"/>
                    </a:solidFill>
                  </a:rPr>
                  <a:t>(actualiser TEND)</a:t>
                </a:r>
                <a:endParaRPr lang="fr-FR" b="1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3.1474417526627996E-2"/>
              <c:y val="3.8792389102366563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875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500"/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Titre du graphique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7.3835039786960974E-2"/>
          <c:y val="0.19199059976233585"/>
          <c:w val="0.91111197791769516"/>
          <c:h val="0.62158940284337161"/>
        </c:manualLayout>
      </c:layout>
      <c:lineChart>
        <c:grouping val="standard"/>
        <c:varyColors val="0"/>
        <c:ser>
          <c:idx val="1"/>
          <c:order val="0"/>
          <c:tx>
            <c:strRef>
              <c:f>'T parc auto'!$A$4</c:f>
              <c:strCache>
                <c:ptCount val="1"/>
                <c:pt idx="0">
                  <c:v>SNBC3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'T parc auto'!$I$3:$AM$3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'T parc auto'!$I$6:$AM$6</c:f>
              <c:numCache>
                <c:formatCode>0%</c:formatCode>
                <c:ptCount val="31"/>
                <c:pt idx="0">
                  <c:v>1.3283049263808798E-2</c:v>
                </c:pt>
                <c:pt idx="1">
                  <c:v>1.6629725020599076E-2</c:v>
                </c:pt>
                <c:pt idx="2">
                  <c:v>2.1001849381279976E-2</c:v>
                </c:pt>
                <c:pt idx="3">
                  <c:v>2.6566805709190729E-2</c:v>
                </c:pt>
                <c:pt idx="4">
                  <c:v>3.2876806375310874E-2</c:v>
                </c:pt>
                <c:pt idx="5">
                  <c:v>4.0004835619784518E-2</c:v>
                </c:pt>
                <c:pt idx="6">
                  <c:v>4.8435078874488093E-2</c:v>
                </c:pt>
                <c:pt idx="7">
                  <c:v>5.934781260829023E-2</c:v>
                </c:pt>
                <c:pt idx="8">
                  <c:v>7.4184483720571584E-2</c:v>
                </c:pt>
                <c:pt idx="9">
                  <c:v>9.3277537997337526E-2</c:v>
                </c:pt>
                <c:pt idx="10">
                  <c:v>0.11669466222339495</c:v>
                </c:pt>
                <c:pt idx="11">
                  <c:v>0.14394607623990488</c:v>
                </c:pt>
                <c:pt idx="12">
                  <c:v>0.17434184316922274</c:v>
                </c:pt>
                <c:pt idx="13">
                  <c:v>0.20668426337676854</c:v>
                </c:pt>
                <c:pt idx="14">
                  <c:v>0.23989974834415917</c:v>
                </c:pt>
                <c:pt idx="15">
                  <c:v>0.27314443613005623</c:v>
                </c:pt>
                <c:pt idx="16">
                  <c:v>0.3067373284166186</c:v>
                </c:pt>
                <c:pt idx="17">
                  <c:v>0.33997529287864509</c:v>
                </c:pt>
                <c:pt idx="18">
                  <c:v>0.37226208074405936</c:v>
                </c:pt>
                <c:pt idx="19">
                  <c:v>0.40343948046805383</c:v>
                </c:pt>
                <c:pt idx="20">
                  <c:v>0.43330073220320914</c:v>
                </c:pt>
                <c:pt idx="21">
                  <c:v>0.4617838356133947</c:v>
                </c:pt>
                <c:pt idx="22">
                  <c:v>0.4890039822044342</c:v>
                </c:pt>
                <c:pt idx="23">
                  <c:v>0.51489613278943791</c:v>
                </c:pt>
                <c:pt idx="24">
                  <c:v>0.53947246062194465</c:v>
                </c:pt>
                <c:pt idx="25">
                  <c:v>0.56361203325778209</c:v>
                </c:pt>
                <c:pt idx="26">
                  <c:v>0.58682877648222942</c:v>
                </c:pt>
                <c:pt idx="27">
                  <c:v>0.60898862433556356</c:v>
                </c:pt>
                <c:pt idx="28">
                  <c:v>0.63009582846650858</c:v>
                </c:pt>
                <c:pt idx="29">
                  <c:v>0.65013872436550946</c:v>
                </c:pt>
                <c:pt idx="30">
                  <c:v>0.66894167440205954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CF-413C-A382-BDDA928D9525}"/>
            </c:ext>
          </c:extLst>
        </c:ser>
        <c:ser>
          <c:idx val="2"/>
          <c:order val="1"/>
          <c:tx>
            <c:strRef>
              <c:f>'[6]T parc auto'!$A$4</c:f>
              <c:strCache>
                <c:ptCount val="1"/>
                <c:pt idx="0">
                  <c:v>TEND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'T parc auto'!$I$3:$AM$3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'[6]T parc auto'!$I$6:$AM$6</c:f>
              <c:numCache>
                <c:formatCode>General</c:formatCode>
                <c:ptCount val="31"/>
                <c:pt idx="0">
                  <c:v>8.5699726798540449E-3</c:v>
                </c:pt>
                <c:pt idx="1">
                  <c:v>1.3125767536852568E-2</c:v>
                </c:pt>
                <c:pt idx="2">
                  <c:v>2.093814652035246E-2</c:v>
                </c:pt>
                <c:pt idx="3">
                  <c:v>2.9339596650975963E-2</c:v>
                </c:pt>
                <c:pt idx="4">
                  <c:v>3.8422705171822412E-2</c:v>
                </c:pt>
                <c:pt idx="5">
                  <c:v>4.8298948326351107E-2</c:v>
                </c:pt>
                <c:pt idx="6">
                  <c:v>5.9426982864022086E-2</c:v>
                </c:pt>
                <c:pt idx="7">
                  <c:v>7.1945526561541698E-2</c:v>
                </c:pt>
                <c:pt idx="8">
                  <c:v>8.5942049539349558E-2</c:v>
                </c:pt>
                <c:pt idx="9">
                  <c:v>0.10147172535354351</c:v>
                </c:pt>
                <c:pt idx="10">
                  <c:v>0.11859008108472456</c:v>
                </c:pt>
                <c:pt idx="11">
                  <c:v>0.13730358074183932</c:v>
                </c:pt>
                <c:pt idx="12">
                  <c:v>0.15763780877629907</c:v>
                </c:pt>
                <c:pt idx="13">
                  <c:v>0.17959577390884213</c:v>
                </c:pt>
                <c:pt idx="14">
                  <c:v>0.20315166958215294</c:v>
                </c:pt>
                <c:pt idx="15">
                  <c:v>0.22824904180571959</c:v>
                </c:pt>
                <c:pt idx="16">
                  <c:v>0.2547637951132391</c:v>
                </c:pt>
                <c:pt idx="17">
                  <c:v>0.28256330245612871</c:v>
                </c:pt>
                <c:pt idx="18">
                  <c:v>0.31147078409409074</c:v>
                </c:pt>
                <c:pt idx="19">
                  <c:v>0.34127816401018973</c:v>
                </c:pt>
                <c:pt idx="20">
                  <c:v>0.3717464103001657</c:v>
                </c:pt>
                <c:pt idx="21">
                  <c:v>0.40269710709271045</c:v>
                </c:pt>
                <c:pt idx="22">
                  <c:v>0.43384849821076515</c:v>
                </c:pt>
                <c:pt idx="23">
                  <c:v>0.464913357170052</c:v>
                </c:pt>
                <c:pt idx="24">
                  <c:v>0.49563467577965337</c:v>
                </c:pt>
                <c:pt idx="25">
                  <c:v>0.52577836510113596</c:v>
                </c:pt>
                <c:pt idx="26">
                  <c:v>0.55514202702634574</c:v>
                </c:pt>
                <c:pt idx="27">
                  <c:v>0.58357173153926301</c:v>
                </c:pt>
                <c:pt idx="28">
                  <c:v>0.61094374421556352</c:v>
                </c:pt>
                <c:pt idx="29">
                  <c:v>0.63716406480512056</c:v>
                </c:pt>
                <c:pt idx="30">
                  <c:v>0.66218106938290833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CF-413C-A382-BDDA928D95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753344"/>
        <c:axId val="688757280"/>
      </c:lineChart>
      <c:catAx>
        <c:axId val="68875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1920000" spcFirstLastPara="1" vertOverflow="ellipsis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8757280"/>
        <c:crosses val="autoZero"/>
        <c:auto val="1"/>
        <c:lblAlgn val="ctr"/>
        <c:lblOffset val="100"/>
        <c:noMultiLvlLbl val="0"/>
      </c:catAx>
      <c:valAx>
        <c:axId val="6887572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b="1">
                    <a:solidFill>
                      <a:sysClr val="windowText" lastClr="000000"/>
                    </a:solidFill>
                  </a:rPr>
                  <a:t>Pénétration véhicule</a:t>
                </a:r>
                <a:r>
                  <a:rPr lang="fr-FR" b="1" baseline="0">
                    <a:solidFill>
                      <a:sysClr val="windowText" lastClr="000000"/>
                    </a:solidFill>
                  </a:rPr>
                  <a:t> elec (% du parc)</a:t>
                </a:r>
              </a:p>
              <a:p>
                <a:pPr>
                  <a:defRPr/>
                </a:pPr>
                <a:r>
                  <a:rPr lang="fr-FR" b="1" baseline="0">
                    <a:solidFill>
                      <a:sysClr val="windowText" lastClr="000000"/>
                    </a:solidFill>
                  </a:rPr>
                  <a:t>(actualiser TEND)</a:t>
                </a:r>
                <a:endParaRPr lang="fr-FR" b="1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3.1474388951702174E-2"/>
              <c:y val="3.654170667887090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875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500"/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Graphs'!$B$10</c:f>
          <c:strCache>
            <c:ptCount val="1"/>
            <c:pt idx="0">
              <c:v>SNBC3 : Ventilation du parc auto (%)</c:v>
            </c:pt>
          </c:strCache>
        </c:strRef>
      </c:tx>
      <c:layout>
        <c:manualLayout>
          <c:xMode val="edge"/>
          <c:yMode val="edge"/>
          <c:x val="2.7810470205815105E-2"/>
          <c:y val="2.089552287919903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'T parc auto'!$C$18</c:f>
              <c:strCache>
                <c:ptCount val="1"/>
                <c:pt idx="0">
                  <c:v>Fortement émettrices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-1.0008066809404825E-16"/>
                  <c:y val="-8.357760863731808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82-44F6-A16A-C8BCAA280A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auto'!$I$18:$K$18</c:f>
              <c:numCache>
                <c:formatCode>0%</c:formatCode>
                <c:ptCount val="3"/>
                <c:pt idx="0">
                  <c:v>0.1252403576792146</c:v>
                </c:pt>
                <c:pt idx="1">
                  <c:v>7.9468356004637572E-2</c:v>
                </c:pt>
                <c:pt idx="2">
                  <c:v>2.888121941901977E-2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82-44F6-A16A-C8BCAA280A45}"/>
            </c:ext>
          </c:extLst>
        </c:ser>
        <c:ser>
          <c:idx val="2"/>
          <c:order val="1"/>
          <c:tx>
            <c:strRef>
              <c:f>'T parc auto'!$C$17</c:f>
              <c:strCache>
                <c:ptCount val="1"/>
                <c:pt idx="0">
                  <c:v>Modérément émettrices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auto'!$I$17:$K$17</c:f>
              <c:numCache>
                <c:formatCode>0%</c:formatCode>
                <c:ptCount val="3"/>
                <c:pt idx="0">
                  <c:v>0.72202402781258579</c:v>
                </c:pt>
                <c:pt idx="1">
                  <c:v>0.64084706704789773</c:v>
                </c:pt>
                <c:pt idx="2">
                  <c:v>0.23971870554233127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82-44F6-A16A-C8BCAA280A45}"/>
            </c:ext>
          </c:extLst>
        </c:ser>
        <c:ser>
          <c:idx val="1"/>
          <c:order val="2"/>
          <c:tx>
            <c:strRef>
              <c:f>'T parc auto'!$C$16</c:f>
              <c:strCache>
                <c:ptCount val="1"/>
                <c:pt idx="0">
                  <c:v>Faiblement émettrices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auto'!$I$16:$K$16</c:f>
              <c:numCache>
                <c:formatCode>0%</c:formatCode>
                <c:ptCount val="3"/>
                <c:pt idx="0">
                  <c:v>0.1394525654822025</c:v>
                </c:pt>
                <c:pt idx="1">
                  <c:v>0.16298991471541976</c:v>
                </c:pt>
                <c:pt idx="2">
                  <c:v>6.2458400567292946E-2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82-44F6-A16A-C8BCAA280A45}"/>
            </c:ext>
          </c:extLst>
        </c:ser>
        <c:ser>
          <c:idx val="0"/>
          <c:order val="3"/>
          <c:tx>
            <c:strRef>
              <c:f>'T parc auto'!$C$14</c:f>
              <c:strCache>
                <c:ptCount val="1"/>
                <c:pt idx="0">
                  <c:v>Electriques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auto'!$I$14:$K$14</c:f>
              <c:numCache>
                <c:formatCode>0%</c:formatCode>
                <c:ptCount val="3"/>
                <c:pt idx="0">
                  <c:v>1.3283049263808798E-2</c:v>
                </c:pt>
                <c:pt idx="1">
                  <c:v>0.11669466222339495</c:v>
                </c:pt>
                <c:pt idx="2">
                  <c:v>0.66894167440205954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82-44F6-A16A-C8BCAA280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8712"/>
        <c:axId val="311369104"/>
      </c:barChart>
      <c:catAx>
        <c:axId val="311368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104"/>
        <c:crosses val="autoZero"/>
        <c:auto val="1"/>
        <c:lblAlgn val="ctr"/>
        <c:lblOffset val="100"/>
        <c:noMultiLvlLbl val="0"/>
      </c:catAx>
      <c:valAx>
        <c:axId val="31136910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871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103162901676298"/>
          <c:y val="0.21336550323470299"/>
          <c:w val="0.28077254186433814"/>
          <c:h val="0.688549910883573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Graphs'!$B$11</c:f>
          <c:strCache>
            <c:ptCount val="1"/>
            <c:pt idx="0">
              <c:v>SNBC3 : Ventilation du parc de logements (%)</c:v>
            </c:pt>
          </c:strCache>
        </c:strRef>
      </c:tx>
      <c:layout>
        <c:manualLayout>
          <c:xMode val="edge"/>
          <c:yMode val="edge"/>
          <c:x val="3.4237370593317988E-2"/>
          <c:y val="1.2537313727519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658523898908643E-2"/>
          <c:y val="8.8051017074071342E-2"/>
          <c:w val="0.68257048305485446"/>
          <c:h val="0.82845108449838833"/>
        </c:manualLayout>
      </c:layout>
      <c:barChart>
        <c:barDir val="col"/>
        <c:grouping val="stacked"/>
        <c:varyColors val="0"/>
        <c:ser>
          <c:idx val="2"/>
          <c:order val="0"/>
          <c:tx>
            <c:strRef>
              <c:f>'T logement'!$Y$19</c:f>
              <c:strCache>
                <c:ptCount val="1"/>
                <c:pt idx="0">
                  <c:v>Passoires énergétiques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logement'!$Z$19:$AB$19</c:f>
              <c:numCache>
                <c:formatCode>0.0%</c:formatCode>
                <c:ptCount val="3"/>
                <c:pt idx="0">
                  <c:v>0.17331589111592149</c:v>
                </c:pt>
                <c:pt idx="1">
                  <c:v>0.11019746538451852</c:v>
                </c:pt>
                <c:pt idx="2">
                  <c:v>5.3685547786459752E-2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7D-4A1E-817A-62C204FE9217}"/>
            </c:ext>
          </c:extLst>
        </c:ser>
        <c:ser>
          <c:idx val="1"/>
          <c:order val="1"/>
          <c:tx>
            <c:strRef>
              <c:f>'T logement'!$Y$18</c:f>
              <c:strCache>
                <c:ptCount val="1"/>
                <c:pt idx="0">
                  <c:v>Consommation modérée 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logement'!$Z$18:$AB$18</c:f>
              <c:numCache>
                <c:formatCode>0.0%</c:formatCode>
                <c:ptCount val="3"/>
                <c:pt idx="0">
                  <c:v>0.7610387046799828</c:v>
                </c:pt>
                <c:pt idx="1">
                  <c:v>0.69833431743098973</c:v>
                </c:pt>
                <c:pt idx="2">
                  <c:v>0.47024605459937374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7D-4A1E-817A-62C204FE9217}"/>
            </c:ext>
          </c:extLst>
        </c:ser>
        <c:ser>
          <c:idx val="0"/>
          <c:order val="2"/>
          <c:tx>
            <c:strRef>
              <c:f>'T logement'!$Y$17</c:f>
              <c:strCache>
                <c:ptCount val="1"/>
                <c:pt idx="0">
                  <c:v>Basse consommation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logement'!$Z$17:$AB$17</c:f>
              <c:numCache>
                <c:formatCode>0.0%</c:formatCode>
                <c:ptCount val="3"/>
                <c:pt idx="0">
                  <c:v>6.5645404074373248E-2</c:v>
                </c:pt>
                <c:pt idx="1">
                  <c:v>0.19146821708534725</c:v>
                </c:pt>
                <c:pt idx="2">
                  <c:v>0.47626594077075085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F7D-4A1E-817A-62C204FE92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9888"/>
        <c:axId val="311370280"/>
      </c:barChart>
      <c:catAx>
        <c:axId val="3113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70280"/>
        <c:crosses val="autoZero"/>
        <c:auto val="1"/>
        <c:lblAlgn val="ctr"/>
        <c:lblOffset val="100"/>
        <c:noMultiLvlLbl val="0"/>
      </c:catAx>
      <c:valAx>
        <c:axId val="3113702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888"/>
        <c:crosses val="autoZero"/>
        <c:crossBetween val="between"/>
        <c:min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791440886990928"/>
          <c:y val="0.32089954452336433"/>
          <c:w val="0.1938897620111919"/>
          <c:h val="0.494407587904947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 codeName="Graphique4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 codeName="Graphique5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 codeName="Graphique6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600-000000000000}">
  <sheetPr codeName="Graphique7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700-000000000000}">
  <sheetPr codeName="Graphique8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900-000000000000}">
  <sheetPr codeName="Graphique10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B00-000000000000}">
  <sheetPr codeName="Graphique12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C00-000000000000}">
  <sheetPr codeName="Graphique13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D00-000000000000}">
  <sheetPr codeName="Graphique14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000-000000000000}">
  <sheetPr codeName="Graphique17">
    <tabColor rgb="FFFF0000"/>
  </sheetPr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demecloud-my.sharepoint.com/Users/Callonnecg/Github/ThreeME/data/shocks/Bilan%20S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ma.monserand\Documents\GitHub\ThreeME\data\shocks\Bilan%20&#233;nergie%20-%20AMErun2%20-%20AMSrun2.xlsx" TargetMode="External"/><Relationship Id="rId1" Type="http://schemas.openxmlformats.org/officeDocument/2006/relationships/externalLinkPath" Target="https://ademecloud-my.sharepoint.com/Users/alma.monserand/Documents/GitHub/ThreeME/data/shocks/Bilan%20&#233;nergie%20-%20AMErun2%20-%20AMSrun2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ma.monserand\Documents\GitHub\ThreeME\data\shocks\Bilan%20&#233;nergie%20-%20AMErun2%20-%20AMSrun2.xlsx" TargetMode="External"/><Relationship Id="rId1" Type="http://schemas.openxmlformats.org/officeDocument/2006/relationships/externalLinkPath" Target="/Users/alma.monserand/Documents/GitHub/ThreeME/data/shocks/Bilan%20&#233;nergie%20-%20AMErun2%20-%20AMSrun2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allonnecg\Documents\Github\ThreeME\data\calibrations\Documents%20MTE\AMS-run2\001_Transports\Transports_AMS_run2-vf10.xlsx" TargetMode="External"/><Relationship Id="rId1" Type="http://schemas.openxmlformats.org/officeDocument/2006/relationships/externalLinkPath" Target="/Users/callonnecg/Documents/Github/ThreeME/data/calibrations/Documents%20MTE/AMS-run2/001_Transports/Transports_AMS_run2-vf10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ma.monserand\Desktop\Temporaire\reporting%202%20-%20energie%20SNBC3%20-%20template%20parts%20modales%20voyageurs.xlsx" TargetMode="External"/><Relationship Id="rId1" Type="http://schemas.openxmlformats.org/officeDocument/2006/relationships/externalLinkPath" Target="https://ademecloud-my.sharepoint.com/Users/alma.monserand/Desktop/Temporaire/reporting%202%20-%20energie%20SNBC3%20-%20template%20parts%20modales%20voyageurs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allonnecg\Github\ThreeME\results\reporting%201%20-%20energie%20TEND.xlsx" TargetMode="External"/><Relationship Id="rId1" Type="http://schemas.openxmlformats.org/officeDocument/2006/relationships/externalLinkPath" Target="https://ademecloud-my.sharepoint.com/Users/alma.monserand/Documents/GitHub/ThreeME/results/reporting%201%20-%20energie%20TEN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1"/>
      <sheetName val="Cibles THREEME"/>
      <sheetName val="Bilan 2030"/>
      <sheetName val="Bilan 2050"/>
      <sheetName val="Bilan 2020 BAU"/>
      <sheetName val="Bilan 2006"/>
      <sheetName val="Bilan 2010"/>
      <sheetName val="Bilan 2015"/>
      <sheetName val="Bilan 2025"/>
      <sheetName val="bilan énergie format SDS"/>
      <sheetName val="Bilan enerdata_2015"/>
      <sheetName val="Bilan enerdata_2020"/>
      <sheetName val="Bilan enerdata_2025"/>
      <sheetName val="Bilan enerdata_2030"/>
      <sheetName val="Bilan enerdata_2050"/>
      <sheetName val="Demande Format Medpro"/>
      <sheetName val="Format demande MedPro_2015"/>
      <sheetName val="Corrections Bilan enerdata"/>
      <sheetName val="Modèle tertiaire_2015"/>
      <sheetName val="Modèle tertiaire_2020"/>
      <sheetName val="Modèle tertiaire_2025"/>
      <sheetName val="Modèle tertiaire_2030"/>
      <sheetName val="Modèle tertiaire_2050"/>
      <sheetName val="Modèle résidentiel ch_2015"/>
      <sheetName val="Modèle résidentiel ch_2020"/>
      <sheetName val="Modèle résidentiel ch_2025"/>
      <sheetName val="Modèle résidentiel ch_2030"/>
      <sheetName val="Modèle résidentiel ch_2050"/>
      <sheetName val="Modèle résidentiel hch_2015"/>
      <sheetName val="Modèle résidentiel hch_2020"/>
      <sheetName val="Modèle résidentiel hch_2025"/>
      <sheetName val="Modèle résidentiel hch_2030"/>
      <sheetName val="Modèle résidentiel hch_2050"/>
      <sheetName val="Mix énergie_2015"/>
      <sheetName val="Mix énergie_2020"/>
      <sheetName val="Mix énergie_2025"/>
      <sheetName val="Mix énergie_2030"/>
      <sheetName val="Mix énergie_2050"/>
    </sheetNames>
    <sheetDataSet>
      <sheetData sheetId="0" refreshError="1"/>
      <sheetData sheetId="1" refreshError="1">
        <row r="4">
          <cell r="H4">
            <v>10.400607231191495</v>
          </cell>
          <cell r="AJ4">
            <v>9.6821026074859624</v>
          </cell>
        </row>
        <row r="5">
          <cell r="H5">
            <v>3.4968412155770827</v>
          </cell>
          <cell r="AJ5">
            <v>3.4968412155770827</v>
          </cell>
        </row>
        <row r="8">
          <cell r="AJ8">
            <v>0.62105913154569725</v>
          </cell>
        </row>
        <row r="9">
          <cell r="AJ9">
            <v>0.01</v>
          </cell>
        </row>
        <row r="10">
          <cell r="H10">
            <v>2.6577034315641361</v>
          </cell>
          <cell r="AJ10">
            <v>1.0959867027277013</v>
          </cell>
        </row>
        <row r="11">
          <cell r="H11">
            <v>0</v>
          </cell>
          <cell r="AJ11">
            <v>0.01</v>
          </cell>
        </row>
        <row r="12">
          <cell r="H12">
            <v>2.2929206076239605</v>
          </cell>
          <cell r="AJ12">
            <v>12.585580636323101</v>
          </cell>
        </row>
        <row r="13">
          <cell r="H13">
            <v>0</v>
          </cell>
          <cell r="AJ13">
            <v>7.4283543184877532</v>
          </cell>
        </row>
        <row r="14">
          <cell r="H14">
            <v>17.773000859845226</v>
          </cell>
          <cell r="AJ14">
            <v>3.8663975346227235</v>
          </cell>
        </row>
        <row r="15">
          <cell r="AJ15">
            <v>0.31052956577284868</v>
          </cell>
        </row>
        <row r="17">
          <cell r="H17">
            <v>10.490111779879621</v>
          </cell>
          <cell r="AJ17">
            <v>1.3970598106217755</v>
          </cell>
        </row>
        <row r="18">
          <cell r="H18">
            <v>5.4600171969045563</v>
          </cell>
          <cell r="AJ18">
            <v>10.432652801530878</v>
          </cell>
        </row>
        <row r="19">
          <cell r="H19">
            <v>1.1621270136304822</v>
          </cell>
          <cell r="AJ19">
            <v>12.301085039507219</v>
          </cell>
        </row>
        <row r="20">
          <cell r="AJ20">
            <v>0.69912973511411425</v>
          </cell>
        </row>
        <row r="21">
          <cell r="AJ21">
            <v>0.94296387002405035</v>
          </cell>
        </row>
        <row r="22">
          <cell r="AJ22">
            <v>6.7613203915324087</v>
          </cell>
        </row>
        <row r="28">
          <cell r="H28">
            <v>5.438782729559458</v>
          </cell>
        </row>
        <row r="29">
          <cell r="H29">
            <v>11.911185835668668</v>
          </cell>
        </row>
        <row r="30">
          <cell r="H30">
            <v>12.325609312525271</v>
          </cell>
        </row>
        <row r="31">
          <cell r="H31">
            <v>0.79152054400721716</v>
          </cell>
        </row>
        <row r="32">
          <cell r="H32">
            <v>0.25795356835769562</v>
          </cell>
        </row>
        <row r="33">
          <cell r="H33">
            <v>7.4811633429693902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ibles THREEME"/>
      <sheetName val="Cibles THREEME AMS"/>
      <sheetName val="Cibles ThreeME v2 "/>
      <sheetName val="Cibles ThreeME v2 AMS"/>
      <sheetName val="Cibles ThreeME v3"/>
      <sheetName val="Cibles ThreeME v3 AMS"/>
      <sheetName val="brouillon"/>
      <sheetName val="Bilan_enerdata_2015"/>
      <sheetName val="Bilan 2015"/>
      <sheetName val="Bilan 2020"/>
      <sheetName val="Bilan 2020 test"/>
      <sheetName val="Bilan 2023"/>
      <sheetName val="Bilan 2025"/>
      <sheetName val="Bilan 2028"/>
      <sheetName val="Bilan 2030"/>
      <sheetName val="Bilan 2033"/>
      <sheetName val="Bilan 2035"/>
      <sheetName val="Bilan 2038"/>
      <sheetName val="Bilan 2040"/>
      <sheetName val="Bilan 2045"/>
      <sheetName val="Bilan 2050"/>
      <sheetName val="Bilan 2023 AMS"/>
      <sheetName val="Bilan 2025 AMS"/>
      <sheetName val="Bilan 2028 AMS"/>
      <sheetName val="Bilan 2030 AMS"/>
      <sheetName val="Bilan 2033 AMS"/>
      <sheetName val="Bilan 2035 AMS"/>
      <sheetName val="Bilan 2038 AMS"/>
      <sheetName val="Bilan 2040 AMS"/>
      <sheetName val="Bilan 2045 AMS"/>
      <sheetName val="Bilan 2050 AMS"/>
      <sheetName val="Bilan_E_AME_Met_2020"/>
      <sheetName val="Bilan_E_KP_AME_2020"/>
      <sheetName val="Bilan_E_KP_AME_2023"/>
      <sheetName val="Bilan_E_KP_AME_2025"/>
      <sheetName val="Bilan_E_KP_AME_2028"/>
      <sheetName val="Bilan_E_KP_AME_2030"/>
      <sheetName val="Bilan_E_KP_AME_2033"/>
      <sheetName val="Bilan_E_KP_AME_2035"/>
      <sheetName val="Bilan_E_KP_AME_2038"/>
      <sheetName val="Bilan_E_KP_AME_2040"/>
      <sheetName val="Bilan_E_KP_AME_2043"/>
      <sheetName val="Bilan_E_KP_AME_2045"/>
      <sheetName val="Bilan_E_KP_AME_2050"/>
      <sheetName val="Bilan_E_KP_AME"/>
      <sheetName val="Bilans_E_AMS_KP"/>
      <sheetName val="Bilans_E_AMS_KP_2023"/>
      <sheetName val="Bilans_E_AMS_KP_2025"/>
      <sheetName val="Bilans_E_AMS_KP_2028"/>
      <sheetName val="Bilans_E_AMS_KP_2030"/>
      <sheetName val="Bilans_E_AMS_KP_2033"/>
      <sheetName val="Bilans_E_AMS_KP_2035"/>
      <sheetName val="Bilans_E_AMS_KP_2038"/>
      <sheetName val="Bilans_E_AMS_KP_2040"/>
      <sheetName val="Bilans_E_AMS_KP_2043"/>
      <sheetName val="Bilans_E_AMS_KP_2045"/>
      <sheetName val="Bilans_E_AMS_KP_2050"/>
      <sheetName val="Bilan_E_KP_AMS_2023"/>
      <sheetName val="Bilan_E_KP_AMS_2025"/>
      <sheetName val="Bilan_E_KP_AMS_2028"/>
      <sheetName val="Bilan_E_KP_AMS_2030"/>
      <sheetName val="Bilan_E_KP_AMS_2033"/>
      <sheetName val="Bilan_E_KP_AMS_2035"/>
      <sheetName val="Bilan_E_KP_AMS_2038"/>
      <sheetName val="Bilan_E_KP_AMS_2040"/>
      <sheetName val="Bilan_E_KP_AMS_2043"/>
      <sheetName val="Bilan_E_KP_AMS_2045"/>
      <sheetName val="Bilan_E_KP_AMS_2050"/>
      <sheetName val="Bilan_E_KP_AMS"/>
      <sheetName val="P1_G4-G5"/>
      <sheetName val="P1_G6"/>
      <sheetName val="bilan énergie format SDS"/>
      <sheetName val="Demande Format Medpro"/>
      <sheetName val="Format demande MedPro_2015"/>
      <sheetName val="Corrections Bilan enerdata"/>
      <sheetName val="Modèle tertiaire_2015"/>
      <sheetName val="Modèle tertiaire_2020"/>
      <sheetName val="Modèle tertiaire_2025"/>
      <sheetName val="Modèle tertiaire_2030"/>
      <sheetName val="Modèle tertiaire_2050"/>
      <sheetName val="Modèle résidentiel ch_2015"/>
      <sheetName val="Modèle résidentiel ch_2020"/>
      <sheetName val="Modèle résidentiel ch_2025"/>
      <sheetName val="Modèle résidentiel ch_2030"/>
      <sheetName val="Modèle résidentiel ch_2050"/>
      <sheetName val="Modèle résidentiel hch_2015"/>
      <sheetName val="Modèle résidentiel hch_2020"/>
      <sheetName val="Modèle résidentiel hch_2025"/>
      <sheetName val="Modèle résidentiel hch_2030"/>
      <sheetName val="Modèle résidentiel hch_2050"/>
      <sheetName val="Mix énergie_2015"/>
      <sheetName val="Bilans_E_AMS_Kyoto_2050"/>
      <sheetName val="Bilan 2050 AMS_ancien"/>
      <sheetName val="Bilans_E_AMS_Kyoto"/>
      <sheetName val="Bilan énergie - AMErun2 - AMSru"/>
      <sheetName val="Bilan 2022 ré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13">
          <cell r="T13">
            <v>0.74651762682717104</v>
          </cell>
          <cell r="U13">
            <v>10.069552160228</v>
          </cell>
          <cell r="V13">
            <v>13.6203670581426</v>
          </cell>
          <cell r="W13">
            <v>12.701365476499801</v>
          </cell>
          <cell r="X13">
            <v>0.94471195184866696</v>
          </cell>
        </row>
        <row r="22">
          <cell r="T22">
            <v>0.20215430661253031</v>
          </cell>
          <cell r="U22">
            <v>10.298005677194096</v>
          </cell>
          <cell r="V22">
            <v>11.912749680464922</v>
          </cell>
          <cell r="W22">
            <v>7.2062454679408585</v>
          </cell>
          <cell r="X22">
            <v>7.267406707154804E-2</v>
          </cell>
        </row>
        <row r="30">
          <cell r="T30">
            <v>6.4536710533781398E-3</v>
          </cell>
          <cell r="U30">
            <v>1.2504899941046146</v>
          </cell>
          <cell r="V30">
            <v>1.21184436300186</v>
          </cell>
          <cell r="W30">
            <v>0.710753475039681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2.9897922514510483E-2</v>
          </cell>
          <cell r="U37">
            <v>1.1062928918353545</v>
          </cell>
          <cell r="V37">
            <v>6.0818806018488383</v>
          </cell>
          <cell r="W37">
            <v>0.31568062817324566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5.1467736003962539E-3</v>
          </cell>
          <cell r="U39">
            <v>2.5010085858689085E-5</v>
          </cell>
          <cell r="V39">
            <v>0.10956763115778498</v>
          </cell>
          <cell r="W39">
            <v>7.4926332712814264E-2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2.5168214298503164</v>
          </cell>
          <cell r="W40">
            <v>0.43850634072353678</v>
          </cell>
          <cell r="X40">
            <v>0</v>
          </cell>
        </row>
        <row r="41">
          <cell r="T41">
            <v>0.12266677554967495</v>
          </cell>
          <cell r="U41">
            <v>5.6111288464125664E-2</v>
          </cell>
          <cell r="V41">
            <v>0</v>
          </cell>
          <cell r="W41">
            <v>0</v>
          </cell>
          <cell r="X41">
            <v>2.9416967808253762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39.807000000000002</v>
          </cell>
        </row>
        <row r="43">
          <cell r="T43">
            <v>3.371</v>
          </cell>
          <cell r="U43">
            <v>2.3566094604778201</v>
          </cell>
          <cell r="V43">
            <v>6.6752954110546101</v>
          </cell>
          <cell r="W43">
            <v>3.01546564464017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2.2137192704974398E-3</v>
          </cell>
          <cell r="U46">
            <v>1.0493092649428299</v>
          </cell>
          <cell r="V46">
            <v>3.6764196608413298E-2</v>
          </cell>
          <cell r="W46">
            <v>4.3073392295861899E-2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3.2143188055943388</v>
          </cell>
        </row>
        <row r="53">
          <cell r="E53">
            <v>1.1015862413247299</v>
          </cell>
        </row>
        <row r="54">
          <cell r="E54">
            <v>12.452999999999999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9" refreshError="1">
        <row r="13">
          <cell r="L13">
            <v>45.039193999999995</v>
          </cell>
          <cell r="T13">
            <v>8.0414155849497</v>
          </cell>
          <cell r="U13">
            <v>105.150592236873</v>
          </cell>
          <cell r="V13">
            <v>158.3858485003</v>
          </cell>
          <cell r="W13">
            <v>124.730012203676</v>
          </cell>
          <cell r="X13">
            <v>8.3371990700000005</v>
          </cell>
        </row>
        <row r="22">
          <cell r="T22">
            <v>2.7076685555555562</v>
          </cell>
          <cell r="U22">
            <v>116.5874281388889</v>
          </cell>
          <cell r="V22">
            <v>125.05981224999999</v>
          </cell>
          <cell r="W22">
            <v>66.374696373468396</v>
          </cell>
          <cell r="X22">
            <v>2.2477144999999998</v>
          </cell>
        </row>
        <row r="30">
          <cell r="T30">
            <v>0.189373333333333</v>
          </cell>
          <cell r="U30">
            <v>22.254054739303911</v>
          </cell>
          <cell r="V30">
            <v>14.411899999999999</v>
          </cell>
          <cell r="W30">
            <v>9.5887644444444504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1.69047944444444</v>
          </cell>
          <cell r="U37">
            <v>15.5648575</v>
          </cell>
          <cell r="V37">
            <v>69.4067088888889</v>
          </cell>
          <cell r="W37">
            <v>2.8232277777777801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0.29232166666666698</v>
          </cell>
          <cell r="U39">
            <v>1.51127777777778E-2</v>
          </cell>
          <cell r="V39">
            <v>1.04480216638667</v>
          </cell>
          <cell r="W39">
            <v>0.354625058755556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27.426589444444399</v>
          </cell>
          <cell r="W40">
            <v>4.4857555555555599</v>
          </cell>
          <cell r="X40">
            <v>0</v>
          </cell>
        </row>
        <row r="41">
          <cell r="T41">
            <v>1.93666726391606</v>
          </cell>
          <cell r="U41">
            <v>1.0434102222764099</v>
          </cell>
          <cell r="V41">
            <v>0</v>
          </cell>
          <cell r="W41">
            <v>0</v>
          </cell>
          <cell r="X41">
            <v>30.751352031352699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384.06791201745</v>
          </cell>
        </row>
        <row r="43">
          <cell r="T43">
            <v>37.008579624305803</v>
          </cell>
          <cell r="U43">
            <v>30.361762354379302</v>
          </cell>
          <cell r="V43">
            <v>49.863308104442503</v>
          </cell>
          <cell r="W43">
            <v>31.480497483360899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1.5371382629999999E-2</v>
          </cell>
          <cell r="U46">
            <v>8.9862670625500005</v>
          </cell>
          <cell r="V46">
            <v>0.24074954805000001</v>
          </cell>
          <cell r="W46">
            <v>0.35525487623000002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27.795210764186699</v>
          </cell>
        </row>
        <row r="53">
          <cell r="E53">
            <v>12.027936499999999</v>
          </cell>
        </row>
        <row r="54">
          <cell r="E54">
            <v>130.484119421548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>
        <row r="13">
          <cell r="L13">
            <v>60.64963620940091</v>
          </cell>
          <cell r="T13">
            <v>7.3122587409445634</v>
          </cell>
          <cell r="U13">
            <v>128.0707707310485</v>
          </cell>
          <cell r="V13">
            <v>168.01959458902522</v>
          </cell>
          <cell r="W13">
            <v>127.92853513720873</v>
          </cell>
          <cell r="X13">
            <v>16.304325769708704</v>
          </cell>
        </row>
        <row r="22">
          <cell r="T22">
            <v>2.893035141697446</v>
          </cell>
          <cell r="U22">
            <v>108.65207410895239</v>
          </cell>
          <cell r="V22">
            <v>114.1719455581988</v>
          </cell>
          <cell r="W22">
            <v>64.071431869588679</v>
          </cell>
          <cell r="X22">
            <v>4.2921454750670778</v>
          </cell>
        </row>
        <row r="30">
          <cell r="T30">
            <v>0</v>
          </cell>
          <cell r="U30">
            <v>25.280585756064298</v>
          </cell>
          <cell r="V30">
            <v>23.209710288069441</v>
          </cell>
          <cell r="W30">
            <v>13.960757550169284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1.3784255803477652</v>
          </cell>
          <cell r="U37">
            <v>18.096562918466454</v>
          </cell>
          <cell r="V37">
            <v>70.323676853398695</v>
          </cell>
          <cell r="W37">
            <v>0.46648924043058942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0.36066131262685786</v>
          </cell>
          <cell r="U39">
            <v>4.7991131198633983E-4</v>
          </cell>
          <cell r="V39">
            <v>1.4653773673998376</v>
          </cell>
          <cell r="W39">
            <v>1.9742667541400529</v>
          </cell>
          <cell r="X39">
            <v>0</v>
          </cell>
        </row>
        <row r="40">
          <cell r="T40">
            <v>0.25</v>
          </cell>
          <cell r="U40">
            <v>2.4387543945312502</v>
          </cell>
          <cell r="V40">
            <v>51.588449054022554</v>
          </cell>
          <cell r="W40">
            <v>19.376355841859095</v>
          </cell>
          <cell r="X40">
            <v>0</v>
          </cell>
        </row>
        <row r="41">
          <cell r="T41">
            <v>2.687574286548855</v>
          </cell>
          <cell r="U41">
            <v>0.8476478513209047</v>
          </cell>
          <cell r="V41">
            <v>0</v>
          </cell>
          <cell r="W41">
            <v>0</v>
          </cell>
          <cell r="X41">
            <v>42.098104263639655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405.6747609386457</v>
          </cell>
        </row>
        <row r="43">
          <cell r="T43">
            <v>34.907892644785463</v>
          </cell>
          <cell r="U43">
            <v>21.669942218787114</v>
          </cell>
          <cell r="V43">
            <v>24.373858785220854</v>
          </cell>
          <cell r="W43">
            <v>18.955073126944075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6.3079973787187962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37.871878906250004</v>
          </cell>
        </row>
        <row r="53">
          <cell r="E53">
            <v>13.481059545005067</v>
          </cell>
        </row>
        <row r="54">
          <cell r="E54">
            <v>134.79719064700697</v>
          </cell>
        </row>
        <row r="55">
          <cell r="E55">
            <v>0.85849251597945853</v>
          </cell>
        </row>
        <row r="56">
          <cell r="E56">
            <v>1.2788535468039099</v>
          </cell>
        </row>
        <row r="57">
          <cell r="E57">
            <v>0.36066305637359619</v>
          </cell>
        </row>
      </sheetData>
      <sheetData sheetId="23" refreshError="1"/>
      <sheetData sheetId="24" refreshError="1">
        <row r="13">
          <cell r="L13">
            <v>60.040984503318555</v>
          </cell>
          <cell r="T13">
            <v>6.8477994877191097</v>
          </cell>
          <cell r="U13">
            <v>150.98087036591164</v>
          </cell>
          <cell r="V13">
            <v>168.99529037460601</v>
          </cell>
          <cell r="W13">
            <v>120.41840773999139</v>
          </cell>
          <cell r="X13">
            <v>33.627467612150312</v>
          </cell>
        </row>
        <row r="22">
          <cell r="T22">
            <v>2.4312392278746091</v>
          </cell>
          <cell r="U22">
            <v>98.251995508081279</v>
          </cell>
          <cell r="V22">
            <v>75.312934912361044</v>
          </cell>
          <cell r="W22">
            <v>50.621968033343542</v>
          </cell>
          <cell r="X22">
            <v>7.5907588452297716</v>
          </cell>
        </row>
        <row r="30">
          <cell r="T30">
            <v>0</v>
          </cell>
          <cell r="U30">
            <v>26.694598475411762</v>
          </cell>
          <cell r="V30">
            <v>26.200174165432053</v>
          </cell>
          <cell r="W30">
            <v>18.232180099567369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2.2700672066089305</v>
          </cell>
          <cell r="U37">
            <v>21.324114250752451</v>
          </cell>
          <cell r="V37">
            <v>59.781394249240854</v>
          </cell>
          <cell r="W37">
            <v>0.65520868022421808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0.62518456969816016</v>
          </cell>
          <cell r="U39">
            <v>5.5791983277925228E-4</v>
          </cell>
          <cell r="V39">
            <v>1.8312707461125663</v>
          </cell>
          <cell r="W39">
            <v>2.5023556054496878</v>
          </cell>
          <cell r="X39">
            <v>0</v>
          </cell>
        </row>
        <row r="40">
          <cell r="T40">
            <v>0.5</v>
          </cell>
          <cell r="U40">
            <v>5.4360292968749997</v>
          </cell>
          <cell r="V40">
            <v>71.261229807028784</v>
          </cell>
          <cell r="W40">
            <v>30.500312120088047</v>
          </cell>
          <cell r="X40">
            <v>0</v>
          </cell>
        </row>
        <row r="41">
          <cell r="T41">
            <v>4.4101434474454244</v>
          </cell>
          <cell r="U41">
            <v>1.0929506417768975</v>
          </cell>
          <cell r="V41">
            <v>0</v>
          </cell>
          <cell r="W41">
            <v>0</v>
          </cell>
          <cell r="X41">
            <v>37.967259624706756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316.65258451410631</v>
          </cell>
        </row>
        <row r="43">
          <cell r="T43">
            <v>30.67679188462478</v>
          </cell>
          <cell r="U43">
            <v>12.950442965803651</v>
          </cell>
          <cell r="V43">
            <v>7.2864711080849975</v>
          </cell>
          <cell r="W43">
            <v>3.924731163958576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3.3758020597581235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20.032589355468751</v>
          </cell>
        </row>
        <row r="53">
          <cell r="E53">
            <v>13.544705953911897</v>
          </cell>
        </row>
        <row r="54">
          <cell r="E54">
            <v>126.95463683256074</v>
          </cell>
        </row>
        <row r="55">
          <cell r="E55">
            <v>2.0363529469545623</v>
          </cell>
        </row>
        <row r="56">
          <cell r="E56">
            <v>2.9522071662650609</v>
          </cell>
        </row>
        <row r="57">
          <cell r="E57">
            <v>1.1221461296081543</v>
          </cell>
        </row>
      </sheetData>
      <sheetData sheetId="25" refreshError="1"/>
      <sheetData sheetId="26" refreshError="1">
        <row r="13">
          <cell r="L13">
            <v>78.775924512815891</v>
          </cell>
          <cell r="T13">
            <v>6.8713820538899668</v>
          </cell>
          <cell r="U13">
            <v>163.03873271483607</v>
          </cell>
          <cell r="V13">
            <v>161.8990647634788</v>
          </cell>
          <cell r="W13">
            <v>118.84997058968706</v>
          </cell>
          <cell r="X13">
            <v>62.922987609450331</v>
          </cell>
        </row>
        <row r="22">
          <cell r="T22">
            <v>2.3133122988205677</v>
          </cell>
          <cell r="U22">
            <v>91.224472664234952</v>
          </cell>
          <cell r="V22">
            <v>50.249574150791091</v>
          </cell>
          <cell r="W22">
            <v>36.280546270763686</v>
          </cell>
          <cell r="X22">
            <v>10.301260187064024</v>
          </cell>
        </row>
        <row r="30">
          <cell r="T30">
            <v>0</v>
          </cell>
          <cell r="U30">
            <v>27.031662623925747</v>
          </cell>
          <cell r="V30">
            <v>25.454386166903632</v>
          </cell>
          <cell r="W30">
            <v>18.615976216598927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2.70050068143768</v>
          </cell>
          <cell r="U37">
            <v>21.686124483212218</v>
          </cell>
          <cell r="V37">
            <v>49.933380533226007</v>
          </cell>
          <cell r="W37">
            <v>0.59757790855029691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0.96290247555165809</v>
          </cell>
          <cell r="U39">
            <v>6.9244826847420892E-4</v>
          </cell>
          <cell r="V39">
            <v>2.3427124137087052</v>
          </cell>
          <cell r="W39">
            <v>2.8464095248186312</v>
          </cell>
          <cell r="X39">
            <v>0</v>
          </cell>
        </row>
        <row r="40">
          <cell r="T40">
            <v>0.75</v>
          </cell>
          <cell r="U40">
            <v>9.2526142578124997</v>
          </cell>
          <cell r="V40">
            <v>86.346993730736358</v>
          </cell>
          <cell r="W40">
            <v>38.891325575185007</v>
          </cell>
          <cell r="X40">
            <v>0</v>
          </cell>
        </row>
        <row r="41">
          <cell r="T41">
            <v>8.7092137788049975</v>
          </cell>
          <cell r="U41">
            <v>1.1432225445669904</v>
          </cell>
          <cell r="V41">
            <v>0</v>
          </cell>
          <cell r="W41">
            <v>0</v>
          </cell>
          <cell r="X41">
            <v>55.768281667489369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192.91287296266353</v>
          </cell>
        </row>
        <row r="43">
          <cell r="T43">
            <v>22.266407522057087</v>
          </cell>
          <cell r="U43">
            <v>9.7376785306283384</v>
          </cell>
          <cell r="V43">
            <v>3.0522332565861259</v>
          </cell>
          <cell r="W43">
            <v>2.064637318394833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3.6562282006850468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11.341361328125</v>
          </cell>
        </row>
        <row r="53">
          <cell r="E53">
            <v>11.111186214134182</v>
          </cell>
        </row>
        <row r="54">
          <cell r="E54">
            <v>104.6693916418363</v>
          </cell>
        </row>
        <row r="55">
          <cell r="E55">
            <v>4.7506049603028071</v>
          </cell>
        </row>
        <row r="56">
          <cell r="E56">
            <v>16.302515661537178</v>
          </cell>
        </row>
        <row r="57">
          <cell r="E57">
            <v>16.030988088411341</v>
          </cell>
        </row>
      </sheetData>
      <sheetData sheetId="27" refreshError="1"/>
      <sheetData sheetId="28" refreshError="1">
        <row r="13">
          <cell r="L13">
            <v>64.4982724362319</v>
          </cell>
          <cell r="T13">
            <v>6.8949646200608239</v>
          </cell>
          <cell r="U13">
            <v>177.15385275416003</v>
          </cell>
          <cell r="V13">
            <v>153.62760172238077</v>
          </cell>
          <cell r="W13">
            <v>116.64209363039593</v>
          </cell>
          <cell r="X13">
            <v>93.510067312183125</v>
          </cell>
        </row>
        <row r="22">
          <cell r="T22">
            <v>2.1953853697665267</v>
          </cell>
          <cell r="U22">
            <v>80.926569958454124</v>
          </cell>
          <cell r="V22">
            <v>35.31669341373469</v>
          </cell>
          <cell r="W22">
            <v>22.492374235292672</v>
          </cell>
          <cell r="X22">
            <v>12.628400711843788</v>
          </cell>
        </row>
        <row r="30">
          <cell r="T30">
            <v>0</v>
          </cell>
          <cell r="U30">
            <v>27.62245537234817</v>
          </cell>
          <cell r="V30">
            <v>23.742467864871486</v>
          </cell>
          <cell r="W30">
            <v>18.985143288462343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3.1309341562664299</v>
          </cell>
          <cell r="U37">
            <v>22.312304964799452</v>
          </cell>
          <cell r="V37">
            <v>42.672719714557346</v>
          </cell>
          <cell r="W37">
            <v>0.54085293774126075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1.300620381405156</v>
          </cell>
          <cell r="U39">
            <v>7.8820466826144567E-4</v>
          </cell>
          <cell r="V39">
            <v>2.7285855468891569</v>
          </cell>
          <cell r="W39">
            <v>3.1511646453296667</v>
          </cell>
          <cell r="X39">
            <v>0</v>
          </cell>
        </row>
        <row r="40">
          <cell r="T40">
            <v>1</v>
          </cell>
          <cell r="U40">
            <v>13.3040771484375</v>
          </cell>
          <cell r="V40">
            <v>97.294965653266104</v>
          </cell>
          <cell r="W40">
            <v>46.022009309639856</v>
          </cell>
          <cell r="X40">
            <v>0</v>
          </cell>
        </row>
        <row r="41">
          <cell r="T41">
            <v>14.856440343671846</v>
          </cell>
          <cell r="U41">
            <v>2.0803229791147206</v>
          </cell>
          <cell r="V41">
            <v>0</v>
          </cell>
          <cell r="W41">
            <v>0</v>
          </cell>
          <cell r="X41">
            <v>75.081695100664817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66.70797411064288</v>
          </cell>
        </row>
        <row r="43">
          <cell r="T43">
            <v>11.703228817007544</v>
          </cell>
          <cell r="U43">
            <v>5.9508631597557615</v>
          </cell>
          <cell r="V43">
            <v>0.70989784165710235</v>
          </cell>
          <cell r="W43">
            <v>0.74292942782649596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2.7829395451988024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10.5576943359375</v>
          </cell>
        </row>
        <row r="53">
          <cell r="E53">
            <v>8.9820116802829233</v>
          </cell>
        </row>
        <row r="54">
          <cell r="E54">
            <v>83.18009003150803</v>
          </cell>
        </row>
        <row r="55">
          <cell r="E55">
            <v>7.771086156633026</v>
          </cell>
        </row>
        <row r="56">
          <cell r="E56">
            <v>29.113845956766554</v>
          </cell>
        </row>
        <row r="57">
          <cell r="E57">
            <v>30.755676878666431</v>
          </cell>
        </row>
      </sheetData>
      <sheetData sheetId="29" refreshError="1"/>
      <sheetData sheetId="30" refreshError="1">
        <row r="13">
          <cell r="L13">
            <v>-76.400000000000006</v>
          </cell>
          <cell r="T13">
            <v>6.9303674525217573</v>
          </cell>
          <cell r="U13">
            <v>213.72427811943899</v>
          </cell>
          <cell r="V13">
            <v>133.64902180729109</v>
          </cell>
          <cell r="W13">
            <v>111.32761597349254</v>
          </cell>
          <cell r="X13">
            <v>117.90461095014412</v>
          </cell>
        </row>
        <row r="22">
          <cell r="T22">
            <v>1.9262770132702434</v>
          </cell>
          <cell r="U22">
            <v>61.251424631871934</v>
          </cell>
          <cell r="V22">
            <v>18.424388422101337</v>
          </cell>
          <cell r="W22">
            <v>6.3171748285877136</v>
          </cell>
          <cell r="X22">
            <v>14.813456281706959</v>
          </cell>
        </row>
        <row r="30">
          <cell r="T30">
            <v>0</v>
          </cell>
          <cell r="U30">
            <v>27.619750744869535</v>
          </cell>
          <cell r="V30">
            <v>20.977029614075306</v>
          </cell>
          <cell r="W30">
            <v>18.167862149010045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3.9918011059239289</v>
          </cell>
          <cell r="U37">
            <v>23.360019261656848</v>
          </cell>
          <cell r="V37">
            <v>30.406752837013876</v>
          </cell>
          <cell r="W37">
            <v>0.45236993281073634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2.1874070050904897</v>
          </cell>
          <cell r="U39">
            <v>8.5890570413253253E-4</v>
          </cell>
          <cell r="V39">
            <v>3.1166998128913419</v>
          </cell>
          <cell r="W39">
            <v>3.3575351400940563</v>
          </cell>
          <cell r="X39">
            <v>0</v>
          </cell>
        </row>
        <row r="40">
          <cell r="T40">
            <v>1.5</v>
          </cell>
          <cell r="U40">
            <v>22.01365625</v>
          </cell>
          <cell r="V40">
            <v>105.40020235475453</v>
          </cell>
          <cell r="W40">
            <v>52.288295873759658</v>
          </cell>
          <cell r="X40">
            <v>0</v>
          </cell>
        </row>
        <row r="41">
          <cell r="T41">
            <v>18.700816435906518</v>
          </cell>
          <cell r="U41">
            <v>1.3034813300305972</v>
          </cell>
          <cell r="V41">
            <v>0</v>
          </cell>
          <cell r="W41">
            <v>0</v>
          </cell>
          <cell r="X41">
            <v>24.115043444028551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2.548518600222561</v>
          </cell>
        </row>
        <row r="43">
          <cell r="T43">
            <v>0.14607036001340537</v>
          </cell>
          <cell r="U43">
            <v>1.525731430410463</v>
          </cell>
          <cell r="V43">
            <v>0.35613019618188829</v>
          </cell>
          <cell r="W43">
            <v>6.5854952123934399E-2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0.64129319091675452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0</v>
          </cell>
        </row>
        <row r="53">
          <cell r="E53">
            <v>3.2223770587889593</v>
          </cell>
        </row>
        <row r="54">
          <cell r="E54">
            <v>44.559074374942114</v>
          </cell>
        </row>
        <row r="55">
          <cell r="E55">
            <v>13.801033069140475</v>
          </cell>
        </row>
        <row r="56">
          <cell r="E56">
            <v>53.321417696630832</v>
          </cell>
        </row>
        <row r="57">
          <cell r="E57">
            <v>63.833639735754474</v>
          </cell>
        </row>
      </sheetData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ibles THREEME"/>
      <sheetName val="Cibles THREEME AMS"/>
      <sheetName val="Cibles ThreeME v2 "/>
      <sheetName val="Cibles ThreeME v2 AMS"/>
      <sheetName val="Cibles ThreeME v3"/>
      <sheetName val="Cibles ThreeME v3 AMS"/>
      <sheetName val="brouillon"/>
      <sheetName val="Bilan_enerdata_2015"/>
      <sheetName val="Bilan 2015"/>
      <sheetName val="Bilan 2020"/>
      <sheetName val="Bilan 2020 test"/>
      <sheetName val="Bilan 2022 réel"/>
      <sheetName val="Bilan 2023 réel"/>
      <sheetName val="Bilan 2023"/>
      <sheetName val="Bilan 2025"/>
      <sheetName val="Bilan 2028"/>
      <sheetName val="Bilan 2030"/>
      <sheetName val="Bilan 2033"/>
      <sheetName val="Bilan 2035"/>
      <sheetName val="Bilan 2038"/>
      <sheetName val="Bilan 2040"/>
      <sheetName val="Bilan 2045"/>
      <sheetName val="Bilan 2050"/>
      <sheetName val="Bilan 2023 AMS"/>
      <sheetName val="Bilan 2025 AMS"/>
      <sheetName val="Bilan 2028 AMS"/>
      <sheetName val="Bilan 2030 AMS"/>
      <sheetName val="Bilan 2033 AMS"/>
      <sheetName val="Bilan 2035 AMS"/>
      <sheetName val="Bilan 2038 AMS"/>
      <sheetName val="Bilan 2040 AMS"/>
      <sheetName val="Bilan 2045 AMS"/>
      <sheetName val="Bilan 2050 AMS"/>
      <sheetName val="Bilan_E_KP_réel_2022"/>
      <sheetName val="Bilan_E_KP_réel_2023"/>
      <sheetName val="Bilan_E_AME_Met_2020"/>
      <sheetName val="Bilan_E_KP_AME_2020"/>
      <sheetName val="Bilan_E_KP_AME_2023"/>
      <sheetName val="Bilan_E_KP_AME_2025"/>
      <sheetName val="Bilan_E_KP_AME_2028"/>
      <sheetName val="Bilan_E_KP_AME_2030"/>
      <sheetName val="Bilan_E_KP_AME_2033"/>
      <sheetName val="Bilan_E_KP_AME_2035"/>
      <sheetName val="Bilan_E_KP_AME_2038"/>
      <sheetName val="Bilan_E_KP_AME_2040"/>
      <sheetName val="Bilan_E_KP_AME_2043"/>
      <sheetName val="Bilan_E_KP_AME_2045"/>
      <sheetName val="Bilan_E_KP_AME_2050"/>
      <sheetName val="Bilan_E_KP_AME"/>
      <sheetName val="Bilans_E_AMS_KP"/>
      <sheetName val="Bilans_E_AMS_KP_2023"/>
      <sheetName val="Bilans_E_AMS_KP_2025"/>
      <sheetName val="Bilans_E_AMS_KP_2028"/>
      <sheetName val="Bilans_E_AMS_KP_2030"/>
      <sheetName val="Bilans_E_AMS_KP_2033"/>
      <sheetName val="Bilans_E_AMS_KP_2035"/>
      <sheetName val="Bilans_E_AMS_KP_2038"/>
      <sheetName val="Bilans_E_AMS_KP_2040"/>
      <sheetName val="Bilans_E_AMS_KP_2043"/>
      <sheetName val="Bilans_E_AMS_KP_2045"/>
      <sheetName val="Bilans_E_AMS_KP_2050"/>
      <sheetName val="Bilan_E_KP_AMS_2023"/>
      <sheetName val="Bilan_E_KP_AMS_2025"/>
      <sheetName val="Bilan_E_KP_AMS_2028"/>
      <sheetName val="Bilan_E_KP_AMS_2030"/>
      <sheetName val="Bilan_E_KP_AMS_2033"/>
      <sheetName val="Bilan_E_KP_AMS_2035"/>
      <sheetName val="Bilan_E_KP_AMS_2038"/>
      <sheetName val="Bilan_E_KP_AMS_2040"/>
      <sheetName val="Bilan_E_KP_AMS_2043"/>
      <sheetName val="Bilan_E_KP_AMS_2045"/>
      <sheetName val="Bilan_E_KP_AMS_2050"/>
      <sheetName val="Bilan_E_KP_AMS"/>
      <sheetName val="P1_G4-G5"/>
      <sheetName val="P1_G6"/>
      <sheetName val="bilan énergie format SDS"/>
      <sheetName val="Demande Format Medpro"/>
      <sheetName val="Format demande MedPro_2015"/>
      <sheetName val="Corrections Bilan enerdata"/>
      <sheetName val="Modèle tertiaire_2015"/>
      <sheetName val="Modèle tertiaire_2020"/>
      <sheetName val="Modèle tertiaire_2025"/>
      <sheetName val="Modèle tertiaire_2030"/>
      <sheetName val="Modèle tertiaire_2050"/>
      <sheetName val="Modèle résidentiel ch_2015"/>
      <sheetName val="Modèle résidentiel ch_2020"/>
      <sheetName val="Modèle résidentiel ch_2025"/>
      <sheetName val="Modèle résidentiel ch_2030"/>
      <sheetName val="Modèle résidentiel ch_2050"/>
      <sheetName val="Modèle résidentiel hch_2015"/>
      <sheetName val="Modèle résidentiel hch_2020"/>
      <sheetName val="Modèle résidentiel hch_2025"/>
      <sheetName val="Modèle résidentiel hch_2030"/>
      <sheetName val="Modèle résidentiel hch_2050"/>
      <sheetName val="Mix énergie_2015"/>
      <sheetName val="Bilans_E_AMS_Kyoto_2050"/>
      <sheetName val="Bilan 2050 AMS_ancien"/>
      <sheetName val="Bilans_E_AMS_Kyoto"/>
    </sheetNames>
    <sheetDataSet>
      <sheetData sheetId="0"/>
      <sheetData sheetId="1"/>
      <sheetData sheetId="2">
        <row r="22">
          <cell r="D22">
            <v>0.95568230636841967</v>
          </cell>
        </row>
      </sheetData>
      <sheetData sheetId="3"/>
      <sheetData sheetId="4"/>
      <sheetData sheetId="5"/>
      <sheetData sheetId="6"/>
      <sheetData sheetId="7"/>
      <sheetData sheetId="8">
        <row r="13">
          <cell r="T13">
            <v>0.74651762682717104</v>
          </cell>
        </row>
      </sheetData>
      <sheetData sheetId="9">
        <row r="13">
          <cell r="L13">
            <v>45.039193999999995</v>
          </cell>
        </row>
      </sheetData>
      <sheetData sheetId="10"/>
      <sheetData sheetId="11">
        <row r="13">
          <cell r="T13">
            <v>7.8260000000000005</v>
          </cell>
          <cell r="U13">
            <v>107.64707300000001</v>
          </cell>
          <cell r="V13">
            <v>155.36990600000001</v>
          </cell>
          <cell r="W13">
            <v>133.03417000000002</v>
          </cell>
          <cell r="X13">
            <v>10.823198000000001</v>
          </cell>
        </row>
        <row r="22">
          <cell r="T22">
            <v>2.7474958333333332</v>
          </cell>
          <cell r="U22">
            <v>108.57266219444446</v>
          </cell>
          <cell r="V22">
            <v>110.55954550000001</v>
          </cell>
          <cell r="W22">
            <v>67.887248027777787</v>
          </cell>
          <cell r="X22">
            <v>3.7083049999999997</v>
          </cell>
        </row>
        <row r="30">
          <cell r="T30">
            <v>0.23347250000000003</v>
          </cell>
          <cell r="U30">
            <v>26.203729444444445</v>
          </cell>
          <cell r="V30">
            <v>14.53032638888889</v>
          </cell>
          <cell r="W30">
            <v>9.7167455555555549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1.8437186111111112</v>
          </cell>
          <cell r="U37">
            <v>15.531573611111112</v>
          </cell>
          <cell r="V37">
            <v>69.611392402361105</v>
          </cell>
          <cell r="W37">
            <v>3.2420080555555599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0.29211333333333334</v>
          </cell>
          <cell r="U39">
            <v>2.4585833333333335E-2</v>
          </cell>
          <cell r="V39">
            <v>2.5257802777777778</v>
          </cell>
          <cell r="W39">
            <v>0.34678083333333298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39.547388055555558</v>
          </cell>
          <cell r="W40">
            <v>4.8885494444444442</v>
          </cell>
          <cell r="X40">
            <v>0</v>
          </cell>
        </row>
        <row r="41">
          <cell r="T41">
            <v>2.0636319502888534</v>
          </cell>
          <cell r="U41">
            <v>0.8896092618446092</v>
          </cell>
          <cell r="V41">
            <v>0</v>
          </cell>
          <cell r="W41">
            <v>0</v>
          </cell>
          <cell r="X41">
            <v>35.98692255406236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468.70719657595708</v>
          </cell>
        </row>
        <row r="43">
          <cell r="T43">
            <v>39.452873847389007</v>
          </cell>
          <cell r="U43">
            <v>27.924680978677003</v>
          </cell>
          <cell r="V43">
            <v>40.712038874909005</v>
          </cell>
          <cell r="W43">
            <v>24.208682698433005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1.9208852320000001E-2</v>
          </cell>
          <cell r="U46">
            <v>7.3736578567600004</v>
          </cell>
          <cell r="V46">
            <v>0.30791956671000004</v>
          </cell>
          <cell r="W46">
            <v>0.38187951663999997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44.997299641464451</v>
          </cell>
        </row>
        <row r="53">
          <cell r="E53">
            <v>10.145451250000001</v>
          </cell>
        </row>
        <row r="54">
          <cell r="E54">
            <v>107.81117013444999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2">
        <row r="13">
          <cell r="T13">
            <v>7.6348390000000004</v>
          </cell>
          <cell r="U13">
            <v>103.14419500000001</v>
          </cell>
          <cell r="V13">
            <v>151.42570800000004</v>
          </cell>
          <cell r="W13">
            <v>130.260345</v>
          </cell>
          <cell r="X13">
            <v>10.543191</v>
          </cell>
        </row>
        <row r="22">
          <cell r="T22">
            <v>2.7313033333333334</v>
          </cell>
          <cell r="U22">
            <v>100.79992327777778</v>
          </cell>
          <cell r="V22">
            <v>103.59429425</v>
          </cell>
          <cell r="W22">
            <v>63.657246916666658</v>
          </cell>
          <cell r="X22">
            <v>3.7083049999999997</v>
          </cell>
        </row>
        <row r="30">
          <cell r="T30">
            <v>0.26707805555555558</v>
          </cell>
          <cell r="U30">
            <v>25.961824722222225</v>
          </cell>
          <cell r="V30">
            <v>15.629575833333334</v>
          </cell>
          <cell r="W30">
            <v>9.8594538888888898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1.8475597222222224</v>
          </cell>
          <cell r="U37">
            <v>14.497804722222222</v>
          </cell>
          <cell r="V37">
            <v>70.150979653888882</v>
          </cell>
          <cell r="W37">
            <v>3.2188041666666698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0.29294666666666669</v>
          </cell>
          <cell r="U39">
            <v>2.5632777777777779E-2</v>
          </cell>
          <cell r="V39">
            <v>2.6333313888888892</v>
          </cell>
          <cell r="W39">
            <v>0.353265833333333</v>
          </cell>
          <cell r="X39">
            <v>0</v>
          </cell>
        </row>
        <row r="40">
          <cell r="T40">
            <v>0</v>
          </cell>
          <cell r="U40">
            <v>2.6356574892997744E-4</v>
          </cell>
          <cell r="V40">
            <v>44.439514166666662</v>
          </cell>
          <cell r="W40">
            <v>5.0584755555555549</v>
          </cell>
          <cell r="X40">
            <v>0</v>
          </cell>
        </row>
        <row r="41">
          <cell r="T41">
            <v>2.0636319502888525</v>
          </cell>
          <cell r="U41">
            <v>0.89176663588059402</v>
          </cell>
          <cell r="V41">
            <v>0</v>
          </cell>
          <cell r="W41">
            <v>4.4999999999999929E-2</v>
          </cell>
          <cell r="X41">
            <v>37.735735445533919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452.34819647075807</v>
          </cell>
        </row>
        <row r="43">
          <cell r="T43">
            <v>37.704445299680003</v>
          </cell>
          <cell r="U43">
            <v>26.970422859407002</v>
          </cell>
          <cell r="V43">
            <v>35.382495305294</v>
          </cell>
          <cell r="W43">
            <v>23.957943117617006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1.4204347020000001E-2</v>
          </cell>
          <cell r="U46">
            <v>6.7561224064300012</v>
          </cell>
          <cell r="V46">
            <v>0.23010017802000002</v>
          </cell>
          <cell r="W46">
            <v>0.34274047288000004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37.544340114489998</v>
          </cell>
        </row>
        <row r="53">
          <cell r="E53">
            <v>10.01566775</v>
          </cell>
        </row>
        <row r="54">
          <cell r="E54">
            <v>113.10061663207698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3">
        <row r="13">
          <cell r="L13">
            <v>24.298097404469559</v>
          </cell>
        </row>
      </sheetData>
      <sheetData sheetId="14">
        <row r="13">
          <cell r="L13">
            <v>64.055272794649682</v>
          </cell>
        </row>
      </sheetData>
      <sheetData sheetId="15">
        <row r="13">
          <cell r="L13">
            <v>71.534753758802367</v>
          </cell>
        </row>
      </sheetData>
      <sheetData sheetId="16">
        <row r="5">
          <cell r="T5">
            <v>47.147872325239078</v>
          </cell>
        </row>
      </sheetData>
      <sheetData sheetId="17">
        <row r="13">
          <cell r="L13">
            <v>60.003896317889257</v>
          </cell>
        </row>
      </sheetData>
      <sheetData sheetId="18">
        <row r="13">
          <cell r="L13">
            <v>50.941346245748719</v>
          </cell>
        </row>
      </sheetData>
      <sheetData sheetId="19">
        <row r="13">
          <cell r="L13">
            <v>38.942042128507637</v>
          </cell>
        </row>
      </sheetData>
      <sheetData sheetId="20">
        <row r="13">
          <cell r="L13">
            <v>31.055970799843635</v>
          </cell>
        </row>
      </sheetData>
      <sheetData sheetId="21">
        <row r="13">
          <cell r="L13">
            <v>16.706363002811486</v>
          </cell>
        </row>
      </sheetData>
      <sheetData sheetId="22">
        <row r="13">
          <cell r="L13">
            <v>12.7985093299136</v>
          </cell>
        </row>
      </sheetData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ilan énergie"/>
      <sheetName val="FE_et_bio"/>
      <sheetName val="VP"/>
      <sheetName val="VUL"/>
      <sheetName val="PL"/>
      <sheetName val="donnees parc"/>
      <sheetName val="B&amp;C"/>
      <sheetName val="2RM"/>
      <sheetName val="Autres_modes"/>
      <sheetName val="Aérien"/>
      <sheetName val="Trafic"/>
      <sheetName val="Feuil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23">
          <cell r="H23">
            <v>629.84570702567703</v>
          </cell>
          <cell r="J23">
            <v>746.12634327708076</v>
          </cell>
          <cell r="N23">
            <v>684.63084367246472</v>
          </cell>
        </row>
        <row r="25">
          <cell r="H25">
            <v>64.888834107401252</v>
          </cell>
          <cell r="J25">
            <v>140.59793923050162</v>
          </cell>
          <cell r="N25">
            <v>187.05149835225939</v>
          </cell>
        </row>
        <row r="26">
          <cell r="H26">
            <v>37.912440194392154</v>
          </cell>
          <cell r="J26">
            <v>75.079943524557834</v>
          </cell>
          <cell r="N26">
            <v>97.003287033728711</v>
          </cell>
        </row>
        <row r="27">
          <cell r="H27">
            <v>7.2496149479999996</v>
          </cell>
          <cell r="J27">
            <v>14.4</v>
          </cell>
          <cell r="N27">
            <v>6.5</v>
          </cell>
        </row>
        <row r="28">
          <cell r="H28">
            <v>9.5825009382689181</v>
          </cell>
          <cell r="J28">
            <v>11.58776593289357</v>
          </cell>
          <cell r="N28">
            <v>11.683292928212129</v>
          </cell>
        </row>
        <row r="29">
          <cell r="H29">
            <v>5.5</v>
          </cell>
          <cell r="J29">
            <v>19.108172758676037</v>
          </cell>
          <cell r="N29">
            <v>28.331906374785511</v>
          </cell>
        </row>
        <row r="30">
          <cell r="H30">
            <v>754.94948226573945</v>
          </cell>
          <cell r="J30">
            <v>1006.9001647237097</v>
          </cell>
          <cell r="N30">
            <v>1015.2008283614504</v>
          </cell>
        </row>
        <row r="31">
          <cell r="H31">
            <v>749.44948226573945</v>
          </cell>
          <cell r="J31">
            <v>987.79199196503373</v>
          </cell>
          <cell r="N31">
            <v>986.86892198666487</v>
          </cell>
        </row>
      </sheetData>
      <sheetData sheetId="1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 energie vecteurs"/>
      <sheetName val="T energie usages"/>
      <sheetName val="Résultats"/>
      <sheetName val="T CO2"/>
      <sheetName val="T logement"/>
      <sheetName val="G energie"/>
      <sheetName val="G mix energie"/>
      <sheetName val="G mix élec"/>
      <sheetName val="G mix carb"/>
      <sheetName val="G mix gaz"/>
      <sheetName val="G CO2"/>
      <sheetName val="T parc auto"/>
      <sheetName val="G parc auto total"/>
      <sheetName val="G parc elec"/>
      <sheetName val="G parc auto"/>
      <sheetName val="T transport"/>
      <sheetName val="G parc logt"/>
      <sheetName val="Table Graphs"/>
    </sheetNames>
    <sheetDataSet>
      <sheetData sheetId="0" refreshError="1"/>
      <sheetData sheetId="1" refreshError="1"/>
      <sheetData sheetId="2">
        <row r="1">
          <cell r="B1" t="str">
            <v>SNBC3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ésultats"/>
      <sheetName val="T energie vecteurs"/>
      <sheetName val="T energie usages"/>
      <sheetName val="G energie"/>
      <sheetName val="G mix élec"/>
      <sheetName val="G mix carb"/>
      <sheetName val="G mix gaz"/>
      <sheetName val="T CO2"/>
      <sheetName val="G CO2"/>
      <sheetName val="T parc auto"/>
      <sheetName val="G parc auto"/>
      <sheetName val="T logement"/>
      <sheetName val="G parc logt"/>
      <sheetName val="Table Graphs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>
        <row r="4">
          <cell r="A4" t="str">
            <v>TEND</v>
          </cell>
        </row>
        <row r="5">
          <cell r="I5">
            <v>34.664492700000004</v>
          </cell>
          <cell r="J5">
            <v>34.956187980000003</v>
          </cell>
          <cell r="K5">
            <v>35.116030049999999</v>
          </cell>
          <cell r="L5">
            <v>35.22984451</v>
          </cell>
          <cell r="M5">
            <v>35.293663940000002</v>
          </cell>
          <cell r="N5">
            <v>35.310390290000001</v>
          </cell>
          <cell r="O5">
            <v>35.378433780000002</v>
          </cell>
          <cell r="P5">
            <v>35.496856720000004</v>
          </cell>
          <cell r="Q5">
            <v>35.653829440000003</v>
          </cell>
          <cell r="R5">
            <v>35.834650719999999</v>
          </cell>
          <cell r="S5">
            <v>36.029956510000005</v>
          </cell>
          <cell r="T5">
            <v>36.22702245</v>
          </cell>
          <cell r="U5">
            <v>36.422585409999996</v>
          </cell>
          <cell r="V5">
            <v>36.615497920000003</v>
          </cell>
          <cell r="W5">
            <v>36.806113070000002</v>
          </cell>
          <cell r="X5">
            <v>36.99621071</v>
          </cell>
          <cell r="Y5">
            <v>37.184294620000003</v>
          </cell>
          <cell r="Z5">
            <v>37.372872549999997</v>
          </cell>
          <cell r="AA5">
            <v>37.563526299999999</v>
          </cell>
          <cell r="AB5">
            <v>37.757729379999994</v>
          </cell>
          <cell r="AC5">
            <v>37.955981359999996</v>
          </cell>
          <cell r="AD5">
            <v>38.166927919999999</v>
          </cell>
          <cell r="AE5">
            <v>38.388725370000003</v>
          </cell>
          <cell r="AF5">
            <v>38.617999920000003</v>
          </cell>
          <cell r="AG5">
            <v>38.852641049999995</v>
          </cell>
          <cell r="AH5">
            <v>39.090289320000004</v>
          </cell>
          <cell r="AI5">
            <v>39.328744280000002</v>
          </cell>
          <cell r="AJ5">
            <v>39.56777889</v>
          </cell>
          <cell r="AK5">
            <v>39.807161919999999</v>
          </cell>
          <cell r="AL5">
            <v>40.046711999999999</v>
          </cell>
          <cell r="AM5">
            <v>40.288447350000006</v>
          </cell>
        </row>
        <row r="6">
          <cell r="I6">
            <v>8.5699726798540449E-3</v>
          </cell>
          <cell r="J6">
            <v>1.3125767536852568E-2</v>
          </cell>
          <cell r="K6">
            <v>2.093814652035246E-2</v>
          </cell>
          <cell r="L6">
            <v>2.9339596650975963E-2</v>
          </cell>
          <cell r="M6">
            <v>3.8422705171822412E-2</v>
          </cell>
          <cell r="N6">
            <v>4.8298948326351107E-2</v>
          </cell>
          <cell r="O6">
            <v>5.9426982864022086E-2</v>
          </cell>
          <cell r="P6">
            <v>7.1945526561541698E-2</v>
          </cell>
          <cell r="Q6">
            <v>8.5942049539349558E-2</v>
          </cell>
          <cell r="R6">
            <v>0.10147172535354351</v>
          </cell>
          <cell r="S6">
            <v>0.11859008108472456</v>
          </cell>
          <cell r="T6">
            <v>0.13730358074183932</v>
          </cell>
          <cell r="U6">
            <v>0.15763780877629907</v>
          </cell>
          <cell r="V6">
            <v>0.17959577390884213</v>
          </cell>
          <cell r="W6">
            <v>0.20315166958215294</v>
          </cell>
          <cell r="X6">
            <v>0.22824904180571959</v>
          </cell>
          <cell r="Y6">
            <v>0.2547637951132391</v>
          </cell>
          <cell r="Z6">
            <v>0.28256330245612871</v>
          </cell>
          <cell r="AA6">
            <v>0.31147078409409074</v>
          </cell>
          <cell r="AB6">
            <v>0.34127816401018973</v>
          </cell>
          <cell r="AC6">
            <v>0.3717464103001657</v>
          </cell>
          <cell r="AD6">
            <v>0.40269710709271045</v>
          </cell>
          <cell r="AE6">
            <v>0.43384849821076515</v>
          </cell>
          <cell r="AF6">
            <v>0.464913357170052</v>
          </cell>
          <cell r="AG6">
            <v>0.49563467577965337</v>
          </cell>
          <cell r="AH6">
            <v>0.52577836510113596</v>
          </cell>
          <cell r="AI6">
            <v>0.55514202702634574</v>
          </cell>
          <cell r="AJ6">
            <v>0.58357173153926301</v>
          </cell>
          <cell r="AK6">
            <v>0.61094374421556352</v>
          </cell>
          <cell r="AL6">
            <v>0.63716406480512056</v>
          </cell>
          <cell r="AM6">
            <v>0.66218106938290833</v>
          </cell>
        </row>
      </sheetData>
      <sheetData sheetId="10" refreshError="1"/>
      <sheetData sheetId="11"/>
      <sheetData sheetId="12" refreshError="1"/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>
    <tabColor rgb="FF0070C0"/>
  </sheetPr>
  <dimension ref="A1:BF524"/>
  <sheetViews>
    <sheetView zoomScale="90" zoomScaleNormal="90" workbookViewId="0">
      <selection activeCell="T5" sqref="T5"/>
    </sheetView>
  </sheetViews>
  <sheetFormatPr baseColWidth="10" defaultRowHeight="15" x14ac:dyDescent="0.25"/>
  <cols>
    <col min="2" max="2" width="14.42578125" customWidth="1"/>
    <col min="3" max="3" width="18.5703125" bestFit="1" customWidth="1"/>
    <col min="4" max="4" width="18.5703125" customWidth="1"/>
    <col min="5" max="8" width="5.5703125" customWidth="1"/>
    <col min="9" max="23" width="7.42578125" customWidth="1"/>
    <col min="25" max="58" width="11.42578125" style="3"/>
  </cols>
  <sheetData>
    <row r="1" spans="1:29" ht="28.5" x14ac:dyDescent="0.45">
      <c r="A1" s="171" t="s">
        <v>97</v>
      </c>
      <c r="B1" s="3"/>
      <c r="C1" s="3"/>
      <c r="D1" s="3" t="s">
        <v>487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9" ht="23.25" x14ac:dyDescent="0.35">
      <c r="A2" s="46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9" ht="21" x14ac:dyDescent="0.35">
      <c r="A3" s="172" t="s">
        <v>81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9" ht="23.25" x14ac:dyDescent="0.35">
      <c r="A4" s="161" t="str">
        <f>Résultats!B1</f>
        <v>SNBC3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spans="1:29" s="3" customFormat="1" ht="23.25" x14ac:dyDescent="0.35">
      <c r="A5" s="46"/>
      <c r="D5" s="7"/>
      <c r="E5" s="235">
        <f>Résultats!E1</f>
        <v>4</v>
      </c>
      <c r="F5" s="235">
        <f>E5+9</f>
        <v>13</v>
      </c>
      <c r="G5" s="235">
        <f>F5+3</f>
        <v>16</v>
      </c>
      <c r="H5" s="235">
        <f t="shared" ref="H5:S5" si="0">G5+1</f>
        <v>17</v>
      </c>
      <c r="I5" s="235">
        <f t="shared" si="0"/>
        <v>18</v>
      </c>
      <c r="J5" s="235">
        <f t="shared" si="0"/>
        <v>19</v>
      </c>
      <c r="K5" s="235">
        <f t="shared" si="0"/>
        <v>20</v>
      </c>
      <c r="L5" s="235">
        <f t="shared" si="0"/>
        <v>21</v>
      </c>
      <c r="M5" s="235">
        <f t="shared" si="0"/>
        <v>22</v>
      </c>
      <c r="N5" s="235">
        <f t="shared" si="0"/>
        <v>23</v>
      </c>
      <c r="O5" s="235">
        <f t="shared" si="0"/>
        <v>24</v>
      </c>
      <c r="P5" s="235">
        <f t="shared" si="0"/>
        <v>25</v>
      </c>
      <c r="Q5" s="235">
        <f t="shared" si="0"/>
        <v>26</v>
      </c>
      <c r="R5" s="235">
        <f t="shared" si="0"/>
        <v>27</v>
      </c>
      <c r="S5" s="235">
        <f t="shared" si="0"/>
        <v>28</v>
      </c>
      <c r="T5" s="235">
        <f>S5+5</f>
        <v>33</v>
      </c>
      <c r="U5" s="235">
        <f>T5+5</f>
        <v>38</v>
      </c>
      <c r="V5" s="235">
        <f>U5+5</f>
        <v>43</v>
      </c>
      <c r="W5" s="235">
        <f>V5+5</f>
        <v>48</v>
      </c>
    </row>
    <row r="6" spans="1:29" x14ac:dyDescent="0.25">
      <c r="A6" s="3"/>
      <c r="B6" s="168"/>
      <c r="C6" s="2"/>
      <c r="D6" s="15"/>
      <c r="E6" s="4">
        <v>2006</v>
      </c>
      <c r="F6" s="4">
        <v>2015</v>
      </c>
      <c r="G6" s="20">
        <v>2018</v>
      </c>
      <c r="H6" s="27">
        <v>2019</v>
      </c>
      <c r="I6" s="83">
        <v>2020</v>
      </c>
      <c r="J6" s="91">
        <v>2021</v>
      </c>
      <c r="K6" s="27">
        <v>2022</v>
      </c>
      <c r="L6" s="27">
        <v>2023</v>
      </c>
      <c r="M6" s="27">
        <v>2024</v>
      </c>
      <c r="N6" s="83">
        <v>2025</v>
      </c>
      <c r="O6" s="91">
        <v>2026</v>
      </c>
      <c r="P6" s="27">
        <v>2027</v>
      </c>
      <c r="Q6" s="27">
        <v>2028</v>
      </c>
      <c r="R6" s="27">
        <v>2029</v>
      </c>
      <c r="S6" s="92">
        <v>2030</v>
      </c>
      <c r="T6" s="93">
        <v>2035</v>
      </c>
      <c r="U6" s="93">
        <v>2040</v>
      </c>
      <c r="V6" s="93">
        <v>2045</v>
      </c>
      <c r="W6" s="93">
        <v>2050</v>
      </c>
      <c r="X6" s="3"/>
      <c r="Y6" s="19"/>
      <c r="Z6" s="166" t="s">
        <v>90</v>
      </c>
      <c r="AA6" s="166"/>
      <c r="AB6" s="166"/>
      <c r="AC6" s="38"/>
    </row>
    <row r="7" spans="1:29" ht="15" customHeight="1" x14ac:dyDescent="0.25">
      <c r="A7" s="3"/>
      <c r="B7" s="318" t="s">
        <v>0</v>
      </c>
      <c r="C7" s="5" t="s">
        <v>1</v>
      </c>
      <c r="D7" s="2"/>
      <c r="E7" s="6">
        <f>SUM(E8:E9)</f>
        <v>85.512298074599997</v>
      </c>
      <c r="F7" s="6">
        <f>SUM(F8:F9)</f>
        <v>73.641031581000007</v>
      </c>
      <c r="G7" s="84">
        <f t="shared" ref="G7:R7" si="1">SUM(G8:G9)</f>
        <v>67.639506428999994</v>
      </c>
      <c r="H7" s="6">
        <f t="shared" si="1"/>
        <v>66.245143601999999</v>
      </c>
      <c r="I7" s="85">
        <f t="shared" si="1"/>
        <v>64.572468483999998</v>
      </c>
      <c r="J7" s="84">
        <f t="shared" si="1"/>
        <v>64.49440159000001</v>
      </c>
      <c r="K7" s="6">
        <f t="shared" si="1"/>
        <v>64.072921187999995</v>
      </c>
      <c r="L7" s="6">
        <f t="shared" si="1"/>
        <v>63.392938796000003</v>
      </c>
      <c r="M7" s="6">
        <f t="shared" si="1"/>
        <v>61.411141209</v>
      </c>
      <c r="N7" s="85">
        <f t="shared" si="1"/>
        <v>59.185309311999994</v>
      </c>
      <c r="O7" s="84">
        <f t="shared" si="1"/>
        <v>56.983160233</v>
      </c>
      <c r="P7" s="6">
        <f t="shared" si="1"/>
        <v>54.921398144999998</v>
      </c>
      <c r="Q7" s="6">
        <f t="shared" si="1"/>
        <v>52.938334083000001</v>
      </c>
      <c r="R7" s="6">
        <f t="shared" si="1"/>
        <v>50.868392920999995</v>
      </c>
      <c r="S7" s="85">
        <f>SUM(S8:S9)</f>
        <v>48.808493945000002</v>
      </c>
      <c r="T7" s="94">
        <f>SUM(T8:T9)</f>
        <v>38.935620479000001</v>
      </c>
      <c r="U7" s="94">
        <f>SUM(U8:U9)</f>
        <v>30.322827830000001</v>
      </c>
      <c r="V7" s="94">
        <f>SUM(V8:V9)</f>
        <v>23.657696018000003</v>
      </c>
      <c r="W7" s="94">
        <f>SUM(W8:W9)</f>
        <v>19.171507796</v>
      </c>
      <c r="X7" s="3"/>
      <c r="Y7" s="75"/>
      <c r="Z7" s="194"/>
      <c r="AA7" s="195">
        <v>2020</v>
      </c>
      <c r="AB7" s="195">
        <v>2030</v>
      </c>
      <c r="AC7" s="196">
        <v>2050</v>
      </c>
    </row>
    <row r="8" spans="1:29" x14ac:dyDescent="0.25">
      <c r="A8" s="3"/>
      <c r="B8" s="319"/>
      <c r="C8" s="3" t="s">
        <v>2</v>
      </c>
      <c r="D8" s="15" t="s">
        <v>356</v>
      </c>
      <c r="E8" s="16">
        <f>VLOOKUP($D8,Résultats!$B$2:$AX$476,E$5,FALSE)</f>
        <v>84.844832760000003</v>
      </c>
      <c r="F8" s="16">
        <f>VLOOKUP($D8,Résultats!$B$2:$AX$476,F$5,FALSE)</f>
        <v>70.478946260000001</v>
      </c>
      <c r="G8" s="22">
        <f>VLOOKUP($D8,Résultats!$B$2:$AX$476,G$5,FALSE)</f>
        <v>64.564472789999996</v>
      </c>
      <c r="H8" s="16">
        <f>VLOOKUP($D8,Résultats!$B$2:$AX$476,H$5,FALSE)</f>
        <v>63.170605870000003</v>
      </c>
      <c r="I8" s="86">
        <f>VLOOKUP($D8,Résultats!$B$2:$AX$476,I$5,FALSE)</f>
        <v>61.510142100000003</v>
      </c>
      <c r="J8" s="22">
        <f>VLOOKUP($D8,Résultats!$B$2:$AX$476,J$5,FALSE)</f>
        <v>61.286114060000003</v>
      </c>
      <c r="K8" s="16">
        <f>VLOOKUP($D8,Résultats!$B$2:$AX$476,K$5,FALSE)</f>
        <v>60.743086419999997</v>
      </c>
      <c r="L8" s="16">
        <f>VLOOKUP($D8,Résultats!$B$2:$AX$476,L$5,FALSE)</f>
        <v>59.963233510000002</v>
      </c>
      <c r="M8" s="16">
        <f>VLOOKUP($D8,Résultats!$B$2:$AX$476,M$5,FALSE)</f>
        <v>57.736344690000003</v>
      </c>
      <c r="N8" s="86">
        <f>VLOOKUP($D8,Résultats!$B$2:$AX$476,N$5,FALSE)</f>
        <v>55.283910229999996</v>
      </c>
      <c r="O8" s="22">
        <f>VLOOKUP($D8,Résultats!$B$2:$AX$476,O$5,FALSE)</f>
        <v>53.069664209999999</v>
      </c>
      <c r="P8" s="16">
        <f>VLOOKUP($D8,Résultats!$B$2:$AX$476,P$5,FALSE)</f>
        <v>50.984160269999997</v>
      </c>
      <c r="Q8" s="16">
        <f>VLOOKUP($D8,Résultats!$B$2:$AX$476,Q$5,FALSE)</f>
        <v>48.96872183</v>
      </c>
      <c r="R8" s="16">
        <f>VLOOKUP($D8,Résultats!$B$2:$AX$476,R$5,FALSE)</f>
        <v>46.873353109999996</v>
      </c>
      <c r="S8" s="86">
        <f>VLOOKUP($D8,Résultats!$B$2:$AX$476,S$5,FALSE)</f>
        <v>44.78370872</v>
      </c>
      <c r="T8" s="95">
        <f>VLOOKUP($D8,Résultats!$B$2:$AX$476,T$5,FALSE)</f>
        <v>31.576970549999999</v>
      </c>
      <c r="U8" s="95">
        <f>VLOOKUP($D8,Résultats!$B$2:$AX$476,U$5,FALSE)</f>
        <v>18.2137441</v>
      </c>
      <c r="V8" s="95">
        <f>VLOOKUP($D8,Résultats!$B$2:$AX$476,V$5,FALSE)</f>
        <v>9.7844166480000005</v>
      </c>
      <c r="W8" s="95">
        <f>VLOOKUP($D8,Résultats!$B$2:$AX$476,W$5,FALSE)</f>
        <v>6.7716458959999999</v>
      </c>
      <c r="X8" s="45">
        <f>W8-'[1]Cibles THREEME'!$H4</f>
        <v>-3.6289613351914953</v>
      </c>
      <c r="Y8" s="75"/>
      <c r="Z8" s="198" t="s">
        <v>68</v>
      </c>
      <c r="AA8" s="199">
        <f>I27</f>
        <v>235.8989677564</v>
      </c>
      <c r="AB8" s="199">
        <f>S27</f>
        <v>217.71144622080001</v>
      </c>
      <c r="AC8" s="89">
        <f>W27</f>
        <v>133.92674253898002</v>
      </c>
    </row>
    <row r="9" spans="1:29" x14ac:dyDescent="0.25">
      <c r="A9" s="3"/>
      <c r="B9" s="320"/>
      <c r="C9" s="7" t="s">
        <v>3</v>
      </c>
      <c r="D9" s="15" t="s">
        <v>357</v>
      </c>
      <c r="E9" s="16">
        <f>VLOOKUP($D9,Résultats!$B$2:$AX$476,E$5,FALSE)</f>
        <v>0.66746531460000003</v>
      </c>
      <c r="F9" s="16">
        <f>VLOOKUP($D9,Résultats!$B$2:$AX$476,F$5,FALSE)</f>
        <v>3.1620853210000002</v>
      </c>
      <c r="G9" s="22">
        <f>VLOOKUP($D9,Résultats!$B$2:$AX$476,G$5,FALSE)</f>
        <v>3.0750336389999999</v>
      </c>
      <c r="H9" s="16">
        <f>VLOOKUP($D9,Résultats!$B$2:$AX$476,H$5,FALSE)</f>
        <v>3.074537732</v>
      </c>
      <c r="I9" s="86">
        <f>VLOOKUP($D9,Résultats!$B$2:$AX$476,I$5,FALSE)</f>
        <v>3.0623263839999999</v>
      </c>
      <c r="J9" s="22">
        <f>VLOOKUP($D9,Résultats!$B$2:$AX$476,J$5,FALSE)</f>
        <v>3.2082875300000002</v>
      </c>
      <c r="K9" s="16">
        <f>VLOOKUP($D9,Résultats!$B$2:$AX$476,K$5,FALSE)</f>
        <v>3.329834768</v>
      </c>
      <c r="L9" s="16">
        <f>VLOOKUP($D9,Résultats!$B$2:$AX$476,L$5,FALSE)</f>
        <v>3.4297052859999999</v>
      </c>
      <c r="M9" s="16">
        <f>VLOOKUP($D9,Résultats!$B$2:$AX$476,M$5,FALSE)</f>
        <v>3.674796519</v>
      </c>
      <c r="N9" s="86">
        <f>VLOOKUP($D9,Résultats!$B$2:$AX$476,N$5,FALSE)</f>
        <v>3.9013990820000002</v>
      </c>
      <c r="O9" s="22">
        <f>VLOOKUP($D9,Résultats!$B$2:$AX$476,O$5,FALSE)</f>
        <v>3.913496023</v>
      </c>
      <c r="P9" s="16">
        <f>VLOOKUP($D9,Résultats!$B$2:$AX$476,P$5,FALSE)</f>
        <v>3.9372378750000001</v>
      </c>
      <c r="Q9" s="16">
        <f>VLOOKUP($D9,Résultats!$B$2:$AX$476,Q$5,FALSE)</f>
        <v>3.9696122530000002</v>
      </c>
      <c r="R9" s="16">
        <f>VLOOKUP($D9,Résultats!$B$2:$AX$476,R$5,FALSE)</f>
        <v>3.9950398109999998</v>
      </c>
      <c r="S9" s="86">
        <f>VLOOKUP($D9,Résultats!$B$2:$AX$476,S$5,FALSE)</f>
        <v>4.0247852249999996</v>
      </c>
      <c r="T9" s="95">
        <f>VLOOKUP($D9,Résultats!$B$2:$AX$476,T$5,FALSE)</f>
        <v>7.3586499290000003</v>
      </c>
      <c r="U9" s="95">
        <f>VLOOKUP($D9,Résultats!$B$2:$AX$476,U$5,FALSE)</f>
        <v>12.10908373</v>
      </c>
      <c r="V9" s="95">
        <f>VLOOKUP($D9,Résultats!$B$2:$AX$476,V$5,FALSE)</f>
        <v>13.873279370000001</v>
      </c>
      <c r="W9" s="95">
        <f>VLOOKUP($D9,Résultats!$B$2:$AX$476,W$5,FALSE)</f>
        <v>12.399861899999999</v>
      </c>
      <c r="X9" s="45">
        <f>W9-'[1]Cibles THREEME'!$H5</f>
        <v>8.9030206844229163</v>
      </c>
      <c r="Y9" s="75"/>
      <c r="Z9" s="75"/>
      <c r="AA9" s="75"/>
      <c r="AB9" s="75"/>
      <c r="AC9" s="75"/>
    </row>
    <row r="10" spans="1:29" ht="15" customHeight="1" x14ac:dyDescent="0.25">
      <c r="A10" s="3"/>
      <c r="B10" s="318" t="s">
        <v>4</v>
      </c>
      <c r="C10" s="5" t="s">
        <v>1</v>
      </c>
      <c r="D10" s="2"/>
      <c r="E10" s="8">
        <f>SUM(E11:E18)</f>
        <v>135.21135334570002</v>
      </c>
      <c r="F10" s="8">
        <f>SUM(F11:F18)</f>
        <v>147.67386397359999</v>
      </c>
      <c r="G10" s="21">
        <f t="shared" ref="G10:R10" si="2">SUM(G11:G18)</f>
        <v>136.4077636337</v>
      </c>
      <c r="H10" s="8">
        <f t="shared" si="2"/>
        <v>131.92736824790003</v>
      </c>
      <c r="I10" s="87">
        <f t="shared" si="2"/>
        <v>127.47954586799999</v>
      </c>
      <c r="J10" s="21">
        <f t="shared" si="2"/>
        <v>126.00800172130002</v>
      </c>
      <c r="K10" s="8">
        <f t="shared" si="2"/>
        <v>124.54433581429998</v>
      </c>
      <c r="L10" s="8">
        <f t="shared" si="2"/>
        <v>121.93936597580002</v>
      </c>
      <c r="M10" s="8">
        <f t="shared" si="2"/>
        <v>131.824162253</v>
      </c>
      <c r="N10" s="87">
        <f t="shared" si="2"/>
        <v>139.74056820020002</v>
      </c>
      <c r="O10" s="21">
        <f t="shared" si="2"/>
        <v>138.05344149699999</v>
      </c>
      <c r="P10" s="8">
        <f t="shared" si="2"/>
        <v>136.1325453764</v>
      </c>
      <c r="Q10" s="8">
        <f t="shared" si="2"/>
        <v>134.16950026379999</v>
      </c>
      <c r="R10" s="8">
        <f t="shared" si="2"/>
        <v>133.02890715029997</v>
      </c>
      <c r="S10" s="87">
        <f>SUM(S11:S18)</f>
        <v>132.11317527209999</v>
      </c>
      <c r="T10" s="96">
        <f>SUM(T11:T18)</f>
        <v>112.08526696457002</v>
      </c>
      <c r="U10" s="96">
        <f>SUM(U11:U18)</f>
        <v>110.86251881541001</v>
      </c>
      <c r="V10" s="96">
        <f>SUM(V11:V18)</f>
        <v>97.02199706559999</v>
      </c>
      <c r="W10" s="96">
        <f>SUM(W11:W18)</f>
        <v>84.132319038380004</v>
      </c>
      <c r="X10" s="45"/>
      <c r="Y10" s="75"/>
      <c r="Z10" s="75"/>
      <c r="AA10" s="75"/>
      <c r="AB10" s="75"/>
      <c r="AC10" s="75"/>
    </row>
    <row r="11" spans="1:29" x14ac:dyDescent="0.25">
      <c r="A11" s="3"/>
      <c r="B11" s="319"/>
      <c r="C11" s="3" t="s">
        <v>5</v>
      </c>
      <c r="D11" s="3" t="s">
        <v>358</v>
      </c>
      <c r="E11" s="16">
        <f>VLOOKUP($D11,Résultats!$B$2:$AX$476,E$5,FALSE)</f>
        <v>118.4724696</v>
      </c>
      <c r="F11" s="16">
        <f>VLOOKUP($D11,Résultats!$B$2:$AX$476,F$5,FALSE)</f>
        <v>128.18297179999999</v>
      </c>
      <c r="G11" s="22">
        <f>VLOOKUP($D11,Résultats!$B$2:$AX$476,G$5,FALSE)</f>
        <v>116.2571525</v>
      </c>
      <c r="H11" s="16">
        <f>VLOOKUP($D11,Résultats!$B$2:$AX$476,H$5,FALSE)</f>
        <v>111.63418830000001</v>
      </c>
      <c r="I11" s="86">
        <f>VLOOKUP($D11,Résultats!$B$2:$AX$476,I$5,FALSE)</f>
        <v>107.0291629</v>
      </c>
      <c r="J11" s="22">
        <f>VLOOKUP($D11,Résultats!$B$2:$AX$476,J$5,FALSE)</f>
        <v>105.2255311</v>
      </c>
      <c r="K11" s="16">
        <f>VLOOKUP($D11,Résultats!$B$2:$AX$476,K$5,FALSE)</f>
        <v>103.43075279999999</v>
      </c>
      <c r="L11" s="16">
        <f>VLOOKUP($D11,Résultats!$B$2:$AX$476,L$5,FALSE)</f>
        <v>100.6957586</v>
      </c>
      <c r="M11" s="16">
        <f>VLOOKUP($D11,Résultats!$B$2:$AX$476,M$5,FALSE)</f>
        <v>109.31943649999999</v>
      </c>
      <c r="N11" s="86">
        <f>VLOOKUP($D11,Résultats!$B$2:$AX$476,N$5,FALSE)</f>
        <v>116.1941473</v>
      </c>
      <c r="O11" s="22">
        <f>VLOOKUP($D11,Résultats!$B$2:$AX$476,O$5,FALSE)</f>
        <v>114.3106792</v>
      </c>
      <c r="P11" s="16">
        <f>VLOOKUP($D11,Résultats!$B$2:$AX$476,P$5,FALSE)</f>
        <v>112.25752180000001</v>
      </c>
      <c r="Q11" s="16">
        <f>VLOOKUP($D11,Résultats!$B$2:$AX$476,Q$5,FALSE)</f>
        <v>110.19382160000001</v>
      </c>
      <c r="R11" s="16">
        <f>VLOOKUP($D11,Résultats!$B$2:$AX$476,R$5,FALSE)</f>
        <v>108.78543639999999</v>
      </c>
      <c r="S11" s="86">
        <f>VLOOKUP($D11,Résultats!$B$2:$AX$476,S$5,FALSE)</f>
        <v>107.56529810000001</v>
      </c>
      <c r="T11" s="95">
        <f>VLOOKUP($D11,Résultats!$B$2:$AX$476,T$5,FALSE)</f>
        <v>86.940180960000006</v>
      </c>
      <c r="U11" s="95">
        <f>VLOOKUP($D11,Résultats!$B$2:$AX$476,U$5,FALSE)</f>
        <v>84.910474620000002</v>
      </c>
      <c r="V11" s="95">
        <f>VLOOKUP($D11,Résultats!$B$2:$AX$476,V$5,FALSE)</f>
        <v>66.909669710000003</v>
      </c>
      <c r="W11" s="95">
        <f>VLOOKUP($D11,Résultats!$B$2:$AX$476,W$5,FALSE)</f>
        <v>50.45532936</v>
      </c>
      <c r="X11" s="45">
        <f>W11-'[1]Cibles THREEME'!$H10</f>
        <v>47.797625928435863</v>
      </c>
      <c r="Y11" s="75"/>
      <c r="Z11" s="75"/>
      <c r="AA11" s="75"/>
      <c r="AB11" s="75"/>
      <c r="AC11" s="75"/>
    </row>
    <row r="12" spans="1:29" x14ac:dyDescent="0.25">
      <c r="A12" s="3"/>
      <c r="B12" s="319"/>
      <c r="C12" s="3" t="s">
        <v>6</v>
      </c>
      <c r="D12" s="3" t="s">
        <v>359</v>
      </c>
      <c r="E12" s="16">
        <f>VLOOKUP($D12,Résultats!$B$2:$AX$476,E$5,FALSE)</f>
        <v>1.3210359060000001</v>
      </c>
      <c r="F12" s="16">
        <f>VLOOKUP($D12,Résultats!$B$2:$AX$476,F$5,FALSE)</f>
        <v>0.77850334659999998</v>
      </c>
      <c r="G12" s="22">
        <f>VLOOKUP($D12,Résultats!$B$2:$AX$476,G$5,FALSE)</f>
        <v>0.51856873270000003</v>
      </c>
      <c r="H12" s="16">
        <f>VLOOKUP($D12,Résultats!$B$2:$AX$476,H$5,FALSE)</f>
        <v>0.42877603190000002</v>
      </c>
      <c r="I12" s="86">
        <f>VLOOKUP($D12,Résultats!$B$2:$AX$476,I$5,FALSE)</f>
        <v>0.33939343519999998</v>
      </c>
      <c r="J12" s="22">
        <f>VLOOKUP($D12,Résultats!$B$2:$AX$476,J$5,FALSE)</f>
        <v>0.44271166249999999</v>
      </c>
      <c r="K12" s="16">
        <f>VLOOKUP($D12,Résultats!$B$2:$AX$476,K$5,FALSE)</f>
        <v>0.54539850069999996</v>
      </c>
      <c r="L12" s="16">
        <f>VLOOKUP($D12,Résultats!$B$2:$AX$476,L$5,FALSE)</f>
        <v>0.64142760659999998</v>
      </c>
      <c r="M12" s="16">
        <f>VLOOKUP($D12,Résultats!$B$2:$AX$476,M$5,FALSE)</f>
        <v>0.38408962279999997</v>
      </c>
      <c r="N12" s="86">
        <f>VLOOKUP($D12,Résultats!$B$2:$AX$476,N$5,FALSE)</f>
        <v>0.18325449369999999</v>
      </c>
      <c r="O12" s="22">
        <f>VLOOKUP($D12,Résultats!$B$2:$AX$476,O$5,FALSE)</f>
        <v>0.16983375680000001</v>
      </c>
      <c r="P12" s="16">
        <f>VLOOKUP($D12,Résultats!$B$2:$AX$476,P$5,FALSE)</f>
        <v>0.13849984269999999</v>
      </c>
      <c r="Q12" s="16">
        <f>VLOOKUP($D12,Résultats!$B$2:$AX$476,Q$5,FALSE)</f>
        <v>9.0295811500000003E-2</v>
      </c>
      <c r="R12" s="16">
        <f>VLOOKUP($D12,Résultats!$B$2:$AX$476,R$5,FALSE)</f>
        <v>8.07894168E-2</v>
      </c>
      <c r="S12" s="86">
        <f>VLOOKUP($D12,Résultats!$B$2:$AX$476,S$5,FALSE)</f>
        <v>7.1450823799999896E-2</v>
      </c>
      <c r="T12" s="95">
        <f>VLOOKUP($D12,Résultats!$B$2:$AX$476,T$5,FALSE)</f>
        <v>5.9988645799999997E-2</v>
      </c>
      <c r="U12" s="95">
        <f>VLOOKUP($D12,Résultats!$B$2:$AX$476,U$5,FALSE)</f>
        <v>1.25051664E-2</v>
      </c>
      <c r="V12" s="95">
        <f>VLOOKUP($D12,Résultats!$B$2:$AX$476,V$5,FALSE)</f>
        <v>7.4592888499999998E-3</v>
      </c>
      <c r="W12" s="95">
        <f>VLOOKUP($D12,Résultats!$B$2:$AX$476,W$5,FALSE)</f>
        <v>7.1903212900000001E-3</v>
      </c>
      <c r="X12" s="45">
        <f>W12-'[1]Cibles THREEME'!$H11</f>
        <v>7.1903212900000001E-3</v>
      </c>
      <c r="Y12" s="75"/>
      <c r="Z12" s="200"/>
      <c r="AA12" s="188"/>
      <c r="AB12" s="188"/>
      <c r="AC12" s="188"/>
    </row>
    <row r="13" spans="1:29" x14ac:dyDescent="0.25">
      <c r="A13" s="3"/>
      <c r="B13" s="319"/>
      <c r="C13" s="3" t="s">
        <v>7</v>
      </c>
      <c r="D13" s="3" t="s">
        <v>360</v>
      </c>
      <c r="E13" s="16">
        <f>VLOOKUP($D13,Résultats!$B$2:$AX$476,E$5,FALSE)</f>
        <v>3.5861750790000002</v>
      </c>
      <c r="F13" s="16">
        <f>VLOOKUP($D13,Résultats!$B$2:$AX$476,F$5,FALSE)</f>
        <v>4.2326772850000003</v>
      </c>
      <c r="G13" s="22">
        <f>VLOOKUP($D13,Résultats!$B$2:$AX$476,G$5,FALSE)</f>
        <v>5.2950727449999997</v>
      </c>
      <c r="H13" s="16">
        <f>VLOOKUP($D13,Résultats!$B$2:$AX$476,H$5,FALSE)</f>
        <v>5.6275162400000003</v>
      </c>
      <c r="I13" s="86">
        <f>VLOOKUP($D13,Résultats!$B$2:$AX$476,I$5,FALSE)</f>
        <v>5.9611367199999998</v>
      </c>
      <c r="J13" s="22">
        <f>VLOOKUP($D13,Résultats!$B$2:$AX$476,J$5,FALSE)</f>
        <v>5.6769858529999997</v>
      </c>
      <c r="K13" s="16">
        <f>VLOOKUP($D13,Résultats!$B$2:$AX$476,K$5,FALSE)</f>
        <v>5.3925308210000003</v>
      </c>
      <c r="L13" s="16">
        <f>VLOOKUP($D13,Résultats!$B$2:$AX$476,L$5,FALSE)</f>
        <v>5.0600588130000004</v>
      </c>
      <c r="M13" s="16">
        <f>VLOOKUP($D13,Résultats!$B$2:$AX$476,M$5,FALSE)</f>
        <v>5.772383423</v>
      </c>
      <c r="N13" s="86">
        <f>VLOOKUP($D13,Résultats!$B$2:$AX$476,N$5,FALSE)</f>
        <v>6.3912801129999997</v>
      </c>
      <c r="O13" s="22">
        <f>VLOOKUP($D13,Résultats!$B$2:$AX$476,O$5,FALSE)</f>
        <v>6.1323726409999999</v>
      </c>
      <c r="P13" s="16">
        <f>VLOOKUP($D13,Résultats!$B$2:$AX$476,P$5,FALSE)</f>
        <v>5.869289094</v>
      </c>
      <c r="Q13" s="16">
        <f>VLOOKUP($D13,Résultats!$B$2:$AX$476,Q$5,FALSE)</f>
        <v>5.6108468230000001</v>
      </c>
      <c r="R13" s="16">
        <f>VLOOKUP($D13,Résultats!$B$2:$AX$476,R$5,FALSE)</f>
        <v>5.3948263599999997</v>
      </c>
      <c r="S13" s="86">
        <f>VLOOKUP($D13,Résultats!$B$2:$AX$476,S$5,FALSE)</f>
        <v>5.1911285759999997</v>
      </c>
      <c r="T13" s="95">
        <f>VLOOKUP($D13,Résultats!$B$2:$AX$476,T$5,FALSE)</f>
        <v>3.2800529599999999</v>
      </c>
      <c r="U13" s="95">
        <f>VLOOKUP($D13,Résultats!$B$2:$AX$476,U$5,FALSE)</f>
        <v>0.3652404682</v>
      </c>
      <c r="V13" s="95">
        <f>VLOOKUP($D13,Résultats!$B$2:$AX$476,V$5,FALSE)</f>
        <v>0.45194051689999998</v>
      </c>
      <c r="W13" s="95">
        <f>VLOOKUP($D13,Résultats!$B$2:$AX$476,W$5,FALSE)</f>
        <v>0.51242541279999998</v>
      </c>
      <c r="X13" s="45">
        <f>W13-'[1]Cibles THREEME'!$H12</f>
        <v>-1.7804951948239607</v>
      </c>
      <c r="Y13" s="75"/>
    </row>
    <row r="14" spans="1:29" x14ac:dyDescent="0.25">
      <c r="A14" s="3"/>
      <c r="B14" s="319"/>
      <c r="C14" s="3" t="s">
        <v>8</v>
      </c>
      <c r="D14" s="3" t="s">
        <v>361</v>
      </c>
      <c r="E14" s="16">
        <f>VLOOKUP($D14,Résultats!$B$2:$AX$476,E$5,FALSE)</f>
        <v>5.2639751380000002</v>
      </c>
      <c r="F14" s="16">
        <f>VLOOKUP($D14,Résultats!$B$2:$AX$476,F$5,FALSE)</f>
        <v>3.375082988</v>
      </c>
      <c r="G14" s="22">
        <f>VLOOKUP($D14,Résultats!$B$2:$AX$476,G$5,FALSE)</f>
        <v>1.9222641540000001</v>
      </c>
      <c r="H14" s="16">
        <f>VLOOKUP($D14,Résultats!$B$2:$AX$476,H$5,FALSE)</f>
        <v>1.427278407</v>
      </c>
      <c r="I14" s="86">
        <f>VLOOKUP($D14,Résultats!$B$2:$AX$476,I$5,FALSE)</f>
        <v>0.93538426279999998</v>
      </c>
      <c r="J14" s="22">
        <f>VLOOKUP($D14,Résultats!$B$2:$AX$476,J$5,FALSE)</f>
        <v>0.89093076380000003</v>
      </c>
      <c r="K14" s="16">
        <f>VLOOKUP($D14,Résultats!$B$2:$AX$476,K$5,FALSE)</f>
        <v>0.84635741360000005</v>
      </c>
      <c r="L14" s="16">
        <f>VLOOKUP($D14,Résultats!$B$2:$AX$476,L$5,FALSE)</f>
        <v>0.79417612920000002</v>
      </c>
      <c r="M14" s="16">
        <f>VLOOKUP($D14,Résultats!$B$2:$AX$476,M$5,FALSE)</f>
        <v>0.32843079320000002</v>
      </c>
      <c r="N14" s="86">
        <f>VLOOKUP($D14,Résultats!$B$2:$AX$476,N$5,FALSE)</f>
        <v>6.1408452500000002E-2</v>
      </c>
      <c r="O14" s="22">
        <f>VLOOKUP($D14,Résultats!$B$2:$AX$476,O$5,FALSE)</f>
        <v>4.71683242E-2</v>
      </c>
      <c r="P14" s="16">
        <f>VLOOKUP($D14,Résultats!$B$2:$AX$476,P$5,FALSE)</f>
        <v>3.3213885700000001E-2</v>
      </c>
      <c r="Q14" s="16">
        <f>VLOOKUP($D14,Résultats!$B$2:$AX$476,Q$5,FALSE)</f>
        <v>1.9637482299999998E-2</v>
      </c>
      <c r="R14" s="16">
        <f>VLOOKUP($D14,Résultats!$B$2:$AX$476,R$5,FALSE)</f>
        <v>1.9465080499999999E-2</v>
      </c>
      <c r="S14" s="86">
        <f>VLOOKUP($D14,Résultats!$B$2:$AX$476,S$5,FALSE)</f>
        <v>1.93249713E-2</v>
      </c>
      <c r="T14" s="95">
        <f>VLOOKUP($D14,Résultats!$B$2:$AX$476,T$5,FALSE)</f>
        <v>8.1339697700000008E-3</v>
      </c>
      <c r="U14" s="95">
        <f>VLOOKUP($D14,Résultats!$B$2:$AX$476,U$5,FALSE)</f>
        <v>7.8221878100000006E-3</v>
      </c>
      <c r="V14" s="95">
        <f>VLOOKUP($D14,Résultats!$B$2:$AX$476,V$5,FALSE)</f>
        <v>7.4592888499999998E-3</v>
      </c>
      <c r="W14" s="95">
        <f>VLOOKUP($D14,Résultats!$B$2:$AX$476,W$5,FALSE)</f>
        <v>7.1903212900000001E-3</v>
      </c>
      <c r="X14" s="45">
        <f>W14-'[1]Cibles THREEME'!$H13</f>
        <v>7.1903212900000001E-3</v>
      </c>
      <c r="Y14" s="75"/>
    </row>
    <row r="15" spans="1:29" x14ac:dyDescent="0.25">
      <c r="A15" s="3"/>
      <c r="B15" s="319"/>
      <c r="C15" s="3" t="s">
        <v>9</v>
      </c>
      <c r="D15" s="3" t="s">
        <v>362</v>
      </c>
      <c r="E15" s="16">
        <f>VLOOKUP($D15,Résultats!$B$2:$AX$476,E$5,FALSE)</f>
        <v>0.36837995810000002</v>
      </c>
      <c r="F15" s="16">
        <f>VLOOKUP($D15,Résultats!$B$2:$AX$476,F$5,FALSE)</f>
        <v>2.5844070079999999</v>
      </c>
      <c r="G15" s="22">
        <f>VLOOKUP($D15,Résultats!$B$2:$AX$476,G$5,FALSE)</f>
        <v>3.3297394169999999</v>
      </c>
      <c r="H15" s="16">
        <f>VLOOKUP($D15,Résultats!$B$2:$AX$476,H$5,FALSE)</f>
        <v>3.5680928650000001</v>
      </c>
      <c r="I15" s="86">
        <f>VLOOKUP($D15,Résultats!$B$2:$AX$476,I$5,FALSE)</f>
        <v>3.808802021</v>
      </c>
      <c r="J15" s="22">
        <f>VLOOKUP($D15,Résultats!$B$2:$AX$476,J$5,FALSE)</f>
        <v>3.9789814589999999</v>
      </c>
      <c r="K15" s="16">
        <f>VLOOKUP($D15,Résultats!$B$2:$AX$476,K$5,FALSE)</f>
        <v>4.1488265770000003</v>
      </c>
      <c r="L15" s="16">
        <f>VLOOKUP($D15,Résultats!$B$2:$AX$476,L$5,FALSE)</f>
        <v>4.2780529669999998</v>
      </c>
      <c r="M15" s="16">
        <f>VLOOKUP($D15,Résultats!$B$2:$AX$476,M$5,FALSE)</f>
        <v>4.6908801499999999</v>
      </c>
      <c r="N15" s="86">
        <f>VLOOKUP($D15,Résultats!$B$2:$AX$476,N$5,FALSE)</f>
        <v>5.022787976</v>
      </c>
      <c r="O15" s="22">
        <f>VLOOKUP($D15,Résultats!$B$2:$AX$476,O$5,FALSE)</f>
        <v>5.3113291709999997</v>
      </c>
      <c r="P15" s="16">
        <f>VLOOKUP($D15,Résultats!$B$2:$AX$476,P$5,FALSE)</f>
        <v>5.5825299480000004</v>
      </c>
      <c r="Q15" s="16">
        <f>VLOOKUP($D15,Résultats!$B$2:$AX$476,Q$5,FALSE)</f>
        <v>5.8430187299999998</v>
      </c>
      <c r="R15" s="16">
        <f>VLOOKUP($D15,Résultats!$B$2:$AX$476,R$5,FALSE)</f>
        <v>6.1184144009999999</v>
      </c>
      <c r="S15" s="86">
        <f>VLOOKUP($D15,Résultats!$B$2:$AX$476,S$5,FALSE)</f>
        <v>6.3992127749999996</v>
      </c>
      <c r="T15" s="95">
        <f>VLOOKUP($D15,Résultats!$B$2:$AX$476,T$5,FALSE)</f>
        <v>8.7467430240000006</v>
      </c>
      <c r="U15" s="95">
        <f>VLOOKUP($D15,Résultats!$B$2:$AX$476,U$5,FALSE)</f>
        <v>11.59245022</v>
      </c>
      <c r="V15" s="95">
        <f>VLOOKUP($D15,Résultats!$B$2:$AX$476,V$5,FALSE)</f>
        <v>14.550293590000001</v>
      </c>
      <c r="W15" s="95">
        <f>VLOOKUP($D15,Résultats!$B$2:$AX$476,W$5,FALSE)</f>
        <v>17.413013320000001</v>
      </c>
      <c r="X15" s="45">
        <f>W15-'[1]Cibles THREEME'!$H14</f>
        <v>-0.3599875398452248</v>
      </c>
      <c r="Y15" s="75"/>
    </row>
    <row r="16" spans="1:29" x14ac:dyDescent="0.25">
      <c r="A16" s="3"/>
      <c r="B16" s="319"/>
      <c r="C16" s="3" t="s">
        <v>10</v>
      </c>
      <c r="D16" s="3" t="s">
        <v>363</v>
      </c>
      <c r="E16" s="16">
        <f>VLOOKUP($D16,Résultats!$B$2:$AX$476,E$5,FALSE)</f>
        <v>8.28854906E-2</v>
      </c>
      <c r="F16" s="16">
        <f>VLOOKUP($D16,Résultats!$B$2:$AX$476,F$5,FALSE)</f>
        <v>1.1389614219999999</v>
      </c>
      <c r="G16" s="22">
        <f>VLOOKUP($D16,Résultats!$B$2:$AX$476,G$5,FALSE)</f>
        <v>1.4674332370000001</v>
      </c>
      <c r="H16" s="16">
        <f>VLOOKUP($D16,Résultats!$B$2:$AX$476,H$5,FALSE)</f>
        <v>1.5724768229999999</v>
      </c>
      <c r="I16" s="86">
        <f>VLOOKUP($D16,Résultats!$B$2:$AX$476,I$5,FALSE)</f>
        <v>1.678558583</v>
      </c>
      <c r="J16" s="22">
        <f>VLOOKUP($D16,Résultats!$B$2:$AX$476,J$5,FALSE)</f>
        <v>1.729456807</v>
      </c>
      <c r="K16" s="16">
        <f>VLOOKUP($D16,Résultats!$B$2:$AX$476,K$5,FALSE)</f>
        <v>1.780279669</v>
      </c>
      <c r="L16" s="16">
        <f>VLOOKUP($D16,Résultats!$B$2:$AX$476,L$5,FALSE)</f>
        <v>1.813942929</v>
      </c>
      <c r="M16" s="16">
        <f>VLOOKUP($D16,Résultats!$B$2:$AX$476,M$5,FALSE)</f>
        <v>2.1476730599999998</v>
      </c>
      <c r="N16" s="86">
        <f>VLOOKUP($D16,Résultats!$B$2:$AX$476,N$5,FALSE)</f>
        <v>2.4457978069999999</v>
      </c>
      <c r="O16" s="22">
        <f>VLOOKUP($D16,Résultats!$B$2:$AX$476,O$5,FALSE)</f>
        <v>2.8626298289999998</v>
      </c>
      <c r="P16" s="16">
        <f>VLOOKUP($D16,Résultats!$B$2:$AX$476,P$5,FALSE)</f>
        <v>3.263586433</v>
      </c>
      <c r="Q16" s="16">
        <f>VLOOKUP($D16,Résultats!$B$2:$AX$476,Q$5,FALSE)</f>
        <v>3.6517059129999998</v>
      </c>
      <c r="R16" s="16">
        <f>VLOOKUP($D16,Résultats!$B$2:$AX$476,R$5,FALSE)</f>
        <v>4.0387307970000004</v>
      </c>
      <c r="S16" s="86">
        <f>VLOOKUP($D16,Résultats!$B$2:$AX$476,S$5,FALSE)</f>
        <v>4.4263700549999996</v>
      </c>
      <c r="T16" s="95">
        <f>VLOOKUP($D16,Résultats!$B$2:$AX$476,T$5,FALSE)</f>
        <v>5.6435310059999999</v>
      </c>
      <c r="U16" s="95">
        <f>VLOOKUP($D16,Résultats!$B$2:$AX$476,U$5,FALSE)</f>
        <v>6.8172337729999999</v>
      </c>
      <c r="V16" s="95">
        <f>VLOOKUP($D16,Résultats!$B$2:$AX$476,V$5,FALSE)</f>
        <v>8.1226090109999998</v>
      </c>
      <c r="W16" s="95">
        <f>VLOOKUP($D16,Résultats!$B$2:$AX$476,W$5,FALSE)</f>
        <v>9.0549048699999997</v>
      </c>
      <c r="X16" s="45">
        <f>W16-'[1]Cibles THREEME'!$H17</f>
        <v>-1.4352069098796214</v>
      </c>
      <c r="Y16" s="75"/>
    </row>
    <row r="17" spans="1:39" x14ac:dyDescent="0.25">
      <c r="A17" s="3"/>
      <c r="B17" s="319"/>
      <c r="C17" s="3" t="s">
        <v>11</v>
      </c>
      <c r="D17" s="3" t="s">
        <v>364</v>
      </c>
      <c r="E17" s="16">
        <f>VLOOKUP($D17,Résultats!$B$2:$AX$476,E$5,FALSE)</f>
        <v>4.6467106920000001</v>
      </c>
      <c r="F17" s="16">
        <f>VLOOKUP($D17,Résultats!$B$2:$AX$476,F$5,FALSE)</f>
        <v>3.3716782219999999</v>
      </c>
      <c r="G17" s="22">
        <f>VLOOKUP($D17,Résultats!$B$2:$AX$476,G$5,FALSE)</f>
        <v>4.3614144369999996</v>
      </c>
      <c r="H17" s="16">
        <f>VLOOKUP($D17,Résultats!$B$2:$AX$476,H$5,FALSE)</f>
        <v>4.6797861310000002</v>
      </c>
      <c r="I17" s="86">
        <f>VLOOKUP($D17,Résultats!$B$2:$AX$476,I$5,FALSE)</f>
        <v>5.0020583179999996</v>
      </c>
      <c r="J17" s="22">
        <f>VLOOKUP($D17,Résultats!$B$2:$AX$476,J$5,FALSE)</f>
        <v>5.2042330400000001</v>
      </c>
      <c r="K17" s="16">
        <f>VLOOKUP($D17,Résultats!$B$2:$AX$476,K$5,FALSE)</f>
        <v>5.4062894620000002</v>
      </c>
      <c r="L17" s="16">
        <f>VLOOKUP($D17,Résultats!$B$2:$AX$476,L$5,FALSE)</f>
        <v>5.5559058979999998</v>
      </c>
      <c r="M17" s="16">
        <f>VLOOKUP($D17,Résultats!$B$2:$AX$476,M$5,FALSE)</f>
        <v>5.741360749</v>
      </c>
      <c r="N17" s="86">
        <f>VLOOKUP($D17,Résultats!$B$2:$AX$476,N$5,FALSE)</f>
        <v>5.8253041550000004</v>
      </c>
      <c r="O17" s="22">
        <f>VLOOKUP($D17,Résultats!$B$2:$AX$476,O$5,FALSE)</f>
        <v>5.7873518519999996</v>
      </c>
      <c r="P17" s="16">
        <f>VLOOKUP($D17,Résultats!$B$2:$AX$476,P$5,FALSE)</f>
        <v>5.7393379370000002</v>
      </c>
      <c r="Q17" s="16">
        <f>VLOOKUP($D17,Résultats!$B$2:$AX$476,Q$5,FALSE)</f>
        <v>5.6892039470000002</v>
      </c>
      <c r="R17" s="16">
        <f>VLOOKUP($D17,Résultats!$B$2:$AX$476,R$5,FALSE)</f>
        <v>5.6671971809999997</v>
      </c>
      <c r="S17" s="86">
        <f>VLOOKUP($D17,Résultats!$B$2:$AX$476,S$5,FALSE)</f>
        <v>5.6541717069999997</v>
      </c>
      <c r="T17" s="95">
        <f>VLOOKUP($D17,Résultats!$B$2:$AX$476,T$5,FALSE)</f>
        <v>5.0086106560000001</v>
      </c>
      <c r="U17" s="95">
        <f>VLOOKUP($D17,Résultats!$B$2:$AX$476,U$5,FALSE)</f>
        <v>4.6889975330000002</v>
      </c>
      <c r="V17" s="95">
        <f>VLOOKUP($D17,Résultats!$B$2:$AX$476,V$5,FALSE)</f>
        <v>4.6085606879999998</v>
      </c>
      <c r="W17" s="95">
        <f>VLOOKUP($D17,Résultats!$B$2:$AX$476,W$5,FALSE)</f>
        <v>4.4133125709999996</v>
      </c>
      <c r="X17" s="45">
        <f>W17-'[1]Cibles THREEME'!$H18</f>
        <v>-1.0467046259045567</v>
      </c>
      <c r="Y17" s="75"/>
    </row>
    <row r="18" spans="1:39" x14ac:dyDescent="0.25">
      <c r="A18" s="3"/>
      <c r="B18" s="320"/>
      <c r="C18" s="7" t="s">
        <v>12</v>
      </c>
      <c r="D18" s="3" t="s">
        <v>365</v>
      </c>
      <c r="E18" s="17">
        <f>VLOOKUP($D18,Résultats!$B$2:$AX$476,E$5,FALSE)</f>
        <v>1.469721482</v>
      </c>
      <c r="F18" s="17">
        <f>VLOOKUP($D18,Résultats!$B$2:$AX$476,F$5,FALSE)</f>
        <v>4.0095819019999999</v>
      </c>
      <c r="G18" s="88">
        <f>VLOOKUP($D18,Résultats!$B$2:$AX$476,G$5,FALSE)</f>
        <v>3.2561184110000001</v>
      </c>
      <c r="H18" s="17">
        <f>VLOOKUP($D18,Résultats!$B$2:$AX$476,H$5,FALSE)</f>
        <v>2.9892534500000001</v>
      </c>
      <c r="I18" s="89">
        <f>VLOOKUP($D18,Résultats!$B$2:$AX$476,I$5,FALSE)</f>
        <v>2.7250496279999998</v>
      </c>
      <c r="J18" s="88">
        <f>VLOOKUP($D18,Résultats!$B$2:$AX$476,J$5,FALSE)</f>
        <v>2.8591710360000002</v>
      </c>
      <c r="K18" s="17">
        <f>VLOOKUP($D18,Résultats!$B$2:$AX$476,K$5,FALSE)</f>
        <v>2.9939005710000002</v>
      </c>
      <c r="L18" s="17">
        <f>VLOOKUP($D18,Résultats!$B$2:$AX$476,L$5,FALSE)</f>
        <v>3.1000430329999999</v>
      </c>
      <c r="M18" s="17">
        <f>VLOOKUP($D18,Résultats!$B$2:$AX$476,M$5,FALSE)</f>
        <v>3.4399079549999998</v>
      </c>
      <c r="N18" s="89">
        <f>VLOOKUP($D18,Résultats!$B$2:$AX$476,N$5,FALSE)</f>
        <v>3.6165879030000001</v>
      </c>
      <c r="O18" s="88">
        <f>VLOOKUP($D18,Résultats!$B$2:$AX$476,O$5,FALSE)</f>
        <v>3.4320767230000002</v>
      </c>
      <c r="P18" s="17">
        <f>VLOOKUP($D18,Résultats!$B$2:$AX$476,P$5,FALSE)</f>
        <v>3.2485664359999999</v>
      </c>
      <c r="Q18" s="17">
        <f>VLOOKUP($D18,Résultats!$B$2:$AX$476,Q$5,FALSE)</f>
        <v>3.070969957</v>
      </c>
      <c r="R18" s="17">
        <f>VLOOKUP($D18,Résultats!$B$2:$AX$476,R$5,FALSE)</f>
        <v>2.9240475140000002</v>
      </c>
      <c r="S18" s="89">
        <f>VLOOKUP($D18,Résultats!$B$2:$AX$476,S$5,FALSE)</f>
        <v>2.7862182639999999</v>
      </c>
      <c r="T18" s="97">
        <f>VLOOKUP($D18,Résultats!$B$2:$AX$476,T$5,FALSE)</f>
        <v>2.3980257429999998</v>
      </c>
      <c r="U18" s="97">
        <f>VLOOKUP($D18,Résultats!$B$2:$AX$476,U$5,FALSE)</f>
        <v>2.467794847</v>
      </c>
      <c r="V18" s="97">
        <f>VLOOKUP($D18,Résultats!$B$2:$AX$476,V$5,FALSE)</f>
        <v>2.364004972</v>
      </c>
      <c r="W18" s="97">
        <f>VLOOKUP($D18,Résultats!$B$2:$AX$476,W$5,FALSE)</f>
        <v>2.2689528619999999</v>
      </c>
      <c r="X18" s="45">
        <f>W18-'[1]Cibles THREEME'!$H19</f>
        <v>1.1068258483695177</v>
      </c>
      <c r="Y18" s="75"/>
    </row>
    <row r="19" spans="1:39" ht="15" customHeight="1" x14ac:dyDescent="0.25">
      <c r="A19" s="3"/>
      <c r="B19" s="318" t="s">
        <v>53</v>
      </c>
      <c r="C19" s="5" t="s">
        <v>1</v>
      </c>
      <c r="D19" s="2"/>
      <c r="E19" s="6">
        <f>SUM(E20:E25)</f>
        <v>38.516186653000005</v>
      </c>
      <c r="F19" s="6">
        <f>SUM(F20:F25)</f>
        <v>44.235045344999996</v>
      </c>
      <c r="G19" s="84">
        <f t="shared" ref="G19:R19" si="3">SUM(G20:G25)</f>
        <v>43.859890611100006</v>
      </c>
      <c r="H19" s="6">
        <f t="shared" si="3"/>
        <v>42.5979462998</v>
      </c>
      <c r="I19" s="85">
        <f t="shared" si="3"/>
        <v>41.784964769400005</v>
      </c>
      <c r="J19" s="84">
        <f t="shared" si="3"/>
        <v>41.503908414600005</v>
      </c>
      <c r="K19" s="6">
        <f t="shared" si="3"/>
        <v>41.296692430399993</v>
      </c>
      <c r="L19" s="6">
        <f t="shared" si="3"/>
        <v>41.836590294199993</v>
      </c>
      <c r="M19" s="6">
        <f t="shared" si="3"/>
        <v>41.149260593400001</v>
      </c>
      <c r="N19" s="85">
        <f t="shared" si="3"/>
        <v>40.364526098100001</v>
      </c>
      <c r="O19" s="84">
        <f t="shared" si="3"/>
        <v>39.704660901499999</v>
      </c>
      <c r="P19" s="6">
        <f t="shared" si="3"/>
        <v>39.214875484199986</v>
      </c>
      <c r="Q19" s="6">
        <f t="shared" si="3"/>
        <v>38.696025447699988</v>
      </c>
      <c r="R19" s="6">
        <f t="shared" si="3"/>
        <v>37.595296631899998</v>
      </c>
      <c r="S19" s="85">
        <f>SUM(S20:S25)</f>
        <v>36.4888981143</v>
      </c>
      <c r="T19" s="94">
        <f>SUM(T20:T25)</f>
        <v>34.627670594999998</v>
      </c>
      <c r="U19" s="94">
        <f>SUM(U20:U25)</f>
        <v>32.674048831</v>
      </c>
      <c r="V19" s="94">
        <f>SUM(V20:V25)</f>
        <v>32.691758577999991</v>
      </c>
      <c r="W19" s="94">
        <f>SUM(W20:W25)</f>
        <v>30.521655319000001</v>
      </c>
      <c r="X19" s="3"/>
      <c r="Y19" s="75"/>
    </row>
    <row r="20" spans="1:39" x14ac:dyDescent="0.25">
      <c r="A20" s="3"/>
      <c r="B20" s="319"/>
      <c r="C20" s="3" t="s">
        <v>13</v>
      </c>
      <c r="D20" s="3" t="s">
        <v>366</v>
      </c>
      <c r="E20" s="16">
        <f>VLOOKUP($D20,Résultats!$B$2:$AX$476,E$5,FALSE)</f>
        <v>35.359286990000001</v>
      </c>
      <c r="F20" s="16">
        <f>VLOOKUP($D20,Résultats!$B$2:$AX$476,F$5,FALSE)</f>
        <v>31.124913289999999</v>
      </c>
      <c r="G20" s="22">
        <f>VLOOKUP($D20,Résultats!$B$2:$AX$476,G$5,FALSE)</f>
        <v>30.347653869999998</v>
      </c>
      <c r="H20" s="16">
        <f>VLOOKUP($D20,Résultats!$B$2:$AX$476,H$5,FALSE)</f>
        <v>29.340423680000001</v>
      </c>
      <c r="I20" s="86">
        <f>VLOOKUP($D20,Résultats!$B$2:$AX$476,I$5,FALSE)</f>
        <v>28.664414659999998</v>
      </c>
      <c r="J20" s="22">
        <f>VLOOKUP($D20,Résultats!$B$2:$AX$476,J$5,FALSE)</f>
        <v>27.336777949999998</v>
      </c>
      <c r="K20" s="16">
        <f>VLOOKUP($D20,Résultats!$B$2:$AX$476,K$5,FALSE)</f>
        <v>26.042521189999999</v>
      </c>
      <c r="L20" s="16">
        <f>VLOOKUP($D20,Résultats!$B$2:$AX$476,L$5,FALSE)</f>
        <v>24.930737140000002</v>
      </c>
      <c r="M20" s="16">
        <f>VLOOKUP($D20,Résultats!$B$2:$AX$476,M$5,FALSE)</f>
        <v>24.427668000000001</v>
      </c>
      <c r="N20" s="86">
        <f>VLOOKUP($D20,Résultats!$B$2:$AX$476,N$5,FALSE)</f>
        <v>23.551538040000001</v>
      </c>
      <c r="O20" s="22">
        <f>VLOOKUP($D20,Résultats!$B$2:$AX$476,O$5,FALSE)</f>
        <v>22.23773413</v>
      </c>
      <c r="P20" s="16">
        <f>VLOOKUP($D20,Résultats!$B$2:$AX$476,P$5,FALSE)</f>
        <v>21.05652186</v>
      </c>
      <c r="Q20" s="16">
        <f>VLOOKUP($D20,Résultats!$B$2:$AX$476,Q$5,FALSE)</f>
        <v>19.88985134</v>
      </c>
      <c r="R20" s="16">
        <f>VLOOKUP($D20,Résultats!$B$2:$AX$476,R$5,FALSE)</f>
        <v>18.498719789999999</v>
      </c>
      <c r="S20" s="86">
        <f>VLOOKUP($D20,Résultats!$B$2:$AX$476,S$5,FALSE)</f>
        <v>17.155223360000001</v>
      </c>
      <c r="T20" s="95">
        <f>VLOOKUP($D20,Résultats!$B$2:$AX$476,T$5,FALSE)</f>
        <v>9.8965812619999998</v>
      </c>
      <c r="U20" s="95">
        <f>VLOOKUP($D20,Résultats!$B$2:$AX$476,U$5,FALSE)</f>
        <v>9.286823944</v>
      </c>
      <c r="V20" s="95">
        <f>VLOOKUP($D20,Résultats!$B$2:$AX$476,V$5,FALSE)</f>
        <v>3.0749629949999999</v>
      </c>
      <c r="W20" s="95">
        <f>VLOOKUP($D20,Résultats!$B$2:$AX$476,W$5,FALSE)</f>
        <v>5.0805016250000001</v>
      </c>
      <c r="X20" s="45">
        <f>W20-'[1]Cibles THREEME'!$H28</f>
        <v>-0.35828110455945783</v>
      </c>
      <c r="Y20" s="75"/>
    </row>
    <row r="21" spans="1:39" x14ac:dyDescent="0.25">
      <c r="A21" s="3"/>
      <c r="B21" s="319"/>
      <c r="C21" s="3" t="s">
        <v>14</v>
      </c>
      <c r="D21" s="3" t="s">
        <v>367</v>
      </c>
      <c r="E21" s="16">
        <f>VLOOKUP($D21,Résultats!$B$2:$AX$476,E$5,FALSE)</f>
        <v>1.6086112930000001</v>
      </c>
      <c r="F21" s="16">
        <f>VLOOKUP($D21,Résultats!$B$2:$AX$476,F$5,FALSE)</f>
        <v>7.8734087690000001</v>
      </c>
      <c r="G21" s="22">
        <f>VLOOKUP($D21,Résultats!$B$2:$AX$476,G$5,FALSE)</f>
        <v>8.1042927030000005</v>
      </c>
      <c r="H21" s="16">
        <f>VLOOKUP($D21,Résultats!$B$2:$AX$476,H$5,FALSE)</f>
        <v>7.976060994</v>
      </c>
      <c r="I21" s="86">
        <f>VLOOKUP($D21,Résultats!$B$2:$AX$476,I$5,FALSE)</f>
        <v>7.9312811950000004</v>
      </c>
      <c r="J21" s="22">
        <f>VLOOKUP($D21,Résultats!$B$2:$AX$476,J$5,FALSE)</f>
        <v>8.0971548070000008</v>
      </c>
      <c r="K21" s="16">
        <f>VLOOKUP($D21,Résultats!$B$2:$AX$476,K$5,FALSE)</f>
        <v>8.2804340449999998</v>
      </c>
      <c r="L21" s="16">
        <f>VLOOKUP($D21,Résultats!$B$2:$AX$476,L$5,FALSE)</f>
        <v>8.8315488630000001</v>
      </c>
      <c r="M21" s="16">
        <f>VLOOKUP($D21,Résultats!$B$2:$AX$476,M$5,FALSE)</f>
        <v>8.3854940520000003</v>
      </c>
      <c r="N21" s="86">
        <f>VLOOKUP($D21,Résultats!$B$2:$AX$476,N$5,FALSE)</f>
        <v>8.1960579229999997</v>
      </c>
      <c r="O21" s="22">
        <f>VLOOKUP($D21,Résultats!$B$2:$AX$476,O$5,FALSE)</f>
        <v>8.1129241309999998</v>
      </c>
      <c r="P21" s="16">
        <f>VLOOKUP($D21,Résultats!$B$2:$AX$476,P$5,FALSE)</f>
        <v>8.0629486729999904</v>
      </c>
      <c r="Q21" s="16">
        <f>VLOOKUP($D21,Résultats!$B$2:$AX$476,Q$5,FALSE)</f>
        <v>8.0088626709999904</v>
      </c>
      <c r="R21" s="16">
        <f>VLOOKUP($D21,Résultats!$B$2:$AX$476,R$5,FALSE)</f>
        <v>7.8620954620000001</v>
      </c>
      <c r="S21" s="86">
        <f>VLOOKUP($D21,Résultats!$B$2:$AX$476,S$5,FALSE)</f>
        <v>7.718038054</v>
      </c>
      <c r="T21" s="95">
        <f>VLOOKUP($D21,Résultats!$B$2:$AX$476,T$5,FALSE)</f>
        <v>9.1652597500000006</v>
      </c>
      <c r="U21" s="95">
        <f>VLOOKUP($D21,Résultats!$B$2:$AX$476,U$5,FALSE)</f>
        <v>6.8676623929999998</v>
      </c>
      <c r="V21" s="95">
        <f>VLOOKUP($D21,Résultats!$B$2:$AX$476,V$5,FALSE)</f>
        <v>9.7884140819999903</v>
      </c>
      <c r="W21" s="95">
        <f>VLOOKUP($D21,Résultats!$B$2:$AX$476,W$5,FALSE)</f>
        <v>6.6551333990000003</v>
      </c>
      <c r="X21" s="45">
        <f>W21-'[1]Cibles THREEME'!$H29</f>
        <v>-5.2560524366686678</v>
      </c>
      <c r="Y21" s="75"/>
    </row>
    <row r="22" spans="1:39" x14ac:dyDescent="0.25">
      <c r="A22" s="3"/>
      <c r="B22" s="319"/>
      <c r="C22" s="3" t="s">
        <v>15</v>
      </c>
      <c r="D22" s="3" t="s">
        <v>368</v>
      </c>
      <c r="E22" s="16">
        <f>VLOOKUP($D22,Résultats!$B$2:$AX$476,E$5,FALSE)</f>
        <v>0.20107641170000001</v>
      </c>
      <c r="F22" s="16">
        <f>VLOOKUP($D22,Résultats!$B$2:$AX$476,F$5,FALSE)</f>
        <v>0.1330678381</v>
      </c>
      <c r="G22" s="22">
        <f>VLOOKUP($D22,Résultats!$B$2:$AX$476,G$5,FALSE)</f>
        <v>0.33130338349999999</v>
      </c>
      <c r="H22" s="16">
        <f>VLOOKUP($D22,Résultats!$B$2:$AX$476,H$5,FALSE)</f>
        <v>0.38677940389999999</v>
      </c>
      <c r="I22" s="86">
        <f>VLOOKUP($D22,Résultats!$B$2:$AX$476,I$5,FALSE)</f>
        <v>0.44356504749999998</v>
      </c>
      <c r="J22" s="22">
        <f>VLOOKUP($D22,Résultats!$B$2:$AX$476,J$5,FALSE)</f>
        <v>0.68700526340000001</v>
      </c>
      <c r="K22" s="16">
        <f>VLOOKUP($D22,Résultats!$B$2:$AX$476,K$5,FALSE)</f>
        <v>0.93522336719999999</v>
      </c>
      <c r="L22" s="16">
        <f>VLOOKUP($D22,Résultats!$B$2:$AX$476,L$5,FALSE)</f>
        <v>1.2212061089999999</v>
      </c>
      <c r="M22" s="16">
        <f>VLOOKUP($D22,Résultats!$B$2:$AX$476,M$5,FALSE)</f>
        <v>1.3032120330000001</v>
      </c>
      <c r="N22" s="86">
        <f>VLOOKUP($D22,Résultats!$B$2:$AX$476,N$5,FALSE)</f>
        <v>1.3872040729999999</v>
      </c>
      <c r="O22" s="22">
        <f>VLOOKUP($D22,Résultats!$B$2:$AX$476,O$5,FALSE)</f>
        <v>1.786515345</v>
      </c>
      <c r="P22" s="16">
        <f>VLOOKUP($D22,Résultats!$B$2:$AX$476,P$5,FALSE)</f>
        <v>2.1763291790000001</v>
      </c>
      <c r="Q22" s="16">
        <f>VLOOKUP($D22,Résultats!$B$2:$AX$476,Q$5,FALSE)</f>
        <v>2.5490970229999999</v>
      </c>
      <c r="R22" s="16">
        <f>VLOOKUP($D22,Résultats!$B$2:$AX$476,R$5,FALSE)</f>
        <v>2.805921863</v>
      </c>
      <c r="S22" s="86">
        <f>VLOOKUP($D22,Résultats!$B$2:$AX$476,S$5,FALSE)</f>
        <v>3.038098406</v>
      </c>
      <c r="T22" s="95">
        <f>VLOOKUP($D22,Résultats!$B$2:$AX$476,T$5,FALSE)</f>
        <v>5.3032604489999997</v>
      </c>
      <c r="U22" s="95">
        <f>VLOOKUP($D22,Résultats!$B$2:$AX$476,U$5,FALSE)</f>
        <v>6.7968093329999997</v>
      </c>
      <c r="V22" s="95">
        <f>VLOOKUP($D22,Résultats!$B$2:$AX$476,V$5,FALSE)</f>
        <v>8.5483298100000003</v>
      </c>
      <c r="W22" s="95">
        <f>VLOOKUP($D22,Résultats!$B$2:$AX$476,W$5,FALSE)</f>
        <v>9.2150301849999998</v>
      </c>
      <c r="X22" s="45">
        <f>W22-'[1]Cibles THREEME'!$H30</f>
        <v>-3.1105791275252717</v>
      </c>
      <c r="Y22" s="75"/>
      <c r="Z22" s="75"/>
      <c r="AA22" s="75"/>
    </row>
    <row r="23" spans="1:39" x14ac:dyDescent="0.25">
      <c r="A23" s="3"/>
      <c r="B23" s="319"/>
      <c r="C23" s="3" t="s">
        <v>16</v>
      </c>
      <c r="D23" s="3" t="s">
        <v>369</v>
      </c>
      <c r="E23" s="16">
        <f>VLOOKUP($D23,Résultats!$B$2:$AX$476,E$5,FALSE)</f>
        <v>0.74398272320000003</v>
      </c>
      <c r="F23" s="16">
        <f>VLOOKUP($D23,Résultats!$B$2:$AX$476,F$5,FALSE)</f>
        <v>0.66989003530000002</v>
      </c>
      <c r="G23" s="22">
        <f>VLOOKUP($D23,Résultats!$B$2:$AX$476,G$5,FALSE)</f>
        <v>1.4118956650000001</v>
      </c>
      <c r="H23" s="16">
        <f>VLOOKUP($D23,Résultats!$B$2:$AX$476,H$5,FALSE)</f>
        <v>1.5688217330000001</v>
      </c>
      <c r="I23" s="86">
        <f>VLOOKUP($D23,Résultats!$B$2:$AX$476,I$5,FALSE)</f>
        <v>1.711267184</v>
      </c>
      <c r="J23" s="22">
        <f>VLOOKUP($D23,Résultats!$B$2:$AX$476,J$5,FALSE)</f>
        <v>1.757983547</v>
      </c>
      <c r="K23" s="16">
        <f>VLOOKUP($D23,Résultats!$B$2:$AX$476,K$5,FALSE)</f>
        <v>1.8077539659999999</v>
      </c>
      <c r="L23" s="16">
        <f>VLOOKUP($D23,Résultats!$B$2:$AX$476,L$5,FALSE)</f>
        <v>1.898136134</v>
      </c>
      <c r="M23" s="16">
        <f>VLOOKUP($D23,Résultats!$B$2:$AX$476,M$5,FALSE)</f>
        <v>1.5956263500000001</v>
      </c>
      <c r="N23" s="86">
        <f>VLOOKUP($D23,Résultats!$B$2:$AX$476,N$5,FALSE)</f>
        <v>1.358280428</v>
      </c>
      <c r="O23" s="22">
        <f>VLOOKUP($D23,Résultats!$B$2:$AX$476,O$5,FALSE)</f>
        <v>1.375726043</v>
      </c>
      <c r="P23" s="16">
        <f>VLOOKUP($D23,Résultats!$B$2:$AX$476,P$5,FALSE)</f>
        <v>1.397345412</v>
      </c>
      <c r="Q23" s="16">
        <f>VLOOKUP($D23,Résultats!$B$2:$AX$476,Q$5,FALSE)</f>
        <v>1.416541506</v>
      </c>
      <c r="R23" s="16">
        <f>VLOOKUP($D23,Résultats!$B$2:$AX$476,R$5,FALSE)</f>
        <v>1.402102612</v>
      </c>
      <c r="S23" s="86">
        <f>VLOOKUP($D23,Résultats!$B$2:$AX$476,S$5,FALSE)</f>
        <v>1.385961073</v>
      </c>
      <c r="T23" s="95">
        <f>VLOOKUP($D23,Résultats!$B$2:$AX$476,T$5,FALSE)</f>
        <v>1.439550487</v>
      </c>
      <c r="U23" s="95">
        <f>VLOOKUP($D23,Résultats!$B$2:$AX$476,U$5,FALSE)</f>
        <v>1.1648205229999999</v>
      </c>
      <c r="V23" s="95">
        <f>VLOOKUP($D23,Résultats!$B$2:$AX$476,V$5,FALSE)</f>
        <v>1.4005598509999999</v>
      </c>
      <c r="W23" s="95">
        <f>VLOOKUP($D23,Résultats!$B$2:$AX$476,W$5,FALSE)</f>
        <v>1.0212392589999999</v>
      </c>
      <c r="X23" s="45">
        <f>W23-'[1]Cibles THREEME'!$H31</f>
        <v>0.22971871499278274</v>
      </c>
      <c r="Y23" s="75"/>
      <c r="Z23" s="75"/>
      <c r="AA23" s="75"/>
    </row>
    <row r="24" spans="1:39" x14ac:dyDescent="0.25">
      <c r="A24" s="3"/>
      <c r="B24" s="319"/>
      <c r="C24" s="3" t="s">
        <v>17</v>
      </c>
      <c r="D24" s="3" t="s">
        <v>370</v>
      </c>
      <c r="E24" s="16">
        <f>VLOOKUP($D24,Résultats!$B$2:$AX$476,E$5,FALSE)</f>
        <v>0.20107641170000001</v>
      </c>
      <c r="F24" s="16">
        <f>VLOOKUP($D24,Résultats!$B$2:$AX$476,F$5,FALSE)</f>
        <v>0.2262238026</v>
      </c>
      <c r="G24" s="22">
        <f>VLOOKUP($D24,Résultats!$B$2:$AX$476,G$5,FALSE)</f>
        <v>0.33333396259999998</v>
      </c>
      <c r="H24" s="16">
        <f>VLOOKUP($D24,Résultats!$B$2:$AX$476,H$5,FALSE)</f>
        <v>0.35945283690000002</v>
      </c>
      <c r="I24" s="86">
        <f>VLOOKUP($D24,Résultats!$B$2:$AX$476,I$5,FALSE)</f>
        <v>0.38791739289999999</v>
      </c>
      <c r="J24" s="22">
        <f>VLOOKUP($D24,Résultats!$B$2:$AX$476,J$5,FALSE)</f>
        <v>0.45905963220000001</v>
      </c>
      <c r="K24" s="16">
        <f>VLOOKUP($D24,Résultats!$B$2:$AX$476,K$5,FALSE)</f>
        <v>0.53207721720000001</v>
      </c>
      <c r="L24" s="16">
        <f>VLOOKUP($D24,Résultats!$B$2:$AX$476,L$5,FALSE)</f>
        <v>0.63877437619999999</v>
      </c>
      <c r="M24" s="16">
        <f>VLOOKUP($D24,Résultats!$B$2:$AX$476,M$5,FALSE)</f>
        <v>0.60007964439999995</v>
      </c>
      <c r="N24" s="86">
        <f>VLOOKUP($D24,Résultats!$B$2:$AX$476,N$5,FALSE)</f>
        <v>0.59250059909999997</v>
      </c>
      <c r="O24" s="22">
        <f>VLOOKUP($D24,Résultats!$B$2:$AX$476,O$5,FALSE)</f>
        <v>0.62901695349999998</v>
      </c>
      <c r="P24" s="16">
        <f>VLOOKUP($D24,Résultats!$B$2:$AX$476,P$5,FALSE)</f>
        <v>0.66639198820000001</v>
      </c>
      <c r="Q24" s="16">
        <f>VLOOKUP($D24,Résultats!$B$2:$AX$476,Q$5,FALSE)</f>
        <v>0.70194063770000004</v>
      </c>
      <c r="R24" s="16">
        <f>VLOOKUP($D24,Résultats!$B$2:$AX$476,R$5,FALSE)</f>
        <v>0.72921042790000001</v>
      </c>
      <c r="S24" s="86">
        <f>VLOOKUP($D24,Résultats!$B$2:$AX$476,S$5,FALSE)</f>
        <v>0.75385056429999997</v>
      </c>
      <c r="T24" s="95">
        <f>VLOOKUP($D24,Résultats!$B$2:$AX$476,T$5,FALSE)</f>
        <v>1.2210864450000001</v>
      </c>
      <c r="U24" s="95">
        <f>VLOOKUP($D24,Résultats!$B$2:$AX$476,U$5,FALSE)</f>
        <v>1.0002710880000001</v>
      </c>
      <c r="V24" s="95">
        <f>VLOOKUP($D24,Résultats!$B$2:$AX$476,V$5,FALSE)</f>
        <v>1.4403643349999999</v>
      </c>
      <c r="W24" s="95">
        <f>VLOOKUP($D24,Résultats!$B$2:$AX$476,W$5,FALSE)</f>
        <v>1.0681326440000001</v>
      </c>
      <c r="X24" s="45">
        <f>W24-'[1]Cibles THREEME'!$H32</f>
        <v>0.8101790756423044</v>
      </c>
      <c r="Y24" s="75"/>
      <c r="Z24" s="75"/>
      <c r="AA24" s="75"/>
    </row>
    <row r="25" spans="1:39" x14ac:dyDescent="0.25">
      <c r="A25" s="3"/>
      <c r="B25" s="320"/>
      <c r="C25" s="7" t="s">
        <v>12</v>
      </c>
      <c r="D25" s="3" t="s">
        <v>371</v>
      </c>
      <c r="E25" s="17">
        <f>VLOOKUP($D25,Résultats!$B$2:$AX$476,E$5,FALSE)</f>
        <v>0.40215282340000003</v>
      </c>
      <c r="F25" s="17">
        <f>VLOOKUP($D25,Résultats!$B$2:$AX$476,F$5,FALSE)</f>
        <v>4.2075416099999998</v>
      </c>
      <c r="G25" s="88">
        <f>VLOOKUP($D25,Résultats!$B$2:$AX$476,G$5,FALSE)</f>
        <v>3.3314110270000001</v>
      </c>
      <c r="H25" s="17">
        <f>VLOOKUP($D25,Résultats!$B$2:$AX$476,H$5,FALSE)</f>
        <v>2.966407652</v>
      </c>
      <c r="I25" s="89">
        <f>VLOOKUP($D25,Résultats!$B$2:$AX$476,I$5,FALSE)</f>
        <v>2.6465192900000001</v>
      </c>
      <c r="J25" s="88">
        <f>VLOOKUP($D25,Résultats!$B$2:$AX$476,J$5,FALSE)</f>
        <v>3.165927215</v>
      </c>
      <c r="K25" s="17">
        <f>VLOOKUP($D25,Résultats!$B$2:$AX$476,K$5,FALSE)</f>
        <v>3.6986826449999999</v>
      </c>
      <c r="L25" s="17">
        <f>VLOOKUP($D25,Résultats!$B$2:$AX$476,L$5,FALSE)</f>
        <v>4.3161876719999999</v>
      </c>
      <c r="M25" s="17">
        <f>VLOOKUP($D25,Résultats!$B$2:$AX$476,M$5,FALSE)</f>
        <v>4.8371805139999999</v>
      </c>
      <c r="N25" s="89">
        <f>VLOOKUP($D25,Résultats!$B$2:$AX$476,N$5,FALSE)</f>
        <v>5.2789450349999996</v>
      </c>
      <c r="O25" s="88">
        <f>VLOOKUP($D25,Résultats!$B$2:$AX$476,O$5,FALSE)</f>
        <v>5.5627442990000002</v>
      </c>
      <c r="P25" s="17">
        <f>VLOOKUP($D25,Résultats!$B$2:$AX$476,P$5,FALSE)</f>
        <v>5.8553383720000003</v>
      </c>
      <c r="Q25" s="17">
        <f>VLOOKUP($D25,Résultats!$B$2:$AX$476,Q$5,FALSE)</f>
        <v>6.1297322699999999</v>
      </c>
      <c r="R25" s="17">
        <f>VLOOKUP($D25,Résultats!$B$2:$AX$476,R$5,FALSE)</f>
        <v>6.2972464769999998</v>
      </c>
      <c r="S25" s="89">
        <f>VLOOKUP($D25,Résultats!$B$2:$AX$476,S$5,FALSE)</f>
        <v>6.4377266569999998</v>
      </c>
      <c r="T25" s="97">
        <f>VLOOKUP($D25,Résultats!$B$2:$AX$476,T$5,FALSE)</f>
        <v>7.6019322020000004</v>
      </c>
      <c r="U25" s="97">
        <f>VLOOKUP($D25,Résultats!$B$2:$AX$476,U$5,FALSE)</f>
        <v>7.5576615499999997</v>
      </c>
      <c r="V25" s="97">
        <f>VLOOKUP($D25,Résultats!$B$2:$AX$476,V$5,FALSE)</f>
        <v>8.4391275050000001</v>
      </c>
      <c r="W25" s="97">
        <f>VLOOKUP($D25,Résultats!$B$2:$AX$476,W$5,FALSE)</f>
        <v>7.4816182070000004</v>
      </c>
      <c r="X25" s="45">
        <f>W25-'[1]Cibles THREEME'!$H33</f>
        <v>4.5486403061012481E-4</v>
      </c>
      <c r="Y25" s="75"/>
      <c r="Z25" s="75"/>
      <c r="AA25" s="75"/>
    </row>
    <row r="26" spans="1:39" x14ac:dyDescent="0.25">
      <c r="A26" s="3"/>
      <c r="B26" s="170" t="s">
        <v>8</v>
      </c>
      <c r="C26" s="2"/>
      <c r="D26" s="14" t="s">
        <v>372</v>
      </c>
      <c r="E26" s="6">
        <f>VLOOKUP($D26,Résultats!$B$2:$AX$476,E$5,FALSE)</f>
        <v>5.7508898210000003</v>
      </c>
      <c r="F26" s="6">
        <f>VLOOKUP($D26,Résultats!$B$2:$AX$476,F$5,FALSE)</f>
        <v>4.2214297710000004</v>
      </c>
      <c r="G26" s="84">
        <f>VLOOKUP($D26,Résultats!$B$2:$AX$476,G$5,FALSE)</f>
        <v>2.4634599189999999</v>
      </c>
      <c r="H26" s="6">
        <f>VLOOKUP($D26,Résultats!$B$2:$AX$476,H$5,FALSE)</f>
        <v>2.2489715270000001</v>
      </c>
      <c r="I26" s="85">
        <f>VLOOKUP($D26,Résultats!$B$2:$AX$476,I$5,FALSE)</f>
        <v>2.0619886350000001</v>
      </c>
      <c r="J26" s="84">
        <f>VLOOKUP($D26,Résultats!$B$2:$AX$476,J$5,FALSE)</f>
        <v>2.0383166699999999</v>
      </c>
      <c r="K26" s="6">
        <f>VLOOKUP($D26,Résultats!$B$2:$AX$476,K$5,FALSE)</f>
        <v>2.0048984239999998</v>
      </c>
      <c r="L26" s="6">
        <f>VLOOKUP($D26,Résultats!$B$2:$AX$476,L$5,FALSE)</f>
        <v>1.7046678310000001</v>
      </c>
      <c r="M26" s="6">
        <f>VLOOKUP($D26,Résultats!$B$2:$AX$476,M$5,FALSE)</f>
        <v>1.317978573</v>
      </c>
      <c r="N26" s="85">
        <f>VLOOKUP($D26,Résultats!$B$2:$AX$476,N$5,FALSE)</f>
        <v>0.9619542485</v>
      </c>
      <c r="O26" s="84">
        <f>VLOOKUP($D26,Résultats!$B$2:$AX$476,O$5,FALSE)</f>
        <v>0.72000583520000005</v>
      </c>
      <c r="P26" s="6">
        <f>VLOOKUP($D26,Résultats!$B$2:$AX$476,P$5,FALSE)</f>
        <v>0.55713873039999995</v>
      </c>
      <c r="Q26" s="6">
        <f>VLOOKUP($D26,Résultats!$B$2:$AX$476,Q$5,FALSE)</f>
        <v>0.44324080300000002</v>
      </c>
      <c r="R26" s="6">
        <f>VLOOKUP($D26,Résultats!$B$2:$AX$476,R$5,FALSE)</f>
        <v>0.36088030929999998</v>
      </c>
      <c r="S26" s="85">
        <f>VLOOKUP($D26,Résultats!$B$2:$AX$476,S$5,FALSE)</f>
        <v>0.30087888940000002</v>
      </c>
      <c r="T26" s="94">
        <f>VLOOKUP($D26,Résultats!$B$2:$AX$476,T$5,FALSE)</f>
        <v>0.19125711279999999</v>
      </c>
      <c r="U26" s="94">
        <f>VLOOKUP($D26,Résultats!$B$2:$AX$476,U$5,FALSE)</f>
        <v>0.14842834420000001</v>
      </c>
      <c r="V26" s="94">
        <f>VLOOKUP($D26,Résultats!$B$2:$AX$476,V$5,FALSE)</f>
        <v>0.1198993698</v>
      </c>
      <c r="W26" s="94">
        <f>VLOOKUP($D26,Résultats!$B$2:$AX$476,W$5,FALSE)</f>
        <v>0.1012603856</v>
      </c>
      <c r="X26" s="3"/>
      <c r="Y26" s="75"/>
      <c r="Z26" s="75"/>
      <c r="AA26" s="75"/>
    </row>
    <row r="27" spans="1:39" x14ac:dyDescent="0.25">
      <c r="A27" s="3"/>
      <c r="B27" s="169" t="s">
        <v>1</v>
      </c>
      <c r="C27" s="2"/>
      <c r="D27" s="2"/>
      <c r="E27" s="9">
        <f>E26+E19+E10+E7</f>
        <v>264.99072789429999</v>
      </c>
      <c r="F27" s="9">
        <f>F26+F19+F10+F7</f>
        <v>269.77137067059999</v>
      </c>
      <c r="G27" s="23">
        <f t="shared" ref="G27:R27" si="4">G26+G19+G10+G7</f>
        <v>250.37062059280001</v>
      </c>
      <c r="H27" s="9">
        <f t="shared" si="4"/>
        <v>243.01942967670004</v>
      </c>
      <c r="I27" s="90">
        <f t="shared" si="4"/>
        <v>235.8989677564</v>
      </c>
      <c r="J27" s="23">
        <f t="shared" si="4"/>
        <v>234.04462839590002</v>
      </c>
      <c r="K27" s="9">
        <f t="shared" si="4"/>
        <v>231.91884785669998</v>
      </c>
      <c r="L27" s="9">
        <f t="shared" si="4"/>
        <v>228.87356289700003</v>
      </c>
      <c r="M27" s="9">
        <f t="shared" si="4"/>
        <v>235.70254262839998</v>
      </c>
      <c r="N27" s="90">
        <f t="shared" si="4"/>
        <v>240.2523578588</v>
      </c>
      <c r="O27" s="23">
        <f t="shared" si="4"/>
        <v>235.46126846670001</v>
      </c>
      <c r="P27" s="9">
        <f t="shared" si="4"/>
        <v>230.82595773599996</v>
      </c>
      <c r="Q27" s="9">
        <f t="shared" si="4"/>
        <v>226.24710059749998</v>
      </c>
      <c r="R27" s="9">
        <f t="shared" si="4"/>
        <v>221.85347701249998</v>
      </c>
      <c r="S27" s="90">
        <f>S26+S19+S10+S7</f>
        <v>217.71144622080001</v>
      </c>
      <c r="T27" s="98">
        <f>T26+T19+T10+T7</f>
        <v>185.83981515137</v>
      </c>
      <c r="U27" s="98">
        <f>U26+U19+U10+U7</f>
        <v>174.00782382061001</v>
      </c>
      <c r="V27" s="98">
        <f>V26+V19+V10+V7</f>
        <v>153.49135103139997</v>
      </c>
      <c r="W27" s="98">
        <f>W26+W19+W10+W7</f>
        <v>133.92674253898002</v>
      </c>
      <c r="X27" s="3"/>
      <c r="Y27" s="75"/>
      <c r="Z27" s="75"/>
      <c r="AA27" s="75"/>
    </row>
    <row r="28" spans="1:39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39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39" ht="21" x14ac:dyDescent="0.35">
      <c r="A30" s="172" t="s">
        <v>82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39" ht="23.25" x14ac:dyDescent="0.35">
      <c r="A31" s="161" t="str">
        <f>Résultats!B1</f>
        <v>SNBC3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Z31" s="166" t="s">
        <v>91</v>
      </c>
      <c r="AA31" s="166"/>
      <c r="AB31" s="166"/>
      <c r="AC31" s="38"/>
      <c r="AE31" s="166" t="s">
        <v>94</v>
      </c>
      <c r="AF31" s="166"/>
      <c r="AG31" s="166"/>
      <c r="AH31" s="38"/>
      <c r="AJ31" s="166" t="s">
        <v>95</v>
      </c>
      <c r="AK31" s="166"/>
      <c r="AL31" s="166"/>
      <c r="AM31" s="38"/>
    </row>
    <row r="32" spans="1:39" x14ac:dyDescent="0.25">
      <c r="A32" s="3"/>
      <c r="B32" s="168"/>
      <c r="C32" s="2"/>
      <c r="D32" s="15"/>
      <c r="E32" s="4">
        <v>2006</v>
      </c>
      <c r="F32" s="4">
        <v>2015</v>
      </c>
      <c r="G32" s="20">
        <v>2018</v>
      </c>
      <c r="H32" s="27">
        <v>2019</v>
      </c>
      <c r="I32" s="83">
        <v>2020</v>
      </c>
      <c r="J32" s="91">
        <v>2021</v>
      </c>
      <c r="K32" s="27">
        <v>2022</v>
      </c>
      <c r="L32" s="27">
        <v>2023</v>
      </c>
      <c r="M32" s="27">
        <v>2024</v>
      </c>
      <c r="N32" s="83">
        <v>2025</v>
      </c>
      <c r="O32" s="91">
        <v>2026</v>
      </c>
      <c r="P32" s="27">
        <v>2027</v>
      </c>
      <c r="Q32" s="27">
        <v>2028</v>
      </c>
      <c r="R32" s="27">
        <v>2029</v>
      </c>
      <c r="S32" s="92">
        <v>2030</v>
      </c>
      <c r="T32" s="93">
        <v>2035</v>
      </c>
      <c r="U32" s="93">
        <v>2040</v>
      </c>
      <c r="V32" s="93">
        <v>2045</v>
      </c>
      <c r="W32" s="93">
        <v>2050</v>
      </c>
      <c r="X32" s="3"/>
      <c r="Z32" s="194"/>
      <c r="AA32" s="195">
        <v>2020</v>
      </c>
      <c r="AB32" s="195">
        <v>2030</v>
      </c>
      <c r="AC32" s="196">
        <v>2050</v>
      </c>
      <c r="AE32" s="194"/>
      <c r="AF32" s="195">
        <v>2020</v>
      </c>
      <c r="AG32" s="195">
        <v>2030</v>
      </c>
      <c r="AH32" s="196">
        <v>2050</v>
      </c>
      <c r="AJ32" s="194"/>
      <c r="AK32" s="195">
        <v>2020</v>
      </c>
      <c r="AL32" s="195">
        <v>2030</v>
      </c>
      <c r="AM32" s="196">
        <v>2050</v>
      </c>
    </row>
    <row r="33" spans="1:39" x14ac:dyDescent="0.25">
      <c r="A33" s="3"/>
      <c r="B33" s="318" t="s">
        <v>0</v>
      </c>
      <c r="C33" s="5" t="s">
        <v>1</v>
      </c>
      <c r="D33" s="2" t="s">
        <v>373</v>
      </c>
      <c r="E33" s="6">
        <f>SUM(E34:E35)</f>
        <v>80.671195484599991</v>
      </c>
      <c r="F33" s="6">
        <f>SUM(F34:F35)</f>
        <v>71.350403461000013</v>
      </c>
      <c r="G33" s="84">
        <f t="shared" ref="G33:R33" si="5">SUM(G34:G35)</f>
        <v>65.991406038999997</v>
      </c>
      <c r="H33" s="6">
        <f t="shared" si="5"/>
        <v>64.780898841999999</v>
      </c>
      <c r="I33" s="85">
        <f t="shared" si="5"/>
        <v>63.291786894000005</v>
      </c>
      <c r="J33" s="84">
        <f t="shared" si="5"/>
        <v>62.987699429999999</v>
      </c>
      <c r="K33" s="6">
        <f t="shared" si="5"/>
        <v>62.352679337999994</v>
      </c>
      <c r="L33" s="6">
        <f t="shared" si="5"/>
        <v>61.472514246000003</v>
      </c>
      <c r="M33" s="6">
        <f t="shared" si="5"/>
        <v>59.274977358999998</v>
      </c>
      <c r="N33" s="85">
        <f t="shared" si="5"/>
        <v>56.867825371999999</v>
      </c>
      <c r="O33" s="84">
        <f t="shared" si="5"/>
        <v>54.733362382999999</v>
      </c>
      <c r="P33" s="6">
        <f t="shared" si="5"/>
        <v>52.735888865</v>
      </c>
      <c r="Q33" s="6">
        <f t="shared" si="5"/>
        <v>50.816073133000003</v>
      </c>
      <c r="R33" s="6">
        <f t="shared" si="5"/>
        <v>48.808867380999999</v>
      </c>
      <c r="S33" s="85">
        <f>SUM(S34:S35)</f>
        <v>46.813992595000002</v>
      </c>
      <c r="T33" s="94">
        <f>SUM(T34:T35)</f>
        <v>37.288088299000002</v>
      </c>
      <c r="U33" s="94">
        <f>SUM(U34:U35)</f>
        <v>28.962306900000002</v>
      </c>
      <c r="V33" s="94">
        <f>SUM(V34:V35)</f>
        <v>22.644861153000001</v>
      </c>
      <c r="W33" s="94">
        <f>SUM(W34:W35)</f>
        <v>18.637907180999999</v>
      </c>
      <c r="X33" s="3"/>
      <c r="Z33" s="197" t="s">
        <v>42</v>
      </c>
      <c r="AA33" s="201">
        <f>(I38+I40)/I36</f>
        <v>8.6413757773885994E-3</v>
      </c>
      <c r="AB33" s="201">
        <f>(S38+S40)/S36</f>
        <v>9.4212087511247528E-4</v>
      </c>
      <c r="AC33" s="202">
        <f>(W38+W40)/W36</f>
        <v>3.4818941492206936E-4</v>
      </c>
      <c r="AE33" s="197" t="s">
        <v>96</v>
      </c>
      <c r="AF33" s="201">
        <f>I34/I33</f>
        <v>0.95161573824533141</v>
      </c>
      <c r="AG33" s="201">
        <f>S34/S33</f>
        <v>0.91402602081348916</v>
      </c>
      <c r="AH33" s="202">
        <f>W34/W33</f>
        <v>0.33469665989962843</v>
      </c>
      <c r="AJ33" s="197" t="s">
        <v>66</v>
      </c>
      <c r="AK33" s="201">
        <f>I46/(I46+I48)</f>
        <v>0.98439656249746288</v>
      </c>
      <c r="AL33" s="201">
        <f>S46/(S46+S48)</f>
        <v>0.84664427276399601</v>
      </c>
      <c r="AM33" s="202">
        <f>W46/(W46+W48)</f>
        <v>0.35516193903244347</v>
      </c>
    </row>
    <row r="34" spans="1:39" x14ac:dyDescent="0.25">
      <c r="A34" s="3"/>
      <c r="B34" s="319"/>
      <c r="C34" s="3" t="s">
        <v>2</v>
      </c>
      <c r="D34" s="15" t="s">
        <v>374</v>
      </c>
      <c r="E34" s="16">
        <f>VLOOKUP($D34,Résultats!$B$2:$AX$476,E$5,FALSE)</f>
        <v>80.003730169999997</v>
      </c>
      <c r="F34" s="16">
        <f>VLOOKUP($D34,Résultats!$B$2:$AX$476,F$5,FALSE)</f>
        <v>68.188318140000007</v>
      </c>
      <c r="G34" s="22">
        <f>VLOOKUP($D34,Résultats!$B$2:$AX$476,G$5,FALSE)</f>
        <v>62.9163724</v>
      </c>
      <c r="H34" s="16">
        <f>VLOOKUP($D34,Résultats!$B$2:$AX$476,H$5,FALSE)</f>
        <v>61.706361110000003</v>
      </c>
      <c r="I34" s="86">
        <f>VLOOKUP($D34,Résultats!$B$2:$AX$476,I$5,FALSE)</f>
        <v>60.229460510000003</v>
      </c>
      <c r="J34" s="22">
        <f>VLOOKUP($D34,Résultats!$B$2:$AX$476,J$5,FALSE)</f>
        <v>59.779411899999999</v>
      </c>
      <c r="K34" s="16">
        <f>VLOOKUP($D34,Résultats!$B$2:$AX$476,K$5,FALSE)</f>
        <v>59.022844569999997</v>
      </c>
      <c r="L34" s="16">
        <f>VLOOKUP($D34,Résultats!$B$2:$AX$476,L$5,FALSE)</f>
        <v>58.042808960000002</v>
      </c>
      <c r="M34" s="16">
        <f>VLOOKUP($D34,Résultats!$B$2:$AX$476,M$5,FALSE)</f>
        <v>55.60018084</v>
      </c>
      <c r="N34" s="86">
        <f>VLOOKUP($D34,Résultats!$B$2:$AX$476,N$5,FALSE)</f>
        <v>52.966426290000001</v>
      </c>
      <c r="O34" s="22">
        <f>VLOOKUP($D34,Résultats!$B$2:$AX$476,O$5,FALSE)</f>
        <v>50.819866359999999</v>
      </c>
      <c r="P34" s="16">
        <f>VLOOKUP($D34,Résultats!$B$2:$AX$476,P$5,FALSE)</f>
        <v>48.798650989999999</v>
      </c>
      <c r="Q34" s="16">
        <f>VLOOKUP($D34,Résultats!$B$2:$AX$476,Q$5,FALSE)</f>
        <v>46.846460880000002</v>
      </c>
      <c r="R34" s="16">
        <f>VLOOKUP($D34,Résultats!$B$2:$AX$476,R$5,FALSE)</f>
        <v>44.813827570000001</v>
      </c>
      <c r="S34" s="86">
        <f>VLOOKUP($D34,Résultats!$B$2:$AX$476,S$5,FALSE)</f>
        <v>42.78920737</v>
      </c>
      <c r="T34" s="95">
        <f>VLOOKUP($D34,Résultats!$B$2:$AX$476,T$5,FALSE)</f>
        <v>29.92943837</v>
      </c>
      <c r="U34" s="95">
        <f>VLOOKUP($D34,Résultats!$B$2:$AX$476,U$5,FALSE)</f>
        <v>16.85322317</v>
      </c>
      <c r="V34" s="95">
        <f>VLOOKUP($D34,Résultats!$B$2:$AX$476,V$5,FALSE)</f>
        <v>8.7715817830000002</v>
      </c>
      <c r="W34" s="95">
        <f>VLOOKUP($D34,Résultats!$B$2:$AX$476,W$5,FALSE)</f>
        <v>6.2380452809999998</v>
      </c>
      <c r="X34" s="45">
        <f>W34-'[1]Cibles THREEME'!$AJ4</f>
        <v>-3.4440573264859626</v>
      </c>
      <c r="Z34" s="197" t="s">
        <v>61</v>
      </c>
      <c r="AA34" s="201">
        <f>I37/I36</f>
        <v>0.69408091303039376</v>
      </c>
      <c r="AB34" s="201">
        <f>S37/S36</f>
        <v>0.62114143570668079</v>
      </c>
      <c r="AC34" s="202">
        <f>W37/W36</f>
        <v>0.32025252694687245</v>
      </c>
      <c r="AE34" s="198" t="s">
        <v>65</v>
      </c>
      <c r="AF34" s="203">
        <f>I35/I33</f>
        <v>4.8384261754668603E-2</v>
      </c>
      <c r="AG34" s="203">
        <f>S35/S33</f>
        <v>8.5973979186510771E-2</v>
      </c>
      <c r="AH34" s="204">
        <f>W35/W33</f>
        <v>0.66530334010037151</v>
      </c>
      <c r="AJ34" s="198" t="s">
        <v>67</v>
      </c>
      <c r="AK34" s="203">
        <f>I48/(I46+I48)</f>
        <v>1.5603437502537027E-2</v>
      </c>
      <c r="AL34" s="203">
        <f>S48/(S46+S48)</f>
        <v>0.15335572723600396</v>
      </c>
      <c r="AM34" s="204">
        <f>W48/(W46+W48)</f>
        <v>0.64483806096755658</v>
      </c>
    </row>
    <row r="35" spans="1:39" x14ac:dyDescent="0.25">
      <c r="A35" s="3"/>
      <c r="B35" s="320"/>
      <c r="C35" s="7" t="s">
        <v>3</v>
      </c>
      <c r="D35" s="3" t="s">
        <v>375</v>
      </c>
      <c r="E35" s="16">
        <f>VLOOKUP($D35,Résultats!$B$2:$AX$476,E$5,FALSE)</f>
        <v>0.66746531460000003</v>
      </c>
      <c r="F35" s="16">
        <f>VLOOKUP($D35,Résultats!$B$2:$AX$476,F$5,FALSE)</f>
        <v>3.1620853210000002</v>
      </c>
      <c r="G35" s="22">
        <f>VLOOKUP($D35,Résultats!$B$2:$AX$476,G$5,FALSE)</f>
        <v>3.0750336389999999</v>
      </c>
      <c r="H35" s="16">
        <f>VLOOKUP($D35,Résultats!$B$2:$AX$476,H$5,FALSE)</f>
        <v>3.074537732</v>
      </c>
      <c r="I35" s="86">
        <f>VLOOKUP($D35,Résultats!$B$2:$AX$476,I$5,FALSE)</f>
        <v>3.0623263839999999</v>
      </c>
      <c r="J35" s="22">
        <f>VLOOKUP($D35,Résultats!$B$2:$AX$476,J$5,FALSE)</f>
        <v>3.2082875300000002</v>
      </c>
      <c r="K35" s="16">
        <f>VLOOKUP($D35,Résultats!$B$2:$AX$476,K$5,FALSE)</f>
        <v>3.329834768</v>
      </c>
      <c r="L35" s="16">
        <f>VLOOKUP($D35,Résultats!$B$2:$AX$476,L$5,FALSE)</f>
        <v>3.4297052859999999</v>
      </c>
      <c r="M35" s="16">
        <f>VLOOKUP($D35,Résultats!$B$2:$AX$476,M$5,FALSE)</f>
        <v>3.674796519</v>
      </c>
      <c r="N35" s="86">
        <f>VLOOKUP($D35,Résultats!$B$2:$AX$476,N$5,FALSE)</f>
        <v>3.9013990820000002</v>
      </c>
      <c r="O35" s="22">
        <f>VLOOKUP($D35,Résultats!$B$2:$AX$476,O$5,FALSE)</f>
        <v>3.913496023</v>
      </c>
      <c r="P35" s="16">
        <f>VLOOKUP($D35,Résultats!$B$2:$AX$476,P$5,FALSE)</f>
        <v>3.9372378750000001</v>
      </c>
      <c r="Q35" s="16">
        <f>VLOOKUP($D35,Résultats!$B$2:$AX$476,Q$5,FALSE)</f>
        <v>3.9696122530000002</v>
      </c>
      <c r="R35" s="16">
        <f>VLOOKUP($D35,Résultats!$B$2:$AX$476,R$5,FALSE)</f>
        <v>3.9950398109999998</v>
      </c>
      <c r="S35" s="86">
        <f>VLOOKUP($D35,Résultats!$B$2:$AX$476,S$5,FALSE)</f>
        <v>4.0247852249999996</v>
      </c>
      <c r="T35" s="95">
        <f>VLOOKUP($D35,Résultats!$B$2:$AX$476,T$5,FALSE)</f>
        <v>7.3586499290000003</v>
      </c>
      <c r="U35" s="95">
        <f>VLOOKUP($D35,Résultats!$B$2:$AX$476,U$5,FALSE)</f>
        <v>12.10908373</v>
      </c>
      <c r="V35" s="95">
        <f>VLOOKUP($D35,Résultats!$B$2:$AX$476,V$5,FALSE)</f>
        <v>13.873279370000001</v>
      </c>
      <c r="W35" s="95">
        <f>VLOOKUP($D35,Résultats!$B$2:$AX$476,W$5,FALSE)</f>
        <v>12.399861899999999</v>
      </c>
      <c r="X35" s="45">
        <f>W35-'[1]Cibles THREEME'!$AJ5</f>
        <v>8.9030206844229163</v>
      </c>
      <c r="Z35" s="197" t="s">
        <v>93</v>
      </c>
      <c r="AA35" s="201">
        <f>I43/I36</f>
        <v>0.1025860132263914</v>
      </c>
      <c r="AB35" s="201">
        <f>S43/S36</f>
        <v>0.10094479365655716</v>
      </c>
      <c r="AC35" s="202">
        <f>W43/W36</f>
        <v>8.5931446902069872E-2</v>
      </c>
      <c r="AE35" s="189" t="s">
        <v>92</v>
      </c>
      <c r="AF35" s="205">
        <f>SUM(AF33:AF34)</f>
        <v>1</v>
      </c>
      <c r="AG35" s="205">
        <f t="shared" ref="AG35:AH35" si="6">SUM(AG33:AG34)</f>
        <v>0.99999999999999989</v>
      </c>
      <c r="AH35" s="205">
        <f t="shared" si="6"/>
        <v>1</v>
      </c>
      <c r="AJ35" s="189" t="s">
        <v>92</v>
      </c>
      <c r="AK35" s="205">
        <f>SUM(AK33:AK34)</f>
        <v>0.99999999999999989</v>
      </c>
      <c r="AL35" s="205">
        <f t="shared" ref="AL35" si="7">SUM(AL33:AL34)</f>
        <v>1</v>
      </c>
      <c r="AM35" s="205">
        <f t="shared" ref="AM35" si="8">SUM(AM33:AM34)</f>
        <v>1</v>
      </c>
    </row>
    <row r="36" spans="1:39" x14ac:dyDescent="0.25">
      <c r="A36" s="3"/>
      <c r="B36" s="318" t="s">
        <v>4</v>
      </c>
      <c r="C36" s="5" t="s">
        <v>1</v>
      </c>
      <c r="D36" s="2" t="s">
        <v>376</v>
      </c>
      <c r="E36" s="8">
        <f>SUM(E37:E44)</f>
        <v>37.199368169899991</v>
      </c>
      <c r="F36" s="8">
        <f>SUM(F37:F44)</f>
        <v>39.324168126099991</v>
      </c>
      <c r="G36" s="21">
        <f t="shared" ref="G36:R36" si="9">SUM(G37:G44)</f>
        <v>38.725951213899997</v>
      </c>
      <c r="H36" s="8">
        <f t="shared" si="9"/>
        <v>38.306703557499993</v>
      </c>
      <c r="I36" s="87">
        <f t="shared" si="9"/>
        <v>37.898259448100006</v>
      </c>
      <c r="J36" s="21">
        <f t="shared" si="9"/>
        <v>38.259847472000004</v>
      </c>
      <c r="K36" s="8">
        <f t="shared" si="9"/>
        <v>38.624186362300001</v>
      </c>
      <c r="L36" s="8">
        <f t="shared" si="9"/>
        <v>38.629997930000002</v>
      </c>
      <c r="M36" s="8">
        <f t="shared" si="9"/>
        <v>40.138467572900005</v>
      </c>
      <c r="N36" s="87">
        <f t="shared" si="9"/>
        <v>40.903022688200004</v>
      </c>
      <c r="O36" s="21">
        <f t="shared" si="9"/>
        <v>40.972553723300003</v>
      </c>
      <c r="P36" s="8">
        <f t="shared" si="9"/>
        <v>40.952668890200009</v>
      </c>
      <c r="Q36" s="8">
        <f t="shared" si="9"/>
        <v>40.905710275799997</v>
      </c>
      <c r="R36" s="8">
        <f t="shared" si="9"/>
        <v>41.120732855599989</v>
      </c>
      <c r="S36" s="87">
        <f>SUM(S37:S44)</f>
        <v>41.401204060299996</v>
      </c>
      <c r="T36" s="96">
        <f>SUM(T37:T44)</f>
        <v>41.168504238109996</v>
      </c>
      <c r="U36" s="96">
        <f>SUM(U37:U44)</f>
        <v>42.040565571840006</v>
      </c>
      <c r="V36" s="96">
        <f>SUM(V37:V44)</f>
        <v>41.8023079369</v>
      </c>
      <c r="W36" s="96">
        <f>SUM(W37:W44)</f>
        <v>41.3010708646</v>
      </c>
      <c r="X36" s="3"/>
      <c r="Z36" s="197" t="s">
        <v>62</v>
      </c>
      <c r="AA36" s="201">
        <f>I42/I36</f>
        <v>3.6998234283561443E-2</v>
      </c>
      <c r="AB36" s="201">
        <f>S42/S36</f>
        <v>8.7555323867402848E-2</v>
      </c>
      <c r="AC36" s="202">
        <f>W42/W36</f>
        <v>0.19408802050870588</v>
      </c>
    </row>
    <row r="37" spans="1:39" x14ac:dyDescent="0.25">
      <c r="A37" s="3"/>
      <c r="B37" s="319"/>
      <c r="C37" s="3" t="s">
        <v>5</v>
      </c>
      <c r="D37" s="3" t="s">
        <v>377</v>
      </c>
      <c r="E37" s="16">
        <f>VLOOKUP($D37,Résultats!$B$2:$AX$476,E$5,FALSE)</f>
        <v>29.720948459999999</v>
      </c>
      <c r="F37" s="16">
        <f>VLOOKUP($D37,Résultats!$B$2:$AX$476,F$5,FALSE)</f>
        <v>30.517317890000001</v>
      </c>
      <c r="G37" s="22">
        <f>VLOOKUP($D37,Résultats!$B$2:$AX$476,G$5,FALSE)</f>
        <v>28.21865596</v>
      </c>
      <c r="H37" s="16">
        <f>VLOOKUP($D37,Résultats!$B$2:$AX$476,H$5,FALSE)</f>
        <v>27.262972059999999</v>
      </c>
      <c r="I37" s="86">
        <f>VLOOKUP($D37,Résultats!$B$2:$AX$476,I$5,FALSE)</f>
        <v>26.304458520000001</v>
      </c>
      <c r="J37" s="22">
        <f>VLOOKUP($D37,Résultats!$B$2:$AX$476,J$5,FALSE)</f>
        <v>26.226882060000001</v>
      </c>
      <c r="K37" s="16">
        <f>VLOOKUP($D37,Résultats!$B$2:$AX$476,K$5,FALSE)</f>
        <v>26.142681549999999</v>
      </c>
      <c r="L37" s="16">
        <f>VLOOKUP($D37,Résultats!$B$2:$AX$476,L$5,FALSE)</f>
        <v>25.81031247</v>
      </c>
      <c r="M37" s="16">
        <f>VLOOKUP($D37,Résultats!$B$2:$AX$476,M$5,FALSE)</f>
        <v>26.732353620000001</v>
      </c>
      <c r="N37" s="86">
        <f>VLOOKUP($D37,Résultats!$B$2:$AX$476,N$5,FALSE)</f>
        <v>27.163484740000001</v>
      </c>
      <c r="O37" s="22">
        <f>VLOOKUP($D37,Résultats!$B$2:$AX$476,O$5,FALSE)</f>
        <v>26.84219989</v>
      </c>
      <c r="P37" s="16">
        <f>VLOOKUP($D37,Résultats!$B$2:$AX$476,P$5,FALSE)</f>
        <v>26.47116196</v>
      </c>
      <c r="Q37" s="16">
        <f>VLOOKUP($D37,Résultats!$B$2:$AX$476,Q$5,FALSE)</f>
        <v>26.0921223</v>
      </c>
      <c r="R37" s="16">
        <f>VLOOKUP($D37,Résultats!$B$2:$AX$476,R$5,FALSE)</f>
        <v>25.88133929</v>
      </c>
      <c r="S37" s="86">
        <f>VLOOKUP($D37,Résultats!$B$2:$AX$476,S$5,FALSE)</f>
        <v>25.716003329999999</v>
      </c>
      <c r="T37" s="95">
        <f>VLOOKUP($D37,Résultats!$B$2:$AX$476,T$5,FALSE)</f>
        <v>21.911572360000001</v>
      </c>
      <c r="U37" s="95">
        <f>VLOOKUP($D37,Résultats!$B$2:$AX$476,U$5,FALSE)</f>
        <v>20.653624919999999</v>
      </c>
      <c r="V37" s="95">
        <f>VLOOKUP($D37,Résultats!$B$2:$AX$476,V$5,FALSE)</f>
        <v>16.777428069999999</v>
      </c>
      <c r="W37" s="95">
        <f>VLOOKUP($D37,Résultats!$B$2:$AX$476,W$5,FALSE)</f>
        <v>13.226772309999999</v>
      </c>
      <c r="X37" s="45">
        <f>W37-'[1]Cibles THREEME'!$AJ8</f>
        <v>12.605713178454302</v>
      </c>
      <c r="Z37" s="197" t="s">
        <v>63</v>
      </c>
      <c r="AA37" s="201">
        <f>I41/I36</f>
        <v>8.3952357056321467E-2</v>
      </c>
      <c r="AB37" s="201">
        <f>S41/S36</f>
        <v>0.12657892133685994</v>
      </c>
      <c r="AC37" s="202">
        <f>W41/W36</f>
        <v>0.3732405070206718</v>
      </c>
    </row>
    <row r="38" spans="1:39" x14ac:dyDescent="0.25">
      <c r="A38" s="3"/>
      <c r="B38" s="319"/>
      <c r="C38" s="3" t="s">
        <v>6</v>
      </c>
      <c r="D38" s="3" t="s">
        <v>378</v>
      </c>
      <c r="E38" s="16">
        <f>VLOOKUP($D38,Résultats!$B$2:$AX$476,E$5,FALSE)</f>
        <v>0.3814329508</v>
      </c>
      <c r="F38" s="16">
        <f>VLOOKUP($D38,Résultats!$B$2:$AX$476,F$5,FALSE)</f>
        <v>0.24094508589999999</v>
      </c>
      <c r="G38" s="22">
        <f>VLOOKUP($D38,Résultats!$B$2:$AX$476,G$5,FALSE)</f>
        <v>0.16524535839999999</v>
      </c>
      <c r="H38" s="16">
        <f>VLOOKUP($D38,Résultats!$B$2:$AX$476,H$5,FALSE)</f>
        <v>0.13792466959999999</v>
      </c>
      <c r="I38" s="86">
        <f>VLOOKUP($D38,Résultats!$B$2:$AX$476,I$5,FALSE)</f>
        <v>0.1102298345</v>
      </c>
      <c r="J38" s="22">
        <f>VLOOKUP($D38,Résultats!$B$2:$AX$476,J$5,FALSE)</f>
        <v>0.14611644570000001</v>
      </c>
      <c r="K38" s="16">
        <f>VLOOKUP($D38,Résultats!$B$2:$AX$476,K$5,FALSE)</f>
        <v>0.1829158253</v>
      </c>
      <c r="L38" s="16">
        <f>VLOOKUP($D38,Résultats!$B$2:$AX$476,L$5,FALSE)</f>
        <v>0.21860047320000001</v>
      </c>
      <c r="M38" s="16">
        <f>VLOOKUP($D38,Résultats!$B$2:$AX$476,M$5,FALSE)</f>
        <v>0.15505607709999999</v>
      </c>
      <c r="N38" s="86">
        <f>VLOOKUP($D38,Résultats!$B$2:$AX$476,N$5,FALSE)</f>
        <v>9.2450230499999994E-2</v>
      </c>
      <c r="O38" s="22">
        <f>VLOOKUP($D38,Résultats!$B$2:$AX$476,O$5,FALSE)</f>
        <v>7.0400931599999994E-2</v>
      </c>
      <c r="P38" s="16">
        <f>VLOOKUP($D38,Résultats!$B$2:$AX$476,P$5,FALSE)</f>
        <v>4.8731346299999999E-2</v>
      </c>
      <c r="Q38" s="16">
        <f>VLOOKUP($D38,Résultats!$B$2:$AX$476,Q$5,FALSE)</f>
        <v>2.7603551E-2</v>
      </c>
      <c r="R38" s="16">
        <f>VLOOKUP($D38,Résultats!$B$2:$AX$476,R$5,FALSE)</f>
        <v>2.45983148E-2</v>
      </c>
      <c r="S38" s="86">
        <f>VLOOKUP($D38,Résultats!$B$2:$AX$476,S$5,FALSE)</f>
        <v>2.1670744700000001E-2</v>
      </c>
      <c r="T38" s="95">
        <f>VLOOKUP($D38,Résultats!$B$2:$AX$476,T$5,FALSE)</f>
        <v>1.9174319299999999E-2</v>
      </c>
      <c r="U38" s="95">
        <f>VLOOKUP($D38,Résultats!$B$2:$AX$476,U$5,FALSE)</f>
        <v>9.2700468299999998E-3</v>
      </c>
      <c r="V38" s="95">
        <f>VLOOKUP($D38,Résultats!$B$2:$AX$476,V$5,FALSE)</f>
        <v>7.4592637500000003E-3</v>
      </c>
      <c r="W38" s="95">
        <f>VLOOKUP($D38,Résultats!$B$2:$AX$476,W$5,FALSE)</f>
        <v>7.1902978500000001E-3</v>
      </c>
      <c r="X38" s="45">
        <f>W38-'[1]Cibles THREEME'!$AJ9</f>
        <v>-2.8097021500000001E-3</v>
      </c>
      <c r="Z38" s="198" t="s">
        <v>64</v>
      </c>
      <c r="AA38" s="203">
        <f>(I39+I44)/I36</f>
        <v>7.3741106625943145E-2</v>
      </c>
      <c r="AB38" s="203">
        <f>(S39+S44)/S36</f>
        <v>6.28374045573869E-2</v>
      </c>
      <c r="AC38" s="204">
        <f>(W39+W44)/W36</f>
        <v>2.6139309206757916E-2</v>
      </c>
    </row>
    <row r="39" spans="1:39" x14ac:dyDescent="0.25">
      <c r="A39" s="3"/>
      <c r="B39" s="319"/>
      <c r="C39" s="3" t="s">
        <v>7</v>
      </c>
      <c r="D39" s="3" t="s">
        <v>379</v>
      </c>
      <c r="E39" s="16">
        <f>VLOOKUP($D39,Résultats!$B$2:$AX$476,E$5,FALSE)</f>
        <v>1.5232798439999999</v>
      </c>
      <c r="F39" s="16">
        <f>VLOOKUP($D39,Résultats!$B$2:$AX$476,F$5,FALSE)</f>
        <v>1.584689722</v>
      </c>
      <c r="G39" s="22">
        <f>VLOOKUP($D39,Résultats!$B$2:$AX$476,G$5,FALSE)</f>
        <v>2.0361493479999999</v>
      </c>
      <c r="H39" s="16">
        <f>VLOOKUP($D39,Résultats!$B$2:$AX$476,H$5,FALSE)</f>
        <v>2.182665021</v>
      </c>
      <c r="I39" s="86">
        <f>VLOOKUP($D39,Résultats!$B$2:$AX$476,I$5,FALSE)</f>
        <v>2.3325231629999998</v>
      </c>
      <c r="J39" s="22">
        <f>VLOOKUP($D39,Résultats!$B$2:$AX$476,J$5,FALSE)</f>
        <v>2.2481714039999998</v>
      </c>
      <c r="K39" s="16">
        <f>VLOOKUP($D39,Résultats!$B$2:$AX$476,K$5,FALSE)</f>
        <v>2.1612200619999999</v>
      </c>
      <c r="L39" s="16">
        <f>VLOOKUP($D39,Résultats!$B$2:$AX$476,L$5,FALSE)</f>
        <v>2.0524225760000001</v>
      </c>
      <c r="M39" s="16">
        <f>VLOOKUP($D39,Résultats!$B$2:$AX$476,M$5,FALSE)</f>
        <v>2.255133845</v>
      </c>
      <c r="N39" s="86">
        <f>VLOOKUP($D39,Résultats!$B$2:$AX$476,N$5,FALSE)</f>
        <v>2.409566667</v>
      </c>
      <c r="O39" s="22">
        <f>VLOOKUP($D39,Résultats!$B$2:$AX$476,O$5,FALSE)</f>
        <v>2.320650364</v>
      </c>
      <c r="P39" s="16">
        <f>VLOOKUP($D39,Résultats!$B$2:$AX$476,P$5,FALSE)</f>
        <v>2.2289035830000001</v>
      </c>
      <c r="Q39" s="16">
        <f>VLOOKUP($D39,Résultats!$B$2:$AX$476,Q$5,FALSE)</f>
        <v>2.138087515</v>
      </c>
      <c r="R39" s="16">
        <f>VLOOKUP($D39,Résultats!$B$2:$AX$476,R$5,FALSE)</f>
        <v>2.064117032</v>
      </c>
      <c r="S39" s="86">
        <f>VLOOKUP($D39,Résultats!$B$2:$AX$476,S$5,FALSE)</f>
        <v>1.994473583</v>
      </c>
      <c r="T39" s="95">
        <f>VLOOKUP($D39,Résultats!$B$2:$AX$476,T$5,FALSE)</f>
        <v>1.388912447</v>
      </c>
      <c r="U39" s="95">
        <f>VLOOKUP($D39,Résultats!$B$2:$AX$476,U$5,FALSE)</f>
        <v>0.15250976769999999</v>
      </c>
      <c r="V39" s="95">
        <f>VLOOKUP($D39,Résultats!$B$2:$AX$476,V$5,FALSE)</f>
        <v>0.19767213789999999</v>
      </c>
      <c r="W39" s="95">
        <f>VLOOKUP($D39,Résultats!$B$2:$AX$476,W$5,FALSE)</f>
        <v>0.22845394929999999</v>
      </c>
      <c r="X39" s="45">
        <f>W39-'[1]Cibles THREEME'!$AJ10</f>
        <v>-0.86753275342770131</v>
      </c>
      <c r="Z39" s="189" t="s">
        <v>92</v>
      </c>
      <c r="AA39" s="205">
        <f>SUM(AA33:AA38)</f>
        <v>0.99999999999999967</v>
      </c>
      <c r="AB39" s="205">
        <f t="shared" ref="AB39:AC39" si="10">SUM(AB33:AB38)</f>
        <v>1.0000000000000002</v>
      </c>
      <c r="AC39" s="205">
        <f t="shared" si="10"/>
        <v>1</v>
      </c>
      <c r="AJ39" s="189"/>
      <c r="AK39" s="205"/>
      <c r="AL39" s="205"/>
      <c r="AM39" s="205"/>
    </row>
    <row r="40" spans="1:39" x14ac:dyDescent="0.25">
      <c r="A40" s="3"/>
      <c r="B40" s="319"/>
      <c r="C40" s="3" t="s">
        <v>8</v>
      </c>
      <c r="D40" s="3" t="s">
        <v>380</v>
      </c>
      <c r="E40" s="16">
        <f>VLOOKUP($D40,Résultats!$B$2:$AX$476,E$5,FALSE)</f>
        <v>1.5199084</v>
      </c>
      <c r="F40" s="16">
        <f>VLOOKUP($D40,Résultats!$B$2:$AX$476,F$5,FALSE)</f>
        <v>0.74283405560000004</v>
      </c>
      <c r="G40" s="22">
        <f>VLOOKUP($D40,Résultats!$B$2:$AX$476,G$5,FALSE)</f>
        <v>0.43706477420000001</v>
      </c>
      <c r="H40" s="16">
        <f>VLOOKUP($D40,Résultats!$B$2:$AX$476,H$5,FALSE)</f>
        <v>0.32796201530000002</v>
      </c>
      <c r="I40" s="86">
        <f>VLOOKUP($D40,Résultats!$B$2:$AX$476,I$5,FALSE)</f>
        <v>0.21726326670000001</v>
      </c>
      <c r="J40" s="22">
        <f>VLOOKUP($D40,Résultats!$B$2:$AX$476,J$5,FALSE)</f>
        <v>0.20928154860000001</v>
      </c>
      <c r="K40" s="16">
        <f>VLOOKUP($D40,Résultats!$B$2:$AX$476,K$5,FALSE)</f>
        <v>0.20105445159999999</v>
      </c>
      <c r="L40" s="16">
        <f>VLOOKUP($D40,Résultats!$B$2:$AX$476,L$5,FALSE)</f>
        <v>0.19079274930000001</v>
      </c>
      <c r="M40" s="16">
        <f>VLOOKUP($D40,Résultats!$B$2:$AX$476,M$5,FALSE)</f>
        <v>0.1218509401</v>
      </c>
      <c r="N40" s="86">
        <f>VLOOKUP($D40,Résultats!$B$2:$AX$476,N$5,FALSE)</f>
        <v>5.4691130499999997E-2</v>
      </c>
      <c r="O40" s="22">
        <f>VLOOKUP($D40,Résultats!$B$2:$AX$476,O$5,FALSE)</f>
        <v>4.2065206100000002E-2</v>
      </c>
      <c r="P40" s="16">
        <f>VLOOKUP($D40,Résultats!$B$2:$AX$476,P$5,FALSE)</f>
        <v>2.9652962200000001E-2</v>
      </c>
      <c r="Q40" s="16">
        <f>VLOOKUP($D40,Résultats!$B$2:$AX$476,Q$5,FALSE)</f>
        <v>1.7549880699999999E-2</v>
      </c>
      <c r="R40" s="16">
        <f>VLOOKUP($D40,Résultats!$B$2:$AX$476,R$5,FALSE)</f>
        <v>1.74268528E-2</v>
      </c>
      <c r="S40" s="86">
        <f>VLOOKUP($D40,Résultats!$B$2:$AX$476,S$5,FALSE)</f>
        <v>1.7334193899999999E-2</v>
      </c>
      <c r="T40" s="95">
        <f>VLOOKUP($D40,Résultats!$B$2:$AX$476,T$5,FALSE)</f>
        <v>8.13359661E-3</v>
      </c>
      <c r="U40" s="95">
        <f>VLOOKUP($D40,Résultats!$B$2:$AX$476,U$5,FALSE)</f>
        <v>7.8219120099999994E-3</v>
      </c>
      <c r="V40" s="95">
        <f>VLOOKUP($D40,Résultats!$B$2:$AX$476,V$5,FALSE)</f>
        <v>7.4592637500000003E-3</v>
      </c>
      <c r="W40" s="95">
        <f>VLOOKUP($D40,Résultats!$B$2:$AX$476,W$5,FALSE)</f>
        <v>7.1902978500000001E-3</v>
      </c>
      <c r="X40" s="45">
        <f>W40-'[1]Cibles THREEME'!$AJ11</f>
        <v>-2.8097021500000001E-3</v>
      </c>
    </row>
    <row r="41" spans="1:39" x14ac:dyDescent="0.25">
      <c r="A41" s="3"/>
      <c r="B41" s="319"/>
      <c r="C41" s="3" t="s">
        <v>9</v>
      </c>
      <c r="D41" s="3" t="s">
        <v>381</v>
      </c>
      <c r="E41" s="16">
        <f>VLOOKUP($D41,Résultats!$B$2:$AX$476,E$5,FALSE)</f>
        <v>0.30706948579999999</v>
      </c>
      <c r="F41" s="16">
        <f>VLOOKUP($D41,Résultats!$B$2:$AX$476,F$5,FALSE)</f>
        <v>2.1018461610000001</v>
      </c>
      <c r="G41" s="22">
        <f>VLOOKUP($D41,Résultats!$B$2:$AX$476,G$5,FALSE)</f>
        <v>2.7525566829999999</v>
      </c>
      <c r="H41" s="16">
        <f>VLOOKUP($D41,Résultats!$B$2:$AX$476,H$5,FALSE)</f>
        <v>2.9647271229999999</v>
      </c>
      <c r="I41" s="86">
        <f>VLOOKUP($D41,Résultats!$B$2:$AX$476,I$5,FALSE)</f>
        <v>3.181648209</v>
      </c>
      <c r="J41" s="22">
        <f>VLOOKUP($D41,Résultats!$B$2:$AX$476,J$5,FALSE)</f>
        <v>3.3721893810000001</v>
      </c>
      <c r="K41" s="16">
        <f>VLOOKUP($D41,Résultats!$B$2:$AX$476,K$5,FALSE)</f>
        <v>3.5671219820000002</v>
      </c>
      <c r="L41" s="16">
        <f>VLOOKUP($D41,Résultats!$B$2:$AX$476,L$5,FALSE)</f>
        <v>3.731624611</v>
      </c>
      <c r="M41" s="16">
        <f>VLOOKUP($D41,Résultats!$B$2:$AX$476,M$5,FALSE)</f>
        <v>3.9542890430000002</v>
      </c>
      <c r="N41" s="86">
        <f>VLOOKUP($D41,Résultats!$B$2:$AX$476,N$5,FALSE)</f>
        <v>4.0995961210000003</v>
      </c>
      <c r="O41" s="22">
        <f>VLOOKUP($D41,Résultats!$B$2:$AX$476,O$5,FALSE)</f>
        <v>4.3377042049999996</v>
      </c>
      <c r="P41" s="16">
        <f>VLOOKUP($D41,Résultats!$B$2:$AX$476,P$5,FALSE)</f>
        <v>4.5607944869999999</v>
      </c>
      <c r="Q41" s="16">
        <f>VLOOKUP($D41,Résultats!$B$2:$AX$476,Q$5,FALSE)</f>
        <v>4.7748950020000001</v>
      </c>
      <c r="R41" s="16">
        <f>VLOOKUP($D41,Résultats!$B$2:$AX$476,R$5,FALSE)</f>
        <v>5.0049773899999996</v>
      </c>
      <c r="S41" s="86">
        <f>VLOOKUP($D41,Résultats!$B$2:$AX$476,S$5,FALSE)</f>
        <v>5.240519752</v>
      </c>
      <c r="T41" s="95">
        <f>VLOOKUP($D41,Résultats!$B$2:$AX$476,T$5,FALSE)</f>
        <v>7.9315229220000001</v>
      </c>
      <c r="U41" s="95">
        <f>VLOOKUP($D41,Résultats!$B$2:$AX$476,U$5,FALSE)</f>
        <v>10.43225273</v>
      </c>
      <c r="V41" s="95">
        <f>VLOOKUP($D41,Résultats!$B$2:$AX$476,V$5,FALSE)</f>
        <v>12.98994534</v>
      </c>
      <c r="W41" s="95">
        <f>VLOOKUP($D41,Résultats!$B$2:$AX$476,W$5,FALSE)</f>
        <v>15.41523263</v>
      </c>
      <c r="X41" s="45">
        <f>W41-'[1]Cibles THREEME'!$AJ12</f>
        <v>2.8296519936768991</v>
      </c>
    </row>
    <row r="42" spans="1:39" x14ac:dyDescent="0.25">
      <c r="A42" s="3"/>
      <c r="B42" s="319"/>
      <c r="C42" s="3" t="s">
        <v>10</v>
      </c>
      <c r="D42" s="3" t="s">
        <v>382</v>
      </c>
      <c r="E42" s="16">
        <f>VLOOKUP($D42,Résultats!$B$2:$AX$476,E$5,FALSE)</f>
        <v>6.9090634299999995E-2</v>
      </c>
      <c r="F42" s="16">
        <f>VLOOKUP($D42,Résultats!$B$2:$AX$476,F$5,FALSE)</f>
        <v>0.92629438210000004</v>
      </c>
      <c r="G42" s="22">
        <f>VLOOKUP($D42,Résultats!$B$2:$AX$476,G$5,FALSE)</f>
        <v>1.2130658459999999</v>
      </c>
      <c r="H42" s="16">
        <f>VLOOKUP($D42,Résultats!$B$2:$AX$476,H$5,FALSE)</f>
        <v>1.3065704469999999</v>
      </c>
      <c r="I42" s="86">
        <f>VLOOKUP($D42,Résultats!$B$2:$AX$476,I$5,FALSE)</f>
        <v>1.4021686820000001</v>
      </c>
      <c r="J42" s="22">
        <f>VLOOKUP($D42,Résultats!$B$2:$AX$476,J$5,FALSE)</f>
        <v>1.465715772</v>
      </c>
      <c r="K42" s="16">
        <f>VLOOKUP($D42,Résultats!$B$2:$AX$476,K$5,FALSE)</f>
        <v>1.5306676779999999</v>
      </c>
      <c r="L42" s="16">
        <f>VLOOKUP($D42,Résultats!$B$2:$AX$476,L$5,FALSE)</f>
        <v>1.582251115</v>
      </c>
      <c r="M42" s="16">
        <f>VLOOKUP($D42,Résultats!$B$2:$AX$476,M$5,FALSE)</f>
        <v>1.81043211</v>
      </c>
      <c r="N42" s="86">
        <f>VLOOKUP($D42,Résultats!$B$2:$AX$476,N$5,FALSE)</f>
        <v>1.9962585020000001</v>
      </c>
      <c r="O42" s="22">
        <f>VLOOKUP($D42,Résultats!$B$2:$AX$476,O$5,FALSE)</f>
        <v>2.3378783439999999</v>
      </c>
      <c r="P42" s="16">
        <f>VLOOKUP($D42,Résultats!$B$2:$AX$476,P$5,FALSE)</f>
        <v>2.6662726669999999</v>
      </c>
      <c r="Q42" s="16">
        <f>VLOOKUP($D42,Résultats!$B$2:$AX$476,Q$5,FALSE)</f>
        <v>2.9841616329999998</v>
      </c>
      <c r="R42" s="16">
        <f>VLOOKUP($D42,Résultats!$B$2:$AX$476,R$5,FALSE)</f>
        <v>3.3037573130000002</v>
      </c>
      <c r="S42" s="86">
        <f>VLOOKUP($D42,Résultats!$B$2:$AX$476,S$5,FALSE)</f>
        <v>3.6248958299999998</v>
      </c>
      <c r="T42" s="95">
        <f>VLOOKUP($D42,Résultats!$B$2:$AX$476,T$5,FALSE)</f>
        <v>5.1175386559999998</v>
      </c>
      <c r="U42" s="95">
        <f>VLOOKUP($D42,Résultats!$B$2:$AX$476,U$5,FALSE)</f>
        <v>6.1349502710000001</v>
      </c>
      <c r="V42" s="95">
        <f>VLOOKUP($D42,Résultats!$B$2:$AX$476,V$5,FALSE)</f>
        <v>7.2515545030000004</v>
      </c>
      <c r="W42" s="95">
        <f>VLOOKUP($D42,Résultats!$B$2:$AX$476,W$5,FALSE)</f>
        <v>8.0160430890000001</v>
      </c>
      <c r="X42" s="45">
        <f>W42-'[1]Cibles THREEME'!$AJ13</f>
        <v>0.58768877051224688</v>
      </c>
      <c r="Z42" s="60" t="s">
        <v>457</v>
      </c>
    </row>
    <row r="43" spans="1:39" x14ac:dyDescent="0.25">
      <c r="A43" s="3"/>
      <c r="B43" s="319"/>
      <c r="C43" s="3" t="s">
        <v>11</v>
      </c>
      <c r="D43" s="3" t="s">
        <v>383</v>
      </c>
      <c r="E43" s="16">
        <f>VLOOKUP($D43,Résultats!$B$2:$AX$476,E$5,FALSE)</f>
        <v>3.4538970899999999</v>
      </c>
      <c r="F43" s="16">
        <f>VLOOKUP($D43,Résultats!$B$2:$AX$476,F$5,FALSE)</f>
        <v>2.5683616960000002</v>
      </c>
      <c r="G43" s="22">
        <f>VLOOKUP($D43,Résultats!$B$2:$AX$476,G$5,FALSE)</f>
        <v>3.363500755</v>
      </c>
      <c r="H43" s="16">
        <f>VLOOKUP($D43,Résultats!$B$2:$AX$476,H$5,FALSE)</f>
        <v>3.622763511</v>
      </c>
      <c r="I43" s="86">
        <f>VLOOKUP($D43,Résultats!$B$2:$AX$476,I$5,FALSE)</f>
        <v>3.8878313449999999</v>
      </c>
      <c r="J43" s="22">
        <f>VLOOKUP($D43,Résultats!$B$2:$AX$476,J$5,FALSE)</f>
        <v>4.1012618429999996</v>
      </c>
      <c r="K43" s="16">
        <f>VLOOKUP($D43,Résultats!$B$2:$AX$476,K$5,FALSE)</f>
        <v>4.3195545339999999</v>
      </c>
      <c r="L43" s="16">
        <f>VLOOKUP($D43,Résultats!$B$2:$AX$476,L$5,FALSE)</f>
        <v>4.5007032269999998</v>
      </c>
      <c r="M43" s="16">
        <f>VLOOKUP($D43,Résultats!$B$2:$AX$476,M$5,FALSE)</f>
        <v>4.4723309330000003</v>
      </c>
      <c r="N43" s="86">
        <f>VLOOKUP($D43,Résultats!$B$2:$AX$476,N$5,FALSE)</f>
        <v>4.371865659</v>
      </c>
      <c r="O43" s="22">
        <f>VLOOKUP($D43,Résultats!$B$2:$AX$476,O$5,FALSE)</f>
        <v>4.3293960699999996</v>
      </c>
      <c r="P43" s="16">
        <f>VLOOKUP($D43,Résultats!$B$2:$AX$476,P$5,FALSE)</f>
        <v>4.2786768110000004</v>
      </c>
      <c r="Q43" s="16">
        <f>VLOOKUP($D43,Résultats!$B$2:$AX$476,Q$5,FALSE)</f>
        <v>4.2264188010000003</v>
      </c>
      <c r="R43" s="16">
        <f>VLOOKUP($D43,Résultats!$B$2:$AX$476,R$5,FALSE)</f>
        <v>4.1991833559999998</v>
      </c>
      <c r="S43" s="86">
        <f>VLOOKUP($D43,Résultats!$B$2:$AX$476,S$5,FALSE)</f>
        <v>4.1792360009999996</v>
      </c>
      <c r="T43" s="95">
        <f>VLOOKUP($D43,Résultats!$B$2:$AX$476,T$5,FALSE)</f>
        <v>4.0958247170000002</v>
      </c>
      <c r="U43" s="95">
        <f>VLOOKUP($D43,Résultats!$B$2:$AX$476,U$5,FALSE)</f>
        <v>3.8035747529999999</v>
      </c>
      <c r="V43" s="95">
        <f>VLOOKUP($D43,Résultats!$B$2:$AX$476,V$5,FALSE)</f>
        <v>3.7257920819999999</v>
      </c>
      <c r="W43" s="95">
        <f>VLOOKUP($D43,Résultats!$B$2:$AX$476,W$5,FALSE)</f>
        <v>3.5490607779999999</v>
      </c>
      <c r="X43" s="45">
        <f>W43-'[1]Cibles THREEME'!$AJ14</f>
        <v>-0.31733675662272365</v>
      </c>
      <c r="Z43" s="194"/>
      <c r="AA43" s="195">
        <v>2020</v>
      </c>
      <c r="AB43" s="195">
        <v>2030</v>
      </c>
      <c r="AC43" s="196">
        <v>2050</v>
      </c>
    </row>
    <row r="44" spans="1:39" x14ac:dyDescent="0.25">
      <c r="A44" s="3"/>
      <c r="B44" s="320"/>
      <c r="C44" s="7" t="s">
        <v>12</v>
      </c>
      <c r="D44" s="3" t="s">
        <v>384</v>
      </c>
      <c r="E44" s="17">
        <f>VLOOKUP($D44,Résultats!$B$2:$AX$476,E$5,FALSE)</f>
        <v>0.223741305</v>
      </c>
      <c r="F44" s="17">
        <f>VLOOKUP($D44,Résultats!$B$2:$AX$476,F$5,FALSE)</f>
        <v>0.64187913350000003</v>
      </c>
      <c r="G44" s="88">
        <f>VLOOKUP($D44,Résultats!$B$2:$AX$476,G$5,FALSE)</f>
        <v>0.53971248930000004</v>
      </c>
      <c r="H44" s="17">
        <f>VLOOKUP($D44,Résultats!$B$2:$AX$476,H$5,FALSE)</f>
        <v>0.50111871060000002</v>
      </c>
      <c r="I44" s="89">
        <f>VLOOKUP($D44,Résultats!$B$2:$AX$476,I$5,FALSE)</f>
        <v>0.46213642789999998</v>
      </c>
      <c r="J44" s="88">
        <f>VLOOKUP($D44,Résultats!$B$2:$AX$476,J$5,FALSE)</f>
        <v>0.49022901769999999</v>
      </c>
      <c r="K44" s="17">
        <f>VLOOKUP($D44,Résultats!$B$2:$AX$476,K$5,FALSE)</f>
        <v>0.51897027939999996</v>
      </c>
      <c r="L44" s="17">
        <f>VLOOKUP($D44,Résultats!$B$2:$AX$476,L$5,FALSE)</f>
        <v>0.54329070850000005</v>
      </c>
      <c r="M44" s="17">
        <f>VLOOKUP($D44,Résultats!$B$2:$AX$476,M$5,FALSE)</f>
        <v>0.6370210047</v>
      </c>
      <c r="N44" s="89">
        <f>VLOOKUP($D44,Résultats!$B$2:$AX$476,N$5,FALSE)</f>
        <v>0.71510963819999995</v>
      </c>
      <c r="O44" s="88">
        <f>VLOOKUP($D44,Résultats!$B$2:$AX$476,O$5,FALSE)</f>
        <v>0.69225871260000005</v>
      </c>
      <c r="P44" s="17">
        <f>VLOOKUP($D44,Résultats!$B$2:$AX$476,P$5,FALSE)</f>
        <v>0.66847507370000003</v>
      </c>
      <c r="Q44" s="17">
        <f>VLOOKUP($D44,Résultats!$B$2:$AX$476,Q$5,FALSE)</f>
        <v>0.64487159309999997</v>
      </c>
      <c r="R44" s="17">
        <f>VLOOKUP($D44,Résultats!$B$2:$AX$476,R$5,FALSE)</f>
        <v>0.625333307</v>
      </c>
      <c r="S44" s="89">
        <f>VLOOKUP($D44,Résultats!$B$2:$AX$476,S$5,FALSE)</f>
        <v>0.60707062570000003</v>
      </c>
      <c r="T44" s="97">
        <f>VLOOKUP($D44,Résultats!$B$2:$AX$476,T$5,FALSE)</f>
        <v>0.69582522020000004</v>
      </c>
      <c r="U44" s="97">
        <f>VLOOKUP($D44,Résultats!$B$2:$AX$476,U$5,FALSE)</f>
        <v>0.84656117129999997</v>
      </c>
      <c r="V44" s="97">
        <f>VLOOKUP($D44,Résultats!$B$2:$AX$476,V$5,FALSE)</f>
        <v>0.84499727650000001</v>
      </c>
      <c r="W44" s="97">
        <f>VLOOKUP($D44,Résultats!$B$2:$AX$476,W$5,FALSE)</f>
        <v>0.85112751259999997</v>
      </c>
      <c r="X44" s="45">
        <f>W44-'[1]Cibles THREEME'!$AJ15</f>
        <v>0.54059794682715134</v>
      </c>
      <c r="Z44" s="197" t="s">
        <v>458</v>
      </c>
      <c r="AA44" s="16">
        <f>I36</f>
        <v>37.898259448100006</v>
      </c>
      <c r="AB44" s="16">
        <f>S36</f>
        <v>41.401204060299996</v>
      </c>
      <c r="AC44" s="86">
        <f>W36</f>
        <v>41.3010708646</v>
      </c>
    </row>
    <row r="45" spans="1:39" x14ac:dyDescent="0.25">
      <c r="A45" s="3"/>
      <c r="B45" s="318" t="s">
        <v>53</v>
      </c>
      <c r="C45" s="5" t="s">
        <v>1</v>
      </c>
      <c r="D45" s="2" t="s">
        <v>385</v>
      </c>
      <c r="E45" s="6">
        <f>SUM(E46:E51)</f>
        <v>37.372061878400011</v>
      </c>
      <c r="F45" s="6">
        <f>SUM(F46:F51)</f>
        <v>42.930192094100001</v>
      </c>
      <c r="G45" s="84">
        <f t="shared" ref="G45:R45" si="11">SUM(G46:G51)</f>
        <v>42.708004907099998</v>
      </c>
      <c r="H45" s="6">
        <f t="shared" si="11"/>
        <v>41.569491633799998</v>
      </c>
      <c r="I45" s="85">
        <f t="shared" si="11"/>
        <v>40.886772628400003</v>
      </c>
      <c r="J45" s="84">
        <f t="shared" si="11"/>
        <v>40.660344900600009</v>
      </c>
      <c r="K45" s="6">
        <f t="shared" si="11"/>
        <v>40.506073804400003</v>
      </c>
      <c r="L45" s="6">
        <f t="shared" si="11"/>
        <v>41.090187714199999</v>
      </c>
      <c r="M45" s="6">
        <f t="shared" si="11"/>
        <v>40.456145170399992</v>
      </c>
      <c r="N45" s="85">
        <f t="shared" si="11"/>
        <v>39.720198007099995</v>
      </c>
      <c r="O45" s="84">
        <f t="shared" si="11"/>
        <v>39.083952846500004</v>
      </c>
      <c r="P45" s="6">
        <f t="shared" si="11"/>
        <v>38.615052913199989</v>
      </c>
      <c r="Q45" s="6">
        <f t="shared" si="11"/>
        <v>38.117543353699993</v>
      </c>
      <c r="R45" s="6">
        <f t="shared" si="11"/>
        <v>37.047092994900005</v>
      </c>
      <c r="S45" s="85">
        <f>SUM(S46:S51)</f>
        <v>35.970532824300001</v>
      </c>
      <c r="T45" s="94">
        <f>SUM(T46:T51)</f>
        <v>34.238831021999999</v>
      </c>
      <c r="U45" s="94">
        <f>SUM(U46:U51)</f>
        <v>32.401009370000004</v>
      </c>
      <c r="V45" s="94">
        <f>SUM(V46:V51)</f>
        <v>32.510553492999989</v>
      </c>
      <c r="W45" s="94">
        <f>SUM(W46:W51)</f>
        <v>30.445135961999998</v>
      </c>
      <c r="X45" s="3"/>
      <c r="Z45" s="197" t="s">
        <v>459</v>
      </c>
      <c r="AA45" s="16">
        <f>SUM(I47,I49:I51)</f>
        <v>12.459379790900002</v>
      </c>
      <c r="AB45" s="16">
        <f>S47+SUM(S49:S51)</f>
        <v>16.159740878299999</v>
      </c>
      <c r="AC45" s="86">
        <f>W47+SUM(W49:W51)</f>
        <v>16.154679578</v>
      </c>
    </row>
    <row r="46" spans="1:39" x14ac:dyDescent="0.25">
      <c r="A46" s="3"/>
      <c r="B46" s="319"/>
      <c r="C46" s="3" t="s">
        <v>13</v>
      </c>
      <c r="D46" s="3" t="s">
        <v>386</v>
      </c>
      <c r="E46" s="16">
        <f>VLOOKUP($D46,Résultats!$B$2:$AX$476,E$5,FALSE)</f>
        <v>34.363958760000003</v>
      </c>
      <c r="F46" s="16">
        <f>VLOOKUP($D46,Résultats!$B$2:$AX$476,F$5,FALSE)</f>
        <v>30.01764769</v>
      </c>
      <c r="G46" s="22">
        <f>VLOOKUP($D46,Résultats!$B$2:$AX$476,G$5,FALSE)</f>
        <v>29.482424479999999</v>
      </c>
      <c r="H46" s="16">
        <f>VLOOKUP($D46,Résultats!$B$2:$AX$476,H$5,FALSE)</f>
        <v>28.573677400000001</v>
      </c>
      <c r="I46" s="86">
        <f>VLOOKUP($D46,Résultats!$B$2:$AX$476,I$5,FALSE)</f>
        <v>27.983827789999999</v>
      </c>
      <c r="J46" s="22">
        <f>VLOOKUP($D46,Résultats!$B$2:$AX$476,J$5,FALSE)</f>
        <v>26.703577689999999</v>
      </c>
      <c r="K46" s="16">
        <f>VLOOKUP($D46,Résultats!$B$2:$AX$476,K$5,FALSE)</f>
        <v>25.454430800000001</v>
      </c>
      <c r="L46" s="16">
        <f>VLOOKUP($D46,Résultats!$B$2:$AX$476,L$5,FALSE)</f>
        <v>24.382255319999999</v>
      </c>
      <c r="M46" s="16">
        <f>VLOOKUP($D46,Résultats!$B$2:$AX$476,M$5,FALSE)</f>
        <v>23.901842850000001</v>
      </c>
      <c r="N46" s="86">
        <f>VLOOKUP($D46,Résultats!$B$2:$AX$476,N$5,FALSE)</f>
        <v>23.04853679</v>
      </c>
      <c r="O46" s="22">
        <f>VLOOKUP($D46,Résultats!$B$2:$AX$476,O$5,FALSE)</f>
        <v>21.758382579999999</v>
      </c>
      <c r="P46" s="16">
        <f>VLOOKUP($D46,Résultats!$B$2:$AX$476,P$5,FALSE)</f>
        <v>20.598458350000001</v>
      </c>
      <c r="Q46" s="16">
        <f>VLOOKUP($D46,Résultats!$B$2:$AX$476,Q$5,FALSE)</f>
        <v>19.453226539999999</v>
      </c>
      <c r="R46" s="16">
        <f>VLOOKUP($D46,Résultats!$B$2:$AX$476,R$5,FALSE)</f>
        <v>18.089432330000001</v>
      </c>
      <c r="S46" s="86">
        <f>VLOOKUP($D46,Résultats!$B$2:$AX$476,S$5,FALSE)</f>
        <v>16.772693539999999</v>
      </c>
      <c r="T46" s="95">
        <f>VLOOKUP($D46,Résultats!$B$2:$AX$476,T$5,FALSE)</f>
        <v>9.6222855890000005</v>
      </c>
      <c r="U46" s="95">
        <f>VLOOKUP($D46,Résultats!$B$2:$AX$476,U$5,FALSE)</f>
        <v>9.1185077329999995</v>
      </c>
      <c r="V46" s="95">
        <f>VLOOKUP($D46,Résultats!$B$2:$AX$476,V$5,FALSE)</f>
        <v>2.9725518850000001</v>
      </c>
      <c r="W46" s="95">
        <f>VLOOKUP($D46,Résultats!$B$2:$AX$476,W$5,FALSE)</f>
        <v>5.0754261989999998</v>
      </c>
      <c r="X46" s="45">
        <f>W46-'[1]Cibles THREEME'!$AJ17</f>
        <v>3.6783663883782243</v>
      </c>
      <c r="Z46" s="197" t="s">
        <v>460</v>
      </c>
      <c r="AA46" s="16">
        <f>I46+I48</f>
        <v>28.427392837500001</v>
      </c>
      <c r="AB46" s="16">
        <f>S46+S48</f>
        <v>19.810791945999998</v>
      </c>
      <c r="AC46" s="86">
        <f>W46+W48</f>
        <v>14.290456383999999</v>
      </c>
    </row>
    <row r="47" spans="1:39" x14ac:dyDescent="0.25">
      <c r="A47" s="3"/>
      <c r="B47" s="319"/>
      <c r="C47" s="3" t="s">
        <v>14</v>
      </c>
      <c r="D47" s="3" t="s">
        <v>387</v>
      </c>
      <c r="E47" s="16">
        <f>VLOOKUP($D47,Résultats!$B$2:$AX$476,E$5,FALSE)</f>
        <v>1.6086112930000001</v>
      </c>
      <c r="F47" s="16">
        <f>VLOOKUP($D47,Résultats!$B$2:$AX$476,F$5,FALSE)</f>
        <v>7.8734087690000001</v>
      </c>
      <c r="G47" s="22">
        <f>VLOOKUP($D47,Résultats!$B$2:$AX$476,G$5,FALSE)</f>
        <v>8.1042927030000005</v>
      </c>
      <c r="H47" s="16">
        <f>VLOOKUP($D47,Résultats!$B$2:$AX$476,H$5,FALSE)</f>
        <v>7.976060994</v>
      </c>
      <c r="I47" s="86">
        <f>VLOOKUP($D47,Résultats!$B$2:$AX$476,I$5,FALSE)</f>
        <v>7.9312811950000004</v>
      </c>
      <c r="J47" s="22">
        <f>VLOOKUP($D47,Résultats!$B$2:$AX$476,J$5,FALSE)</f>
        <v>8.0971548070000008</v>
      </c>
      <c r="K47" s="16">
        <f>VLOOKUP($D47,Résultats!$B$2:$AX$476,K$5,FALSE)</f>
        <v>8.2804340449999998</v>
      </c>
      <c r="L47" s="16">
        <f>VLOOKUP($D47,Résultats!$B$2:$AX$476,L$5,FALSE)</f>
        <v>8.8315488630000001</v>
      </c>
      <c r="M47" s="16">
        <f>VLOOKUP($D47,Résultats!$B$2:$AX$476,M$5,FALSE)</f>
        <v>8.3854940520000003</v>
      </c>
      <c r="N47" s="86">
        <f>VLOOKUP($D47,Résultats!$B$2:$AX$476,N$5,FALSE)</f>
        <v>8.1960579229999997</v>
      </c>
      <c r="O47" s="22">
        <f>VLOOKUP($D47,Résultats!$B$2:$AX$476,O$5,FALSE)</f>
        <v>8.1129241309999998</v>
      </c>
      <c r="P47" s="16">
        <f>VLOOKUP($D47,Résultats!$B$2:$AX$476,P$5,FALSE)</f>
        <v>8.0629486729999904</v>
      </c>
      <c r="Q47" s="16">
        <f>VLOOKUP($D47,Résultats!$B$2:$AX$476,Q$5,FALSE)</f>
        <v>8.0088626709999904</v>
      </c>
      <c r="R47" s="16">
        <f>VLOOKUP($D47,Résultats!$B$2:$AX$476,R$5,FALSE)</f>
        <v>7.8620954620000001</v>
      </c>
      <c r="S47" s="86">
        <f>VLOOKUP($D47,Résultats!$B$2:$AX$476,S$5,FALSE)</f>
        <v>7.718038054</v>
      </c>
      <c r="T47" s="95">
        <f>VLOOKUP($D47,Résultats!$B$2:$AX$476,T$5,FALSE)</f>
        <v>9.1652597500000006</v>
      </c>
      <c r="U47" s="95">
        <f>VLOOKUP($D47,Résultats!$B$2:$AX$476,U$5,FALSE)</f>
        <v>6.8676623929999998</v>
      </c>
      <c r="V47" s="95">
        <f>VLOOKUP($D47,Résultats!$B$2:$AX$476,V$5,FALSE)</f>
        <v>9.7884140819999903</v>
      </c>
      <c r="W47" s="95">
        <f>VLOOKUP($D47,Résultats!$B$2:$AX$476,W$5,FALSE)</f>
        <v>6.6551333990000003</v>
      </c>
      <c r="X47" s="45">
        <f>W47-'[1]Cibles THREEME'!$AJ18</f>
        <v>-3.7775194025308778</v>
      </c>
      <c r="Z47" s="197" t="s">
        <v>461</v>
      </c>
      <c r="AA47" s="16">
        <f>I33</f>
        <v>63.291786894000005</v>
      </c>
      <c r="AB47" s="16">
        <f>S33</f>
        <v>46.813992595000002</v>
      </c>
      <c r="AC47" s="86">
        <f>W33</f>
        <v>18.637907180999999</v>
      </c>
    </row>
    <row r="48" spans="1:39" x14ac:dyDescent="0.25">
      <c r="A48" s="3"/>
      <c r="B48" s="319"/>
      <c r="C48" s="3" t="s">
        <v>15</v>
      </c>
      <c r="D48" s="3" t="s">
        <v>388</v>
      </c>
      <c r="E48" s="16">
        <f>VLOOKUP($D48,Résultats!$B$2:$AX$476,E$5,FALSE)</f>
        <v>0.20107641170000001</v>
      </c>
      <c r="F48" s="16">
        <f>VLOOKUP($D48,Résultats!$B$2:$AX$476,F$5,FALSE)</f>
        <v>0.1330678381</v>
      </c>
      <c r="G48" s="22">
        <f>VLOOKUP($D48,Résultats!$B$2:$AX$476,G$5,FALSE)</f>
        <v>0.33130338349999999</v>
      </c>
      <c r="H48" s="16">
        <f>VLOOKUP($D48,Résultats!$B$2:$AX$476,H$5,FALSE)</f>
        <v>0.38677940389999999</v>
      </c>
      <c r="I48" s="86">
        <f>VLOOKUP($D48,Résultats!$B$2:$AX$476,I$5,FALSE)</f>
        <v>0.44356504749999998</v>
      </c>
      <c r="J48" s="22">
        <f>VLOOKUP($D48,Résultats!$B$2:$AX$476,J$5,FALSE)</f>
        <v>0.68700526340000001</v>
      </c>
      <c r="K48" s="16">
        <f>VLOOKUP($D48,Résultats!$B$2:$AX$476,K$5,FALSE)</f>
        <v>0.93522336719999999</v>
      </c>
      <c r="L48" s="16">
        <f>VLOOKUP($D48,Résultats!$B$2:$AX$476,L$5,FALSE)</f>
        <v>1.2212061089999999</v>
      </c>
      <c r="M48" s="16">
        <f>VLOOKUP($D48,Résultats!$B$2:$AX$476,M$5,FALSE)</f>
        <v>1.3032120330000001</v>
      </c>
      <c r="N48" s="86">
        <f>VLOOKUP($D48,Résultats!$B$2:$AX$476,N$5,FALSE)</f>
        <v>1.3872040729999999</v>
      </c>
      <c r="O48" s="22">
        <f>VLOOKUP($D48,Résultats!$B$2:$AX$476,O$5,FALSE)</f>
        <v>1.786515345</v>
      </c>
      <c r="P48" s="16">
        <f>VLOOKUP($D48,Résultats!$B$2:$AX$476,P$5,FALSE)</f>
        <v>2.1763291790000001</v>
      </c>
      <c r="Q48" s="16">
        <f>VLOOKUP($D48,Résultats!$B$2:$AX$476,Q$5,FALSE)</f>
        <v>2.5490970229999999</v>
      </c>
      <c r="R48" s="16">
        <f>VLOOKUP($D48,Résultats!$B$2:$AX$476,R$5,FALSE)</f>
        <v>2.805921863</v>
      </c>
      <c r="S48" s="86">
        <f>VLOOKUP($D48,Résultats!$B$2:$AX$476,S$5,FALSE)</f>
        <v>3.038098406</v>
      </c>
      <c r="T48" s="95">
        <f>VLOOKUP($D48,Résultats!$B$2:$AX$476,T$5,FALSE)</f>
        <v>5.3032604489999997</v>
      </c>
      <c r="U48" s="95">
        <f>VLOOKUP($D48,Résultats!$B$2:$AX$476,U$5,FALSE)</f>
        <v>6.7968093329999997</v>
      </c>
      <c r="V48" s="95">
        <f>VLOOKUP($D48,Résultats!$B$2:$AX$476,V$5,FALSE)</f>
        <v>8.5483298100000003</v>
      </c>
      <c r="W48" s="95">
        <f>VLOOKUP($D48,Résultats!$B$2:$AX$476,W$5,FALSE)</f>
        <v>9.2150301849999998</v>
      </c>
      <c r="X48" s="45">
        <f>W48-'[1]Cibles THREEME'!$AJ19</f>
        <v>-3.0860548545072195</v>
      </c>
      <c r="Z48" s="198" t="s">
        <v>42</v>
      </c>
      <c r="AA48" s="17">
        <f>I52</f>
        <v>2.0619886350000001</v>
      </c>
      <c r="AB48" s="17">
        <f>S52</f>
        <v>0.30087888940000002</v>
      </c>
      <c r="AC48" s="89">
        <f>W52</f>
        <v>0.1012603856</v>
      </c>
    </row>
    <row r="49" spans="1:29" x14ac:dyDescent="0.25">
      <c r="A49" s="3"/>
      <c r="B49" s="319"/>
      <c r="C49" s="3" t="s">
        <v>16</v>
      </c>
      <c r="D49" s="3" t="s">
        <v>389</v>
      </c>
      <c r="E49" s="16">
        <f>VLOOKUP($D49,Résultats!$B$2:$AX$476,E$5,FALSE)</f>
        <v>0.5951861786</v>
      </c>
      <c r="F49" s="16">
        <f>VLOOKUP($D49,Résultats!$B$2:$AX$476,F$5,FALSE)</f>
        <v>0.4723023844</v>
      </c>
      <c r="G49" s="22">
        <f>VLOOKUP($D49,Résultats!$B$2:$AX$476,G$5,FALSE)</f>
        <v>1.1252393510000001</v>
      </c>
      <c r="H49" s="16">
        <f>VLOOKUP($D49,Résultats!$B$2:$AX$476,H$5,FALSE)</f>
        <v>1.307113347</v>
      </c>
      <c r="I49" s="86">
        <f>VLOOKUP($D49,Résultats!$B$2:$AX$476,I$5,FALSE)</f>
        <v>1.493661913</v>
      </c>
      <c r="J49" s="22">
        <f>VLOOKUP($D49,Résultats!$B$2:$AX$476,J$5,FALSE)</f>
        <v>1.547620293</v>
      </c>
      <c r="K49" s="16">
        <f>VLOOKUP($D49,Résultats!$B$2:$AX$476,K$5,FALSE)</f>
        <v>1.6052257299999999</v>
      </c>
      <c r="L49" s="16">
        <f>VLOOKUP($D49,Résultats!$B$2:$AX$476,L$5,FALSE)</f>
        <v>1.7002153739999999</v>
      </c>
      <c r="M49" s="16">
        <f>VLOOKUP($D49,Résultats!$B$2:$AX$476,M$5,FALSE)</f>
        <v>1.428336077</v>
      </c>
      <c r="N49" s="86">
        <f>VLOOKUP($D49,Résultats!$B$2:$AX$476,N$5,FALSE)</f>
        <v>1.2169535869999999</v>
      </c>
      <c r="O49" s="22">
        <f>VLOOKUP($D49,Résultats!$B$2:$AX$476,O$5,FALSE)</f>
        <v>1.2343695379999999</v>
      </c>
      <c r="P49" s="16">
        <f>VLOOKUP($D49,Résultats!$B$2:$AX$476,P$5,FALSE)</f>
        <v>1.255586351</v>
      </c>
      <c r="Q49" s="16">
        <f>VLOOKUP($D49,Résultats!$B$2:$AX$476,Q$5,FALSE)</f>
        <v>1.2746842119999999</v>
      </c>
      <c r="R49" s="16">
        <f>VLOOKUP($D49,Résultats!$B$2:$AX$476,R$5,FALSE)</f>
        <v>1.2631864349999999</v>
      </c>
      <c r="S49" s="86">
        <f>VLOOKUP($D49,Résultats!$B$2:$AX$476,S$5,FALSE)</f>
        <v>1.2501256030000001</v>
      </c>
      <c r="T49" s="95">
        <f>VLOOKUP($D49,Résultats!$B$2:$AX$476,T$5,FALSE)</f>
        <v>1.3250065870000001</v>
      </c>
      <c r="U49" s="95">
        <f>VLOOKUP($D49,Résultats!$B$2:$AX$476,U$5,FALSE)</f>
        <v>1.060097273</v>
      </c>
      <c r="V49" s="95">
        <f>VLOOKUP($D49,Résultats!$B$2:$AX$476,V$5,FALSE)</f>
        <v>1.321765876</v>
      </c>
      <c r="W49" s="95">
        <f>VLOOKUP($D49,Résultats!$B$2:$AX$476,W$5,FALSE)</f>
        <v>0.94979532799999999</v>
      </c>
      <c r="X49" s="45">
        <f>W49-'[1]Cibles THREEME'!$AJ20</f>
        <v>0.25066559288588575</v>
      </c>
      <c r="Z49" s="189" t="s">
        <v>485</v>
      </c>
      <c r="AA49" s="189">
        <f>SUM(AA44:AA48)</f>
        <v>144.13880760550003</v>
      </c>
      <c r="AB49" s="189">
        <f t="shared" ref="AB49:AC49" si="12">SUM(AB44:AB48)</f>
        <v>124.486608369</v>
      </c>
      <c r="AC49" s="189">
        <f t="shared" si="12"/>
        <v>90.485374393200004</v>
      </c>
    </row>
    <row r="50" spans="1:29" x14ac:dyDescent="0.25">
      <c r="A50" s="3"/>
      <c r="B50" s="319"/>
      <c r="C50" s="3" t="s">
        <v>17</v>
      </c>
      <c r="D50" s="3" t="s">
        <v>390</v>
      </c>
      <c r="E50" s="16">
        <f>VLOOKUP($D50,Résultats!$B$2:$AX$476,E$5,FALSE)</f>
        <v>0.20107641170000001</v>
      </c>
      <c r="F50" s="16">
        <f>VLOOKUP($D50,Résultats!$B$2:$AX$476,F$5,FALSE)</f>
        <v>0.2262238026</v>
      </c>
      <c r="G50" s="22">
        <f>VLOOKUP($D50,Résultats!$B$2:$AX$476,G$5,FALSE)</f>
        <v>0.33333396259999998</v>
      </c>
      <c r="H50" s="16">
        <f>VLOOKUP($D50,Résultats!$B$2:$AX$476,H$5,FALSE)</f>
        <v>0.35945283690000002</v>
      </c>
      <c r="I50" s="86">
        <f>VLOOKUP($D50,Résultats!$B$2:$AX$476,I$5,FALSE)</f>
        <v>0.38791739289999999</v>
      </c>
      <c r="J50" s="22">
        <f>VLOOKUP($D50,Résultats!$B$2:$AX$476,J$5,FALSE)</f>
        <v>0.45905963220000001</v>
      </c>
      <c r="K50" s="16">
        <f>VLOOKUP($D50,Résultats!$B$2:$AX$476,K$5,FALSE)</f>
        <v>0.53207721720000001</v>
      </c>
      <c r="L50" s="16">
        <f>VLOOKUP($D50,Résultats!$B$2:$AX$476,L$5,FALSE)</f>
        <v>0.63877437619999999</v>
      </c>
      <c r="M50" s="16">
        <f>VLOOKUP($D50,Résultats!$B$2:$AX$476,M$5,FALSE)</f>
        <v>0.60007964439999995</v>
      </c>
      <c r="N50" s="86">
        <f>VLOOKUP($D50,Résultats!$B$2:$AX$476,N$5,FALSE)</f>
        <v>0.59250059909999997</v>
      </c>
      <c r="O50" s="22">
        <f>VLOOKUP($D50,Résultats!$B$2:$AX$476,O$5,FALSE)</f>
        <v>0.62901695349999998</v>
      </c>
      <c r="P50" s="16">
        <f>VLOOKUP($D50,Résultats!$B$2:$AX$476,P$5,FALSE)</f>
        <v>0.66639198820000001</v>
      </c>
      <c r="Q50" s="16">
        <f>VLOOKUP($D50,Résultats!$B$2:$AX$476,Q$5,FALSE)</f>
        <v>0.70194063770000004</v>
      </c>
      <c r="R50" s="16">
        <f>VLOOKUP($D50,Résultats!$B$2:$AX$476,R$5,FALSE)</f>
        <v>0.72921042790000001</v>
      </c>
      <c r="S50" s="86">
        <f>VLOOKUP($D50,Résultats!$B$2:$AX$476,S$5,FALSE)</f>
        <v>0.75385056429999997</v>
      </c>
      <c r="T50" s="95">
        <f>VLOOKUP($D50,Résultats!$B$2:$AX$476,T$5,FALSE)</f>
        <v>1.2210864450000001</v>
      </c>
      <c r="U50" s="95">
        <f>VLOOKUP($D50,Résultats!$B$2:$AX$476,U$5,FALSE)</f>
        <v>1.0002710880000001</v>
      </c>
      <c r="V50" s="95">
        <f>VLOOKUP($D50,Résultats!$B$2:$AX$476,V$5,FALSE)</f>
        <v>1.4403643349999999</v>
      </c>
      <c r="W50" s="95">
        <f>VLOOKUP($D50,Résultats!$B$2:$AX$476,W$5,FALSE)</f>
        <v>1.0681326440000001</v>
      </c>
      <c r="X50" s="45">
        <f>W50-'[1]Cibles THREEME'!$AJ21</f>
        <v>0.12516877397594972</v>
      </c>
    </row>
    <row r="51" spans="1:29" x14ac:dyDescent="0.25">
      <c r="A51" s="3"/>
      <c r="B51" s="320"/>
      <c r="C51" s="7" t="s">
        <v>12</v>
      </c>
      <c r="D51" s="3" t="s">
        <v>391</v>
      </c>
      <c r="E51" s="17">
        <f>VLOOKUP($D51,Résultats!$B$2:$AX$476,E$5,FALSE)</f>
        <v>0.40215282340000003</v>
      </c>
      <c r="F51" s="17">
        <f>VLOOKUP($D51,Résultats!$B$2:$AX$476,F$5,FALSE)</f>
        <v>4.2075416099999998</v>
      </c>
      <c r="G51" s="88">
        <f>VLOOKUP($D51,Résultats!$B$2:$AX$476,G$5,FALSE)</f>
        <v>3.3314110270000001</v>
      </c>
      <c r="H51" s="17">
        <f>VLOOKUP($D51,Résultats!$B$2:$AX$476,H$5,FALSE)</f>
        <v>2.966407652</v>
      </c>
      <c r="I51" s="89">
        <f>VLOOKUP($D51,Résultats!$B$2:$AX$476,I$5,FALSE)</f>
        <v>2.6465192900000001</v>
      </c>
      <c r="J51" s="88">
        <f>VLOOKUP($D51,Résultats!$B$2:$AX$476,J$5,FALSE)</f>
        <v>3.165927215</v>
      </c>
      <c r="K51" s="17">
        <f>VLOOKUP($D51,Résultats!$B$2:$AX$476,K$5,FALSE)</f>
        <v>3.6986826449999999</v>
      </c>
      <c r="L51" s="17">
        <f>VLOOKUP($D51,Résultats!$B$2:$AX$476,L$5,FALSE)</f>
        <v>4.3161876719999999</v>
      </c>
      <c r="M51" s="17">
        <f>VLOOKUP($D51,Résultats!$B$2:$AX$476,M$5,FALSE)</f>
        <v>4.8371805139999999</v>
      </c>
      <c r="N51" s="89">
        <f>VLOOKUP($D51,Résultats!$B$2:$AX$476,N$5,FALSE)</f>
        <v>5.2789450349999996</v>
      </c>
      <c r="O51" s="88">
        <f>VLOOKUP($D51,Résultats!$B$2:$AX$476,O$5,FALSE)</f>
        <v>5.5627442990000002</v>
      </c>
      <c r="P51" s="17">
        <f>VLOOKUP($D51,Résultats!$B$2:$AX$476,P$5,FALSE)</f>
        <v>5.8553383720000003</v>
      </c>
      <c r="Q51" s="17">
        <f>VLOOKUP($D51,Résultats!$B$2:$AX$476,Q$5,FALSE)</f>
        <v>6.1297322699999999</v>
      </c>
      <c r="R51" s="17">
        <f>VLOOKUP($D51,Résultats!$B$2:$AX$476,R$5,FALSE)</f>
        <v>6.2972464769999998</v>
      </c>
      <c r="S51" s="89">
        <f>VLOOKUP($D51,Résultats!$B$2:$AX$476,S$5,FALSE)</f>
        <v>6.4377266569999998</v>
      </c>
      <c r="T51" s="97">
        <f>VLOOKUP($D51,Résultats!$B$2:$AX$476,T$5,FALSE)</f>
        <v>7.6019322020000004</v>
      </c>
      <c r="U51" s="97">
        <f>VLOOKUP($D51,Résultats!$B$2:$AX$476,U$5,FALSE)</f>
        <v>7.5576615499999997</v>
      </c>
      <c r="V51" s="97">
        <f>VLOOKUP($D51,Résultats!$B$2:$AX$476,V$5,FALSE)</f>
        <v>8.4391275050000001</v>
      </c>
      <c r="W51" s="97">
        <f>VLOOKUP($D51,Résultats!$B$2:$AX$476,W$5,FALSE)</f>
        <v>7.4816182070000004</v>
      </c>
      <c r="X51" s="45">
        <f>W51-'[1]Cibles THREEME'!$AJ22</f>
        <v>0.72029781546759164</v>
      </c>
    </row>
    <row r="52" spans="1:29" x14ac:dyDescent="0.25">
      <c r="A52" s="3"/>
      <c r="B52" s="170" t="s">
        <v>8</v>
      </c>
      <c r="C52" s="2"/>
      <c r="D52" s="14" t="s">
        <v>392</v>
      </c>
      <c r="E52" s="6">
        <f>VLOOKUP($D52,Résultats!$B$2:$AX$476,E$5,FALSE)</f>
        <v>5.7508898210000003</v>
      </c>
      <c r="F52" s="6">
        <f>VLOOKUP($D52,Résultats!$B$2:$AX$476,F$5,FALSE)</f>
        <v>4.2214297710000004</v>
      </c>
      <c r="G52" s="84">
        <f>VLOOKUP($D52,Résultats!$B$2:$AX$476,G$5,FALSE)</f>
        <v>2.4634599189999999</v>
      </c>
      <c r="H52" s="6">
        <f>VLOOKUP($D52,Résultats!$B$2:$AX$476,H$5,FALSE)</f>
        <v>2.2489715270000001</v>
      </c>
      <c r="I52" s="85">
        <f>VLOOKUP($D52,Résultats!$B$2:$AX$476,I$5,FALSE)</f>
        <v>2.0619886350000001</v>
      </c>
      <c r="J52" s="84">
        <f>VLOOKUP($D52,Résultats!$B$2:$AX$476,J$5,FALSE)</f>
        <v>2.0383166699999999</v>
      </c>
      <c r="K52" s="6">
        <f>VLOOKUP($D52,Résultats!$B$2:$AX$476,K$5,FALSE)</f>
        <v>2.0048984239999998</v>
      </c>
      <c r="L52" s="6">
        <f>VLOOKUP($D52,Résultats!$B$2:$AX$476,L$5,FALSE)</f>
        <v>1.7046678310000001</v>
      </c>
      <c r="M52" s="6">
        <f>VLOOKUP($D52,Résultats!$B$2:$AX$476,M$5,FALSE)</f>
        <v>1.317978573</v>
      </c>
      <c r="N52" s="85">
        <f>VLOOKUP($D52,Résultats!$B$2:$AX$476,N$5,FALSE)</f>
        <v>0.9619542485</v>
      </c>
      <c r="O52" s="84">
        <f>VLOOKUP($D52,Résultats!$B$2:$AX$476,O$5,FALSE)</f>
        <v>0.72000583520000005</v>
      </c>
      <c r="P52" s="6">
        <f>VLOOKUP($D52,Résultats!$B$2:$AX$476,P$5,FALSE)</f>
        <v>0.55713873039999995</v>
      </c>
      <c r="Q52" s="6">
        <f>VLOOKUP($D52,Résultats!$B$2:$AX$476,Q$5,FALSE)</f>
        <v>0.44324080300000002</v>
      </c>
      <c r="R52" s="6">
        <f>VLOOKUP($D52,Résultats!$B$2:$AX$476,R$5,FALSE)</f>
        <v>0.36088030929999998</v>
      </c>
      <c r="S52" s="85">
        <f>VLOOKUP($D52,Résultats!$B$2:$AX$476,S$5,FALSE)</f>
        <v>0.30087888940000002</v>
      </c>
      <c r="T52" s="94">
        <f>VLOOKUP($D52,Résultats!$B$2:$AX$476,T$5,FALSE)</f>
        <v>0.19125711279999999</v>
      </c>
      <c r="U52" s="94">
        <f>VLOOKUP($D52,Résultats!$B$2:$AX$476,U$5,FALSE)</f>
        <v>0.14842834420000001</v>
      </c>
      <c r="V52" s="94">
        <f>VLOOKUP($D52,Résultats!$B$2:$AX$476,V$5,FALSE)</f>
        <v>0.1198993698</v>
      </c>
      <c r="W52" s="94">
        <f>VLOOKUP($D52,Résultats!$B$2:$AX$476,W$5,FALSE)</f>
        <v>0.1012603856</v>
      </c>
      <c r="X52" s="3"/>
    </row>
    <row r="53" spans="1:29" x14ac:dyDescent="0.25">
      <c r="A53" s="3"/>
      <c r="B53" s="169" t="s">
        <v>1</v>
      </c>
      <c r="C53" s="2"/>
      <c r="D53" s="2" t="s">
        <v>393</v>
      </c>
      <c r="E53" s="9">
        <f>E52+E45+E36+E33</f>
        <v>160.99351535389999</v>
      </c>
      <c r="F53" s="9">
        <f>F52+F45+F36+F33</f>
        <v>157.82619345220002</v>
      </c>
      <c r="G53" s="23">
        <f t="shared" ref="G53:R53" si="13">G52+G45+G36+G33</f>
        <v>149.88882207899999</v>
      </c>
      <c r="H53" s="9">
        <f t="shared" si="13"/>
        <v>146.90606556029999</v>
      </c>
      <c r="I53" s="90">
        <f t="shared" si="13"/>
        <v>144.13880760550001</v>
      </c>
      <c r="J53" s="23">
        <f t="shared" si="13"/>
        <v>143.94620847260001</v>
      </c>
      <c r="K53" s="9">
        <f t="shared" si="13"/>
        <v>143.4878379287</v>
      </c>
      <c r="L53" s="9">
        <f t="shared" si="13"/>
        <v>142.8973677212</v>
      </c>
      <c r="M53" s="9">
        <f t="shared" si="13"/>
        <v>141.18756867529999</v>
      </c>
      <c r="N53" s="90">
        <f t="shared" si="13"/>
        <v>138.45300031580001</v>
      </c>
      <c r="O53" s="23">
        <f t="shared" si="13"/>
        <v>135.50987478799999</v>
      </c>
      <c r="P53" s="9">
        <f t="shared" si="13"/>
        <v>132.86074939879998</v>
      </c>
      <c r="Q53" s="9">
        <f t="shared" si="13"/>
        <v>130.28256756549999</v>
      </c>
      <c r="R53" s="9">
        <f t="shared" si="13"/>
        <v>127.33757354079999</v>
      </c>
      <c r="S53" s="90">
        <f>S52+S45+S36+S33</f>
        <v>124.48660836900001</v>
      </c>
      <c r="T53" s="98">
        <f>T52+T45+T36+T33</f>
        <v>112.88668067191</v>
      </c>
      <c r="U53" s="98">
        <f>U52+U45+U36+U33</f>
        <v>103.55231018604</v>
      </c>
      <c r="V53" s="98">
        <f>V52+V45+V36+V33</f>
        <v>97.077621952699985</v>
      </c>
      <c r="W53" s="98">
        <f>W52+W45+W36+W33</f>
        <v>90.485374393200004</v>
      </c>
      <c r="X53" s="3"/>
    </row>
    <row r="54" spans="1:29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spans="1:29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spans="1:29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spans="1:29" s="3" customFormat="1" x14ac:dyDescent="0.25"/>
    <row r="58" spans="1:29" s="3" customFormat="1" x14ac:dyDescent="0.25"/>
    <row r="59" spans="1:29" s="3" customFormat="1" x14ac:dyDescent="0.25"/>
    <row r="60" spans="1:29" s="3" customFormat="1" x14ac:dyDescent="0.25"/>
    <row r="61" spans="1:29" s="3" customFormat="1" x14ac:dyDescent="0.25"/>
    <row r="62" spans="1:29" s="3" customFormat="1" x14ac:dyDescent="0.25"/>
    <row r="63" spans="1:29" s="3" customFormat="1" x14ac:dyDescent="0.25"/>
    <row r="64" spans="1:29" s="3" customFormat="1" x14ac:dyDescent="0.25"/>
    <row r="65" s="3" customFormat="1" x14ac:dyDescent="0.25"/>
    <row r="66" s="3" customFormat="1" x14ac:dyDescent="0.25"/>
    <row r="67" s="3" customFormat="1" x14ac:dyDescent="0.25"/>
    <row r="68" s="3" customFormat="1" x14ac:dyDescent="0.25"/>
    <row r="69" s="3" customFormat="1" x14ac:dyDescent="0.25"/>
    <row r="70" s="3" customFormat="1" x14ac:dyDescent="0.25"/>
    <row r="71" s="3" customFormat="1" x14ac:dyDescent="0.25"/>
    <row r="72" s="3" customFormat="1" x14ac:dyDescent="0.25"/>
    <row r="73" s="3" customFormat="1" x14ac:dyDescent="0.25"/>
    <row r="74" s="3" customFormat="1" x14ac:dyDescent="0.25"/>
    <row r="75" s="3" customFormat="1" x14ac:dyDescent="0.25"/>
    <row r="76" s="3" customFormat="1" x14ac:dyDescent="0.25"/>
    <row r="77" s="3" customFormat="1" x14ac:dyDescent="0.25"/>
    <row r="78" s="3" customFormat="1" x14ac:dyDescent="0.25"/>
    <row r="79" s="3" customFormat="1" x14ac:dyDescent="0.25"/>
    <row r="80" s="3" customFormat="1" x14ac:dyDescent="0.25"/>
    <row r="81" s="3" customFormat="1" x14ac:dyDescent="0.25"/>
    <row r="82" s="3" customFormat="1" x14ac:dyDescent="0.25"/>
    <row r="83" s="3" customFormat="1" x14ac:dyDescent="0.25"/>
    <row r="84" s="3" customFormat="1" x14ac:dyDescent="0.25"/>
    <row r="85" s="3" customFormat="1" x14ac:dyDescent="0.25"/>
    <row r="86" s="3" customFormat="1" x14ac:dyDescent="0.25"/>
    <row r="87" s="3" customFormat="1" x14ac:dyDescent="0.25"/>
    <row r="88" s="3" customFormat="1" x14ac:dyDescent="0.25"/>
    <row r="89" s="3" customFormat="1" x14ac:dyDescent="0.25"/>
    <row r="90" s="3" customFormat="1" x14ac:dyDescent="0.25"/>
    <row r="91" s="3" customFormat="1" x14ac:dyDescent="0.25"/>
    <row r="92" s="3" customFormat="1" x14ac:dyDescent="0.25"/>
    <row r="93" s="3" customFormat="1" x14ac:dyDescent="0.25"/>
    <row r="94" s="3" customFormat="1" x14ac:dyDescent="0.25"/>
    <row r="95" s="3" customFormat="1" x14ac:dyDescent="0.25"/>
    <row r="96" s="3" customFormat="1" x14ac:dyDescent="0.25"/>
    <row r="97" s="3" customFormat="1" x14ac:dyDescent="0.25"/>
    <row r="98" s="3" customFormat="1" x14ac:dyDescent="0.25"/>
    <row r="99" s="3" customFormat="1" x14ac:dyDescent="0.25"/>
    <row r="100" s="3" customFormat="1" x14ac:dyDescent="0.25"/>
    <row r="101" s="3" customFormat="1" x14ac:dyDescent="0.25"/>
    <row r="102" s="3" customFormat="1" x14ac:dyDescent="0.25"/>
    <row r="103" s="3" customFormat="1" x14ac:dyDescent="0.25"/>
    <row r="104" s="3" customFormat="1" x14ac:dyDescent="0.25"/>
    <row r="105" s="3" customFormat="1" x14ac:dyDescent="0.25"/>
    <row r="106" s="3" customFormat="1" x14ac:dyDescent="0.25"/>
    <row r="107" s="3" customFormat="1" x14ac:dyDescent="0.25"/>
    <row r="108" s="3" customFormat="1" x14ac:dyDescent="0.25"/>
    <row r="109" s="3" customFormat="1" x14ac:dyDescent="0.25"/>
    <row r="110" s="3" customFormat="1" x14ac:dyDescent="0.25"/>
    <row r="111" s="3" customFormat="1" x14ac:dyDescent="0.25"/>
    <row r="112" s="3" customFormat="1" x14ac:dyDescent="0.25"/>
    <row r="113" s="3" customFormat="1" x14ac:dyDescent="0.25"/>
    <row r="114" s="3" customFormat="1" x14ac:dyDescent="0.25"/>
    <row r="115" s="3" customFormat="1" x14ac:dyDescent="0.25"/>
    <row r="116" s="3" customFormat="1" x14ac:dyDescent="0.25"/>
    <row r="117" s="3" customFormat="1" x14ac:dyDescent="0.25"/>
    <row r="118" s="3" customFormat="1" x14ac:dyDescent="0.25"/>
    <row r="119" s="3" customFormat="1" x14ac:dyDescent="0.25"/>
    <row r="120" s="3" customFormat="1" x14ac:dyDescent="0.25"/>
    <row r="121" s="3" customFormat="1" x14ac:dyDescent="0.25"/>
    <row r="122" s="3" customFormat="1" x14ac:dyDescent="0.25"/>
    <row r="123" s="3" customFormat="1" x14ac:dyDescent="0.25"/>
    <row r="124" s="3" customFormat="1" x14ac:dyDescent="0.25"/>
    <row r="125" s="3" customFormat="1" x14ac:dyDescent="0.25"/>
    <row r="126" s="3" customFormat="1" x14ac:dyDescent="0.25"/>
    <row r="127" s="3" customFormat="1" x14ac:dyDescent="0.25"/>
    <row r="128" s="3" customFormat="1" x14ac:dyDescent="0.25"/>
    <row r="129" s="3" customFormat="1" x14ac:dyDescent="0.25"/>
    <row r="130" s="3" customFormat="1" x14ac:dyDescent="0.25"/>
    <row r="131" s="3" customFormat="1" x14ac:dyDescent="0.25"/>
    <row r="132" s="3" customFormat="1" x14ac:dyDescent="0.25"/>
    <row r="133" s="3" customFormat="1" x14ac:dyDescent="0.25"/>
    <row r="134" s="3" customFormat="1" x14ac:dyDescent="0.25"/>
    <row r="135" s="3" customFormat="1" x14ac:dyDescent="0.25"/>
    <row r="136" s="3" customFormat="1" x14ac:dyDescent="0.25"/>
    <row r="137" s="3" customFormat="1" x14ac:dyDescent="0.25"/>
    <row r="138" s="3" customFormat="1" x14ac:dyDescent="0.25"/>
    <row r="139" s="3" customFormat="1" x14ac:dyDescent="0.25"/>
    <row r="140" s="3" customFormat="1" x14ac:dyDescent="0.25"/>
    <row r="141" s="3" customFormat="1" x14ac:dyDescent="0.25"/>
    <row r="142" s="3" customFormat="1" x14ac:dyDescent="0.25"/>
    <row r="143" s="3" customFormat="1" x14ac:dyDescent="0.25"/>
    <row r="144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="3" customFormat="1" x14ac:dyDescent="0.25"/>
    <row r="194" s="3" customFormat="1" x14ac:dyDescent="0.25"/>
    <row r="195" s="3" customFormat="1" x14ac:dyDescent="0.25"/>
    <row r="196" s="3" customFormat="1" x14ac:dyDescent="0.25"/>
    <row r="197" s="3" customFormat="1" x14ac:dyDescent="0.25"/>
    <row r="198" s="3" customFormat="1" x14ac:dyDescent="0.25"/>
    <row r="199" s="3" customFormat="1" x14ac:dyDescent="0.25"/>
    <row r="200" s="3" customFormat="1" x14ac:dyDescent="0.25"/>
    <row r="201" s="3" customFormat="1" x14ac:dyDescent="0.25"/>
    <row r="202" s="3" customFormat="1" x14ac:dyDescent="0.25"/>
    <row r="203" s="3" customFormat="1" x14ac:dyDescent="0.25"/>
    <row r="204" s="3" customFormat="1" x14ac:dyDescent="0.25"/>
    <row r="205" s="3" customFormat="1" x14ac:dyDescent="0.25"/>
    <row r="206" s="3" customFormat="1" x14ac:dyDescent="0.25"/>
    <row r="207" s="3" customFormat="1" x14ac:dyDescent="0.25"/>
    <row r="208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  <row r="372" s="3" customFormat="1" x14ac:dyDescent="0.25"/>
    <row r="373" s="3" customFormat="1" x14ac:dyDescent="0.25"/>
    <row r="374" s="3" customFormat="1" x14ac:dyDescent="0.25"/>
    <row r="375" s="3" customFormat="1" x14ac:dyDescent="0.25"/>
    <row r="376" s="3" customFormat="1" x14ac:dyDescent="0.25"/>
    <row r="377" s="3" customFormat="1" x14ac:dyDescent="0.25"/>
    <row r="378" s="3" customFormat="1" x14ac:dyDescent="0.25"/>
    <row r="379" s="3" customFormat="1" x14ac:dyDescent="0.25"/>
    <row r="380" s="3" customFormat="1" x14ac:dyDescent="0.25"/>
    <row r="381" s="3" customFormat="1" x14ac:dyDescent="0.25"/>
    <row r="382" s="3" customFormat="1" x14ac:dyDescent="0.25"/>
    <row r="383" s="3" customFormat="1" x14ac:dyDescent="0.25"/>
    <row r="384" s="3" customFormat="1" x14ac:dyDescent="0.25"/>
    <row r="385" s="3" customFormat="1" x14ac:dyDescent="0.25"/>
    <row r="386" s="3" customFormat="1" x14ac:dyDescent="0.25"/>
    <row r="387" s="3" customFormat="1" x14ac:dyDescent="0.25"/>
    <row r="388" s="3" customFormat="1" x14ac:dyDescent="0.25"/>
    <row r="389" s="3" customFormat="1" x14ac:dyDescent="0.25"/>
    <row r="390" s="3" customFormat="1" x14ac:dyDescent="0.25"/>
    <row r="391" s="3" customFormat="1" x14ac:dyDescent="0.25"/>
    <row r="392" s="3" customFormat="1" x14ac:dyDescent="0.25"/>
    <row r="393" s="3" customFormat="1" x14ac:dyDescent="0.25"/>
    <row r="394" s="3" customFormat="1" x14ac:dyDescent="0.25"/>
    <row r="395" s="3" customFormat="1" x14ac:dyDescent="0.25"/>
    <row r="396" s="3" customFormat="1" x14ac:dyDescent="0.25"/>
    <row r="397" s="3" customFormat="1" x14ac:dyDescent="0.25"/>
    <row r="398" s="3" customFormat="1" x14ac:dyDescent="0.25"/>
    <row r="399" s="3" customFormat="1" x14ac:dyDescent="0.25"/>
    <row r="400" s="3" customFormat="1" x14ac:dyDescent="0.25"/>
    <row r="401" s="3" customFormat="1" x14ac:dyDescent="0.25"/>
    <row r="402" s="3" customFormat="1" x14ac:dyDescent="0.25"/>
    <row r="403" s="3" customFormat="1" x14ac:dyDescent="0.25"/>
    <row r="404" s="3" customFormat="1" x14ac:dyDescent="0.25"/>
    <row r="405" s="3" customFormat="1" x14ac:dyDescent="0.25"/>
    <row r="406" s="3" customFormat="1" x14ac:dyDescent="0.25"/>
    <row r="407" s="3" customFormat="1" x14ac:dyDescent="0.25"/>
    <row r="408" s="3" customFormat="1" x14ac:dyDescent="0.25"/>
    <row r="409" s="3" customFormat="1" x14ac:dyDescent="0.25"/>
    <row r="410" s="3" customFormat="1" x14ac:dyDescent="0.25"/>
    <row r="411" s="3" customFormat="1" x14ac:dyDescent="0.25"/>
    <row r="412" s="3" customFormat="1" x14ac:dyDescent="0.25"/>
    <row r="413" s="3" customFormat="1" x14ac:dyDescent="0.25"/>
    <row r="414" s="3" customFormat="1" x14ac:dyDescent="0.25"/>
    <row r="415" s="3" customFormat="1" x14ac:dyDescent="0.25"/>
    <row r="416" s="3" customFormat="1" x14ac:dyDescent="0.25"/>
    <row r="417" s="3" customFormat="1" x14ac:dyDescent="0.25"/>
    <row r="418" s="3" customFormat="1" x14ac:dyDescent="0.25"/>
    <row r="419" s="3" customFormat="1" x14ac:dyDescent="0.25"/>
    <row r="420" s="3" customFormat="1" x14ac:dyDescent="0.25"/>
    <row r="421" s="3" customFormat="1" x14ac:dyDescent="0.25"/>
    <row r="422" s="3" customFormat="1" x14ac:dyDescent="0.25"/>
    <row r="423" s="3" customFormat="1" x14ac:dyDescent="0.25"/>
    <row r="424" s="3" customFormat="1" x14ac:dyDescent="0.25"/>
    <row r="425" s="3" customFormat="1" x14ac:dyDescent="0.25"/>
    <row r="426" s="3" customFormat="1" x14ac:dyDescent="0.25"/>
    <row r="427" s="3" customFormat="1" x14ac:dyDescent="0.25"/>
    <row r="428" s="3" customFormat="1" x14ac:dyDescent="0.25"/>
    <row r="429" s="3" customFormat="1" x14ac:dyDescent="0.25"/>
    <row r="430" s="3" customFormat="1" x14ac:dyDescent="0.25"/>
    <row r="431" s="3" customFormat="1" x14ac:dyDescent="0.25"/>
    <row r="432" s="3" customFormat="1" x14ac:dyDescent="0.25"/>
    <row r="433" s="3" customFormat="1" x14ac:dyDescent="0.25"/>
    <row r="434" s="3" customFormat="1" x14ac:dyDescent="0.25"/>
    <row r="435" s="3" customFormat="1" x14ac:dyDescent="0.25"/>
    <row r="436" s="3" customFormat="1" x14ac:dyDescent="0.25"/>
    <row r="437" s="3" customFormat="1" x14ac:dyDescent="0.25"/>
    <row r="438" s="3" customFormat="1" x14ac:dyDescent="0.25"/>
    <row r="439" s="3" customFormat="1" x14ac:dyDescent="0.25"/>
    <row r="440" s="3" customFormat="1" x14ac:dyDescent="0.25"/>
    <row r="441" s="3" customFormat="1" x14ac:dyDescent="0.25"/>
    <row r="442" s="3" customFormat="1" x14ac:dyDescent="0.25"/>
    <row r="443" s="3" customFormat="1" x14ac:dyDescent="0.25"/>
    <row r="444" s="3" customFormat="1" x14ac:dyDescent="0.25"/>
    <row r="445" s="3" customFormat="1" x14ac:dyDescent="0.25"/>
    <row r="446" s="3" customFormat="1" x14ac:dyDescent="0.25"/>
    <row r="447" s="3" customFormat="1" x14ac:dyDescent="0.25"/>
    <row r="448" s="3" customFormat="1" x14ac:dyDescent="0.25"/>
    <row r="449" s="3" customFormat="1" x14ac:dyDescent="0.25"/>
    <row r="450" s="3" customFormat="1" x14ac:dyDescent="0.25"/>
    <row r="451" s="3" customFormat="1" x14ac:dyDescent="0.25"/>
    <row r="452" s="3" customFormat="1" x14ac:dyDescent="0.25"/>
    <row r="453" s="3" customFormat="1" x14ac:dyDescent="0.25"/>
    <row r="454" s="3" customFormat="1" x14ac:dyDescent="0.25"/>
    <row r="455" s="3" customFormat="1" x14ac:dyDescent="0.25"/>
    <row r="456" s="3" customFormat="1" x14ac:dyDescent="0.25"/>
    <row r="457" s="3" customFormat="1" x14ac:dyDescent="0.25"/>
    <row r="458" s="3" customFormat="1" x14ac:dyDescent="0.25"/>
    <row r="459" s="3" customFormat="1" x14ac:dyDescent="0.25"/>
    <row r="460" s="3" customFormat="1" x14ac:dyDescent="0.25"/>
    <row r="461" s="3" customFormat="1" x14ac:dyDescent="0.25"/>
    <row r="462" s="3" customFormat="1" x14ac:dyDescent="0.25"/>
    <row r="463" s="3" customFormat="1" x14ac:dyDescent="0.25"/>
    <row r="464" s="3" customFormat="1" x14ac:dyDescent="0.25"/>
    <row r="465" s="3" customFormat="1" x14ac:dyDescent="0.25"/>
    <row r="466" s="3" customFormat="1" x14ac:dyDescent="0.25"/>
    <row r="467" s="3" customFormat="1" x14ac:dyDescent="0.25"/>
    <row r="468" s="3" customFormat="1" x14ac:dyDescent="0.25"/>
    <row r="469" s="3" customFormat="1" x14ac:dyDescent="0.25"/>
    <row r="470" s="3" customFormat="1" x14ac:dyDescent="0.25"/>
    <row r="471" s="3" customFormat="1" x14ac:dyDescent="0.25"/>
    <row r="472" s="3" customFormat="1" x14ac:dyDescent="0.25"/>
    <row r="473" s="3" customFormat="1" x14ac:dyDescent="0.25"/>
    <row r="474" s="3" customFormat="1" x14ac:dyDescent="0.25"/>
    <row r="475" s="3" customFormat="1" x14ac:dyDescent="0.25"/>
    <row r="476" s="3" customFormat="1" x14ac:dyDescent="0.25"/>
    <row r="477" s="3" customFormat="1" x14ac:dyDescent="0.25"/>
    <row r="478" s="3" customFormat="1" x14ac:dyDescent="0.25"/>
    <row r="479" s="3" customFormat="1" x14ac:dyDescent="0.25"/>
    <row r="480" s="3" customFormat="1" x14ac:dyDescent="0.25"/>
    <row r="481" s="3" customFormat="1" x14ac:dyDescent="0.25"/>
    <row r="482" s="3" customFormat="1" x14ac:dyDescent="0.25"/>
    <row r="483" s="3" customFormat="1" x14ac:dyDescent="0.25"/>
    <row r="484" s="3" customFormat="1" x14ac:dyDescent="0.25"/>
    <row r="485" s="3" customFormat="1" x14ac:dyDescent="0.25"/>
    <row r="486" s="3" customFormat="1" x14ac:dyDescent="0.25"/>
    <row r="487" s="3" customFormat="1" x14ac:dyDescent="0.25"/>
    <row r="488" s="3" customFormat="1" x14ac:dyDescent="0.25"/>
    <row r="489" s="3" customFormat="1" x14ac:dyDescent="0.25"/>
    <row r="490" s="3" customFormat="1" x14ac:dyDescent="0.25"/>
    <row r="491" s="3" customFormat="1" x14ac:dyDescent="0.25"/>
    <row r="492" s="3" customFormat="1" x14ac:dyDescent="0.25"/>
    <row r="493" s="3" customFormat="1" x14ac:dyDescent="0.25"/>
    <row r="494" s="3" customFormat="1" x14ac:dyDescent="0.25"/>
    <row r="495" s="3" customFormat="1" x14ac:dyDescent="0.25"/>
    <row r="496" s="3" customFormat="1" x14ac:dyDescent="0.25"/>
    <row r="497" s="3" customFormat="1" x14ac:dyDescent="0.25"/>
    <row r="498" s="3" customFormat="1" x14ac:dyDescent="0.25"/>
    <row r="499" s="3" customFormat="1" x14ac:dyDescent="0.25"/>
    <row r="500" s="3" customFormat="1" x14ac:dyDescent="0.25"/>
    <row r="501" s="3" customFormat="1" x14ac:dyDescent="0.25"/>
    <row r="502" s="3" customFormat="1" x14ac:dyDescent="0.25"/>
    <row r="503" s="3" customFormat="1" x14ac:dyDescent="0.25"/>
    <row r="504" s="3" customFormat="1" x14ac:dyDescent="0.25"/>
    <row r="505" s="3" customFormat="1" x14ac:dyDescent="0.25"/>
    <row r="506" s="3" customFormat="1" x14ac:dyDescent="0.25"/>
    <row r="507" s="3" customFormat="1" x14ac:dyDescent="0.25"/>
    <row r="508" s="3" customFormat="1" x14ac:dyDescent="0.25"/>
    <row r="509" s="3" customFormat="1" x14ac:dyDescent="0.25"/>
    <row r="510" s="3" customFormat="1" x14ac:dyDescent="0.25"/>
    <row r="511" s="3" customFormat="1" x14ac:dyDescent="0.25"/>
    <row r="512" s="3" customFormat="1" x14ac:dyDescent="0.25"/>
    <row r="513" s="3" customFormat="1" x14ac:dyDescent="0.25"/>
    <row r="514" s="3" customFormat="1" x14ac:dyDescent="0.25"/>
    <row r="515" s="3" customFormat="1" x14ac:dyDescent="0.25"/>
    <row r="516" s="3" customFormat="1" x14ac:dyDescent="0.25"/>
    <row r="517" s="3" customFormat="1" x14ac:dyDescent="0.25"/>
    <row r="518" s="3" customFormat="1" x14ac:dyDescent="0.25"/>
    <row r="519" s="3" customFormat="1" x14ac:dyDescent="0.25"/>
    <row r="520" s="3" customFormat="1" x14ac:dyDescent="0.25"/>
    <row r="521" s="3" customFormat="1" x14ac:dyDescent="0.25"/>
    <row r="522" s="3" customFormat="1" x14ac:dyDescent="0.25"/>
    <row r="523" s="3" customFormat="1" x14ac:dyDescent="0.25"/>
    <row r="524" s="3" customFormat="1" x14ac:dyDescent="0.25"/>
  </sheetData>
  <mergeCells count="6">
    <mergeCell ref="B45:B51"/>
    <mergeCell ref="B7:B9"/>
    <mergeCell ref="B10:B18"/>
    <mergeCell ref="B19:B25"/>
    <mergeCell ref="B33:B35"/>
    <mergeCell ref="B36:B44"/>
  </mergeCells>
  <pageMargins left="0.7" right="0.7" top="0.75" bottom="0.75" header="0.3" footer="0.3"/>
  <ignoredErrors>
    <ignoredError sqref="F10:W10 E19:W19 E10" formula="1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3">
    <tabColor rgb="FF0070C0"/>
  </sheetPr>
  <dimension ref="A1:AE860"/>
  <sheetViews>
    <sheetView tabSelected="1" topLeftCell="A105" zoomScale="70" zoomScaleNormal="70" workbookViewId="0">
      <selection activeCell="L118" sqref="L118"/>
    </sheetView>
  </sheetViews>
  <sheetFormatPr baseColWidth="10" defaultRowHeight="15" x14ac:dyDescent="0.25"/>
  <cols>
    <col min="1" max="2" width="11.42578125" style="3"/>
    <col min="3" max="3" width="37.28515625" customWidth="1"/>
    <col min="4" max="4" width="25.28515625" hidden="1" customWidth="1"/>
    <col min="5" max="5" width="24" hidden="1" customWidth="1"/>
    <col min="6" max="6" width="25.42578125" hidden="1" customWidth="1"/>
    <col min="7" max="7" width="24.5703125" hidden="1" customWidth="1"/>
    <col min="8" max="8" width="15.7109375" customWidth="1"/>
    <col min="9" max="9" width="14" customWidth="1"/>
    <col min="11" max="12" width="11.42578125" customWidth="1"/>
    <col min="14" max="14" width="24.85546875" style="3" customWidth="1"/>
    <col min="20" max="20" width="11.42578125" style="3"/>
    <col min="21" max="21" width="37.28515625" customWidth="1"/>
    <col min="22" max="22" width="25.28515625" hidden="1" customWidth="1"/>
    <col min="23" max="23" width="24" hidden="1" customWidth="1"/>
    <col min="24" max="24" width="25.42578125" hidden="1" customWidth="1"/>
    <col min="25" max="25" width="24.5703125" hidden="1" customWidth="1"/>
    <col min="26" max="26" width="15.7109375" customWidth="1"/>
    <col min="27" max="27" width="14" customWidth="1"/>
    <col min="31" max="31" width="11.42578125" style="3"/>
  </cols>
  <sheetData>
    <row r="1" spans="1:30" ht="28.5" x14ac:dyDescent="0.45">
      <c r="A1" s="171" t="s">
        <v>98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O1" s="3"/>
      <c r="P1" s="3"/>
      <c r="Q1" s="3"/>
      <c r="R1" s="3"/>
      <c r="S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pans="1:30" x14ac:dyDescent="0.25">
      <c r="B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O2" s="3"/>
      <c r="P2" s="3"/>
      <c r="Q2" s="3"/>
      <c r="R2" s="3"/>
      <c r="S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spans="1:30" ht="23.25" x14ac:dyDescent="0.35">
      <c r="A3" s="1" t="s">
        <v>82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O3" s="3"/>
      <c r="P3" s="3"/>
      <c r="Q3" s="3"/>
      <c r="R3" s="41"/>
      <c r="S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spans="1:30" ht="23.25" x14ac:dyDescent="0.35">
      <c r="A4" s="161" t="str">
        <f>Résultats!B1</f>
        <v>SNBC3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O4" s="3"/>
      <c r="P4" s="3"/>
      <c r="Q4" s="3"/>
      <c r="R4" s="41"/>
      <c r="S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 ht="23.25" x14ac:dyDescent="0.35">
      <c r="A5" s="1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O5" s="3"/>
      <c r="P5" s="3"/>
      <c r="Q5" s="3"/>
      <c r="R5" s="41"/>
      <c r="S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spans="1:30" ht="18.75" x14ac:dyDescent="0.3">
      <c r="B6" s="42"/>
      <c r="C6" s="42"/>
      <c r="D6" s="42"/>
      <c r="E6" s="42"/>
      <c r="F6" s="42"/>
      <c r="G6" s="42"/>
      <c r="H6" s="42"/>
      <c r="I6" s="42"/>
      <c r="J6" s="3"/>
      <c r="K6" s="3"/>
      <c r="M6" s="3"/>
      <c r="O6" s="3"/>
      <c r="P6" s="3"/>
      <c r="Q6" s="3"/>
      <c r="R6" s="41"/>
      <c r="S6" s="41"/>
      <c r="T6" s="42"/>
      <c r="U6" s="42"/>
      <c r="V6" s="42"/>
      <c r="W6" s="42"/>
      <c r="X6" s="42"/>
      <c r="Y6" s="42"/>
      <c r="Z6" s="42"/>
      <c r="AA6" s="42"/>
      <c r="AB6" s="3"/>
      <c r="AC6" s="3"/>
    </row>
    <row r="7" spans="1:30" ht="18.75" x14ac:dyDescent="0.3">
      <c r="C7" s="41" t="s">
        <v>83</v>
      </c>
      <c r="I7" s="3"/>
      <c r="J7" s="3"/>
      <c r="K7" s="3"/>
      <c r="L7" s="3"/>
      <c r="M7" s="3"/>
      <c r="N7" s="41" t="s">
        <v>84</v>
      </c>
      <c r="O7" s="3"/>
      <c r="P7" s="3"/>
      <c r="Q7" s="3"/>
      <c r="R7" s="3"/>
      <c r="S7" s="3"/>
      <c r="U7" s="41" t="s">
        <v>83</v>
      </c>
      <c r="AA7" s="3"/>
      <c r="AB7" s="3"/>
      <c r="AC7" s="3"/>
      <c r="AD7" s="3"/>
    </row>
    <row r="8" spans="1:30" ht="23.25" x14ac:dyDescent="0.35">
      <c r="B8" s="46"/>
      <c r="C8" s="42" t="s">
        <v>50</v>
      </c>
      <c r="D8" s="3"/>
      <c r="E8" s="42"/>
      <c r="F8" s="42"/>
      <c r="G8" s="42"/>
      <c r="H8" s="42"/>
      <c r="I8" s="42"/>
      <c r="J8" s="42"/>
      <c r="K8" s="42"/>
      <c r="L8" s="3"/>
      <c r="M8" s="3"/>
      <c r="N8" t="s">
        <v>85</v>
      </c>
      <c r="U8" s="42" t="s">
        <v>50</v>
      </c>
      <c r="V8" s="3"/>
      <c r="W8" s="42"/>
      <c r="X8" s="42"/>
      <c r="Y8" s="42"/>
      <c r="Z8" s="42"/>
      <c r="AA8" s="42"/>
      <c r="AB8" s="42"/>
      <c r="AC8" s="42"/>
      <c r="AD8" s="3"/>
    </row>
    <row r="9" spans="1:30" x14ac:dyDescent="0.25">
      <c r="B9" s="42"/>
      <c r="C9" s="3"/>
      <c r="D9" s="3"/>
      <c r="E9" s="3"/>
      <c r="F9" s="3"/>
      <c r="G9" s="3"/>
      <c r="H9" s="42"/>
      <c r="I9" s="42"/>
      <c r="J9" s="42"/>
      <c r="K9" s="42"/>
      <c r="L9" s="3"/>
      <c r="M9" s="3"/>
      <c r="O9" s="3"/>
      <c r="P9" s="3"/>
      <c r="Q9" s="3"/>
      <c r="R9" s="3"/>
      <c r="S9" s="3"/>
      <c r="U9" s="3"/>
      <c r="V9" s="3"/>
      <c r="W9" s="3"/>
      <c r="X9" s="3"/>
      <c r="Y9" s="3"/>
      <c r="Z9" s="42"/>
      <c r="AA9" s="42"/>
      <c r="AB9" s="42"/>
      <c r="AC9" s="42"/>
      <c r="AD9" s="3"/>
    </row>
    <row r="10" spans="1:30" ht="31.5" x14ac:dyDescent="0.35">
      <c r="B10" s="42"/>
      <c r="C10" s="145">
        <v>2015</v>
      </c>
      <c r="D10" s="146"/>
      <c r="E10" s="146"/>
      <c r="F10" s="146"/>
      <c r="G10" s="146"/>
      <c r="H10" s="76" t="s">
        <v>36</v>
      </c>
      <c r="I10" s="76" t="s">
        <v>49</v>
      </c>
      <c r="J10" s="76" t="s">
        <v>38</v>
      </c>
      <c r="K10" s="76" t="s">
        <v>48</v>
      </c>
      <c r="L10" s="93" t="s">
        <v>1</v>
      </c>
      <c r="M10" s="19"/>
      <c r="N10" s="145">
        <v>2015</v>
      </c>
      <c r="O10" s="141" t="s">
        <v>36</v>
      </c>
      <c r="P10" s="76" t="s">
        <v>49</v>
      </c>
      <c r="Q10" s="76" t="s">
        <v>38</v>
      </c>
      <c r="R10" s="76" t="s">
        <v>48</v>
      </c>
      <c r="S10" s="93" t="s">
        <v>1</v>
      </c>
      <c r="U10" s="145">
        <v>2015</v>
      </c>
      <c r="V10" s="146"/>
      <c r="W10" s="146"/>
      <c r="X10" s="146"/>
      <c r="Y10" s="146"/>
      <c r="Z10" s="76" t="s">
        <v>36</v>
      </c>
      <c r="AA10" s="76" t="s">
        <v>49</v>
      </c>
      <c r="AB10" s="76" t="s">
        <v>38</v>
      </c>
      <c r="AC10" s="76" t="s">
        <v>48</v>
      </c>
      <c r="AD10" s="93" t="s">
        <v>1</v>
      </c>
    </row>
    <row r="11" spans="1:30" x14ac:dyDescent="0.25">
      <c r="C11" s="147" t="s">
        <v>18</v>
      </c>
      <c r="H11" s="8">
        <f>SUM(H12:H13)</f>
        <v>0</v>
      </c>
      <c r="I11" s="8">
        <f>SUM(I12:I13)</f>
        <v>43.368138809999998</v>
      </c>
      <c r="J11" s="8">
        <f>SUM(J12:J13)</f>
        <v>1.2122363029000001</v>
      </c>
      <c r="K11" s="8">
        <f>SUM(K12:K13)</f>
        <v>0.24394011805812998</v>
      </c>
      <c r="L11" s="96">
        <f>SUM(H11:K11)</f>
        <v>44.824315230958128</v>
      </c>
      <c r="M11" s="75"/>
      <c r="N11" s="150" t="s">
        <v>18</v>
      </c>
      <c r="O11" s="29">
        <f>'[2]Bilan 2015'!$X$46</f>
        <v>0</v>
      </c>
      <c r="P11" s="28">
        <f>SUM('[2]Bilan 2015'!$X$41:$X$43)</f>
        <v>42.748696780825377</v>
      </c>
      <c r="Q11" s="28">
        <f>'[2]Bilan 2015'!$X$13</f>
        <v>0.94471195184866696</v>
      </c>
      <c r="R11" s="28">
        <f>('[2]Bilan 2015'!$X$22+'[2]Bilan 2015'!$X$30+SUM('[2]Bilan 2015'!$X$36:$X$40)+SUM('[2]Bilan 2015'!$X$44:$X$45)+'[2]Bilan 2015'!$X$47)</f>
        <v>7.267406707154804E-2</v>
      </c>
      <c r="S11" s="142">
        <f>SUM(O11:R11)</f>
        <v>43.76608279974559</v>
      </c>
      <c r="U11" s="147" t="s">
        <v>18</v>
      </c>
      <c r="Z11" s="8">
        <v>0</v>
      </c>
      <c r="AA11" s="8">
        <v>43.296715939999999</v>
      </c>
      <c r="AB11" s="8">
        <v>1.2190163543999999</v>
      </c>
      <c r="AC11" s="8">
        <v>0.24408603343621002</v>
      </c>
      <c r="AD11" s="96">
        <v>44.759818327836207</v>
      </c>
    </row>
    <row r="12" spans="1:30" x14ac:dyDescent="0.25">
      <c r="C12" s="148" t="s">
        <v>19</v>
      </c>
      <c r="D12" t="s">
        <v>394</v>
      </c>
      <c r="E12" t="s">
        <v>395</v>
      </c>
      <c r="F12" t="s">
        <v>396</v>
      </c>
      <c r="G12" t="s">
        <v>397</v>
      </c>
      <c r="H12" s="16">
        <f>VLOOKUP(D12,Résultats!$B$2:$AX$476,'T energie vecteurs'!F5,FALSE)</f>
        <v>0</v>
      </c>
      <c r="I12" s="16">
        <f>VLOOKUP(E12,Résultats!$B$2:$AX$476,'T energie vecteurs'!F5,FALSE)</f>
        <v>24.332070699999999</v>
      </c>
      <c r="J12" s="16">
        <f>VLOOKUP(F12,Résultats!$B$2:$AX$476,'T energie vecteurs'!F5,FALSE)</f>
        <v>2.2854451899999999E-2</v>
      </c>
      <c r="K12" s="16">
        <f>VLOOKUP(G12,Résultats!$B$2:$AX$476,'T energie vecteurs'!F5,FALSE)</f>
        <v>8.0286581299999994E-6</v>
      </c>
      <c r="L12" s="95">
        <f t="shared" ref="L12:L19" si="0">SUM(H12:K12)</f>
        <v>24.354933180558128</v>
      </c>
      <c r="M12" s="16"/>
      <c r="N12" s="148" t="s">
        <v>19</v>
      </c>
      <c r="O12" s="143"/>
      <c r="P12" s="16"/>
      <c r="Q12" s="34"/>
      <c r="R12" s="16"/>
      <c r="S12" s="95"/>
      <c r="U12" s="148" t="s">
        <v>19</v>
      </c>
      <c r="V12" t="s">
        <v>394</v>
      </c>
      <c r="W12" t="s">
        <v>395</v>
      </c>
      <c r="X12" t="s">
        <v>396</v>
      </c>
      <c r="Y12" t="s">
        <v>397</v>
      </c>
      <c r="Z12" s="16">
        <v>0</v>
      </c>
      <c r="AA12" s="16">
        <v>24.25561944</v>
      </c>
      <c r="AB12" s="16">
        <v>2.90133404E-2</v>
      </c>
      <c r="AC12" s="16">
        <v>9.1395362099999892E-6</v>
      </c>
      <c r="AD12" s="95">
        <v>24.28464191993621</v>
      </c>
    </row>
    <row r="13" spans="1:30" x14ac:dyDescent="0.25">
      <c r="C13" s="149" t="s">
        <v>20</v>
      </c>
      <c r="D13" t="s">
        <v>398</v>
      </c>
      <c r="E13" t="s">
        <v>399</v>
      </c>
      <c r="F13" t="s">
        <v>400</v>
      </c>
      <c r="G13" t="s">
        <v>401</v>
      </c>
      <c r="H13" s="16">
        <f>VLOOKUP(D13,Résultats!$B$2:$AX$476,'T energie vecteurs'!F5,FALSE)</f>
        <v>0</v>
      </c>
      <c r="I13" s="16">
        <f>VLOOKUP(E13,Résultats!$B$2:$AX$476,'T energie vecteurs'!F5,FALSE)</f>
        <v>19.036068109999999</v>
      </c>
      <c r="J13" s="16">
        <f>VLOOKUP(F13,Résultats!$B$2:$AX$476,'T energie vecteurs'!F5,FALSE)</f>
        <v>1.189381851</v>
      </c>
      <c r="K13" s="16">
        <f>VLOOKUP(G13,Résultats!$B$2:$AX$476,'T energie vecteurs'!F5,FALSE)</f>
        <v>0.2439320894</v>
      </c>
      <c r="L13" s="95">
        <f t="shared" si="0"/>
        <v>20.4693820504</v>
      </c>
      <c r="M13" s="16"/>
      <c r="N13" s="149" t="s">
        <v>20</v>
      </c>
      <c r="O13" s="143"/>
      <c r="P13" s="16"/>
      <c r="Q13" s="34"/>
      <c r="R13" s="16"/>
      <c r="S13" s="95"/>
      <c r="U13" s="149" t="s">
        <v>20</v>
      </c>
      <c r="V13" t="s">
        <v>398</v>
      </c>
      <c r="W13" t="s">
        <v>399</v>
      </c>
      <c r="X13" t="s">
        <v>400</v>
      </c>
      <c r="Y13" t="s">
        <v>401</v>
      </c>
      <c r="Z13" s="16">
        <v>0</v>
      </c>
      <c r="AA13" s="16">
        <v>19.041096499999998</v>
      </c>
      <c r="AB13" s="16">
        <v>1.190003014</v>
      </c>
      <c r="AC13" s="16">
        <v>0.24407689390000001</v>
      </c>
      <c r="AD13" s="95">
        <v>20.475176407899998</v>
      </c>
    </row>
    <row r="14" spans="1:30" x14ac:dyDescent="0.25">
      <c r="C14" s="147" t="s">
        <v>21</v>
      </c>
      <c r="D14" t="s">
        <v>402</v>
      </c>
      <c r="E14" t="s">
        <v>403</v>
      </c>
      <c r="F14" t="s">
        <v>404</v>
      </c>
      <c r="G14" t="s">
        <v>405</v>
      </c>
      <c r="H14" s="8">
        <f>VLOOKUP(D14,Résultats!$B$2:$AX$476,'T energie vecteurs'!F5,FALSE)</f>
        <v>0.33704253179999999</v>
      </c>
      <c r="I14" s="8">
        <f>VLOOKUP(E14,Résultats!$B$2:$AX$476,'T energie vecteurs'!F5,FALSE)</f>
        <v>7.1923807609999999</v>
      </c>
      <c r="J14" s="8">
        <f>VLOOKUP(F14,Résultats!$B$2:$AX$476,'T energie vecteurs'!F5,FALSE)</f>
        <v>13.80444393</v>
      </c>
      <c r="K14" s="8">
        <f>VLOOKUP(G14,Résultats!$B$2:$AX$476,'T energie vecteurs'!F5,FALSE)+2</f>
        <v>20.357479949999998</v>
      </c>
      <c r="L14" s="96">
        <f>SUM(H14:K14)</f>
        <v>41.691347172799993</v>
      </c>
      <c r="M14" s="75"/>
      <c r="N14" s="150" t="s">
        <v>21</v>
      </c>
      <c r="O14" s="29">
        <f>'[2]Bilan 2015'!$V$46</f>
        <v>3.6764196608413298E-2</v>
      </c>
      <c r="P14" s="28">
        <f>SUM('[2]Bilan 2015'!$V$41:$V$43)</f>
        <v>6.6752954110546101</v>
      </c>
      <c r="Q14" s="28">
        <f>'[2]Bilan 2015'!$V$13</f>
        <v>13.6203670581426</v>
      </c>
      <c r="R14" s="28">
        <f>('[2]Bilan 2015'!$V$22+'[2]Bilan 2015'!$V$30+SUM('[2]Bilan 2015'!$V$36:$V$40)+SUM('[2]Bilan 2015'!$V$44:$V$45)+'[2]Bilan 2015'!$V$47)</f>
        <v>21.832863706323721</v>
      </c>
      <c r="S14" s="142">
        <f>SUM(O14:R14)</f>
        <v>42.165290372129348</v>
      </c>
      <c r="U14" s="147" t="s">
        <v>21</v>
      </c>
      <c r="V14" t="s">
        <v>402</v>
      </c>
      <c r="W14" t="s">
        <v>403</v>
      </c>
      <c r="X14" t="s">
        <v>404</v>
      </c>
      <c r="Y14" t="s">
        <v>405</v>
      </c>
      <c r="Z14" s="8">
        <v>0.33699222420000002</v>
      </c>
      <c r="AA14" s="8">
        <v>7.1888095700000001</v>
      </c>
      <c r="AB14" s="8">
        <v>13.80657761</v>
      </c>
      <c r="AC14" s="8">
        <v>20.35437817</v>
      </c>
      <c r="AD14" s="96">
        <v>41.686757574200001</v>
      </c>
    </row>
    <row r="15" spans="1:30" x14ac:dyDescent="0.25">
      <c r="C15" s="147" t="s">
        <v>22</v>
      </c>
      <c r="D15" t="s">
        <v>406</v>
      </c>
      <c r="E15" t="s">
        <v>407</v>
      </c>
      <c r="F15" t="s">
        <v>408</v>
      </c>
      <c r="G15" t="s">
        <v>409</v>
      </c>
      <c r="H15" s="8">
        <f>VLOOKUP(D15,Résultats!$B$2:$AX$476,'T energie vecteurs'!F5,FALSE)</f>
        <v>0</v>
      </c>
      <c r="I15" s="8">
        <f>VLOOKUP(E15,Résultats!$B$2:$AX$476,'T energie vecteurs'!F5,FALSE)</f>
        <v>4.1783663439999996</v>
      </c>
      <c r="J15" s="8">
        <f>VLOOKUP(F15,Résultats!$B$2:$AX$476,'T energie vecteurs'!F5,FALSE)</f>
        <v>13.06948058</v>
      </c>
      <c r="K15" s="8">
        <f>VLOOKUP(G15,Résultats!$B$2:$AX$476,'T energie vecteurs'!F5,FALSE)</f>
        <v>11.12040094</v>
      </c>
      <c r="L15" s="96">
        <f t="shared" si="0"/>
        <v>28.368247864000001</v>
      </c>
      <c r="M15" s="75"/>
      <c r="N15" s="150" t="s">
        <v>22</v>
      </c>
      <c r="O15" s="29">
        <f>'[2]Bilan 2015'!$W$46</f>
        <v>4.3073392295861899E-2</v>
      </c>
      <c r="P15" s="28">
        <f>SUM('[2]Bilan 2015'!$W$41:$W$43)</f>
        <v>3.01546564464017</v>
      </c>
      <c r="Q15" s="28">
        <f>'[2]Bilan 2015'!$W$13</f>
        <v>12.701365476499801</v>
      </c>
      <c r="R15" s="28">
        <f>('[2]Bilan 2015'!$W$22+'[2]Bilan 2015'!$W$30+SUM('[2]Bilan 2015'!$W$36:$W$40)+SUM('[2]Bilan 2015'!$W$44:$W$45)+'[2]Bilan 2015'!$W$47)</f>
        <v>8.7461122445901367</v>
      </c>
      <c r="S15" s="142">
        <f t="shared" ref="S15:S19" si="1">SUM(O15:R15)</f>
        <v>24.506016758025968</v>
      </c>
      <c r="U15" s="147" t="s">
        <v>22</v>
      </c>
      <c r="V15" t="s">
        <v>406</v>
      </c>
      <c r="W15" t="s">
        <v>407</v>
      </c>
      <c r="X15" t="s">
        <v>408</v>
      </c>
      <c r="Y15" t="s">
        <v>409</v>
      </c>
      <c r="Z15" s="8">
        <v>0</v>
      </c>
      <c r="AA15" s="8">
        <v>4.1772130589999996</v>
      </c>
      <c r="AB15" s="8">
        <v>13.072682670000001</v>
      </c>
      <c r="AC15" s="8">
        <v>11.11972967</v>
      </c>
      <c r="AD15" s="96">
        <v>28.369625399</v>
      </c>
    </row>
    <row r="16" spans="1:30" x14ac:dyDescent="0.25">
      <c r="C16" s="147" t="s">
        <v>23</v>
      </c>
      <c r="H16" s="8">
        <f>SUM(H17:H18)</f>
        <v>4.8785881231000001</v>
      </c>
      <c r="I16" s="8">
        <f t="shared" ref="I16:K16" si="2">SUM(I17:I18)</f>
        <v>16.064526407999999</v>
      </c>
      <c r="J16" s="8">
        <f t="shared" si="2"/>
        <v>10.92062949</v>
      </c>
      <c r="K16" s="8">
        <f t="shared" si="2"/>
        <v>14.596228336999999</v>
      </c>
      <c r="L16" s="96">
        <f>SUM(H16:K16)</f>
        <v>46.459972358100003</v>
      </c>
      <c r="M16" s="75"/>
      <c r="N16" s="150" t="s">
        <v>490</v>
      </c>
      <c r="O16" s="29">
        <f>O17+O18</f>
        <v>4.2636280705371687</v>
      </c>
      <c r="P16" s="28">
        <f t="shared" ref="P16:R16" si="3">P17+P18</f>
        <v>14.865720748941945</v>
      </c>
      <c r="Q16" s="28">
        <f t="shared" si="3"/>
        <v>10.069552160228</v>
      </c>
      <c r="R16" s="28">
        <f t="shared" si="3"/>
        <v>13.756399814544654</v>
      </c>
      <c r="S16" s="142">
        <f t="shared" si="1"/>
        <v>42.95530079425177</v>
      </c>
      <c r="U16" s="147" t="s">
        <v>23</v>
      </c>
      <c r="Z16" s="8">
        <v>4.8765354159999994</v>
      </c>
      <c r="AA16" s="8">
        <v>16.050480682</v>
      </c>
      <c r="AB16" s="8">
        <v>10.887530870000001</v>
      </c>
      <c r="AC16" s="8">
        <v>14.568884021000001</v>
      </c>
      <c r="AD16" s="96">
        <v>46.383430989000004</v>
      </c>
    </row>
    <row r="17" spans="2:30" x14ac:dyDescent="0.25">
      <c r="C17" s="149" t="s">
        <v>24</v>
      </c>
      <c r="D17" t="s">
        <v>410</v>
      </c>
      <c r="E17" t="s">
        <v>411</v>
      </c>
      <c r="F17" t="s">
        <v>412</v>
      </c>
      <c r="G17" t="s">
        <v>413</v>
      </c>
      <c r="H17" s="16">
        <f>VLOOKUP(D17,Résultats!$B$2:$AX$476,'T energie vecteurs'!F5,FALSE)</f>
        <v>3.884387239</v>
      </c>
      <c r="I17" s="16">
        <f>VLOOKUP(E17,Résultats!$B$2:$AX$476,'T energie vecteurs'!F5,FALSE)</f>
        <v>14.169108530000001</v>
      </c>
      <c r="J17" s="16">
        <f>VLOOKUP(F17,Résultats!$B$2:$AX$476,'T energie vecteurs'!F5,FALSE)</f>
        <v>10.92062949</v>
      </c>
      <c r="K17" s="16">
        <f>VLOOKUP(G17,Résultats!$B$2:$AX$476,'T energie vecteurs'!F5,FALSE)</f>
        <v>12.80895503</v>
      </c>
      <c r="L17" s="95">
        <f t="shared" si="0"/>
        <v>41.783080288999997</v>
      </c>
      <c r="M17" s="16"/>
      <c r="N17" s="149" t="s">
        <v>491</v>
      </c>
      <c r="O17" s="143">
        <f>'[2]Bilan 2015'!$U$46</f>
        <v>1.0493092649428299</v>
      </c>
      <c r="P17" s="30">
        <f>SUM('[2]Bilan 2015'!$U$41:$U$43)</f>
        <v>2.4127207489419455</v>
      </c>
      <c r="Q17" s="30">
        <f>'[2]Bilan 2015'!$U$13</f>
        <v>10.069552160228</v>
      </c>
      <c r="R17" s="30">
        <f>('[2]Bilan 2015'!$U$22+'[2]Bilan 2015'!$U$30+SUM('[2]Bilan 2015'!$U$36:$U$40)+SUM('[2]Bilan 2015'!$U$44:$U$45)+'[2]Bilan 2015'!$U$47)</f>
        <v>12.654813573219924</v>
      </c>
      <c r="S17" s="95">
        <f t="shared" si="1"/>
        <v>26.186395747332696</v>
      </c>
      <c r="U17" s="149" t="s">
        <v>24</v>
      </c>
      <c r="V17" t="s">
        <v>410</v>
      </c>
      <c r="W17" t="s">
        <v>411</v>
      </c>
      <c r="X17" t="s">
        <v>412</v>
      </c>
      <c r="Y17" t="s">
        <v>413</v>
      </c>
      <c r="Z17" s="16">
        <v>3.8823198269999999</v>
      </c>
      <c r="AA17" s="16">
        <v>14.15502992</v>
      </c>
      <c r="AB17" s="16">
        <v>10.887530870000001</v>
      </c>
      <c r="AC17" s="16">
        <v>12.78159413</v>
      </c>
      <c r="AD17" s="95">
        <v>41.706474747000001</v>
      </c>
    </row>
    <row r="18" spans="2:30" x14ac:dyDescent="0.25">
      <c r="C18" s="149" t="s">
        <v>47</v>
      </c>
      <c r="D18" t="s">
        <v>414</v>
      </c>
      <c r="E18" t="s">
        <v>415</v>
      </c>
      <c r="F18" t="s">
        <v>416</v>
      </c>
      <c r="G18" t="s">
        <v>417</v>
      </c>
      <c r="H18" s="16">
        <f>VLOOKUP(D18,Résultats!$B$2:$AX$476,'T energie vecteurs'!F5,FALSE)</f>
        <v>0.99420088409999996</v>
      </c>
      <c r="I18" s="16">
        <f>VLOOKUP(E18,Résultats!$B$2:$AX$476,'T energie vecteurs'!F5,FALSE)</f>
        <v>1.8954178779999999</v>
      </c>
      <c r="J18" s="16">
        <f>VLOOKUP(F18,Résultats!$B$2:$AX$476,'T energie vecteurs'!F5,FALSE)</f>
        <v>0</v>
      </c>
      <c r="K18" s="16">
        <f>VLOOKUP(G18,Résultats!$B$2:$AX$476,'T energie vecteurs'!F5,FALSE)</f>
        <v>1.787273307</v>
      </c>
      <c r="L18" s="95">
        <f t="shared" si="0"/>
        <v>4.6768920691</v>
      </c>
      <c r="M18" s="16"/>
      <c r="N18" s="149" t="s">
        <v>47</v>
      </c>
      <c r="O18" s="22">
        <f>'[2]Bilan 2015'!$E$52</f>
        <v>3.2143188055943388</v>
      </c>
      <c r="P18" s="16">
        <f>('[2]Bilan 2015'!$E$54+'[2]Bilan 2015'!$E$56)</f>
        <v>12.452999999999999</v>
      </c>
      <c r="Q18" s="16">
        <v>0</v>
      </c>
      <c r="R18" s="16">
        <f>('[2]Bilan 2015'!$E$53+'[2]Bilan 2015'!$E$55+'[2]Bilan 2015'!$E$57)</f>
        <v>1.1015862413247299</v>
      </c>
      <c r="S18" s="95">
        <f t="shared" si="1"/>
        <v>16.768905046919066</v>
      </c>
      <c r="U18" s="149" t="s">
        <v>47</v>
      </c>
      <c r="V18" t="s">
        <v>414</v>
      </c>
      <c r="W18" t="s">
        <v>415</v>
      </c>
      <c r="X18" t="s">
        <v>416</v>
      </c>
      <c r="Y18" t="s">
        <v>417</v>
      </c>
      <c r="Z18" s="16">
        <v>0.99421558899999996</v>
      </c>
      <c r="AA18" s="16">
        <v>1.8954507620000001</v>
      </c>
      <c r="AB18" s="16">
        <v>0</v>
      </c>
      <c r="AC18" s="16">
        <v>1.7872898909999999</v>
      </c>
      <c r="AD18" s="95">
        <v>4.6769562419999993</v>
      </c>
    </row>
    <row r="19" spans="2:30" x14ac:dyDescent="0.25">
      <c r="C19" s="313" t="s">
        <v>25</v>
      </c>
      <c r="D19" s="314" t="s">
        <v>418</v>
      </c>
      <c r="E19" s="314" t="s">
        <v>419</v>
      </c>
      <c r="F19" s="314" t="s">
        <v>420</v>
      </c>
      <c r="G19" s="314" t="s">
        <v>421</v>
      </c>
      <c r="H19" s="315">
        <f>VLOOKUP(D19,Résultats!$B$2:$AX$476,'T energie vecteurs'!F5,FALSE)</f>
        <v>0</v>
      </c>
      <c r="I19" s="315">
        <f>VLOOKUP(E19,Résultats!$B$2:$AX$476,'T energie vecteurs'!F5,FALSE)</f>
        <v>2.4424090110000001</v>
      </c>
      <c r="J19" s="315">
        <f>VLOOKUP(F19,Résultats!$B$2:$AX$476,'T energie vecteurs'!F5,FALSE)</f>
        <v>0.31737783390000002</v>
      </c>
      <c r="K19" s="315">
        <f>VLOOKUP(G19,Résultats!$B$2:$AX$476,'T energie vecteurs'!F5,FALSE)</f>
        <v>0.3994160504</v>
      </c>
      <c r="L19" s="316">
        <f t="shared" si="0"/>
        <v>3.1592028953000004</v>
      </c>
      <c r="M19" s="16"/>
      <c r="N19" s="150" t="s">
        <v>25</v>
      </c>
      <c r="O19" s="29">
        <f>'[2]Bilan 2015'!$T$46</f>
        <v>2.2137192704974398E-3</v>
      </c>
      <c r="P19" s="28">
        <f>SUM('[2]Bilan 2015'!$T$41:$T$43)</f>
        <v>3.4936667755496749</v>
      </c>
      <c r="Q19" s="28">
        <f>'[2]Bilan 2015'!$T$13</f>
        <v>0.74651762682717104</v>
      </c>
      <c r="R19" s="28">
        <f>('[2]Bilan 2015'!$T$22+'[2]Bilan 2015'!$T$30+SUM('[2]Bilan 2015'!$T$36:$T$40)+SUM('[2]Bilan 2015'!$T$44:$T$45)+'[2]Bilan 2015'!$T$47)</f>
        <v>0.24365267378081518</v>
      </c>
      <c r="S19" s="142">
        <f t="shared" si="1"/>
        <v>4.4860507954281585</v>
      </c>
      <c r="U19" s="313" t="s">
        <v>25</v>
      </c>
      <c r="V19" s="314" t="s">
        <v>418</v>
      </c>
      <c r="W19" s="314" t="s">
        <v>419</v>
      </c>
      <c r="X19" s="314" t="s">
        <v>420</v>
      </c>
      <c r="Y19" s="314" t="s">
        <v>421</v>
      </c>
      <c r="Z19" s="315">
        <v>0</v>
      </c>
      <c r="AA19" s="315">
        <v>2.4414492499999998</v>
      </c>
      <c r="AB19" s="315">
        <v>0.31740027170000001</v>
      </c>
      <c r="AC19" s="315">
        <v>0.39932898379999998</v>
      </c>
      <c r="AD19" s="316">
        <v>3.1581785054999996</v>
      </c>
    </row>
    <row r="20" spans="2:30" x14ac:dyDescent="0.25">
      <c r="C20" s="23" t="s">
        <v>26</v>
      </c>
      <c r="D20" s="10"/>
      <c r="E20" s="10"/>
      <c r="F20" s="10"/>
      <c r="G20" s="10"/>
      <c r="H20" s="9">
        <f>SUM(H11,H14:H16,H19)</f>
        <v>5.2156306549</v>
      </c>
      <c r="I20" s="9">
        <f t="shared" ref="I20:K20" si="4">SUM(I11,I14:I16,I19)</f>
        <v>73.245821333999999</v>
      </c>
      <c r="J20" s="9">
        <f t="shared" si="4"/>
        <v>39.324168136799997</v>
      </c>
      <c r="K20" s="9">
        <f t="shared" si="4"/>
        <v>46.717465395458127</v>
      </c>
      <c r="L20" s="98">
        <f>SUM(H20:K20)</f>
        <v>164.50308552115811</v>
      </c>
      <c r="M20" s="79"/>
      <c r="N20" s="151" t="s">
        <v>26</v>
      </c>
      <c r="O20" s="32">
        <f>O11+O14+O15+O16+O19</f>
        <v>4.3456793787119414</v>
      </c>
      <c r="P20" s="31">
        <f>P11+P14+P15+P16+P19</f>
        <v>70.798845361011772</v>
      </c>
      <c r="Q20" s="31">
        <f>Q11+Q14+Q15+Q16+Q19</f>
        <v>38.082514273546238</v>
      </c>
      <c r="R20" s="31">
        <f>R11+R14+R15+R16+R19</f>
        <v>44.651702506310876</v>
      </c>
      <c r="S20" s="144">
        <f>SUM(O20:R20)</f>
        <v>157.87874151958081</v>
      </c>
      <c r="T20" s="45"/>
      <c r="U20" s="23" t="s">
        <v>26</v>
      </c>
      <c r="V20" s="10"/>
      <c r="W20" s="10"/>
      <c r="X20" s="10"/>
      <c r="Y20" s="10"/>
      <c r="Z20" s="9">
        <v>5.2135276401999997</v>
      </c>
      <c r="AA20" s="9">
        <v>73.154668501000003</v>
      </c>
      <c r="AB20" s="9">
        <v>39.303207776100002</v>
      </c>
      <c r="AC20" s="9">
        <v>46.686406878236212</v>
      </c>
      <c r="AD20" s="98">
        <v>164.35781079553624</v>
      </c>
    </row>
    <row r="21" spans="2:30" s="3" customFormat="1" x14ac:dyDescent="0.25">
      <c r="B21" s="60"/>
      <c r="H21" s="45"/>
      <c r="I21" s="45"/>
      <c r="J21" s="45"/>
      <c r="K21" s="45"/>
      <c r="L21" s="45">
        <f>L11+L14+L15+L16+L19</f>
        <v>164.50308552115811</v>
      </c>
      <c r="M21" s="45"/>
      <c r="N21" s="45"/>
      <c r="O21" s="77"/>
      <c r="P21" s="77"/>
      <c r="Q21" s="77"/>
      <c r="R21" s="78"/>
      <c r="S21" s="45"/>
      <c r="Z21" s="45"/>
      <c r="AA21" s="45"/>
      <c r="AB21" s="45"/>
      <c r="AC21" s="45"/>
      <c r="AD21" s="45">
        <v>164.35781079553621</v>
      </c>
    </row>
    <row r="22" spans="2:30" s="3" customFormat="1" x14ac:dyDescent="0.25">
      <c r="I22" s="45"/>
      <c r="J22" s="45"/>
      <c r="K22" s="45"/>
      <c r="AA22" s="45"/>
      <c r="AB22" s="45"/>
      <c r="AC22" s="45"/>
    </row>
    <row r="23" spans="2:30" ht="31.5" x14ac:dyDescent="0.35">
      <c r="C23" s="145">
        <v>2020</v>
      </c>
      <c r="D23" s="146"/>
      <c r="E23" s="146"/>
      <c r="F23" s="146"/>
      <c r="G23" s="146"/>
      <c r="H23" s="76" t="s">
        <v>36</v>
      </c>
      <c r="I23" s="76" t="s">
        <v>49</v>
      </c>
      <c r="J23" s="76" t="s">
        <v>38</v>
      </c>
      <c r="K23" s="76" t="s">
        <v>48</v>
      </c>
      <c r="L23" s="93" t="s">
        <v>1</v>
      </c>
      <c r="M23" s="19"/>
      <c r="N23" s="145">
        <v>2020</v>
      </c>
      <c r="O23" s="141" t="s">
        <v>36</v>
      </c>
      <c r="P23" s="76" t="s">
        <v>49</v>
      </c>
      <c r="Q23" s="76" t="s">
        <v>38</v>
      </c>
      <c r="R23" s="76" t="s">
        <v>48</v>
      </c>
      <c r="S23" s="93" t="s">
        <v>1</v>
      </c>
      <c r="T23" s="19"/>
      <c r="U23" s="145">
        <v>2020</v>
      </c>
      <c r="V23" s="146"/>
      <c r="W23" s="146"/>
      <c r="X23" s="146"/>
      <c r="Y23" s="146"/>
      <c r="Z23" s="76" t="s">
        <v>36</v>
      </c>
      <c r="AA23" s="76" t="s">
        <v>49</v>
      </c>
      <c r="AB23" s="76" t="s">
        <v>38</v>
      </c>
      <c r="AC23" s="76" t="s">
        <v>48</v>
      </c>
      <c r="AD23" s="93" t="s">
        <v>1</v>
      </c>
    </row>
    <row r="24" spans="2:30" x14ac:dyDescent="0.25">
      <c r="C24" s="147" t="s">
        <v>18</v>
      </c>
      <c r="H24" s="8">
        <f>SUM(H25:H26)</f>
        <v>0</v>
      </c>
      <c r="I24" s="8">
        <f>SUM(I25:I26)</f>
        <v>42.60669789</v>
      </c>
      <c r="J24" s="8">
        <f>SUM(J25:J26)</f>
        <v>1.4173615506999999</v>
      </c>
      <c r="K24" s="8">
        <f>SUM(K25:K26)</f>
        <v>0.26828863290689997</v>
      </c>
      <c r="L24" s="96">
        <f t="shared" ref="L24:L33" si="5">SUM(H24:K24)</f>
        <v>44.292348073606902</v>
      </c>
      <c r="M24" s="75"/>
      <c r="N24" s="150" t="s">
        <v>18</v>
      </c>
      <c r="O24" s="29">
        <f>'[2]Bilan 2020'!$X$46/11.63</f>
        <v>0</v>
      </c>
      <c r="P24" s="28">
        <f>SUM('[2]Bilan 2020'!$X$41:$X$43)/11.63</f>
        <v>35.668036461633939</v>
      </c>
      <c r="Q24" s="28">
        <f>'[2]Bilan 2020'!$X$13/11.63</f>
        <v>0.71687008340498715</v>
      </c>
      <c r="R24" s="28">
        <f>('[2]Bilan 2020'!$X$22+'[2]Bilan 2020'!$X$30+SUM('[2]Bilan 2020'!$X$36:$X$40)+SUM('[2]Bilan 2020'!$X$44:$X$45)+'[2]Bilan 2020'!$X$47)/11.63</f>
        <v>0.19326865864144452</v>
      </c>
      <c r="S24" s="142">
        <f>SUM(O24:R24)</f>
        <v>36.578175203680367</v>
      </c>
      <c r="T24" s="75"/>
      <c r="U24" s="147" t="s">
        <v>18</v>
      </c>
      <c r="Z24" s="8">
        <v>0</v>
      </c>
      <c r="AA24" s="8">
        <v>42.470170709999998</v>
      </c>
      <c r="AB24" s="8">
        <v>1.4398483075000001</v>
      </c>
      <c r="AC24" s="8">
        <v>0.26857153999110001</v>
      </c>
      <c r="AD24" s="96">
        <v>44.178590557491098</v>
      </c>
    </row>
    <row r="25" spans="2:30" x14ac:dyDescent="0.25">
      <c r="C25" s="148" t="s">
        <v>19</v>
      </c>
      <c r="D25" t="s">
        <v>394</v>
      </c>
      <c r="E25" t="s">
        <v>395</v>
      </c>
      <c r="F25" t="s">
        <v>396</v>
      </c>
      <c r="G25" t="s">
        <v>397</v>
      </c>
      <c r="H25" s="16">
        <f>VLOOKUP(D25,Résultats!$B$2:$AX$476,'T energie vecteurs'!I5,FALSE)</f>
        <v>0</v>
      </c>
      <c r="I25" s="16">
        <f>VLOOKUP(E25,Résultats!$B$2:$AX$476,'T energie vecteurs'!I5,FALSE)</f>
        <v>24.08860327</v>
      </c>
      <c r="J25" s="16">
        <f>VLOOKUP(F25,Résultats!$B$2:$AX$476,'T energie vecteurs'!I5,FALSE)</f>
        <v>9.1123452699999996E-2</v>
      </c>
      <c r="K25" s="16">
        <f>VLOOKUP(G77,Résultats!$B$2:$AX$476,'T energie vecteurs'!I5,FALSE)</f>
        <v>1.1698606899999999E-5</v>
      </c>
      <c r="L25" s="95">
        <f t="shared" si="5"/>
        <v>24.179738421306901</v>
      </c>
      <c r="M25" s="16"/>
      <c r="N25" s="148" t="s">
        <v>19</v>
      </c>
      <c r="O25" s="143"/>
      <c r="P25" s="16"/>
      <c r="Q25" s="34"/>
      <c r="R25" s="16"/>
      <c r="S25" s="95"/>
      <c r="T25" s="16"/>
      <c r="U25" s="148" t="s">
        <v>19</v>
      </c>
      <c r="V25" t="s">
        <v>394</v>
      </c>
      <c r="W25" t="s">
        <v>395</v>
      </c>
      <c r="X25" t="s">
        <v>396</v>
      </c>
      <c r="Y25" t="s">
        <v>397</v>
      </c>
      <c r="Z25" s="16">
        <v>0</v>
      </c>
      <c r="AA25" s="16">
        <v>23.933606399999999</v>
      </c>
      <c r="AB25" s="16">
        <v>0.1115936015</v>
      </c>
      <c r="AC25" s="16">
        <v>1.3015391099999999E-5</v>
      </c>
      <c r="AD25" s="95">
        <v>24.0452130168911</v>
      </c>
    </row>
    <row r="26" spans="2:30" x14ac:dyDescent="0.25">
      <c r="C26" s="149" t="s">
        <v>20</v>
      </c>
      <c r="D26" t="s">
        <v>398</v>
      </c>
      <c r="E26" t="s">
        <v>399</v>
      </c>
      <c r="F26" t="s">
        <v>400</v>
      </c>
      <c r="G26" t="s">
        <v>401</v>
      </c>
      <c r="H26" s="16">
        <f>VLOOKUP(D26,Résultats!$B$2:$AX$476,'T energie vecteurs'!I5,FALSE)</f>
        <v>0</v>
      </c>
      <c r="I26" s="16">
        <f>VLOOKUP(E26,Résultats!$B$2:$AX$476,'T energie vecteurs'!I5,FALSE)</f>
        <v>18.518094619999999</v>
      </c>
      <c r="J26" s="16">
        <f>VLOOKUP(F26,Résultats!$B$2:$AX$476,'T energie vecteurs'!I5,FALSE)</f>
        <v>1.3262380979999999</v>
      </c>
      <c r="K26" s="16">
        <f>VLOOKUP(G26,Résultats!$B$2:$AX$476,'T energie vecteurs'!I5,FALSE)</f>
        <v>0.26827693429999999</v>
      </c>
      <c r="L26" s="95">
        <f t="shared" si="5"/>
        <v>20.112609652300002</v>
      </c>
      <c r="M26" s="16"/>
      <c r="N26" s="149" t="s">
        <v>20</v>
      </c>
      <c r="O26" s="143"/>
      <c r="P26" s="16"/>
      <c r="Q26" s="34"/>
      <c r="R26" s="16"/>
      <c r="S26" s="95"/>
      <c r="T26" s="16"/>
      <c r="U26" s="149" t="s">
        <v>20</v>
      </c>
      <c r="V26" t="s">
        <v>398</v>
      </c>
      <c r="W26" t="s">
        <v>399</v>
      </c>
      <c r="X26" t="s">
        <v>400</v>
      </c>
      <c r="Y26" t="s">
        <v>401</v>
      </c>
      <c r="Z26" s="16">
        <v>0</v>
      </c>
      <c r="AA26" s="16">
        <v>18.536564309999999</v>
      </c>
      <c r="AB26" s="16">
        <v>1.3282547060000001</v>
      </c>
      <c r="AC26" s="16">
        <v>0.26855852460000001</v>
      </c>
      <c r="AD26" s="95">
        <v>20.133377540599998</v>
      </c>
    </row>
    <row r="27" spans="2:30" x14ac:dyDescent="0.25">
      <c r="C27" s="147" t="s">
        <v>21</v>
      </c>
      <c r="D27" t="s">
        <v>402</v>
      </c>
      <c r="E27" t="s">
        <v>403</v>
      </c>
      <c r="F27" t="s">
        <v>404</v>
      </c>
      <c r="G27" t="s">
        <v>405</v>
      </c>
      <c r="H27" s="8">
        <f>VLOOKUP(D27,Résultats!$B$2:$AX$476,'T energie vecteurs'!I5,FALSE)</f>
        <v>0.32541000609999998</v>
      </c>
      <c r="I27" s="8">
        <f>VLOOKUP(E27,Résultats!$B$2:$AX$476,'T energie vecteurs'!I5,FALSE)</f>
        <v>6.4339713879999998</v>
      </c>
      <c r="J27" s="8">
        <f>VLOOKUP(F27,Résultats!$B$2:$AX$476,'T energie vecteurs'!I5,FALSE)</f>
        <v>14.546819060000001</v>
      </c>
      <c r="K27" s="8">
        <f>VLOOKUP(G27,Résultats!$B$2:$AX$476,'T energie vecteurs'!I5,FALSE)+2</f>
        <v>19.703286720000001</v>
      </c>
      <c r="L27" s="96">
        <f t="shared" si="5"/>
        <v>41.009487174100002</v>
      </c>
      <c r="M27" s="75"/>
      <c r="N27" s="150" t="s">
        <v>21</v>
      </c>
      <c r="O27" s="29">
        <f>'[2]Bilan 2020'!$V$46/11.63</f>
        <v>2.0700734999999998E-2</v>
      </c>
      <c r="P27" s="28">
        <f>SUM('[2]Bilan 2020'!$V$41:$V$43)/11.63</f>
        <v>4.2874727518867157</v>
      </c>
      <c r="Q27" s="28">
        <f>'[2]Bilan 2020'!$V$13/11.63</f>
        <v>13.618731599337918</v>
      </c>
      <c r="R27" s="28">
        <f>('[2]Bilan 2020'!$V$22+'[2]Bilan 2020'!$V$30+SUM('[2]Bilan 2020'!$V$36:$V$40)+SUM('[2]Bilan 2020'!$V$44:$V$45)+'[2]Bilan 2020'!$V$47)/11.63</f>
        <v>20.408410382607048</v>
      </c>
      <c r="S27" s="142">
        <f t="shared" ref="S27:S33" si="6">SUM(O27:R27)</f>
        <v>38.335315468831681</v>
      </c>
      <c r="T27" s="75"/>
      <c r="U27" s="147" t="s">
        <v>21</v>
      </c>
      <c r="V27" t="s">
        <v>402</v>
      </c>
      <c r="W27" t="s">
        <v>403</v>
      </c>
      <c r="X27" t="s">
        <v>404</v>
      </c>
      <c r="Y27" t="s">
        <v>405</v>
      </c>
      <c r="Z27" s="8">
        <v>0.32532885449999999</v>
      </c>
      <c r="AA27" s="8">
        <v>6.4298124789999997</v>
      </c>
      <c r="AB27" s="8">
        <v>14.548182280000001</v>
      </c>
      <c r="AC27" s="8">
        <v>19.699657599999998</v>
      </c>
      <c r="AD27" s="96">
        <v>41.0029812135</v>
      </c>
    </row>
    <row r="28" spans="2:30" x14ac:dyDescent="0.25">
      <c r="C28" s="147" t="s">
        <v>22</v>
      </c>
      <c r="D28" t="s">
        <v>406</v>
      </c>
      <c r="E28" t="s">
        <v>407</v>
      </c>
      <c r="F28" t="s">
        <v>408</v>
      </c>
      <c r="G28" t="s">
        <v>409</v>
      </c>
      <c r="H28" s="8">
        <f>VLOOKUP(D28,Résultats!$B$2:$AX$476,'T energie vecteurs'!I5,FALSE)</f>
        <v>0</v>
      </c>
      <c r="I28" s="8">
        <f>VLOOKUP(E28,Résultats!$B$2:$AX$476,'T energie vecteurs'!I5,FALSE)</f>
        <v>3.0109655950000001</v>
      </c>
      <c r="J28" s="8">
        <f>VLOOKUP(F28,Résultats!$B$2:$AX$476,'T energie vecteurs'!I5,FALSE)</f>
        <v>12.6589928</v>
      </c>
      <c r="K28" s="8">
        <f>VLOOKUP(G28,Résultats!$B$2:$AX$476,'T energie vecteurs'!I5,FALSE)</f>
        <v>9.4082873300000003</v>
      </c>
      <c r="L28" s="96">
        <f t="shared" si="5"/>
        <v>25.078245725000002</v>
      </c>
      <c r="M28" s="75"/>
      <c r="N28" s="150" t="s">
        <v>22</v>
      </c>
      <c r="O28" s="29">
        <f>('[2]Bilan 2020'!$W$46)/11.63</f>
        <v>3.0546421000000001E-2</v>
      </c>
      <c r="P28" s="28">
        <f>SUM('[2]Bilan 2020'!$W$41:$W$43)/11.63</f>
        <v>2.7068355531694666</v>
      </c>
      <c r="Q28" s="28">
        <f>('[2]Bilan 2020'!$W$13)/11.63</f>
        <v>10.724850576412381</v>
      </c>
      <c r="R28" s="28">
        <f>('[2]Bilan 2020'!$W$22+'[2]Bilan 2020'!$W$30+SUM('[2]Bilan 2020'!$W$36:$W$40)+SUM('[2]Bilan 2020'!$W$44:$W$45)+'[2]Bilan 2020'!$W$47)/11.63</f>
        <v>7.1906336380053082</v>
      </c>
      <c r="S28" s="142">
        <f t="shared" si="6"/>
        <v>20.652866188587154</v>
      </c>
      <c r="T28" s="75"/>
      <c r="U28" s="147" t="s">
        <v>22</v>
      </c>
      <c r="V28" t="s">
        <v>406</v>
      </c>
      <c r="W28" t="s">
        <v>407</v>
      </c>
      <c r="X28" t="s">
        <v>408</v>
      </c>
      <c r="Y28" t="s">
        <v>409</v>
      </c>
      <c r="Z28" s="8">
        <v>0</v>
      </c>
      <c r="AA28" s="8">
        <v>3.0099111129999998</v>
      </c>
      <c r="AB28" s="8">
        <v>12.66223059</v>
      </c>
      <c r="AC28" s="8">
        <v>9.4093188350000005</v>
      </c>
      <c r="AD28" s="96">
        <v>25.081460538000002</v>
      </c>
    </row>
    <row r="29" spans="2:30" x14ac:dyDescent="0.25">
      <c r="C29" s="147" t="s">
        <v>23</v>
      </c>
      <c r="H29" s="8">
        <f>SUM(H30:H32)</f>
        <v>2.6000972103</v>
      </c>
      <c r="I29" s="8">
        <f>SUM(I30:I32)</f>
        <v>13.115854042999999</v>
      </c>
      <c r="J29" s="8">
        <f>SUM(J30:J32)</f>
        <v>9.2750860378000013</v>
      </c>
      <c r="K29" s="8">
        <f>SUM(K30:K32)</f>
        <v>15.633293612699999</v>
      </c>
      <c r="L29" s="96">
        <f t="shared" si="5"/>
        <v>40.624330903800001</v>
      </c>
      <c r="M29" s="75"/>
      <c r="N29" s="150" t="s">
        <v>490</v>
      </c>
      <c r="O29" s="29">
        <f>O30+O31</f>
        <v>3.1626378182920636</v>
      </c>
      <c r="P29" s="28">
        <f t="shared" ref="P29:R29" si="7">P30+P31</f>
        <v>13.919973516612528</v>
      </c>
      <c r="Q29" s="28">
        <f t="shared" si="7"/>
        <v>9.0413234941421319</v>
      </c>
      <c r="R29" s="28">
        <f t="shared" si="7"/>
        <v>14.312071337572707</v>
      </c>
      <c r="S29" s="142">
        <f t="shared" si="6"/>
        <v>40.436006166619435</v>
      </c>
      <c r="T29" s="75"/>
      <c r="U29" s="147" t="s">
        <v>23</v>
      </c>
      <c r="Z29" s="8">
        <v>2.6041915935</v>
      </c>
      <c r="AA29" s="8">
        <v>13.11843627199999</v>
      </c>
      <c r="AB29" s="8">
        <v>9.2676307303000005</v>
      </c>
      <c r="AC29" s="8">
        <v>15.630882400800001</v>
      </c>
      <c r="AD29" s="96">
        <v>40.621140996599991</v>
      </c>
    </row>
    <row r="30" spans="2:30" x14ac:dyDescent="0.25">
      <c r="C30" s="149" t="s">
        <v>24</v>
      </c>
      <c r="D30" t="s">
        <v>410</v>
      </c>
      <c r="E30" t="s">
        <v>411</v>
      </c>
      <c r="F30" t="s">
        <v>412</v>
      </c>
      <c r="G30" t="s">
        <v>413</v>
      </c>
      <c r="H30" s="16">
        <f>VLOOKUP(D30,Résultats!$B$2:$AX$476,'T energie vecteurs'!I5,FALSE)</f>
        <v>1.736578629</v>
      </c>
      <c r="I30" s="16">
        <f>VLOOKUP(E30,Résultats!$B$2:$AX$476,'T energie vecteurs'!I5,FALSE)</f>
        <v>8.8532432669999999</v>
      </c>
      <c r="J30" s="16">
        <f>VLOOKUP(F30,Résultats!$B$2:$AX$476,'T energie vecteurs'!I5,FALSE)</f>
        <v>8.9617964850000007</v>
      </c>
      <c r="K30" s="16">
        <f>VLOOKUP(G30,Résultats!$B$2:$AX$476,'T energie vecteurs'!I5,FALSE)</f>
        <v>13.13262471</v>
      </c>
      <c r="L30" s="95">
        <f t="shared" si="5"/>
        <v>32.684243090999999</v>
      </c>
      <c r="M30" s="16"/>
      <c r="N30" s="149" t="s">
        <v>491</v>
      </c>
      <c r="O30" s="143">
        <f>'[2]Bilan 2020'!$U$46/11.63</f>
        <v>0.77267988499999996</v>
      </c>
      <c r="P30" s="30">
        <f>SUM('[2]Bilan 2020'!$U$41:$U$43)/11.63</f>
        <v>2.7003587770125286</v>
      </c>
      <c r="Q30" s="30">
        <f>'[2]Bilan 2020'!$U$13/11.63</f>
        <v>9.0413234941421319</v>
      </c>
      <c r="R30" s="30">
        <f>('[2]Bilan 2020'!$U$22+'[2]Bilan 2020'!$U$30+SUM('[2]Bilan 2020'!$U$36:$U$40)+SUM('[2]Bilan 2020'!$U$44:$U$45)+'[2]Bilan 2020'!$U$47)/11.63</f>
        <v>13.277854957521116</v>
      </c>
      <c r="S30" s="95">
        <f t="shared" si="6"/>
        <v>25.792217113675775</v>
      </c>
      <c r="T30" s="16"/>
      <c r="U30" s="149" t="s">
        <v>24</v>
      </c>
      <c r="V30" t="s">
        <v>410</v>
      </c>
      <c r="W30" t="s">
        <v>411</v>
      </c>
      <c r="X30" t="s">
        <v>412</v>
      </c>
      <c r="Y30" t="s">
        <v>413</v>
      </c>
      <c r="Z30" s="16">
        <v>1.7388215869999999</v>
      </c>
      <c r="AA30" s="16">
        <v>8.8549437999999903</v>
      </c>
      <c r="AB30" s="16">
        <v>8.9540998980000008</v>
      </c>
      <c r="AC30" s="16">
        <v>13.12985211</v>
      </c>
      <c r="AD30" s="95">
        <v>32.677717394999995</v>
      </c>
    </row>
    <row r="31" spans="2:30" x14ac:dyDescent="0.25">
      <c r="C31" s="149" t="s">
        <v>47</v>
      </c>
      <c r="D31" t="s">
        <v>414</v>
      </c>
      <c r="E31" t="s">
        <v>415</v>
      </c>
      <c r="F31" t="s">
        <v>416</v>
      </c>
      <c r="G31" t="s">
        <v>417</v>
      </c>
      <c r="H31" s="16">
        <f>VLOOKUP(D31,Résultats!$B$2:$AX$476,'T energie vecteurs'!I5,FALSE)</f>
        <v>0.86351858130000003</v>
      </c>
      <c r="I31" s="16">
        <f>VLOOKUP(E31,Résultats!$B$2:$AX$476,'T energie vecteurs'!I5,FALSE)</f>
        <v>1.875702033</v>
      </c>
      <c r="J31" s="16">
        <f>VLOOKUP(F31,Résultats!$B$2:$AX$476,'T energie vecteurs'!I5,FALSE)</f>
        <v>0</v>
      </c>
      <c r="K31" s="16">
        <f>VLOOKUP(G31,Résultats!$B$2:$AX$476,'T energie vecteurs'!I5,FALSE)</f>
        <v>2.1263836719999998</v>
      </c>
      <c r="L31" s="95">
        <f t="shared" si="5"/>
        <v>4.8656042863</v>
      </c>
      <c r="M31" s="16"/>
      <c r="N31" s="149" t="s">
        <v>47</v>
      </c>
      <c r="O31" s="22">
        <f>'[2]Bilan 2020'!$E$52/11.63</f>
        <v>2.3899579332920635</v>
      </c>
      <c r="P31" s="16">
        <f>('[2]Bilan 2020'!$E$54+'[2]Bilan 2020'!$E$56)/11.63</f>
        <v>11.219614739599999</v>
      </c>
      <c r="Q31" s="16">
        <v>0</v>
      </c>
      <c r="R31" s="16">
        <f>('[2]Bilan 2020'!$E$53+'[2]Bilan 2020'!$E$55+'[2]Bilan 2020'!$E$57)/11.63</f>
        <v>1.0342163800515907</v>
      </c>
      <c r="S31" s="95">
        <f t="shared" si="6"/>
        <v>14.643789052943653</v>
      </c>
      <c r="T31" s="16"/>
      <c r="U31" s="149" t="s">
        <v>47</v>
      </c>
      <c r="V31" t="s">
        <v>414</v>
      </c>
      <c r="W31" t="s">
        <v>415</v>
      </c>
      <c r="X31" t="s">
        <v>416</v>
      </c>
      <c r="Y31" t="s">
        <v>417</v>
      </c>
      <c r="Z31" s="16">
        <v>0.86537000649999996</v>
      </c>
      <c r="AA31" s="16">
        <v>1.8757407829999999</v>
      </c>
      <c r="AB31" s="16">
        <v>0</v>
      </c>
      <c r="AC31" s="16">
        <v>2.1265502610000002</v>
      </c>
      <c r="AD31" s="95">
        <v>4.8676610505000006</v>
      </c>
    </row>
    <row r="32" spans="2:30" x14ac:dyDescent="0.25">
      <c r="C32" s="149" t="s">
        <v>25</v>
      </c>
      <c r="D32" t="s">
        <v>418</v>
      </c>
      <c r="E32" t="s">
        <v>419</v>
      </c>
      <c r="F32" t="s">
        <v>420</v>
      </c>
      <c r="G32" t="s">
        <v>421</v>
      </c>
      <c r="H32" s="16">
        <f>VLOOKUP(D32,Résultats!$B$2:$AX$476,'T energie vecteurs'!I5,FALSE)</f>
        <v>0</v>
      </c>
      <c r="I32" s="16">
        <f>VLOOKUP(E32,Résultats!$B$2:$AX$476,'T energie vecteurs'!I5,FALSE)</f>
        <v>2.3869087430000002</v>
      </c>
      <c r="J32" s="16">
        <f>VLOOKUP(F32,Résultats!$B$2:$AX$476,'T energie vecteurs'!I5,FALSE)</f>
        <v>0.31328955279999998</v>
      </c>
      <c r="K32" s="16">
        <f>VLOOKUP(G32,Résultats!$B$2:$AX$476,'T energie vecteurs'!I5,FALSE)</f>
        <v>0.37428523070000003</v>
      </c>
      <c r="L32" s="95">
        <f t="shared" si="5"/>
        <v>3.0744835265000003</v>
      </c>
      <c r="M32" s="16"/>
      <c r="N32" s="150" t="s">
        <v>25</v>
      </c>
      <c r="O32" s="29">
        <f>'[2]Bilan 2020'!$T$46/11.63</f>
        <v>1.3217009999999998E-3</v>
      </c>
      <c r="P32" s="28">
        <f>SUM('[2]Bilan 2020'!$T$41:$T$43)/11.63</f>
        <v>3.3486884684627563</v>
      </c>
      <c r="Q32" s="28">
        <f>'[2]Bilan 2020'!$T$13/11.63</f>
        <v>0.69143728159498707</v>
      </c>
      <c r="R32" s="28">
        <f>('[2]Bilan 2020'!$T$22+'[2]Bilan 2020'!$T$30+SUM('[2]Bilan 2020'!$T$36:$T$40)+SUM('[2]Bilan 2020'!$T$44:$T$45)+'[2]Bilan 2020'!$T$47)/11.63</f>
        <v>0.41959097162510717</v>
      </c>
      <c r="S32" s="142">
        <f t="shared" si="6"/>
        <v>4.4610384226828508</v>
      </c>
      <c r="T32" s="16"/>
      <c r="U32" s="149" t="s">
        <v>25</v>
      </c>
      <c r="V32" t="s">
        <v>418</v>
      </c>
      <c r="W32" t="s">
        <v>419</v>
      </c>
      <c r="X32" t="s">
        <v>420</v>
      </c>
      <c r="Y32" t="s">
        <v>421</v>
      </c>
      <c r="Z32" s="16">
        <v>0</v>
      </c>
      <c r="AA32" s="16">
        <v>2.3877516889999999</v>
      </c>
      <c r="AB32" s="16">
        <v>0.31353083230000001</v>
      </c>
      <c r="AC32" s="16">
        <v>0.3744800298</v>
      </c>
      <c r="AD32" s="95">
        <v>3.0757625511</v>
      </c>
    </row>
    <row r="33" spans="3:30" x14ac:dyDescent="0.25">
      <c r="C33" s="23" t="s">
        <v>26</v>
      </c>
      <c r="D33" s="10"/>
      <c r="E33" s="10"/>
      <c r="F33" s="10"/>
      <c r="G33" s="10"/>
      <c r="H33" s="9">
        <f>SUM(H24,H27:H29)</f>
        <v>2.9255072163999998</v>
      </c>
      <c r="I33" s="9">
        <f>SUM(I24,I27:I29)</f>
        <v>65.167488915999996</v>
      </c>
      <c r="J33" s="9">
        <f>SUM(J24,J27:J29)</f>
        <v>37.898259448499999</v>
      </c>
      <c r="K33" s="9">
        <f>SUM(K24,K27:K29)</f>
        <v>45.013156295606898</v>
      </c>
      <c r="L33" s="98">
        <f t="shared" si="5"/>
        <v>151.00441187650691</v>
      </c>
      <c r="M33" s="79"/>
      <c r="N33" s="151" t="s">
        <v>26</v>
      </c>
      <c r="O33" s="32">
        <f>O24+O27+O28+O29+O32</f>
        <v>3.2152066752920638</v>
      </c>
      <c r="P33" s="31">
        <f>P24+P27+P28+P29+P32</f>
        <v>59.931006751765409</v>
      </c>
      <c r="Q33" s="31">
        <f>Q24+Q27+Q28+Q29+Q32</f>
        <v>34.793213034892403</v>
      </c>
      <c r="R33" s="31">
        <f>R24+R27+R28+R29+R32</f>
        <v>42.523974988451613</v>
      </c>
      <c r="S33" s="144">
        <f t="shared" si="6"/>
        <v>140.46340145040148</v>
      </c>
      <c r="T33" s="79"/>
      <c r="U33" s="23" t="s">
        <v>26</v>
      </c>
      <c r="V33" s="10"/>
      <c r="W33" s="10"/>
      <c r="X33" s="10"/>
      <c r="Y33" s="10"/>
      <c r="Z33" s="9">
        <v>2.9295204479999999</v>
      </c>
      <c r="AA33" s="9">
        <v>65.028330573999995</v>
      </c>
      <c r="AB33" s="9">
        <v>37.917891907799998</v>
      </c>
      <c r="AC33" s="9">
        <v>45.0084303757911</v>
      </c>
      <c r="AD33" s="98">
        <v>150.8841733055911</v>
      </c>
    </row>
    <row r="34" spans="3:30" s="3" customFormat="1" x14ac:dyDescent="0.25">
      <c r="H34" s="45"/>
      <c r="I34" s="45"/>
      <c r="J34" s="45"/>
      <c r="K34" s="45"/>
      <c r="L34" s="45"/>
      <c r="M34" s="45"/>
      <c r="N34" s="45"/>
      <c r="O34" s="77"/>
      <c r="P34" s="77"/>
      <c r="Q34" s="77"/>
      <c r="R34" s="78"/>
      <c r="S34" s="45"/>
      <c r="T34" s="45"/>
      <c r="Z34" s="45"/>
      <c r="AA34" s="45"/>
      <c r="AB34" s="45"/>
      <c r="AC34" s="45"/>
      <c r="AD34" s="45"/>
    </row>
    <row r="35" spans="3:30" s="3" customFormat="1" x14ac:dyDescent="0.25"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Z35" s="45"/>
      <c r="AA35" s="45"/>
      <c r="AB35" s="45"/>
      <c r="AC35" s="45"/>
      <c r="AD35" s="45"/>
    </row>
    <row r="36" spans="3:30" ht="31.5" x14ac:dyDescent="0.35">
      <c r="C36" s="145">
        <v>2022</v>
      </c>
      <c r="D36" s="146"/>
      <c r="E36" s="146"/>
      <c r="F36" s="146"/>
      <c r="G36" s="146"/>
      <c r="H36" s="76" t="s">
        <v>36</v>
      </c>
      <c r="I36" s="76" t="s">
        <v>49</v>
      </c>
      <c r="J36" s="76" t="s">
        <v>38</v>
      </c>
      <c r="K36" s="76" t="s">
        <v>48</v>
      </c>
      <c r="L36" s="93" t="s">
        <v>1</v>
      </c>
      <c r="M36" s="19"/>
      <c r="N36" s="145">
        <v>2022</v>
      </c>
      <c r="O36" s="141" t="s">
        <v>36</v>
      </c>
      <c r="P36" s="76" t="s">
        <v>49</v>
      </c>
      <c r="Q36" s="76" t="s">
        <v>38</v>
      </c>
      <c r="R36" s="76" t="s">
        <v>48</v>
      </c>
      <c r="S36" s="93" t="s">
        <v>1</v>
      </c>
      <c r="T36" s="19"/>
      <c r="U36" s="145">
        <v>2022</v>
      </c>
      <c r="V36" s="146"/>
      <c r="W36" s="146"/>
      <c r="X36" s="146"/>
      <c r="Y36" s="146"/>
      <c r="Z36" s="76" t="s">
        <v>36</v>
      </c>
      <c r="AA36" s="76" t="s">
        <v>49</v>
      </c>
      <c r="AB36" s="76" t="s">
        <v>38</v>
      </c>
      <c r="AC36" s="76" t="s">
        <v>48</v>
      </c>
      <c r="AD36" s="93" t="s">
        <v>1</v>
      </c>
    </row>
    <row r="37" spans="3:30" x14ac:dyDescent="0.25">
      <c r="C37" s="147" t="s">
        <v>18</v>
      </c>
      <c r="H37" s="8">
        <f>SUM(H38:H39)</f>
        <v>0</v>
      </c>
      <c r="I37" s="8">
        <f>SUM(I38:I39)</f>
        <v>42.303729599999997</v>
      </c>
      <c r="J37" s="8">
        <f>SUM(J38:J39)</f>
        <v>1.5179923567</v>
      </c>
      <c r="K37" s="8">
        <f>SUM(K38:K39)</f>
        <v>0.37643359210120003</v>
      </c>
      <c r="L37" s="96">
        <f t="shared" ref="L37:L46" si="8">SUM(H37:K37)</f>
        <v>44.198155548801196</v>
      </c>
      <c r="M37" s="75"/>
      <c r="N37" s="150" t="s">
        <v>18</v>
      </c>
      <c r="O37" s="29">
        <f>'[3]Bilan 2022 réel'!$X$46/11.63</f>
        <v>0</v>
      </c>
      <c r="P37" s="28">
        <f>SUM('[3]Bilan 2022 réel'!$X$41:$X$43)/11.63</f>
        <v>43.395882986244146</v>
      </c>
      <c r="Q37" s="28">
        <f>'[3]Bilan 2022 réel'!$X$13/11.63</f>
        <v>0.93062751504729158</v>
      </c>
      <c r="R37" s="28">
        <f>('[3]Bilan 2022 réel'!$X$22+'[3]Bilan 2022 réel'!$X$30+SUM('[3]Bilan 2022 réel'!$X$36:$X$40)+SUM('[3]Bilan 2022 réel'!$X$44:$X$45)+'[3]Bilan 2022 réel'!$X$47)/11.63</f>
        <v>0.31885683576956142</v>
      </c>
      <c r="S37" s="142">
        <f>SUM(O37:R37)</f>
        <v>44.645367337060996</v>
      </c>
      <c r="T37" s="75"/>
      <c r="U37" s="147" t="s">
        <v>18</v>
      </c>
      <c r="Z37" s="8">
        <v>0</v>
      </c>
      <c r="AA37" s="8">
        <v>42.196799800000001</v>
      </c>
      <c r="AB37" s="8">
        <v>1.5518960473000001</v>
      </c>
      <c r="AC37" s="8">
        <v>0.37730478291210001</v>
      </c>
      <c r="AD37" s="96">
        <v>44.126000630212097</v>
      </c>
    </row>
    <row r="38" spans="3:30" x14ac:dyDescent="0.25">
      <c r="C38" s="148" t="s">
        <v>19</v>
      </c>
      <c r="D38" t="s">
        <v>394</v>
      </c>
      <c r="E38" t="s">
        <v>395</v>
      </c>
      <c r="F38" t="s">
        <v>396</v>
      </c>
      <c r="G38" t="s">
        <v>397</v>
      </c>
      <c r="H38" s="16">
        <f>VLOOKUP(D38,Résultats!$B$2:$AX$476,'T energie vecteurs'!K5,FALSE)</f>
        <v>0</v>
      </c>
      <c r="I38" s="16">
        <f>VLOOKUP(E38,Résultats!$B$2:$AX$476,'T energie vecteurs'!K5,FALSE)</f>
        <v>23.552964079999999</v>
      </c>
      <c r="J38" s="16">
        <f>VLOOKUP(F38,Résultats!$B$2:$AX$476,'T energie vecteurs'!K5,FALSE)</f>
        <v>0.1447862637</v>
      </c>
      <c r="K38" s="16">
        <f>VLOOKUP(G51,Résultats!$B$2:$AX$476,'T energie vecteurs'!K5,FALSE)</f>
        <v>1.51267012E-5</v>
      </c>
      <c r="L38" s="95">
        <f t="shared" si="8"/>
        <v>23.697765470401198</v>
      </c>
      <c r="M38" s="16"/>
      <c r="N38" s="148" t="s">
        <v>19</v>
      </c>
      <c r="O38" s="143"/>
      <c r="P38" s="16"/>
      <c r="Q38" s="34"/>
      <c r="R38" s="16"/>
      <c r="S38" s="95"/>
      <c r="T38" s="16"/>
      <c r="U38" s="148" t="s">
        <v>19</v>
      </c>
      <c r="V38" t="s">
        <v>394</v>
      </c>
      <c r="W38" t="s">
        <v>395</v>
      </c>
      <c r="X38" t="s">
        <v>396</v>
      </c>
      <c r="Y38" t="s">
        <v>397</v>
      </c>
      <c r="Z38" s="16">
        <v>0</v>
      </c>
      <c r="AA38" s="16">
        <v>23.39484934</v>
      </c>
      <c r="AB38" s="16">
        <v>0.1762139583</v>
      </c>
      <c r="AC38" s="16">
        <v>1.6439012100000001E-5</v>
      </c>
      <c r="AD38" s="95">
        <v>23.5710797373121</v>
      </c>
    </row>
    <row r="39" spans="3:30" x14ac:dyDescent="0.25">
      <c r="C39" s="149" t="s">
        <v>20</v>
      </c>
      <c r="D39" t="s">
        <v>398</v>
      </c>
      <c r="E39" t="s">
        <v>399</v>
      </c>
      <c r="F39" t="s">
        <v>400</v>
      </c>
      <c r="G39" t="s">
        <v>401</v>
      </c>
      <c r="H39" s="16">
        <f>VLOOKUP(D39,Résultats!$B$2:$AX$476,'T energie vecteurs'!K5,FALSE)</f>
        <v>0</v>
      </c>
      <c r="I39" s="16">
        <f>VLOOKUP(E39,Résultats!$B$2:$AX$476,'T energie vecteurs'!K5,FALSE)</f>
        <v>18.750765520000002</v>
      </c>
      <c r="J39" s="16">
        <f>VLOOKUP(F39,Résultats!$B$2:$AX$476,'T energie vecteurs'!K5,FALSE)</f>
        <v>1.3732060930000001</v>
      </c>
      <c r="K39" s="16">
        <f>VLOOKUP(G39,Résultats!$B$2:$AX$476,'T energie vecteurs'!K5,FALSE)</f>
        <v>0.37641846540000001</v>
      </c>
      <c r="L39" s="95">
        <f t="shared" si="8"/>
        <v>20.500390078400002</v>
      </c>
      <c r="M39" s="16"/>
      <c r="N39" s="149" t="s">
        <v>20</v>
      </c>
      <c r="O39" s="143"/>
      <c r="P39" s="16"/>
      <c r="Q39" s="34"/>
      <c r="R39" s="16"/>
      <c r="S39" s="95"/>
      <c r="T39" s="16"/>
      <c r="U39" s="149" t="s">
        <v>20</v>
      </c>
      <c r="V39" t="s">
        <v>398</v>
      </c>
      <c r="W39" t="s">
        <v>399</v>
      </c>
      <c r="X39" t="s">
        <v>400</v>
      </c>
      <c r="Y39" t="s">
        <v>401</v>
      </c>
      <c r="Z39" s="16">
        <v>0</v>
      </c>
      <c r="AA39" s="16">
        <v>18.80195046</v>
      </c>
      <c r="AB39" s="16">
        <v>1.3756820890000001</v>
      </c>
      <c r="AC39" s="16">
        <v>0.37728834389999999</v>
      </c>
      <c r="AD39" s="95">
        <v>20.5549208929</v>
      </c>
    </row>
    <row r="40" spans="3:30" x14ac:dyDescent="0.25">
      <c r="C40" s="147" t="s">
        <v>21</v>
      </c>
      <c r="D40" t="s">
        <v>402</v>
      </c>
      <c r="E40" t="s">
        <v>403</v>
      </c>
      <c r="F40" t="s">
        <v>404</v>
      </c>
      <c r="G40" t="s">
        <v>405</v>
      </c>
      <c r="H40" s="8">
        <f>VLOOKUP(D40,Résultats!$B$2:$AX$476,'T energie vecteurs'!K5,FALSE)</f>
        <v>0.30942877520000001</v>
      </c>
      <c r="I40" s="8">
        <f>VLOOKUP(E40,Résultats!$B$2:$AX$476,'T energie vecteurs'!K5,FALSE)</f>
        <v>6.1205859570000003</v>
      </c>
      <c r="J40" s="8">
        <f>VLOOKUP(F40,Résultats!$B$2:$AX$476,'T energie vecteurs'!K5,FALSE)</f>
        <v>14.672787250000001</v>
      </c>
      <c r="K40" s="8">
        <f>VLOOKUP(G40,Résultats!$B$2:$AX$476,'T energie vecteurs'!K5,FALSE)+2</f>
        <v>19.068182790000002</v>
      </c>
      <c r="L40" s="96">
        <f t="shared" si="8"/>
        <v>40.170984772200001</v>
      </c>
      <c r="M40" s="75"/>
      <c r="N40" s="150" t="s">
        <v>21</v>
      </c>
      <c r="O40" s="29">
        <f>'[3]Bilan 2022 réel'!$V$46/11.63</f>
        <v>2.6476317000000003E-2</v>
      </c>
      <c r="P40" s="28">
        <f>SUM('[3]Bilan 2022 réel'!$V$41:$V$43)/11.63</f>
        <v>3.5006052343</v>
      </c>
      <c r="Q40" s="28">
        <f>'[3]Bilan 2022 réel'!$V$13/11.63</f>
        <v>13.359407222699915</v>
      </c>
      <c r="R40" s="28">
        <f>('[3]Bilan 2022 réel'!$V$22+'[3]Bilan 2022 réel'!$V$30+SUM('[3]Bilan 2022 réel'!$V$36:$V$40)+SUM('[3]Bilan 2022 réel'!$V$44:$V$45)+'[3]Bilan 2022 réel'!$V$47)/11.63</f>
        <v>20.358936597126686</v>
      </c>
      <c r="S40" s="142">
        <f t="shared" ref="S40:S46" si="9">SUM(O40:R40)</f>
        <v>37.245425371126601</v>
      </c>
      <c r="T40" s="75"/>
      <c r="U40" s="147" t="s">
        <v>21</v>
      </c>
      <c r="V40" t="s">
        <v>402</v>
      </c>
      <c r="W40" t="s">
        <v>403</v>
      </c>
      <c r="X40" t="s">
        <v>404</v>
      </c>
      <c r="Y40" t="s">
        <v>405</v>
      </c>
      <c r="Z40" s="8">
        <v>0.30935707070000001</v>
      </c>
      <c r="AA40" s="8">
        <v>6.1152615319999999</v>
      </c>
      <c r="AB40" s="8">
        <v>14.673588240000001</v>
      </c>
      <c r="AC40" s="8">
        <v>19.069665570000002</v>
      </c>
      <c r="AD40" s="96">
        <v>40.167872412700007</v>
      </c>
    </row>
    <row r="41" spans="3:30" x14ac:dyDescent="0.25">
      <c r="C41" s="147" t="s">
        <v>22</v>
      </c>
      <c r="D41" t="s">
        <v>406</v>
      </c>
      <c r="E41" t="s">
        <v>407</v>
      </c>
      <c r="F41" t="s">
        <v>408</v>
      </c>
      <c r="G41" t="s">
        <v>409</v>
      </c>
      <c r="H41" s="8">
        <f>VLOOKUP(D41,Résultats!$B$2:$AX$476,'T energie vecteurs'!K5,FALSE)</f>
        <v>0</v>
      </c>
      <c r="I41" s="8">
        <f>VLOOKUP(E41,Résultats!$B$2:$AX$476,'T energie vecteurs'!K5,FALSE)</f>
        <v>3.010593445</v>
      </c>
      <c r="J41" s="8">
        <f>VLOOKUP(F41,Résultats!$B$2:$AX$476,'T energie vecteurs'!K5,FALSE)</f>
        <v>12.793686109999999</v>
      </c>
      <c r="K41" s="8">
        <f>VLOOKUP(G41,Résultats!$B$2:$AX$476,'T energie vecteurs'!K5,FALSE)</f>
        <v>9.256715346</v>
      </c>
      <c r="L41" s="96">
        <f t="shared" si="8"/>
        <v>25.060994901000001</v>
      </c>
      <c r="M41" s="75"/>
      <c r="N41" s="150" t="s">
        <v>22</v>
      </c>
      <c r="O41" s="29">
        <f>('[3]Bilan 2022 réel'!$W$46)/11.63</f>
        <v>3.2835727999999995E-2</v>
      </c>
      <c r="P41" s="28">
        <f>SUM('[3]Bilan 2022 réel'!$W$41:$W$43)/11.63</f>
        <v>2.0815720291000002</v>
      </c>
      <c r="Q41" s="28">
        <f>('[3]Bilan 2022 réel'!$W$13)/11.63</f>
        <v>11.4388796216681</v>
      </c>
      <c r="R41" s="28">
        <f>('[3]Bilan 2022 réel'!$W$22+'[3]Bilan 2022 réel'!$W$30+SUM('[3]Bilan 2022 réel'!$W$36:$W$40)+SUM('[3]Bilan 2022 réel'!$W$44:$W$45)+'[3]Bilan 2022 réel'!$W$47)/11.63</f>
        <v>7.4016622456291197</v>
      </c>
      <c r="S41" s="142">
        <f t="shared" si="9"/>
        <v>20.954949624397219</v>
      </c>
      <c r="T41" s="75"/>
      <c r="U41" s="147" t="s">
        <v>22</v>
      </c>
      <c r="V41" t="s">
        <v>406</v>
      </c>
      <c r="W41" t="s">
        <v>407</v>
      </c>
      <c r="X41" t="s">
        <v>408</v>
      </c>
      <c r="Y41" t="s">
        <v>409</v>
      </c>
      <c r="Z41" s="8">
        <v>0</v>
      </c>
      <c r="AA41" s="8">
        <v>3.0089517360000002</v>
      </c>
      <c r="AB41" s="8">
        <v>12.796412650000001</v>
      </c>
      <c r="AC41" s="8">
        <v>9.2626327990000004</v>
      </c>
      <c r="AD41" s="96">
        <v>25.067997185000003</v>
      </c>
    </row>
    <row r="42" spans="3:30" x14ac:dyDescent="0.25">
      <c r="C42" s="147" t="s">
        <v>23</v>
      </c>
      <c r="H42" s="8">
        <f>SUM(H43:H45)</f>
        <v>2.5741682769000001</v>
      </c>
      <c r="I42" s="8">
        <f>SUM(I43:I45)</f>
        <v>12.822305802999999</v>
      </c>
      <c r="J42" s="8">
        <f>SUM(J43:J45)</f>
        <v>9.6397206490999992</v>
      </c>
      <c r="K42" s="8">
        <f>SUM(K43:K45)</f>
        <v>15.956515691400002</v>
      </c>
      <c r="L42" s="96">
        <f t="shared" si="8"/>
        <v>40.992710420400002</v>
      </c>
      <c r="M42" s="75"/>
      <c r="N42" s="150" t="s">
        <v>490</v>
      </c>
      <c r="O42" s="29">
        <f>O43+O44</f>
        <v>4.5030917883254036</v>
      </c>
      <c r="P42" s="28">
        <f t="shared" ref="P42:R42" si="10">P43+P44</f>
        <v>11.747675010745624</v>
      </c>
      <c r="Q42" s="28">
        <f t="shared" si="10"/>
        <v>9.2559822012037838</v>
      </c>
      <c r="R42" s="28">
        <f t="shared" si="10"/>
        <v>13.798624448265977</v>
      </c>
      <c r="S42" s="142">
        <f t="shared" si="9"/>
        <v>39.305373448540784</v>
      </c>
      <c r="T42" s="75"/>
      <c r="U42" s="147" t="s">
        <v>23</v>
      </c>
      <c r="Z42" s="8">
        <v>2.5894166891000001</v>
      </c>
      <c r="AA42" s="8">
        <v>12.838508321000001</v>
      </c>
      <c r="AB42" s="8">
        <v>9.6564707698000003</v>
      </c>
      <c r="AC42" s="8">
        <v>15.9895936569</v>
      </c>
      <c r="AD42" s="96">
        <v>41.073989436799998</v>
      </c>
    </row>
    <row r="43" spans="3:30" x14ac:dyDescent="0.25">
      <c r="C43" s="149" t="s">
        <v>24</v>
      </c>
      <c r="D43" t="s">
        <v>410</v>
      </c>
      <c r="E43" t="s">
        <v>411</v>
      </c>
      <c r="F43" t="s">
        <v>412</v>
      </c>
      <c r="G43" t="s">
        <v>413</v>
      </c>
      <c r="H43" s="16">
        <f>VLOOKUP(D43,Résultats!$B$2:$AX$476,'T energie vecteurs'!K5,FALSE)</f>
        <v>1.6954696490000001</v>
      </c>
      <c r="I43" s="16">
        <f>VLOOKUP(E43,Résultats!$B$2:$AX$476,'T energie vecteurs'!K5,FALSE)</f>
        <v>8.4961406210000003</v>
      </c>
      <c r="J43" s="16">
        <f>VLOOKUP(F43,Résultats!$B$2:$AX$476,'T energie vecteurs'!K5,FALSE)</f>
        <v>9.3166203109999994</v>
      </c>
      <c r="K43" s="16">
        <f>VLOOKUP(G43,Résultats!$B$2:$AX$476,'T energie vecteurs'!K5,FALSE)</f>
        <v>13.4195881</v>
      </c>
      <c r="L43" s="95">
        <f t="shared" si="8"/>
        <v>32.927818680999998</v>
      </c>
      <c r="M43" s="16"/>
      <c r="N43" s="149" t="s">
        <v>491</v>
      </c>
      <c r="O43" s="143">
        <f>'[3]Bilan 2022 réel'!$U$46/11.63</f>
        <v>0.63402045200000001</v>
      </c>
      <c r="P43" s="30">
        <f>SUM('[3]Bilan 2022 réel'!$U$41:$U$43)/11.63</f>
        <v>2.4775829957456241</v>
      </c>
      <c r="Q43" s="30">
        <f>'[3]Bilan 2022 réel'!$U$13/11.63</f>
        <v>9.2559822012037838</v>
      </c>
      <c r="R43" s="30">
        <f>('[3]Bilan 2022 réel'!$U$22+'[3]Bilan 2022 réel'!$U$30+SUM('[3]Bilan 2022 réel'!$U$36:$U$40)+SUM('[3]Bilan 2022 réel'!$U$44:$U$45)+'[3]Bilan 2022 réel'!$U$47)/11.63</f>
        <v>12.926272664087129</v>
      </c>
      <c r="S43" s="95">
        <f t="shared" si="9"/>
        <v>25.293858313036537</v>
      </c>
      <c r="T43" s="16"/>
      <c r="U43" s="149" t="s">
        <v>24</v>
      </c>
      <c r="V43" t="s">
        <v>410</v>
      </c>
      <c r="W43" t="s">
        <v>411</v>
      </c>
      <c r="X43" t="s">
        <v>412</v>
      </c>
      <c r="Y43" t="s">
        <v>413</v>
      </c>
      <c r="Z43" s="16">
        <v>1.704645185</v>
      </c>
      <c r="AA43" s="16">
        <v>8.5110894259999998</v>
      </c>
      <c r="AB43" s="16">
        <v>9.3330364479999997</v>
      </c>
      <c r="AC43" s="16">
        <v>13.451678599999999</v>
      </c>
      <c r="AD43" s="95">
        <v>33.000449658999997</v>
      </c>
    </row>
    <row r="44" spans="3:30" x14ac:dyDescent="0.25">
      <c r="C44" s="149" t="s">
        <v>47</v>
      </c>
      <c r="D44" t="s">
        <v>414</v>
      </c>
      <c r="E44" t="s">
        <v>415</v>
      </c>
      <c r="F44" t="s">
        <v>416</v>
      </c>
      <c r="G44" t="s">
        <v>417</v>
      </c>
      <c r="H44" s="16">
        <f>VLOOKUP(D44,Résultats!$B$2:$AX$476,'T energie vecteurs'!K5,FALSE)</f>
        <v>0.87869862789999997</v>
      </c>
      <c r="I44" s="16">
        <f>VLOOKUP(E44,Résultats!$B$2:$AX$476,'T energie vecteurs'!K5,FALSE)</f>
        <v>1.9045354729999999</v>
      </c>
      <c r="J44" s="16">
        <f>VLOOKUP(F44,Résultats!$B$2:$AX$476,'T energie vecteurs'!K5,FALSE)</f>
        <v>0</v>
      </c>
      <c r="K44" s="16">
        <f>VLOOKUP(G44,Résultats!$B$2:$AX$476,'T energie vecteurs'!K5,FALSE)</f>
        <v>2.1517736080000001</v>
      </c>
      <c r="L44" s="95">
        <f t="shared" si="8"/>
        <v>4.9350077088999997</v>
      </c>
      <c r="M44" s="16"/>
      <c r="N44" s="149" t="s">
        <v>47</v>
      </c>
      <c r="O44" s="22">
        <f>'[3]Bilan 2022 réel'!$E$52/11.63</f>
        <v>3.8690713363254039</v>
      </c>
      <c r="P44" s="16">
        <f>('[3]Bilan 2022 réel'!$E$54+'[3]Bilan 2022 réel'!$E$56)/11.63</f>
        <v>9.2700920149999995</v>
      </c>
      <c r="Q44" s="16">
        <v>0</v>
      </c>
      <c r="R44" s="16">
        <f>('[3]Bilan 2022 réel'!$E$53+'[3]Bilan 2022 réel'!$E$55+'[3]Bilan 2022 réel'!$E$57)/11.63</f>
        <v>0.87235178417884784</v>
      </c>
      <c r="S44" s="95">
        <f t="shared" si="9"/>
        <v>14.011515135504252</v>
      </c>
      <c r="T44" s="16"/>
      <c r="U44" s="149" t="s">
        <v>47</v>
      </c>
      <c r="V44" t="s">
        <v>414</v>
      </c>
      <c r="W44" t="s">
        <v>415</v>
      </c>
      <c r="X44" t="s">
        <v>416</v>
      </c>
      <c r="Y44" t="s">
        <v>417</v>
      </c>
      <c r="Z44" s="16">
        <v>0.88477150410000005</v>
      </c>
      <c r="AA44" s="16">
        <v>1.9045931359999999</v>
      </c>
      <c r="AB44" s="16">
        <v>0</v>
      </c>
      <c r="AC44" s="16">
        <v>2.1523416530000001</v>
      </c>
      <c r="AD44" s="95">
        <v>4.9417062931000002</v>
      </c>
    </row>
    <row r="45" spans="3:30" x14ac:dyDescent="0.25">
      <c r="C45" s="149" t="s">
        <v>25</v>
      </c>
      <c r="D45" t="s">
        <v>418</v>
      </c>
      <c r="E45" t="s">
        <v>419</v>
      </c>
      <c r="F45" t="s">
        <v>420</v>
      </c>
      <c r="G45" t="s">
        <v>421</v>
      </c>
      <c r="H45" s="16">
        <f>VLOOKUP(D45,Résultats!$B$2:$AX$476,'T energie vecteurs'!K5,FALSE)</f>
        <v>0</v>
      </c>
      <c r="I45" s="16">
        <f>VLOOKUP(E45,Résultats!$B$2:$AX$476,'T energie vecteurs'!K5,FALSE)</f>
        <v>2.4216297089999999</v>
      </c>
      <c r="J45" s="16">
        <f>VLOOKUP(F45,Résultats!$B$2:$AX$476,'T energie vecteurs'!K5,FALSE)</f>
        <v>0.3231003381</v>
      </c>
      <c r="K45" s="16">
        <f>VLOOKUP(G45,Résultats!$B$2:$AX$476,'T energie vecteurs'!K5,FALSE)</f>
        <v>0.38515398340000001</v>
      </c>
      <c r="L45" s="95">
        <f t="shared" si="8"/>
        <v>3.1298840305</v>
      </c>
      <c r="M45" s="16"/>
      <c r="N45" s="150" t="s">
        <v>25</v>
      </c>
      <c r="O45" s="29">
        <f>'[3]Bilan 2022 réel'!$T$46/11.63</f>
        <v>1.651664E-3</v>
      </c>
      <c r="P45" s="28">
        <f>SUM('[3]Bilan 2022 réel'!$T$41:$T$43)/11.63</f>
        <v>3.5697769387513203</v>
      </c>
      <c r="Q45" s="28">
        <f>'[3]Bilan 2022 réel'!$T$13/11.63</f>
        <v>0.67291487532244199</v>
      </c>
      <c r="R45" s="28">
        <f>('[3]Bilan 2022 réel'!$T$22+'[3]Bilan 2022 réel'!$T$30+SUM('[3]Bilan 2022 réel'!$T$36:$T$40)+SUM('[3]Bilan 2022 réel'!$T$44:$T$45)+'[3]Bilan 2022 réel'!$T$47)/11.63</f>
        <v>0.43996563007547523</v>
      </c>
      <c r="S45" s="142">
        <f t="shared" si="9"/>
        <v>4.6843091081492378</v>
      </c>
      <c r="T45" s="16"/>
      <c r="U45" s="149" t="s">
        <v>25</v>
      </c>
      <c r="V45" t="s">
        <v>418</v>
      </c>
      <c r="W45" t="s">
        <v>419</v>
      </c>
      <c r="X45" t="s">
        <v>420</v>
      </c>
      <c r="Y45" t="s">
        <v>421</v>
      </c>
      <c r="Z45" s="16">
        <v>0</v>
      </c>
      <c r="AA45" s="16">
        <v>2.4228257590000002</v>
      </c>
      <c r="AB45" s="16">
        <v>0.32343432179999998</v>
      </c>
      <c r="AC45" s="16">
        <v>0.3855734039</v>
      </c>
      <c r="AD45" s="95">
        <v>3.1318334847</v>
      </c>
    </row>
    <row r="46" spans="3:30" x14ac:dyDescent="0.25">
      <c r="C46" s="23" t="s">
        <v>26</v>
      </c>
      <c r="D46" s="10"/>
      <c r="E46" s="10"/>
      <c r="F46" s="10"/>
      <c r="G46" s="10"/>
      <c r="H46" s="9">
        <f>SUM(H37,H40:H42)</f>
        <v>2.8835970520999998</v>
      </c>
      <c r="I46" s="9">
        <f>SUM(I37,I40:I42)</f>
        <v>64.25721480499999</v>
      </c>
      <c r="J46" s="9">
        <f>SUM(J37,J40:J42)</f>
        <v>38.6241863658</v>
      </c>
      <c r="K46" s="9">
        <f>SUM(K37,K40:K42)</f>
        <v>44.657847419501202</v>
      </c>
      <c r="L46" s="98">
        <f t="shared" si="8"/>
        <v>150.4228456424012</v>
      </c>
      <c r="M46" s="79"/>
      <c r="N46" s="151" t="s">
        <v>26</v>
      </c>
      <c r="O46" s="32">
        <f>O37+O40+O41+O42+O45</f>
        <v>4.5640554973254037</v>
      </c>
      <c r="P46" s="31">
        <f>P37+P40+P41+P42+P45</f>
        <v>64.295512199141086</v>
      </c>
      <c r="Q46" s="31">
        <f>Q37+Q40+Q41+Q42+Q45</f>
        <v>35.657811435941532</v>
      </c>
      <c r="R46" s="31">
        <f>R37+R40+R41+R42+R45</f>
        <v>42.318045756866823</v>
      </c>
      <c r="S46" s="144">
        <f t="shared" si="9"/>
        <v>146.83542488927486</v>
      </c>
      <c r="T46" s="79"/>
      <c r="U46" s="23" t="s">
        <v>26</v>
      </c>
      <c r="V46" s="10"/>
      <c r="W46" s="10"/>
      <c r="X46" s="10"/>
      <c r="Y46" s="10"/>
      <c r="Z46" s="9">
        <v>2.8987737598000001</v>
      </c>
      <c r="AA46" s="9">
        <v>64.159521389000005</v>
      </c>
      <c r="AB46" s="9">
        <v>38.678367707100001</v>
      </c>
      <c r="AC46" s="9">
        <v>44.699196808812097</v>
      </c>
      <c r="AD46" s="98">
        <v>150.4358596647121</v>
      </c>
    </row>
    <row r="47" spans="3:30" s="3" customFormat="1" x14ac:dyDescent="0.25">
      <c r="H47" s="45"/>
      <c r="I47" s="45"/>
      <c r="J47" s="45"/>
      <c r="K47" s="45"/>
      <c r="L47" s="45"/>
      <c r="M47" s="45"/>
      <c r="N47" s="45"/>
      <c r="O47" s="77"/>
      <c r="P47" s="77"/>
      <c r="Q47" s="77"/>
      <c r="R47" s="78"/>
      <c r="S47" s="45"/>
      <c r="T47" s="45"/>
      <c r="Z47" s="45"/>
      <c r="AA47" s="45"/>
      <c r="AB47" s="45"/>
      <c r="AC47" s="45"/>
      <c r="AD47" s="45"/>
    </row>
    <row r="48" spans="3:30" s="3" customFormat="1" x14ac:dyDescent="0.25"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Z48" s="45"/>
      <c r="AA48" s="45"/>
      <c r="AB48" s="45"/>
      <c r="AC48" s="45"/>
      <c r="AD48" s="45"/>
    </row>
    <row r="49" spans="2:30" ht="31.5" x14ac:dyDescent="0.35">
      <c r="C49" s="145">
        <v>2023</v>
      </c>
      <c r="D49" s="146"/>
      <c r="E49" s="146"/>
      <c r="F49" s="146"/>
      <c r="G49" s="146"/>
      <c r="H49" s="76" t="s">
        <v>36</v>
      </c>
      <c r="I49" s="76" t="s">
        <v>49</v>
      </c>
      <c r="J49" s="76" t="s">
        <v>38</v>
      </c>
      <c r="K49" s="76" t="s">
        <v>48</v>
      </c>
      <c r="L49" s="93" t="s">
        <v>1</v>
      </c>
      <c r="M49" s="19"/>
      <c r="N49" s="145">
        <v>2023</v>
      </c>
      <c r="O49" s="141" t="s">
        <v>36</v>
      </c>
      <c r="P49" s="76" t="s">
        <v>49</v>
      </c>
      <c r="Q49" s="76" t="s">
        <v>38</v>
      </c>
      <c r="R49" s="76" t="s">
        <v>48</v>
      </c>
      <c r="S49" s="93" t="s">
        <v>1</v>
      </c>
      <c r="T49" s="19"/>
      <c r="U49" s="145">
        <v>2023</v>
      </c>
      <c r="V49" s="146"/>
      <c r="W49" s="146"/>
      <c r="X49" s="146"/>
      <c r="Y49" s="146"/>
      <c r="Z49" s="76" t="s">
        <v>36</v>
      </c>
      <c r="AA49" s="76" t="s">
        <v>49</v>
      </c>
      <c r="AB49" s="76" t="s">
        <v>38</v>
      </c>
      <c r="AC49" s="76" t="s">
        <v>48</v>
      </c>
      <c r="AD49" s="93" t="s">
        <v>1</v>
      </c>
    </row>
    <row r="50" spans="2:30" x14ac:dyDescent="0.25">
      <c r="C50" s="147" t="s">
        <v>18</v>
      </c>
      <c r="H50" s="8">
        <f>SUM(H51:H52)</f>
        <v>0</v>
      </c>
      <c r="I50" s="8">
        <f>SUM(I51:I52)</f>
        <v>42.182665569999998</v>
      </c>
      <c r="J50" s="8">
        <f>SUM(J51:J52)</f>
        <v>1.5886948042000002</v>
      </c>
      <c r="K50" s="8">
        <f>SUM(K51:K52)</f>
        <v>0.42088637871450002</v>
      </c>
      <c r="L50" s="96">
        <f>SUM(H50:K50)</f>
        <v>44.1922467529145</v>
      </c>
      <c r="M50" s="75"/>
      <c r="N50" s="150" t="s">
        <v>18</v>
      </c>
      <c r="O50" s="29">
        <f>'[3]Bilan 2023 réel'!$X$46/11.63</f>
        <v>0</v>
      </c>
      <c r="P50" s="28">
        <f>SUM('[3]Bilan 2023 réel'!$X$41:$X$43)/11.63</f>
        <v>42.139633010859157</v>
      </c>
      <c r="Q50" s="28">
        <f>'[3]Bilan 2023 réel'!$X$13/11.63</f>
        <v>0.9065512467755803</v>
      </c>
      <c r="R50" s="28">
        <f>('[3]Bilan 2023 réel'!$X$22+'[3]Bilan 2023 réel'!$X$30+SUM('[3]Bilan 2023 réel'!$X$36:$X$40)+SUM('[3]Bilan 2023 réel'!$X$44:$X$45)+'[3]Bilan 2023 réel'!$X$47)/11.63</f>
        <v>0.31885683576956142</v>
      </c>
      <c r="S50" s="142">
        <f>SUM(O50:R50)</f>
        <v>43.365041093404294</v>
      </c>
      <c r="T50" s="270"/>
      <c r="U50" s="147" t="s">
        <v>18</v>
      </c>
      <c r="Z50" s="8">
        <v>0</v>
      </c>
      <c r="AA50" s="8">
        <v>42.066858190000005</v>
      </c>
      <c r="AB50" s="8">
        <v>1.6289597455</v>
      </c>
      <c r="AC50" s="8">
        <v>0.42183069478729995</v>
      </c>
      <c r="AD50" s="96">
        <v>44.117648630287306</v>
      </c>
    </row>
    <row r="51" spans="2:30" x14ac:dyDescent="0.25">
      <c r="C51" s="148" t="s">
        <v>19</v>
      </c>
      <c r="D51" t="s">
        <v>394</v>
      </c>
      <c r="E51" t="s">
        <v>395</v>
      </c>
      <c r="F51" t="s">
        <v>396</v>
      </c>
      <c r="G51" t="s">
        <v>397</v>
      </c>
      <c r="H51" s="16">
        <f>VLOOKUP(D51,Résultats!$B$2:$AX$476,'T energie vecteurs'!L5,FALSE)</f>
        <v>0</v>
      </c>
      <c r="I51" s="16">
        <f>VLOOKUP(E51,Résultats!$B$2:$AX$476,'T energie vecteurs'!L5,FALSE)</f>
        <v>23.172099070000002</v>
      </c>
      <c r="J51" s="16">
        <f>VLOOKUP(F51,Résultats!$B$2:$AX$476,'T energie vecteurs'!L5,FALSE)</f>
        <v>0.18320322920000001</v>
      </c>
      <c r="K51" s="16">
        <f>VLOOKUP(G51,Résultats!$B$2:$AX$476,'T energie vecteurs'!L5,FALSE)</f>
        <v>1.7681214499999999E-5</v>
      </c>
      <c r="L51" s="95">
        <f t="shared" ref="L51:L52" si="11">SUM(H51:K51)</f>
        <v>23.355319980414503</v>
      </c>
      <c r="M51" s="16"/>
      <c r="N51" s="148" t="s">
        <v>19</v>
      </c>
      <c r="O51" s="143"/>
      <c r="P51" s="16"/>
      <c r="Q51" s="34"/>
      <c r="R51" s="16"/>
      <c r="S51" s="95"/>
      <c r="T51" s="270"/>
      <c r="U51" s="148" t="s">
        <v>19</v>
      </c>
      <c r="V51" t="s">
        <v>394</v>
      </c>
      <c r="W51" t="s">
        <v>395</v>
      </c>
      <c r="X51" t="s">
        <v>396</v>
      </c>
      <c r="Y51" t="s">
        <v>397</v>
      </c>
      <c r="Z51" s="16">
        <v>0</v>
      </c>
      <c r="AA51" s="16">
        <v>23.0047794</v>
      </c>
      <c r="AB51" s="16">
        <v>0.22147205649999999</v>
      </c>
      <c r="AC51" s="16">
        <v>1.89455873E-5</v>
      </c>
      <c r="AD51" s="95">
        <v>23.226270402087302</v>
      </c>
    </row>
    <row r="52" spans="2:30" x14ac:dyDescent="0.25">
      <c r="C52" s="149" t="s">
        <v>20</v>
      </c>
      <c r="D52" t="s">
        <v>398</v>
      </c>
      <c r="E52" t="s">
        <v>399</v>
      </c>
      <c r="F52" t="s">
        <v>400</v>
      </c>
      <c r="G52" t="s">
        <v>401</v>
      </c>
      <c r="H52" s="16">
        <f>VLOOKUP(D52,Résultats!$B$2:$AX$476,'T energie vecteurs'!L5,FALSE)</f>
        <v>0</v>
      </c>
      <c r="I52" s="16">
        <f>VLOOKUP(E52,Résultats!$B$2:$AX$476,'T energie vecteurs'!L5,FALSE)</f>
        <v>19.010566499999999</v>
      </c>
      <c r="J52" s="16">
        <f>VLOOKUP(F52,Résultats!$B$2:$AX$476,'T energie vecteurs'!L5,FALSE)</f>
        <v>1.4054915750000001</v>
      </c>
      <c r="K52" s="16">
        <f>VLOOKUP(G52,Résultats!$B$2:$AX$476,'T energie vecteurs'!L5,FALSE)</f>
        <v>0.4208686975</v>
      </c>
      <c r="L52" s="95">
        <f t="shared" si="11"/>
        <v>20.8369267725</v>
      </c>
      <c r="M52" s="16"/>
      <c r="N52" s="149" t="s">
        <v>20</v>
      </c>
      <c r="O52" s="143"/>
      <c r="P52" s="16"/>
      <c r="Q52" s="34"/>
      <c r="R52" s="16"/>
      <c r="S52" s="95"/>
      <c r="T52" s="270"/>
      <c r="U52" s="149" t="s">
        <v>20</v>
      </c>
      <c r="V52" t="s">
        <v>398</v>
      </c>
      <c r="W52" t="s">
        <v>399</v>
      </c>
      <c r="X52" t="s">
        <v>400</v>
      </c>
      <c r="Y52" t="s">
        <v>401</v>
      </c>
      <c r="Z52" s="16">
        <v>0</v>
      </c>
      <c r="AA52" s="16">
        <v>19.062078790000001</v>
      </c>
      <c r="AB52" s="16">
        <v>1.4074876890000001</v>
      </c>
      <c r="AC52" s="16">
        <v>0.42181174919999997</v>
      </c>
      <c r="AD52" s="95">
        <v>20.891378228200001</v>
      </c>
    </row>
    <row r="53" spans="2:30" x14ac:dyDescent="0.25">
      <c r="C53" s="147" t="s">
        <v>21</v>
      </c>
      <c r="D53" t="s">
        <v>402</v>
      </c>
      <c r="E53" t="s">
        <v>403</v>
      </c>
      <c r="F53" t="s">
        <v>404</v>
      </c>
      <c r="G53" t="s">
        <v>405</v>
      </c>
      <c r="H53" s="8">
        <f>VLOOKUP(D53,Résultats!$B$2:$AX$476,'T energie vecteurs'!L5,FALSE)</f>
        <v>0.30129784170000001</v>
      </c>
      <c r="I53" s="294">
        <f>VLOOKUP(E53,Résultats!$B$2:$AX$476,'T energie vecteurs'!L5,FALSE)</f>
        <v>5.907765596</v>
      </c>
      <c r="J53" s="8">
        <f>VLOOKUP(F53,Résultats!$B$2:$AX$476,'T energie vecteurs'!L5,FALSE)</f>
        <v>14.759371379999999</v>
      </c>
      <c r="K53" s="8">
        <f>VLOOKUP(G53,Résultats!$B$2:$AX$476,'T energie vecteurs'!L5,FALSE)+2</f>
        <v>19.0592045</v>
      </c>
      <c r="L53" s="96">
        <f>SUM(H53:K53)</f>
        <v>40.0276393177</v>
      </c>
      <c r="M53" s="75"/>
      <c r="N53" s="150" t="s">
        <v>21</v>
      </c>
      <c r="O53" s="29">
        <f>'[3]Bilan 2023 réel'!$V$46/11.63</f>
        <v>1.9785054E-2</v>
      </c>
      <c r="P53" s="28">
        <f>SUM('[3]Bilan 2023 réel'!$V$41:$V$43)/11.63</f>
        <v>3.0423469738</v>
      </c>
      <c r="Q53" s="28">
        <f>'[3]Bilan 2023 réel'!$V$13/11.63</f>
        <v>13.020267239896821</v>
      </c>
      <c r="R53" s="28">
        <f>('[3]Bilan 2023 réel'!$V$22+'[3]Bilan 2023 réel'!$V$30+SUM('[3]Bilan 2023 réel'!$V$36:$V$40)+SUM('[3]Bilan 2023 réel'!$V$44:$V$45)+'[3]Bilan 2023 réel'!$V$47)/11.63</f>
        <v>20.330842243575045</v>
      </c>
      <c r="S53" s="142">
        <f t="shared" ref="S53:S59" si="12">SUM(O53:R53)</f>
        <v>36.413241511271863</v>
      </c>
      <c r="T53" s="270"/>
      <c r="U53" s="147" t="s">
        <v>21</v>
      </c>
      <c r="V53" t="s">
        <v>402</v>
      </c>
      <c r="W53" t="s">
        <v>403</v>
      </c>
      <c r="X53" t="s">
        <v>404</v>
      </c>
      <c r="Y53" t="s">
        <v>405</v>
      </c>
      <c r="Z53" s="8">
        <v>0.30123921450000002</v>
      </c>
      <c r="AA53" s="294">
        <v>5.9017446480000002</v>
      </c>
      <c r="AB53" s="8">
        <v>14.75974993</v>
      </c>
      <c r="AC53" s="8">
        <v>19.064974060000001</v>
      </c>
      <c r="AD53" s="96">
        <v>40.027707852500001</v>
      </c>
    </row>
    <row r="54" spans="2:30" x14ac:dyDescent="0.25">
      <c r="C54" s="147" t="s">
        <v>22</v>
      </c>
      <c r="D54" t="s">
        <v>406</v>
      </c>
      <c r="E54" t="s">
        <v>407</v>
      </c>
      <c r="F54" t="s">
        <v>408</v>
      </c>
      <c r="G54" t="s">
        <v>409</v>
      </c>
      <c r="H54" s="8">
        <f>VLOOKUP(D54,Résultats!$B$2:$AX$476,'T energie vecteurs'!L5,FALSE)</f>
        <v>0</v>
      </c>
      <c r="I54" s="8">
        <f>VLOOKUP(E54,Résultats!$B$2:$AX$476,'T energie vecteurs'!L5,FALSE)</f>
        <v>2.997046315</v>
      </c>
      <c r="J54" s="8">
        <f>VLOOKUP(F54,Résultats!$B$2:$AX$476,'T energie vecteurs'!L5,FALSE)</f>
        <v>12.773457110000001</v>
      </c>
      <c r="K54" s="8">
        <f>VLOOKUP(G54,Résultats!$B$2:$AX$476,'T energie vecteurs'!L5,FALSE)</f>
        <v>9.383178805</v>
      </c>
      <c r="L54" s="96">
        <f t="shared" ref="L54:L56" si="13">SUM(H54:K54)</f>
        <v>25.153682230000001</v>
      </c>
      <c r="M54" s="75"/>
      <c r="N54" s="150" t="s">
        <v>22</v>
      </c>
      <c r="O54" s="29">
        <f>('[3]Bilan 2023 réel'!$W$46)/11.63</f>
        <v>2.9470376E-2</v>
      </c>
      <c r="P54" s="28">
        <f>SUM('[3]Bilan 2023 réel'!$W$41:$W$43)/11.63</f>
        <v>2.063881609425366</v>
      </c>
      <c r="Q54" s="28">
        <f>('[3]Bilan 2023 réel'!$W$13)/11.63</f>
        <v>11.200373602751505</v>
      </c>
      <c r="R54" s="28">
        <f>('[3]Bilan 2023 réel'!$W$22+'[3]Bilan 2023 réel'!$W$30+SUM('[3]Bilan 2023 réel'!$W$36:$W$40)+SUM('[3]Bilan 2023 réel'!$W$44:$W$45)+'[3]Bilan 2023 réel'!$W$47)/11.63</f>
        <v>7.0633917765357781</v>
      </c>
      <c r="S54" s="142">
        <f t="shared" si="12"/>
        <v>20.35711736471265</v>
      </c>
      <c r="T54" s="270"/>
      <c r="U54" s="147" t="s">
        <v>22</v>
      </c>
      <c r="V54" t="s">
        <v>406</v>
      </c>
      <c r="W54" t="s">
        <v>407</v>
      </c>
      <c r="X54" t="s">
        <v>408</v>
      </c>
      <c r="Y54" t="s">
        <v>409</v>
      </c>
      <c r="Z54" s="8">
        <v>0</v>
      </c>
      <c r="AA54" s="8">
        <v>2.9949377670000001</v>
      </c>
      <c r="AB54" s="8">
        <v>12.775402789999999</v>
      </c>
      <c r="AC54" s="8">
        <v>9.3933770499999998</v>
      </c>
      <c r="AD54" s="96">
        <v>25.163717606999999</v>
      </c>
    </row>
    <row r="55" spans="2:30" x14ac:dyDescent="0.25">
      <c r="C55" s="147" t="s">
        <v>23</v>
      </c>
      <c r="H55" s="8">
        <f>SUM(H56:H58)</f>
        <v>2.5865244668999998</v>
      </c>
      <c r="I55" s="8">
        <f>SUM(I56:I58)</f>
        <v>12.749236543</v>
      </c>
      <c r="J55" s="8">
        <f>SUM(J56:J58)</f>
        <v>9.9243028899999999</v>
      </c>
      <c r="K55" s="8">
        <f>SUM(K56:K58)</f>
        <v>16.420574355100001</v>
      </c>
      <c r="L55" s="96">
        <f t="shared" si="13"/>
        <v>41.680638255000005</v>
      </c>
      <c r="M55" s="75"/>
      <c r="N55" s="150" t="s">
        <v>490</v>
      </c>
      <c r="O55" s="29">
        <f>O56+O57</f>
        <v>3.8091541290558895</v>
      </c>
      <c r="P55" s="28">
        <f t="shared" ref="P55:R55" si="14">P56+P57</f>
        <v>12.120619615422576</v>
      </c>
      <c r="Q55" s="28">
        <f t="shared" si="14"/>
        <v>8.8688043852106624</v>
      </c>
      <c r="R55" s="28">
        <f t="shared" si="14"/>
        <v>13.00955432637566</v>
      </c>
      <c r="S55" s="142">
        <f t="shared" si="12"/>
        <v>37.808132456064783</v>
      </c>
      <c r="T55" s="270"/>
      <c r="U55" s="147" t="s">
        <v>23</v>
      </c>
      <c r="Z55" s="8">
        <v>2.6011757037000001</v>
      </c>
      <c r="AA55" s="8">
        <v>12.762939494999999</v>
      </c>
      <c r="AB55" s="8">
        <v>9.9388339572</v>
      </c>
      <c r="AC55" s="8">
        <v>16.455896252500001</v>
      </c>
      <c r="AD55" s="96">
        <v>41.758845408399999</v>
      </c>
    </row>
    <row r="56" spans="2:30" x14ac:dyDescent="0.25">
      <c r="C56" s="149" t="s">
        <v>24</v>
      </c>
      <c r="D56" t="s">
        <v>410</v>
      </c>
      <c r="E56" t="s">
        <v>411</v>
      </c>
      <c r="F56" t="s">
        <v>412</v>
      </c>
      <c r="G56" t="s">
        <v>413</v>
      </c>
      <c r="H56" s="16">
        <f>VLOOKUP(D56,Résultats!$B$2:$AX$476,'T energie vecteurs'!L5,FALSE)</f>
        <v>1.6903688079999999</v>
      </c>
      <c r="I56" s="16">
        <f>VLOOKUP(E56,Résultats!$B$2:$AX$476,'T energie vecteurs'!L5,FALSE)</f>
        <v>8.3501045569999999</v>
      </c>
      <c r="J56" s="16">
        <f>VLOOKUP(F56,Résultats!$B$2:$AX$476,'T energie vecteurs'!L5,FALSE)</f>
        <v>9.5924181619999995</v>
      </c>
      <c r="K56" s="16">
        <f>VLOOKUP(G56,Résultats!$B$2:$AX$476,'T energie vecteurs'!L5,FALSE)</f>
        <v>13.825117199999999</v>
      </c>
      <c r="L56" s="95">
        <f t="shared" si="13"/>
        <v>33.458008726999999</v>
      </c>
      <c r="M56" s="16"/>
      <c r="N56" s="149" t="s">
        <v>491</v>
      </c>
      <c r="O56" s="143">
        <f>'[3]Bilan 2023 réel'!$U$46/11.63</f>
        <v>0.58092196100000004</v>
      </c>
      <c r="P56" s="30">
        <f>SUM('[3]Bilan 2023 réel'!$U$41:$U$43)/11.63</f>
        <v>2.395717067522579</v>
      </c>
      <c r="Q56" s="30">
        <f>'[3]Bilan 2023 réel'!$U$13/11.63</f>
        <v>8.8688043852106624</v>
      </c>
      <c r="R56" s="30">
        <f>('[3]Bilan 2023 réel'!$U$22+'[3]Bilan 2023 réel'!$U$30+SUM('[3]Bilan 2023 réel'!$U$36:$U$40)+SUM('[3]Bilan 2023 réel'!$U$44:$U$45)+'[3]Bilan 2023 réel'!$U$47)/11.63</f>
        <v>12.148361914509795</v>
      </c>
      <c r="S56" s="95">
        <f t="shared" si="12"/>
        <v>23.993805328243035</v>
      </c>
      <c r="T56" s="270"/>
      <c r="U56" s="149" t="s">
        <v>24</v>
      </c>
      <c r="V56" t="s">
        <v>410</v>
      </c>
      <c r="W56" t="s">
        <v>411</v>
      </c>
      <c r="X56" t="s">
        <v>412</v>
      </c>
      <c r="Y56" t="s">
        <v>413</v>
      </c>
      <c r="Z56" s="16">
        <v>1.6990571510000001</v>
      </c>
      <c r="AA56" s="16">
        <v>8.3628875120000004</v>
      </c>
      <c r="AB56" s="16">
        <v>9.606620629</v>
      </c>
      <c r="AC56" s="16">
        <v>13.85908566</v>
      </c>
      <c r="AD56" s="95">
        <v>33.527650952000002</v>
      </c>
    </row>
    <row r="57" spans="2:30" x14ac:dyDescent="0.25">
      <c r="C57" s="149" t="s">
        <v>47</v>
      </c>
      <c r="D57" t="s">
        <v>414</v>
      </c>
      <c r="E57" t="s">
        <v>415</v>
      </c>
      <c r="F57" t="s">
        <v>416</v>
      </c>
      <c r="G57" t="s">
        <v>417</v>
      </c>
      <c r="H57" s="16">
        <f>VLOOKUP(D57,Résultats!$B$2:$AX$476,'T energie vecteurs'!L5,FALSE)</f>
        <v>0.89615565890000004</v>
      </c>
      <c r="I57" s="16">
        <f>VLOOKUP(E57,Résultats!$B$2:$AX$476,'T energie vecteurs'!L5,FALSE)</f>
        <v>1.939717911</v>
      </c>
      <c r="J57" s="16">
        <f>VLOOKUP(F57,Résultats!$B$2:$AX$476,'T energie vecteurs'!L5,FALSE)</f>
        <v>0</v>
      </c>
      <c r="K57" s="16">
        <f>VLOOKUP(G57,Résultats!$B$2:$AX$476,'T energie vecteurs'!L5,FALSE)</f>
        <v>2.1936563250000001</v>
      </c>
      <c r="L57" s="95">
        <f>SUM(H57:K57)</f>
        <v>5.0295298948999996</v>
      </c>
      <c r="M57" s="16"/>
      <c r="N57" s="149" t="s">
        <v>47</v>
      </c>
      <c r="O57" s="22">
        <f>'[3]Bilan 2023 réel'!$E$52/11.63</f>
        <v>3.2282321680558894</v>
      </c>
      <c r="P57" s="16">
        <f>('[3]Bilan 2023 réel'!$E$54+'[3]Bilan 2023 réel'!$E$56)/11.63</f>
        <v>9.7249025478999975</v>
      </c>
      <c r="Q57" s="16">
        <v>0</v>
      </c>
      <c r="R57" s="16">
        <f>('[3]Bilan 2023 réel'!$E$53+'[3]Bilan 2023 réel'!$E$55+'[3]Bilan 2023 réel'!$E$57)/11.63</f>
        <v>0.86119241186586415</v>
      </c>
      <c r="S57" s="95">
        <f t="shared" si="12"/>
        <v>13.814327127821752</v>
      </c>
      <c r="T57" s="270"/>
      <c r="U57" s="149" t="s">
        <v>47</v>
      </c>
      <c r="V57" t="s">
        <v>414</v>
      </c>
      <c r="W57" t="s">
        <v>415</v>
      </c>
      <c r="X57" t="s">
        <v>416</v>
      </c>
      <c r="Y57" t="s">
        <v>417</v>
      </c>
      <c r="Z57" s="16">
        <v>0.90211855269999996</v>
      </c>
      <c r="AA57" s="16">
        <v>1.939721655</v>
      </c>
      <c r="AB57" s="16">
        <v>0</v>
      </c>
      <c r="AC57" s="16">
        <v>2.1944786110000001</v>
      </c>
      <c r="AD57" s="95">
        <v>5.0363188186999999</v>
      </c>
    </row>
    <row r="58" spans="2:30" x14ac:dyDescent="0.25">
      <c r="C58" s="149" t="s">
        <v>25</v>
      </c>
      <c r="D58" t="s">
        <v>418</v>
      </c>
      <c r="E58" t="s">
        <v>419</v>
      </c>
      <c r="F58" t="s">
        <v>420</v>
      </c>
      <c r="G58" t="s">
        <v>421</v>
      </c>
      <c r="H58" s="16">
        <f>VLOOKUP(D58,Résultats!$B$2:$AX$476,'T energie vecteurs'!L5,FALSE)</f>
        <v>0</v>
      </c>
      <c r="I58" s="16">
        <f>VLOOKUP(E58,Résultats!$B$2:$AX$476,'T energie vecteurs'!L5,FALSE)</f>
        <v>2.4594140750000002</v>
      </c>
      <c r="J58" s="16">
        <f>VLOOKUP(F58,Résultats!$B$2:$AX$476,'T energie vecteurs'!L5,FALSE)</f>
        <v>0.33188472800000002</v>
      </c>
      <c r="K58" s="16">
        <f>VLOOKUP(G58,Résultats!$B$2:$AX$476,'T energie vecteurs'!L5,FALSE)</f>
        <v>0.40180083010000001</v>
      </c>
      <c r="L58" s="95">
        <f t="shared" ref="L58" si="15">SUM(H58:K58)</f>
        <v>3.1930996331000001</v>
      </c>
      <c r="M58" s="16"/>
      <c r="N58" s="150" t="s">
        <v>25</v>
      </c>
      <c r="O58" s="29">
        <f>'[3]Bilan 2023 réel'!$T$46/11.63</f>
        <v>1.221354E-3</v>
      </c>
      <c r="P58" s="28">
        <f>SUM('[3]Bilan 2023 réel'!$T$41:$T$43)/11.63</f>
        <v>3.4194391444513199</v>
      </c>
      <c r="Q58" s="28">
        <f>'[3]Bilan 2023 réel'!$T$13/11.63</f>
        <v>0.65647798796216683</v>
      </c>
      <c r="R58" s="28">
        <f>('[3]Bilan 2023 réel'!$T$22+'[3]Bilan 2023 réel'!$T$30+SUM('[3]Bilan 2023 réel'!$T$36:$T$40)+SUM('[3]Bilan 2023 réel'!$T$44:$T$45)+'[3]Bilan 2023 réel'!$T$47)/11.63</f>
        <v>0.44186481322250887</v>
      </c>
      <c r="S58" s="142">
        <f t="shared" si="12"/>
        <v>4.5190032996359957</v>
      </c>
      <c r="T58" s="270"/>
      <c r="U58" s="149" t="s">
        <v>25</v>
      </c>
      <c r="V58" t="s">
        <v>418</v>
      </c>
      <c r="W58" t="s">
        <v>419</v>
      </c>
      <c r="X58" t="s">
        <v>420</v>
      </c>
      <c r="Y58" t="s">
        <v>421</v>
      </c>
      <c r="Z58" s="16">
        <v>0</v>
      </c>
      <c r="AA58" s="16">
        <v>2.460330328</v>
      </c>
      <c r="AB58" s="16">
        <v>0.33221332819999999</v>
      </c>
      <c r="AC58" s="16">
        <v>0.40233198149999999</v>
      </c>
      <c r="AD58" s="95">
        <v>3.1948756377</v>
      </c>
    </row>
    <row r="59" spans="2:30" x14ac:dyDescent="0.25">
      <c r="C59" s="23" t="s">
        <v>26</v>
      </c>
      <c r="D59" s="10"/>
      <c r="E59" s="10"/>
      <c r="F59" s="10"/>
      <c r="G59" s="10"/>
      <c r="H59" s="9">
        <f>SUM(H50,H53:H55)</f>
        <v>2.8878223085999997</v>
      </c>
      <c r="I59" s="9">
        <f>SUM(I50,I53:I55)</f>
        <v>63.836714023999996</v>
      </c>
      <c r="J59" s="9">
        <f>SUM(J50,J53:J55)</f>
        <v>39.045826184200003</v>
      </c>
      <c r="K59" s="9">
        <f>SUM(K50,K53:K55)</f>
        <v>45.2838440388145</v>
      </c>
      <c r="L59" s="98">
        <f>SUM(H59:K59)</f>
        <v>151.05420655561448</v>
      </c>
      <c r="M59" s="79"/>
      <c r="N59" s="151" t="s">
        <v>26</v>
      </c>
      <c r="O59" s="32">
        <f>O50+O53+O54+O55+O58</f>
        <v>3.8596309130558897</v>
      </c>
      <c r="P59" s="31">
        <f>P50+P53+P54+P55+P58</f>
        <v>62.785920353958417</v>
      </c>
      <c r="Q59" s="31">
        <f>Q50+Q53+Q54+Q55+Q58</f>
        <v>34.652474462596736</v>
      </c>
      <c r="R59" s="31">
        <f>R50+R53+R54+R55+R58</f>
        <v>41.164509995478554</v>
      </c>
      <c r="S59" s="144">
        <f t="shared" si="12"/>
        <v>142.46253572508959</v>
      </c>
      <c r="T59" s="79"/>
      <c r="U59" s="23" t="s">
        <v>26</v>
      </c>
      <c r="V59" s="10"/>
      <c r="W59" s="10"/>
      <c r="X59" s="10"/>
      <c r="Y59" s="10"/>
      <c r="Z59" s="9">
        <v>2.9024149181999999</v>
      </c>
      <c r="AA59" s="9">
        <v>63.726480100000003</v>
      </c>
      <c r="AB59" s="9">
        <v>39.102946422700001</v>
      </c>
      <c r="AC59" s="9">
        <v>45.336078057287295</v>
      </c>
      <c r="AD59" s="98">
        <v>151.06791949818728</v>
      </c>
    </row>
    <row r="60" spans="2:30" s="3" customFormat="1" x14ac:dyDescent="0.25">
      <c r="O60" s="77"/>
      <c r="P60" s="77"/>
      <c r="Q60" s="77"/>
      <c r="R60" s="78"/>
      <c r="S60" s="45"/>
    </row>
    <row r="61" spans="2:30" s="3" customFormat="1" x14ac:dyDescent="0.25">
      <c r="B61" s="60"/>
      <c r="K61" s="47"/>
      <c r="O61" s="79"/>
      <c r="P61" s="79"/>
      <c r="Q61" s="79"/>
      <c r="R61" s="80"/>
      <c r="S61" s="81"/>
      <c r="AC61" s="47"/>
    </row>
    <row r="62" spans="2:30" ht="31.5" x14ac:dyDescent="0.35">
      <c r="C62" s="145">
        <v>2025</v>
      </c>
      <c r="D62" s="146"/>
      <c r="E62" s="146"/>
      <c r="F62" s="146"/>
      <c r="G62" s="146"/>
      <c r="H62" s="76" t="s">
        <v>36</v>
      </c>
      <c r="I62" s="76" t="s">
        <v>49</v>
      </c>
      <c r="J62" s="76" t="s">
        <v>38</v>
      </c>
      <c r="K62" s="76" t="s">
        <v>48</v>
      </c>
      <c r="L62" s="93" t="s">
        <v>1</v>
      </c>
      <c r="M62" s="19"/>
      <c r="N62" s="145">
        <v>2025</v>
      </c>
      <c r="O62" s="141" t="s">
        <v>36</v>
      </c>
      <c r="P62" s="76" t="s">
        <v>49</v>
      </c>
      <c r="Q62" s="76" t="s">
        <v>38</v>
      </c>
      <c r="R62" s="76" t="s">
        <v>48</v>
      </c>
      <c r="S62" s="93" t="s">
        <v>1</v>
      </c>
      <c r="T62" s="19"/>
      <c r="U62" s="145">
        <v>2025</v>
      </c>
      <c r="V62" s="146"/>
      <c r="W62" s="146"/>
      <c r="X62" s="146"/>
      <c r="Y62" s="146"/>
      <c r="Z62" s="76" t="s">
        <v>36</v>
      </c>
      <c r="AA62" s="76" t="s">
        <v>49</v>
      </c>
      <c r="AB62" s="76" t="s">
        <v>38</v>
      </c>
      <c r="AC62" s="76" t="s">
        <v>48</v>
      </c>
      <c r="AD62" s="93" t="s">
        <v>1</v>
      </c>
    </row>
    <row r="63" spans="2:30" x14ac:dyDescent="0.25">
      <c r="C63" s="147" t="s">
        <v>18</v>
      </c>
      <c r="H63" s="8">
        <f>SUM(H64:H65)</f>
        <v>0</v>
      </c>
      <c r="I63" s="8">
        <f>SUM(I64:I65)</f>
        <v>41.322519610000001</v>
      </c>
      <c r="J63" s="8">
        <f>SUM(J64:J65)</f>
        <v>1.8304226987000001</v>
      </c>
      <c r="K63" s="8">
        <f>SUM(K64:K65)</f>
        <v>0.44131026831129999</v>
      </c>
      <c r="L63" s="96">
        <f t="shared" ref="L63:L72" si="16">SUM(H63:K63)</f>
        <v>43.594252577011297</v>
      </c>
      <c r="M63" s="75"/>
      <c r="N63" s="150" t="s">
        <v>18</v>
      </c>
      <c r="O63" s="29">
        <f>'[2]Bilan 2025 AMS'!$X$46/11.63</f>
        <v>0</v>
      </c>
      <c r="P63" s="28">
        <f>SUM('[2]Bilan 2025 AMS'!$X$41:$X$43)/11.63</f>
        <v>38.50153613089298</v>
      </c>
      <c r="Q63" s="28">
        <f>'[2]Bilan 2025 AMS'!$X$13/11.63</f>
        <v>1.4019196706542307</v>
      </c>
      <c r="R63" s="28">
        <f>('[2]Bilan 2025 AMS'!$X$22+'[2]Bilan 2025 AMS'!$X$30+SUM('[2]Bilan 2025 AMS'!$X$36:$X$40)+SUM('[2]Bilan 2025 AMS'!$X$44:$X$45)+'[2]Bilan 2025 AMS'!$X$47)/11.63</f>
        <v>0.36905808040129645</v>
      </c>
      <c r="S63" s="142">
        <f>SUM(O63:R63)</f>
        <v>40.272513881948505</v>
      </c>
      <c r="T63" s="75"/>
      <c r="U63" s="147" t="s">
        <v>18</v>
      </c>
      <c r="Z63" s="8">
        <v>0</v>
      </c>
      <c r="AA63" s="8">
        <v>41.194424519999998</v>
      </c>
      <c r="AB63" s="8">
        <v>1.8832192328999999</v>
      </c>
      <c r="AC63" s="8">
        <v>0.44217973729600002</v>
      </c>
      <c r="AD63" s="96">
        <v>43.519823490195996</v>
      </c>
    </row>
    <row r="64" spans="2:30" x14ac:dyDescent="0.25">
      <c r="C64" s="148" t="s">
        <v>19</v>
      </c>
      <c r="D64" t="s">
        <v>394</v>
      </c>
      <c r="E64" t="s">
        <v>395</v>
      </c>
      <c r="F64" t="s">
        <v>396</v>
      </c>
      <c r="G64" t="s">
        <v>397</v>
      </c>
      <c r="H64" s="16">
        <f>VLOOKUP(D64,Résultats!$B$2:$AX$476,'T energie vecteurs'!N5,FALSE)</f>
        <v>0</v>
      </c>
      <c r="I64" s="16">
        <f>VLOOKUP(E64,Résultats!$B$2:$AX$476,'T energie vecteurs'!N5,FALSE)</f>
        <v>22.226115660000001</v>
      </c>
      <c r="J64" s="16">
        <f>VLOOKUP(F64,Résultats!$B$2:$AX$476,'T energie vecteurs'!N5,FALSE)</f>
        <v>0.26795294469999997</v>
      </c>
      <c r="K64" s="16">
        <f>VLOOKUP(G77,Résultats!$B$2:$AX$476,'T energie vecteurs'!N5,FALSE)</f>
        <v>2.2148511300000001E-5</v>
      </c>
      <c r="L64" s="95">
        <f t="shared" si="16"/>
        <v>22.494090753211299</v>
      </c>
      <c r="M64" s="16"/>
      <c r="N64" s="148" t="s">
        <v>19</v>
      </c>
      <c r="O64" s="143"/>
      <c r="P64" s="16"/>
      <c r="Q64" s="34"/>
      <c r="R64" s="16"/>
      <c r="S64" s="95"/>
      <c r="T64" s="16"/>
      <c r="U64" s="148" t="s">
        <v>19</v>
      </c>
      <c r="V64" t="s">
        <v>394</v>
      </c>
      <c r="W64" t="s">
        <v>395</v>
      </c>
      <c r="X64" t="s">
        <v>396</v>
      </c>
      <c r="Y64" t="s">
        <v>397</v>
      </c>
      <c r="Z64" s="16">
        <v>0</v>
      </c>
      <c r="AA64" s="16">
        <v>22.040433950000001</v>
      </c>
      <c r="AB64" s="16">
        <v>0.31913769990000002</v>
      </c>
      <c r="AC64" s="16">
        <v>2.3267395999999999E-5</v>
      </c>
      <c r="AD64" s="95">
        <v>22.359594917296</v>
      </c>
    </row>
    <row r="65" spans="3:30" x14ac:dyDescent="0.25">
      <c r="C65" s="149" t="s">
        <v>20</v>
      </c>
      <c r="D65" t="s">
        <v>398</v>
      </c>
      <c r="E65" t="s">
        <v>399</v>
      </c>
      <c r="F65" t="s">
        <v>400</v>
      </c>
      <c r="G65" t="s">
        <v>401</v>
      </c>
      <c r="H65" s="16">
        <f>VLOOKUP(D65,Résultats!$B$2:$AX$476,'T energie vecteurs'!N5,FALSE)</f>
        <v>0</v>
      </c>
      <c r="I65" s="16">
        <f>VLOOKUP(E65,Résultats!$B$2:$AX$476,'T energie vecteurs'!N5,FALSE)</f>
        <v>19.096403949999999</v>
      </c>
      <c r="J65" s="16">
        <f>VLOOKUP(F65,Résultats!$B$2:$AX$476,'T energie vecteurs'!N5,FALSE)</f>
        <v>1.5624697540000001</v>
      </c>
      <c r="K65" s="16">
        <f>VLOOKUP(G65,Résultats!$B$2:$AX$476,'T energie vecteurs'!N5,FALSE)</f>
        <v>0.44128811979999999</v>
      </c>
      <c r="L65" s="95">
        <f t="shared" si="16"/>
        <v>21.100161823799997</v>
      </c>
      <c r="M65" s="16"/>
      <c r="N65" s="149" t="s">
        <v>20</v>
      </c>
      <c r="O65" s="143"/>
      <c r="P65" s="16"/>
      <c r="Q65" s="34"/>
      <c r="R65" s="16"/>
      <c r="S65" s="95"/>
      <c r="T65" s="16"/>
      <c r="U65" s="149" t="s">
        <v>20</v>
      </c>
      <c r="V65" t="s">
        <v>398</v>
      </c>
      <c r="W65" t="s">
        <v>399</v>
      </c>
      <c r="X65" t="s">
        <v>400</v>
      </c>
      <c r="Y65" t="s">
        <v>401</v>
      </c>
      <c r="Z65" s="16">
        <v>0</v>
      </c>
      <c r="AA65" s="16">
        <v>19.153990570000001</v>
      </c>
      <c r="AB65" s="16">
        <v>1.564081533</v>
      </c>
      <c r="AC65" s="16">
        <v>0.44215646990000002</v>
      </c>
      <c r="AD65" s="95">
        <v>21.160228572899999</v>
      </c>
    </row>
    <row r="66" spans="3:30" x14ac:dyDescent="0.25">
      <c r="C66" s="147" t="s">
        <v>21</v>
      </c>
      <c r="D66" t="s">
        <v>402</v>
      </c>
      <c r="E66" t="s">
        <v>403</v>
      </c>
      <c r="F66" t="s">
        <v>404</v>
      </c>
      <c r="G66" t="s">
        <v>405</v>
      </c>
      <c r="H66" s="8">
        <f>VLOOKUP(D66,Résultats!$B$2:$AX$476,'T energie vecteurs'!N5,FALSE)</f>
        <v>0.2834661047</v>
      </c>
      <c r="I66" s="8">
        <f>VLOOKUP(E66,Résultats!$B$2:$AX$476,'T energie vecteurs'!N5,FALSE)</f>
        <v>5.587364591</v>
      </c>
      <c r="J66" s="8">
        <f>VLOOKUP(F66,Résultats!$B$2:$AX$476,'T energie vecteurs'!N5,FALSE)</f>
        <v>14.87075909</v>
      </c>
      <c r="K66" s="8">
        <f>VLOOKUP(G66,Résultats!$B$2:$AX$476,'T energie vecteurs'!N5,FALSE)+2</f>
        <v>18.62662611</v>
      </c>
      <c r="L66" s="96">
        <f t="shared" si="16"/>
        <v>39.368215895700004</v>
      </c>
      <c r="M66" s="75"/>
      <c r="N66" s="150" t="s">
        <v>21</v>
      </c>
      <c r="O66" s="29">
        <f>'[2]Bilan 2025 AMS'!$V$46/11.63</f>
        <v>0</v>
      </c>
      <c r="P66" s="28">
        <f>SUM('[2]Bilan 2025 AMS'!$V$41:$V$43)/11.63</f>
        <v>2.0957746160980957</v>
      </c>
      <c r="Q66" s="28">
        <f>'[2]Bilan 2025 AMS'!$V$13/11.63</f>
        <v>14.447084659417472</v>
      </c>
      <c r="R66" s="28">
        <f>('[2]Bilan 2025 AMS'!$V$22+'[2]Bilan 2025 AMS'!$V$30+SUM('[2]Bilan 2025 AMS'!$V$36:$V$40)+SUM('[2]Bilan 2025 AMS'!$V$44:$V$45)+'[2]Bilan 2025 AMS'!$V$47)/11.63</f>
        <v>22.421251859079046</v>
      </c>
      <c r="S66" s="142">
        <f t="shared" ref="S66:S72" si="17">SUM(O66:R66)</f>
        <v>38.964111134594617</v>
      </c>
      <c r="T66" s="75"/>
      <c r="U66" s="147" t="s">
        <v>21</v>
      </c>
      <c r="V66" t="s">
        <v>402</v>
      </c>
      <c r="W66" t="s">
        <v>403</v>
      </c>
      <c r="X66" t="s">
        <v>404</v>
      </c>
      <c r="Y66" t="s">
        <v>405</v>
      </c>
      <c r="Z66" s="8">
        <v>0.28345323150000001</v>
      </c>
      <c r="AA66" s="8">
        <v>5.5816586890000002</v>
      </c>
      <c r="AB66" s="8">
        <v>14.86960706</v>
      </c>
      <c r="AC66" s="8">
        <v>18.64174843</v>
      </c>
      <c r="AD66" s="96">
        <v>39.376467410499998</v>
      </c>
    </row>
    <row r="67" spans="3:30" x14ac:dyDescent="0.25">
      <c r="C67" s="147" t="s">
        <v>22</v>
      </c>
      <c r="D67" t="s">
        <v>406</v>
      </c>
      <c r="E67" t="s">
        <v>407</v>
      </c>
      <c r="F67" t="s">
        <v>408</v>
      </c>
      <c r="G67" t="s">
        <v>409</v>
      </c>
      <c r="H67" s="8">
        <f>VLOOKUP(D67,Résultats!$B$2:$AX$476,'T energie vecteurs'!N5,FALSE)</f>
        <v>0</v>
      </c>
      <c r="I67" s="8">
        <f>VLOOKUP(E67,Résultats!$B$2:$AX$476,'T energie vecteurs'!N5,FALSE)</f>
        <v>2.1736213910000002</v>
      </c>
      <c r="J67" s="8">
        <f>VLOOKUP(F67,Résultats!$B$2:$AX$476,'T energie vecteurs'!N5,FALSE)</f>
        <v>12.42578372</v>
      </c>
      <c r="K67" s="8">
        <f>VLOOKUP(G67,Résultats!$B$2:$AX$476,'T energie vecteurs'!N5,FALSE)</f>
        <v>12.636391339999999</v>
      </c>
      <c r="L67" s="96">
        <f t="shared" si="16"/>
        <v>27.235796450999999</v>
      </c>
      <c r="M67" s="75"/>
      <c r="N67" s="150" t="s">
        <v>22</v>
      </c>
      <c r="O67" s="29">
        <f>('[2]Bilan 2025 AMS'!$W$46)/11.63</f>
        <v>0</v>
      </c>
      <c r="P67" s="28">
        <f>SUM('[2]Bilan 2025 AMS'!$W$41:$W$43)/11.63</f>
        <v>1.6298429171920958</v>
      </c>
      <c r="Q67" s="28">
        <f>('[2]Bilan 2025 AMS'!$W$13)/11.63</f>
        <v>10.999874044471945</v>
      </c>
      <c r="R67" s="28">
        <f>('[2]Bilan 2025 AMS'!$W$22+'[2]Bilan 2025 AMS'!$W$30+SUM('[2]Bilan 2025 AMS'!$W$36:$W$40)+SUM('[2]Bilan 2025 AMS'!$W$44:$W$45)+'[2]Bilan 2025 AMS'!$W$47)/11.63</f>
        <v>8.5854945190187202</v>
      </c>
      <c r="S67" s="142">
        <f t="shared" si="17"/>
        <v>21.215211480682761</v>
      </c>
      <c r="T67" s="75"/>
      <c r="U67" s="147" t="s">
        <v>22</v>
      </c>
      <c r="V67" t="s">
        <v>406</v>
      </c>
      <c r="W67" t="s">
        <v>407</v>
      </c>
      <c r="X67" t="s">
        <v>408</v>
      </c>
      <c r="Y67" t="s">
        <v>409</v>
      </c>
      <c r="Z67" s="8">
        <v>0</v>
      </c>
      <c r="AA67" s="8">
        <v>2.1711919960000001</v>
      </c>
      <c r="AB67" s="8">
        <v>12.420803279999999</v>
      </c>
      <c r="AC67" s="8">
        <v>12.657788480000001</v>
      </c>
      <c r="AD67" s="96">
        <v>27.249783755999999</v>
      </c>
    </row>
    <row r="68" spans="3:30" x14ac:dyDescent="0.25">
      <c r="C68" s="147" t="s">
        <v>23</v>
      </c>
      <c r="H68" s="8">
        <f>SUM(H69:H71)</f>
        <v>2.2448162368000002</v>
      </c>
      <c r="I68" s="8">
        <f>SUM(I69:I71)</f>
        <v>11.038122218000002</v>
      </c>
      <c r="J68" s="8">
        <f>SUM(J69:J71)</f>
        <v>12.9459908136</v>
      </c>
      <c r="K68" s="8">
        <f>SUM(K69:K71)</f>
        <v>12.0715240803</v>
      </c>
      <c r="L68" s="96">
        <f t="shared" si="16"/>
        <v>38.300453348700003</v>
      </c>
      <c r="M68" s="75"/>
      <c r="N68" s="150" t="s">
        <v>490</v>
      </c>
      <c r="O68" s="29">
        <f>O69+O70</f>
        <v>3.798785579103078</v>
      </c>
      <c r="P68" s="28">
        <f t="shared" ref="P68:R68" si="18">P69+P70</f>
        <v>13.636597959064392</v>
      </c>
      <c r="Q68" s="28">
        <f t="shared" si="18"/>
        <v>11.012104104131426</v>
      </c>
      <c r="R68" s="28">
        <f t="shared" si="18"/>
        <v>14.545887550015864</v>
      </c>
      <c r="S68" s="142">
        <f t="shared" si="17"/>
        <v>42.993375192314758</v>
      </c>
      <c r="T68" s="75"/>
      <c r="U68" s="147" t="s">
        <v>23</v>
      </c>
      <c r="Z68" s="8">
        <v>2.2604120613000003</v>
      </c>
      <c r="AA68" s="8">
        <v>11.053872427999998</v>
      </c>
      <c r="AB68" s="8">
        <v>12.9784806691</v>
      </c>
      <c r="AC68" s="8">
        <v>12.109034106799999</v>
      </c>
      <c r="AD68" s="96">
        <v>38.401799265199998</v>
      </c>
    </row>
    <row r="69" spans="3:30" x14ac:dyDescent="0.25">
      <c r="C69" s="149" t="s">
        <v>24</v>
      </c>
      <c r="D69" t="s">
        <v>410</v>
      </c>
      <c r="E69" t="s">
        <v>411</v>
      </c>
      <c r="F69" t="s">
        <v>412</v>
      </c>
      <c r="G69" t="s">
        <v>413</v>
      </c>
      <c r="H69" s="16">
        <f>VLOOKUP(D69,Résultats!$B$2:$AX$476,'T energie vecteurs'!N5,FALSE)</f>
        <v>1.364353766</v>
      </c>
      <c r="I69" s="16">
        <f>VLOOKUP(E69,Résultats!$B$2:$AX$476,'T energie vecteurs'!N5,FALSE)</f>
        <v>6.5592416269999996</v>
      </c>
      <c r="J69" s="16">
        <f>VLOOKUP(F69,Résultats!$B$2:$AX$476,'T energie vecteurs'!N5,FALSE)</f>
        <v>12.60788181</v>
      </c>
      <c r="K69" s="16">
        <f>VLOOKUP(G69,Résultats!$B$2:$AX$476,'T energie vecteurs'!N5,FALSE)</f>
        <v>9.5989830539999996</v>
      </c>
      <c r="L69" s="95">
        <f t="shared" si="16"/>
        <v>30.130460257000003</v>
      </c>
      <c r="M69" s="16"/>
      <c r="N69" s="149" t="s">
        <v>491</v>
      </c>
      <c r="O69" s="143">
        <f>'[2]Bilan 2025 AMS'!$U$46/11.63</f>
        <v>0.54239014434383459</v>
      </c>
      <c r="P69" s="30">
        <f>SUM('[2]Bilan 2025 AMS'!$U$41:$U$43)/11.63</f>
        <v>1.9361642364667253</v>
      </c>
      <c r="Q69" s="30">
        <f>'[2]Bilan 2025 AMS'!$U$13/11.63</f>
        <v>11.012104104131426</v>
      </c>
      <c r="R69" s="30">
        <f>('[2]Bilan 2025 AMS'!$U$22+'[2]Bilan 2025 AMS'!$U$30+SUM('[2]Bilan 2025 AMS'!$U$36:$U$40)+SUM('[2]Bilan 2025 AMS'!$U$44:$U$45)+'[2]Bilan 2025 AMS'!$U$47)/11.63</f>
        <v>13.281896568299775</v>
      </c>
      <c r="S69" s="95">
        <f t="shared" si="17"/>
        <v>26.77255505324176</v>
      </c>
      <c r="T69" s="16"/>
      <c r="U69" s="149" t="s">
        <v>24</v>
      </c>
      <c r="V69" t="s">
        <v>410</v>
      </c>
      <c r="W69" t="s">
        <v>411</v>
      </c>
      <c r="X69" t="s">
        <v>412</v>
      </c>
      <c r="Y69" t="s">
        <v>413</v>
      </c>
      <c r="Z69" s="16">
        <v>1.3730012190000001</v>
      </c>
      <c r="AA69" s="16">
        <v>6.5741076969999996</v>
      </c>
      <c r="AB69" s="16">
        <v>12.64010905</v>
      </c>
      <c r="AC69" s="16">
        <v>9.6347172190000006</v>
      </c>
      <c r="AD69" s="95">
        <v>30.221935185</v>
      </c>
    </row>
    <row r="70" spans="3:30" x14ac:dyDescent="0.25">
      <c r="C70" s="149" t="s">
        <v>47</v>
      </c>
      <c r="D70" t="s">
        <v>414</v>
      </c>
      <c r="E70" t="s">
        <v>415</v>
      </c>
      <c r="F70" t="s">
        <v>416</v>
      </c>
      <c r="G70" t="s">
        <v>417</v>
      </c>
      <c r="H70" s="16">
        <f>VLOOKUP(D70,Résultats!$B$2:$AX$476,'T energie vecteurs'!N5,FALSE)</f>
        <v>0.88046247079999995</v>
      </c>
      <c r="I70" s="16">
        <f>VLOOKUP(E70,Résultats!$B$2:$AX$476,'T energie vecteurs'!N5,FALSE)</f>
        <v>1.9844690570000001</v>
      </c>
      <c r="J70" s="16">
        <f>VLOOKUP(F70,Résultats!$B$2:$AX$476,'T energie vecteurs'!N5,FALSE)</f>
        <v>0</v>
      </c>
      <c r="K70" s="16">
        <f>VLOOKUP(G70,Résultats!$B$2:$AX$476,'T energie vecteurs'!N5,FALSE)</f>
        <v>2.0556537850000001</v>
      </c>
      <c r="L70" s="95">
        <f t="shared" si="16"/>
        <v>4.9205853128000001</v>
      </c>
      <c r="M70" s="16"/>
      <c r="N70" s="149" t="s">
        <v>47</v>
      </c>
      <c r="O70" s="22">
        <f>'[2]Bilan 2025 AMS'!$E$52/11.63</f>
        <v>3.2563954347592436</v>
      </c>
      <c r="P70" s="16">
        <f>('[2]Bilan 2025 AMS'!$E$54+'[2]Bilan 2025 AMS'!$E$56)/11.63</f>
        <v>11.700433722597667</v>
      </c>
      <c r="Q70" s="16">
        <v>0</v>
      </c>
      <c r="R70" s="16">
        <f>('[2]Bilan 2025 AMS'!$E$53+'[2]Bilan 2025 AMS'!$E$55+'[2]Bilan 2025 AMS'!$E$57)/11.63</f>
        <v>1.2639909817160895</v>
      </c>
      <c r="S70" s="95">
        <f t="shared" si="17"/>
        <v>16.220820139072998</v>
      </c>
      <c r="T70" s="16"/>
      <c r="U70" s="149" t="s">
        <v>47</v>
      </c>
      <c r="V70" t="s">
        <v>414</v>
      </c>
      <c r="W70" t="s">
        <v>415</v>
      </c>
      <c r="X70" t="s">
        <v>416</v>
      </c>
      <c r="Y70" t="s">
        <v>417</v>
      </c>
      <c r="Z70" s="16">
        <v>0.8874108423</v>
      </c>
      <c r="AA70" s="16">
        <v>1.9845172609999999</v>
      </c>
      <c r="AB70" s="16">
        <v>0</v>
      </c>
      <c r="AC70" s="16">
        <v>2.0566577509999999</v>
      </c>
      <c r="AD70" s="95">
        <v>4.9285858542999996</v>
      </c>
    </row>
    <row r="71" spans="3:30" x14ac:dyDescent="0.25">
      <c r="C71" s="149" t="s">
        <v>25</v>
      </c>
      <c r="D71" t="s">
        <v>418</v>
      </c>
      <c r="E71" t="s">
        <v>419</v>
      </c>
      <c r="F71" t="s">
        <v>420</v>
      </c>
      <c r="G71" t="s">
        <v>421</v>
      </c>
      <c r="H71" s="16">
        <f>VLOOKUP(D71,Résultats!$B$2:$AX$476,'T energie vecteurs'!N5,FALSE)</f>
        <v>0</v>
      </c>
      <c r="I71" s="16">
        <f>VLOOKUP(E71,Résultats!$B$2:$AX$476,'T energie vecteurs'!N5,FALSE)</f>
        <v>2.4944115340000002</v>
      </c>
      <c r="J71" s="16">
        <f>VLOOKUP(F71,Résultats!$B$2:$AX$476,'T energie vecteurs'!N5,FALSE)</f>
        <v>0.33810900360000001</v>
      </c>
      <c r="K71" s="16">
        <f>VLOOKUP(G71,Résultats!$B$2:$AX$476,'T energie vecteurs'!N5,FALSE)</f>
        <v>0.41688724129999999</v>
      </c>
      <c r="L71" s="95">
        <f t="shared" si="16"/>
        <v>3.2494077789000002</v>
      </c>
      <c r="M71" s="16"/>
      <c r="N71" s="150" t="s">
        <v>25</v>
      </c>
      <c r="O71" s="29">
        <f>'[2]Bilan 2025 AMS'!$T$46/11.63</f>
        <v>0</v>
      </c>
      <c r="P71" s="28">
        <f>SUM('[2]Bilan 2025 AMS'!$T$41:$T$43)/11.63</f>
        <v>3.2326282830038102</v>
      </c>
      <c r="Q71" s="28">
        <f>'[2]Bilan 2025 AMS'!$T$13/11.63</f>
        <v>0.62874107832713355</v>
      </c>
      <c r="R71" s="28">
        <f>('[2]Bilan 2025 AMS'!$T$22+'[2]Bilan 2025 AMS'!$T$30+SUM('[2]Bilan 2025 AMS'!$T$36:$T$40)+SUM('[2]Bilan 2025 AMS'!$T$44:$T$45)+'[2]Bilan 2025 AMS'!$T$47)/11.63</f>
        <v>0.4197869333337978</v>
      </c>
      <c r="S71" s="142">
        <f t="shared" si="17"/>
        <v>4.2811562946647417</v>
      </c>
      <c r="T71" s="16"/>
      <c r="U71" s="149" t="s">
        <v>25</v>
      </c>
      <c r="V71" t="s">
        <v>418</v>
      </c>
      <c r="W71" t="s">
        <v>419</v>
      </c>
      <c r="X71" t="s">
        <v>420</v>
      </c>
      <c r="Y71" t="s">
        <v>421</v>
      </c>
      <c r="Z71" s="16">
        <v>0</v>
      </c>
      <c r="AA71" s="16">
        <v>2.4952474699999998</v>
      </c>
      <c r="AB71" s="16">
        <v>0.33837161910000002</v>
      </c>
      <c r="AC71" s="16">
        <v>0.4176591368</v>
      </c>
      <c r="AD71" s="95">
        <v>3.2512782259000002</v>
      </c>
    </row>
    <row r="72" spans="3:30" x14ac:dyDescent="0.25">
      <c r="C72" s="23" t="s">
        <v>26</v>
      </c>
      <c r="D72" s="10"/>
      <c r="E72" s="10"/>
      <c r="F72" s="10"/>
      <c r="G72" s="10"/>
      <c r="H72" s="9">
        <f>SUM(H63,H66:H68)</f>
        <v>2.5282823415000002</v>
      </c>
      <c r="I72" s="9">
        <f>SUM(I63,I66:I68)</f>
        <v>60.121627809999993</v>
      </c>
      <c r="J72" s="9">
        <f>SUM(J63,J66:J68)</f>
        <v>42.072956322300001</v>
      </c>
      <c r="K72" s="9">
        <f>SUM(K63,K66:K68)</f>
        <v>43.775851798611299</v>
      </c>
      <c r="L72" s="98">
        <f t="shared" si="16"/>
        <v>148.49871827241128</v>
      </c>
      <c r="M72" s="79"/>
      <c r="N72" s="151" t="s">
        <v>26</v>
      </c>
      <c r="O72" s="32">
        <f>O63+O66+O67+O68+O71</f>
        <v>3.798785579103078</v>
      </c>
      <c r="P72" s="31">
        <f>P63+P66+P67+P68+P71</f>
        <v>59.096379906251379</v>
      </c>
      <c r="Q72" s="31">
        <f>Q63+Q66+Q67+Q68+Q71</f>
        <v>38.4897235570022</v>
      </c>
      <c r="R72" s="31">
        <f>R63+R66+R67+R68+R71</f>
        <v>46.34147894184872</v>
      </c>
      <c r="S72" s="144">
        <f t="shared" si="17"/>
        <v>147.72636798420538</v>
      </c>
      <c r="T72" s="79"/>
      <c r="U72" s="23" t="s">
        <v>26</v>
      </c>
      <c r="V72" s="10"/>
      <c r="W72" s="10"/>
      <c r="X72" s="10"/>
      <c r="Y72" s="10"/>
      <c r="Z72" s="9">
        <v>2.5438652928000005</v>
      </c>
      <c r="AA72" s="9">
        <v>60.001147632999995</v>
      </c>
      <c r="AB72" s="9">
        <v>42.152110241999999</v>
      </c>
      <c r="AC72" s="9">
        <v>43.850750754095998</v>
      </c>
      <c r="AD72" s="98">
        <v>148.54787392189598</v>
      </c>
    </row>
    <row r="73" spans="3:30" s="3" customFormat="1" x14ac:dyDescent="0.25">
      <c r="H73" s="45"/>
      <c r="I73" s="45"/>
      <c r="J73" s="45"/>
      <c r="K73" s="45"/>
      <c r="L73" s="45"/>
      <c r="M73" s="45"/>
      <c r="N73" s="45"/>
      <c r="O73" s="77"/>
      <c r="P73" s="77"/>
      <c r="Q73" s="77"/>
      <c r="R73" s="78"/>
      <c r="S73" s="45"/>
      <c r="T73" s="45"/>
      <c r="Z73" s="45"/>
      <c r="AA73" s="45"/>
      <c r="AB73" s="45"/>
      <c r="AC73" s="45"/>
      <c r="AD73" s="45"/>
    </row>
    <row r="74" spans="3:30" s="3" customFormat="1" x14ac:dyDescent="0.25"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Z74" s="45"/>
      <c r="AA74" s="45"/>
      <c r="AB74" s="45"/>
      <c r="AC74" s="45"/>
      <c r="AD74" s="45"/>
    </row>
    <row r="75" spans="3:30" ht="31.5" x14ac:dyDescent="0.35">
      <c r="C75" s="145">
        <v>2030</v>
      </c>
      <c r="D75" s="146"/>
      <c r="E75" s="146"/>
      <c r="F75" s="146"/>
      <c r="G75" s="146"/>
      <c r="H75" s="76" t="s">
        <v>36</v>
      </c>
      <c r="I75" s="76" t="s">
        <v>49</v>
      </c>
      <c r="J75" s="76" t="s">
        <v>38</v>
      </c>
      <c r="K75" s="76" t="s">
        <v>48</v>
      </c>
      <c r="L75" s="93" t="s">
        <v>1</v>
      </c>
      <c r="M75" s="19"/>
      <c r="N75" s="145">
        <v>2030</v>
      </c>
      <c r="O75" s="141" t="s">
        <v>36</v>
      </c>
      <c r="P75" s="76" t="s">
        <v>49</v>
      </c>
      <c r="Q75" s="76" t="s">
        <v>38</v>
      </c>
      <c r="R75" s="76" t="s">
        <v>48</v>
      </c>
      <c r="S75" s="93" t="s">
        <v>1</v>
      </c>
      <c r="T75" s="19"/>
      <c r="U75" s="145">
        <v>2030</v>
      </c>
      <c r="V75" s="146"/>
      <c r="W75" s="146"/>
      <c r="X75" s="146"/>
      <c r="Y75" s="146"/>
      <c r="Z75" s="76" t="s">
        <v>36</v>
      </c>
      <c r="AA75" s="76" t="s">
        <v>49</v>
      </c>
      <c r="AB75" s="76" t="s">
        <v>38</v>
      </c>
      <c r="AC75" s="76" t="s">
        <v>48</v>
      </c>
      <c r="AD75" s="93" t="s">
        <v>1</v>
      </c>
    </row>
    <row r="76" spans="3:30" x14ac:dyDescent="0.25">
      <c r="C76" s="147" t="s">
        <v>18</v>
      </c>
      <c r="H76" s="8">
        <f>SUM(H77:H78)</f>
        <v>0</v>
      </c>
      <c r="I76" s="8">
        <f>SUM(I77:I78)</f>
        <v>36.64001064</v>
      </c>
      <c r="J76" s="8">
        <f>SUM(J77:J78)</f>
        <v>3.0274666868</v>
      </c>
      <c r="K76" s="8">
        <f>SUM(K77:K78)</f>
        <v>0.66961575080110003</v>
      </c>
      <c r="L76" s="96">
        <f>SUM(H76:K76)</f>
        <v>40.337093077601097</v>
      </c>
      <c r="M76" s="75"/>
      <c r="N76" s="150" t="s">
        <v>18</v>
      </c>
      <c r="O76" s="29">
        <f>'[2]Bilan 2030 AMS'!$X$46/11.63</f>
        <v>0</v>
      </c>
      <c r="P76" s="28">
        <f>SUM('[2]Bilan 2030 AMS'!$X$41:$X$43)/11.63</f>
        <v>30.491818068685557</v>
      </c>
      <c r="Q76" s="28">
        <f>'[2]Bilan 2030 AMS'!$X$13/11.63</f>
        <v>2.8914417551290033</v>
      </c>
      <c r="R76" s="28">
        <f>('[2]Bilan 2030 AMS'!$X$22+'[2]Bilan 2030 AMS'!$X$30+SUM('[2]Bilan 2030 AMS'!$X$36:$X$40)+SUM('[2]Bilan 2030 AMS'!$X$44:$X$45)+'[2]Bilan 2030 AMS'!$X$47)/11.63</f>
        <v>0.65268777688992008</v>
      </c>
      <c r="S76" s="142">
        <f>SUM(O76:R76)</f>
        <v>34.035947600704482</v>
      </c>
      <c r="T76" s="270"/>
      <c r="U76" s="147" t="s">
        <v>18</v>
      </c>
      <c r="Z76" s="8">
        <v>0</v>
      </c>
      <c r="AA76" s="8">
        <v>36.448448220000003</v>
      </c>
      <c r="AB76" s="8">
        <v>3.1310462136999999</v>
      </c>
      <c r="AC76" s="8">
        <v>0.67089375467650003</v>
      </c>
      <c r="AD76" s="96">
        <v>40.250388188376505</v>
      </c>
    </row>
    <row r="77" spans="3:30" x14ac:dyDescent="0.25">
      <c r="C77" s="148" t="s">
        <v>19</v>
      </c>
      <c r="D77" t="s">
        <v>394</v>
      </c>
      <c r="E77" t="s">
        <v>395</v>
      </c>
      <c r="F77" t="s">
        <v>396</v>
      </c>
      <c r="G77" t="s">
        <v>397</v>
      </c>
      <c r="H77" s="16">
        <f>VLOOKUP(D77,Résultats!$B$2:$AX$476,'T energie vecteurs'!S5,FALSE)</f>
        <v>0</v>
      </c>
      <c r="I77" s="16">
        <f>VLOOKUP(E77,Résultats!$B$2:$AX$476,'T energie vecteurs'!S5,FALSE)</f>
        <v>18.625247460000001</v>
      </c>
      <c r="J77" s="16">
        <f>VLOOKUP(F77,Résultats!$B$2:$AX$476,'T energie vecteurs'!S5,FALSE)</f>
        <v>0.72208206379999995</v>
      </c>
      <c r="K77" s="16">
        <f>VLOOKUP(G77,Résultats!$B$2:$AX$476,'T energie vecteurs'!S5,FALSE)</f>
        <v>2.65905011E-5</v>
      </c>
      <c r="L77" s="95">
        <f t="shared" ref="L77:L84" si="19">SUM(H77:K77)</f>
        <v>19.3473561143011</v>
      </c>
      <c r="M77" s="16"/>
      <c r="N77" s="148" t="s">
        <v>19</v>
      </c>
      <c r="O77" s="143"/>
      <c r="P77" s="16"/>
      <c r="Q77" s="34"/>
      <c r="R77" s="16"/>
      <c r="S77" s="95"/>
      <c r="T77" s="270"/>
      <c r="U77" s="148" t="s">
        <v>19</v>
      </c>
      <c r="V77" t="s">
        <v>394</v>
      </c>
      <c r="W77" t="s">
        <v>395</v>
      </c>
      <c r="X77" t="s">
        <v>396</v>
      </c>
      <c r="Y77" t="s">
        <v>397</v>
      </c>
      <c r="Z77" s="16">
        <v>0</v>
      </c>
      <c r="AA77" s="16">
        <v>18.371593789999999</v>
      </c>
      <c r="AB77" s="16">
        <v>0.82383794970000002</v>
      </c>
      <c r="AC77" s="16">
        <v>2.7019176499999999E-5</v>
      </c>
      <c r="AD77" s="95">
        <v>19.195458758876498</v>
      </c>
    </row>
    <row r="78" spans="3:30" x14ac:dyDescent="0.25">
      <c r="C78" s="149" t="s">
        <v>20</v>
      </c>
      <c r="D78" t="s">
        <v>398</v>
      </c>
      <c r="E78" t="s">
        <v>399</v>
      </c>
      <c r="F78" t="s">
        <v>400</v>
      </c>
      <c r="G78" t="s">
        <v>401</v>
      </c>
      <c r="H78" s="16">
        <f>VLOOKUP(D78,Résultats!$B$2:$AX$476,'T energie vecteurs'!S5,FALSE)</f>
        <v>0</v>
      </c>
      <c r="I78" s="16">
        <f>VLOOKUP(E78,Résultats!$B$2:$AX$476,'T energie vecteurs'!S5,FALSE)</f>
        <v>18.014763179999999</v>
      </c>
      <c r="J78" s="16">
        <f>VLOOKUP(F78,Résultats!$B$2:$AX$476,'T energie vecteurs'!S5,FALSE)</f>
        <v>2.3053846230000001</v>
      </c>
      <c r="K78" s="16">
        <f>VLOOKUP(G78,Résultats!$B$2:$AX$476,'T energie vecteurs'!S5,FALSE)</f>
        <v>0.66958916030000004</v>
      </c>
      <c r="L78" s="95">
        <f t="shared" si="19"/>
        <v>20.989736963299997</v>
      </c>
      <c r="M78" s="16"/>
      <c r="N78" s="149" t="s">
        <v>20</v>
      </c>
      <c r="O78" s="143"/>
      <c r="P78" s="16"/>
      <c r="Q78" s="34"/>
      <c r="R78" s="16"/>
      <c r="S78" s="95"/>
      <c r="T78" s="270"/>
      <c r="U78" s="149" t="s">
        <v>20</v>
      </c>
      <c r="V78" t="s">
        <v>398</v>
      </c>
      <c r="W78" t="s">
        <v>399</v>
      </c>
      <c r="X78" t="s">
        <v>400</v>
      </c>
      <c r="Y78" t="s">
        <v>401</v>
      </c>
      <c r="Z78" s="16">
        <v>0</v>
      </c>
      <c r="AA78" s="16">
        <v>18.076854430000001</v>
      </c>
      <c r="AB78" s="16">
        <v>2.3072082639999998</v>
      </c>
      <c r="AC78" s="16">
        <v>0.67086673549999998</v>
      </c>
      <c r="AD78" s="95">
        <v>21.0549294295</v>
      </c>
    </row>
    <row r="79" spans="3:30" x14ac:dyDescent="0.25">
      <c r="C79" s="147" t="s">
        <v>21</v>
      </c>
      <c r="D79" t="s">
        <v>402</v>
      </c>
      <c r="E79" t="s">
        <v>403</v>
      </c>
      <c r="F79" t="s">
        <v>404</v>
      </c>
      <c r="G79" t="s">
        <v>405</v>
      </c>
      <c r="H79" s="8">
        <f>VLOOKUP(D79,Résultats!$B$2:$AX$476,'T energie vecteurs'!S5,FALSE)</f>
        <v>0.23479400519999999</v>
      </c>
      <c r="I79" s="294">
        <f>VLOOKUP(E79,Résultats!$B$2:$AX$476,'T energie vecteurs'!S5,FALSE)</f>
        <v>4.849650778</v>
      </c>
      <c r="J79" s="8">
        <f>VLOOKUP(F79,Résultats!$B$2:$AX$476,'T energie vecteurs'!S5,FALSE)</f>
        <v>14.70100929</v>
      </c>
      <c r="K79" s="8">
        <f>VLOOKUP(G79,Résultats!$B$2:$AX$476,'T energie vecteurs'!S5,FALSE)+2</f>
        <v>16.663091359999999</v>
      </c>
      <c r="L79" s="96">
        <f>SUM(H79:K79)</f>
        <v>36.448545433199996</v>
      </c>
      <c r="M79" s="75"/>
      <c r="N79" s="150" t="s">
        <v>21</v>
      </c>
      <c r="O79" s="29">
        <f>'[2]Bilan 2030 AMS'!$V$46/11.63</f>
        <v>0</v>
      </c>
      <c r="P79" s="28">
        <f>SUM('[2]Bilan 2030 AMS'!$V$41:$V$43)/11.63</f>
        <v>0.62652374102192576</v>
      </c>
      <c r="Q79" s="28">
        <f>'[2]Bilan 2030 AMS'!$V$13/11.63</f>
        <v>14.530979395924851</v>
      </c>
      <c r="R79" s="28">
        <f>('[2]Bilan 2030 AMS'!$V$22+'[2]Bilan 2030 AMS'!$V$30+SUM('[2]Bilan 2030 AMS'!$V$36:$V$40)+SUM('[2]Bilan 2030 AMS'!$V$44:$V$45)+'[2]Bilan 2030 AMS'!$V$47)/11.63</f>
        <v>20.153654675853421</v>
      </c>
      <c r="S79" s="142">
        <f t="shared" ref="S79:S85" si="20">SUM(O79:R79)</f>
        <v>35.311157812800197</v>
      </c>
      <c r="T79" s="270"/>
      <c r="U79" s="147" t="s">
        <v>21</v>
      </c>
      <c r="V79" t="s">
        <v>402</v>
      </c>
      <c r="W79" t="s">
        <v>403</v>
      </c>
      <c r="X79" t="s">
        <v>404</v>
      </c>
      <c r="Y79" t="s">
        <v>405</v>
      </c>
      <c r="Z79" s="8">
        <v>0.23481956109999999</v>
      </c>
      <c r="AA79" s="294">
        <v>4.8481852080000003</v>
      </c>
      <c r="AB79" s="8">
        <v>14.69032676</v>
      </c>
      <c r="AC79" s="8">
        <v>16.69119529</v>
      </c>
      <c r="AD79" s="96">
        <v>36.464526819100001</v>
      </c>
    </row>
    <row r="80" spans="3:30" x14ac:dyDescent="0.25">
      <c r="C80" s="147" t="s">
        <v>22</v>
      </c>
      <c r="D80" t="s">
        <v>406</v>
      </c>
      <c r="E80" t="s">
        <v>407</v>
      </c>
      <c r="F80" t="s">
        <v>408</v>
      </c>
      <c r="G80" t="s">
        <v>409</v>
      </c>
      <c r="H80" s="8">
        <f>VLOOKUP(D80,Résultats!$B$2:$AX$476,'T energie vecteurs'!S5,FALSE)</f>
        <v>0</v>
      </c>
      <c r="I80" s="8">
        <f>VLOOKUP(E80,Résultats!$B$2:$AX$476,'T energie vecteurs'!S5,FALSE)</f>
        <v>1.384954553</v>
      </c>
      <c r="J80" s="8">
        <f>VLOOKUP(F80,Résultats!$B$2:$AX$476,'T energie vecteurs'!S5,FALSE)</f>
        <v>9.4648414190000008</v>
      </c>
      <c r="K80" s="8">
        <f>VLOOKUP(G80,Résultats!$B$2:$AX$476,'T energie vecteurs'!S5,FALSE)</f>
        <v>14.265804790000001</v>
      </c>
      <c r="L80" s="96">
        <f t="shared" si="19"/>
        <v>25.115600762</v>
      </c>
      <c r="M80" s="75"/>
      <c r="N80" s="150" t="s">
        <v>22</v>
      </c>
      <c r="O80" s="29">
        <f>('[2]Bilan 2030 AMS'!$W$46)/11.63</f>
        <v>0</v>
      </c>
      <c r="P80" s="28">
        <f>SUM('[2]Bilan 2030 AMS'!$W$41:$W$43)/11.63</f>
        <v>0.33746613619592225</v>
      </c>
      <c r="Q80" s="28">
        <f>('[2]Bilan 2030 AMS'!$W$13)/11.63</f>
        <v>10.35411932416091</v>
      </c>
      <c r="R80" s="28">
        <f>('[2]Bilan 2030 AMS'!$W$22+'[2]Bilan 2030 AMS'!$W$30+SUM('[2]Bilan 2030 AMS'!$W$36:$W$40)+SUM('[2]Bilan 2030 AMS'!$W$44:$W$45)+'[2]Bilan 2030 AMS'!$W$47)/11.63</f>
        <v>8.8144475097741068</v>
      </c>
      <c r="S80" s="142">
        <f t="shared" si="20"/>
        <v>19.506032970130939</v>
      </c>
      <c r="T80" s="270"/>
      <c r="U80" s="147" t="s">
        <v>22</v>
      </c>
      <c r="V80" t="s">
        <v>406</v>
      </c>
      <c r="W80" t="s">
        <v>407</v>
      </c>
      <c r="X80" t="s">
        <v>408</v>
      </c>
      <c r="Y80" t="s">
        <v>409</v>
      </c>
      <c r="Z80" s="8">
        <v>0</v>
      </c>
      <c r="AA80" s="8">
        <v>1.3833655650000001</v>
      </c>
      <c r="AB80" s="8">
        <v>9.4543838549999997</v>
      </c>
      <c r="AC80" s="8">
        <v>14.28745749</v>
      </c>
      <c r="AD80" s="96">
        <v>25.125206909999999</v>
      </c>
    </row>
    <row r="81" spans="2:30" x14ac:dyDescent="0.25">
      <c r="C81" s="147" t="s">
        <v>23</v>
      </c>
      <c r="H81" s="8">
        <f>SUM(H82:H84)</f>
        <v>1.8371507493000001</v>
      </c>
      <c r="I81" s="8">
        <f>SUM(I82:I84)</f>
        <v>9.3819808829999989</v>
      </c>
      <c r="J81" s="8">
        <f>SUM(J82:J84)</f>
        <v>17.350030071499997</v>
      </c>
      <c r="K81" s="8">
        <f>SUM(K82:K84)</f>
        <v>8.3947580973000004</v>
      </c>
      <c r="L81" s="96">
        <f t="shared" si="19"/>
        <v>36.963919801099998</v>
      </c>
      <c r="M81" s="75"/>
      <c r="N81" s="150" t="s">
        <v>490</v>
      </c>
      <c r="O81" s="29">
        <f>O82+O83</f>
        <v>2.0127593650238067</v>
      </c>
      <c r="P81" s="28">
        <f t="shared" ref="P81:R81" si="21">P82+P83</f>
        <v>12.377492485503554</v>
      </c>
      <c r="Q81" s="28">
        <f t="shared" si="21"/>
        <v>12.982018088212522</v>
      </c>
      <c r="R81" s="28">
        <f t="shared" si="21"/>
        <v>14.480696516029912</v>
      </c>
      <c r="S81" s="142">
        <f t="shared" si="20"/>
        <v>41.852966454769799</v>
      </c>
      <c r="T81" s="270"/>
      <c r="U81" s="147" t="s">
        <v>23</v>
      </c>
      <c r="Z81" s="8">
        <v>1.8535626978999999</v>
      </c>
      <c r="AA81" s="8">
        <v>9.4185534069999992</v>
      </c>
      <c r="AB81" s="8">
        <v>17.428670865700003</v>
      </c>
      <c r="AC81" s="8">
        <v>8.4466559603999993</v>
      </c>
      <c r="AD81" s="96">
        <v>37.147442931</v>
      </c>
    </row>
    <row r="82" spans="2:30" x14ac:dyDescent="0.25">
      <c r="C82" s="149" t="s">
        <v>24</v>
      </c>
      <c r="D82" t="s">
        <v>410</v>
      </c>
      <c r="E82" t="s">
        <v>411</v>
      </c>
      <c r="F82" t="s">
        <v>412</v>
      </c>
      <c r="G82" t="s">
        <v>413</v>
      </c>
      <c r="H82" s="16">
        <f>VLOOKUP(D82,Résultats!$B$2:$AX$476,'T energie vecteurs'!S5,FALSE)</f>
        <v>0.96328617760000002</v>
      </c>
      <c r="I82" s="16">
        <f>VLOOKUP(E82,Résultats!$B$2:$AX$476,'T energie vecteurs'!S5,FALSE)</f>
        <v>4.6094216579999996</v>
      </c>
      <c r="J82" s="16">
        <f>VLOOKUP(F82,Résultats!$B$2:$AX$476,'T energie vecteurs'!S5,FALSE)</f>
        <v>17.001373399999999</v>
      </c>
      <c r="K82" s="16">
        <f>VLOOKUP(G82,Résultats!$B$2:$AX$476,'T energie vecteurs'!S5,FALSE)</f>
        <v>5.928478589</v>
      </c>
      <c r="L82" s="95">
        <f t="shared" si="19"/>
        <v>28.502559824599999</v>
      </c>
      <c r="M82" s="16"/>
      <c r="N82" s="149" t="s">
        <v>491</v>
      </c>
      <c r="O82" s="143">
        <f>'[2]Bilan 2030 AMS'!$U$46/11.63</f>
        <v>0.29026672912795559</v>
      </c>
      <c r="P82" s="30">
        <f>SUM('[2]Bilan 2030 AMS'!$U$41:$U$43)/11.63</f>
        <v>1.2075144976423513</v>
      </c>
      <c r="Q82" s="30">
        <f>'[2]Bilan 2030 AMS'!$U$13/11.63</f>
        <v>12.982018088212522</v>
      </c>
      <c r="R82" s="30">
        <f>('[2]Bilan 2030 AMS'!$U$22+'[2]Bilan 2030 AMS'!$U$30+SUM('[2]Bilan 2030 AMS'!$U$36:$U$40)+SUM('[2]Bilan 2030 AMS'!$U$44:$U$45)+'[2]Bilan 2030 AMS'!$U$47)/11.63</f>
        <v>13.044479402489532</v>
      </c>
      <c r="S82" s="95">
        <f t="shared" si="20"/>
        <v>27.524278717472363</v>
      </c>
      <c r="T82" s="270"/>
      <c r="U82" s="149" t="s">
        <v>24</v>
      </c>
      <c r="V82" t="s">
        <v>410</v>
      </c>
      <c r="W82" t="s">
        <v>411</v>
      </c>
      <c r="X82" t="s">
        <v>412</v>
      </c>
      <c r="Y82" t="s">
        <v>413</v>
      </c>
      <c r="Z82" s="16">
        <v>0.97157849249999995</v>
      </c>
      <c r="AA82" s="16">
        <v>4.6314053409999998</v>
      </c>
      <c r="AB82" s="16">
        <v>17.079797110000001</v>
      </c>
      <c r="AC82" s="16">
        <v>5.9678951790000001</v>
      </c>
      <c r="AD82" s="95">
        <v>28.650676122499998</v>
      </c>
    </row>
    <row r="83" spans="2:30" x14ac:dyDescent="0.25">
      <c r="C83" s="149" t="s">
        <v>47</v>
      </c>
      <c r="D83" t="s">
        <v>414</v>
      </c>
      <c r="E83" t="s">
        <v>415</v>
      </c>
      <c r="F83" t="s">
        <v>416</v>
      </c>
      <c r="G83" t="s">
        <v>417</v>
      </c>
      <c r="H83" s="16">
        <f>VLOOKUP(D83,Résultats!$B$2:$AX$476,'T energie vecteurs'!S5,FALSE)</f>
        <v>0.87386457169999998</v>
      </c>
      <c r="I83" s="16">
        <f>VLOOKUP(E83,Résultats!$B$2:$AX$476,'T energie vecteurs'!S5,FALSE)</f>
        <v>2.089251661</v>
      </c>
      <c r="J83" s="16">
        <f>VLOOKUP(F83,Résultats!$B$2:$AX$476,'T energie vecteurs'!S5,FALSE)</f>
        <v>0</v>
      </c>
      <c r="K83" s="16">
        <f>VLOOKUP(G83,Résultats!$B$2:$AX$476,'T energie vecteurs'!S5,FALSE)</f>
        <v>2.0227371729999999</v>
      </c>
      <c r="L83" s="95">
        <f>SUM(H83:K83)</f>
        <v>4.9858534057000004</v>
      </c>
      <c r="M83" s="16"/>
      <c r="N83" s="149" t="s">
        <v>47</v>
      </c>
      <c r="O83" s="22">
        <f>'[2]Bilan 2030 AMS'!$E$52/11.63</f>
        <v>1.7224926358958512</v>
      </c>
      <c r="P83" s="16">
        <f>('[2]Bilan 2030 AMS'!$E$54+'[2]Bilan 2030 AMS'!$E$56)/11.63</f>
        <v>11.169977987861202</v>
      </c>
      <c r="Q83" s="16">
        <v>0</v>
      </c>
      <c r="R83" s="16">
        <f>('[2]Bilan 2030 AMS'!$E$53+'[2]Bilan 2030 AMS'!$E$55+'[2]Bilan 2030 AMS'!$E$57)/11.63</f>
        <v>1.4362171135403794</v>
      </c>
      <c r="S83" s="95">
        <f t="shared" si="20"/>
        <v>14.328687737297432</v>
      </c>
      <c r="T83" s="270"/>
      <c r="U83" s="149" t="s">
        <v>47</v>
      </c>
      <c r="V83" t="s">
        <v>414</v>
      </c>
      <c r="W83" t="s">
        <v>415</v>
      </c>
      <c r="X83" t="s">
        <v>416</v>
      </c>
      <c r="Y83" t="s">
        <v>417</v>
      </c>
      <c r="Z83" s="16">
        <v>0.8819842054</v>
      </c>
      <c r="AA83" s="16">
        <v>2.0993414179999998</v>
      </c>
      <c r="AB83" s="16">
        <v>0</v>
      </c>
      <c r="AC83" s="16">
        <v>2.0335083740000002</v>
      </c>
      <c r="AD83" s="95">
        <v>5.0148339974000002</v>
      </c>
    </row>
    <row r="84" spans="2:30" x14ac:dyDescent="0.25">
      <c r="C84" s="149" t="s">
        <v>25</v>
      </c>
      <c r="D84" t="s">
        <v>418</v>
      </c>
      <c r="E84" t="s">
        <v>419</v>
      </c>
      <c r="F84" t="s">
        <v>420</v>
      </c>
      <c r="G84" t="s">
        <v>421</v>
      </c>
      <c r="H84" s="16">
        <f>VLOOKUP(D84,Résultats!$B$2:$AX$476,'T energie vecteurs'!S5,FALSE)</f>
        <v>0</v>
      </c>
      <c r="I84" s="16">
        <f>VLOOKUP(E84,Résultats!$B$2:$AX$476,'T energie vecteurs'!S5,FALSE)</f>
        <v>2.6833075640000001</v>
      </c>
      <c r="J84" s="16">
        <f>VLOOKUP(F84,Résultats!$B$2:$AX$476,'T energie vecteurs'!S5,FALSE)</f>
        <v>0.34865667150000001</v>
      </c>
      <c r="K84" s="16">
        <f>VLOOKUP(G84,Résultats!$B$2:$AX$476,'T energie vecteurs'!S5,FALSE)</f>
        <v>0.44354233529999998</v>
      </c>
      <c r="L84" s="95">
        <f t="shared" si="19"/>
        <v>3.4755065708000004</v>
      </c>
      <c r="M84" s="16"/>
      <c r="N84" s="150" t="s">
        <v>25</v>
      </c>
      <c r="O84" s="29">
        <f>'[2]Bilan 2030 AMS'!$T$46/11.63</f>
        <v>0</v>
      </c>
      <c r="P84" s="28">
        <f>SUM('[2]Bilan 2030 AMS'!$T$41:$T$43)/11.63</f>
        <v>3.0169333905477389</v>
      </c>
      <c r="Q84" s="28">
        <f>'[2]Bilan 2030 AMS'!$T$13/11.63</f>
        <v>0.58880477108504814</v>
      </c>
      <c r="R84" s="28">
        <f>('[2]Bilan 2030 AMS'!$T$22+'[2]Bilan 2030 AMS'!$T$30+SUM('[2]Bilan 2030 AMS'!$T$36:$T$40)+SUM('[2]Bilan 2030 AMS'!$T$44:$T$45)+'[2]Bilan 2030 AMS'!$T$47)/11.63</f>
        <v>0.50098804851089418</v>
      </c>
      <c r="S84" s="142">
        <f t="shared" si="20"/>
        <v>4.1067262101436812</v>
      </c>
      <c r="T84" s="270"/>
      <c r="U84" s="149" t="s">
        <v>25</v>
      </c>
      <c r="V84" t="s">
        <v>418</v>
      </c>
      <c r="W84" t="s">
        <v>419</v>
      </c>
      <c r="X84" t="s">
        <v>420</v>
      </c>
      <c r="Y84" t="s">
        <v>421</v>
      </c>
      <c r="Z84" s="16">
        <v>0</v>
      </c>
      <c r="AA84" s="16">
        <v>2.687806648</v>
      </c>
      <c r="AB84" s="16">
        <v>0.34887375570000001</v>
      </c>
      <c r="AC84" s="16">
        <v>0.44525240739999999</v>
      </c>
      <c r="AD84" s="95">
        <v>3.4819328111000001</v>
      </c>
    </row>
    <row r="85" spans="2:30" x14ac:dyDescent="0.25">
      <c r="C85" s="23" t="s">
        <v>26</v>
      </c>
      <c r="D85" s="10"/>
      <c r="E85" s="10"/>
      <c r="F85" s="10"/>
      <c r="G85" s="10"/>
      <c r="H85" s="9">
        <f>SUM(H76,H79:H81)</f>
        <v>2.0719447545</v>
      </c>
      <c r="I85" s="9">
        <f>SUM(I76,I79:I81)</f>
        <v>52.256596853999994</v>
      </c>
      <c r="J85" s="9">
        <f>SUM(J76,J79:J81)</f>
        <v>44.543347467299995</v>
      </c>
      <c r="K85" s="9">
        <f>SUM(K76,K79:K81)</f>
        <v>39.993269998101098</v>
      </c>
      <c r="L85" s="98">
        <f>SUM(H85:K85)</f>
        <v>138.86515907390111</v>
      </c>
      <c r="M85" s="79"/>
      <c r="N85" s="151" t="s">
        <v>26</v>
      </c>
      <c r="O85" s="32">
        <f>O76+O79+O80+O81+O84</f>
        <v>2.0127593650238067</v>
      </c>
      <c r="P85" s="31">
        <f>P76+P79+P80+P81+P84</f>
        <v>46.850233821954703</v>
      </c>
      <c r="Q85" s="31">
        <f>Q76+Q79+Q80+Q81+Q84</f>
        <v>41.347363334512337</v>
      </c>
      <c r="R85" s="31">
        <f>R76+R79+R80+R81+R84</f>
        <v>44.602474527058249</v>
      </c>
      <c r="S85" s="144">
        <f t="shared" si="20"/>
        <v>134.81283104854907</v>
      </c>
      <c r="T85" s="79"/>
      <c r="U85" s="23" t="s">
        <v>26</v>
      </c>
      <c r="V85" s="10"/>
      <c r="W85" s="10"/>
      <c r="X85" s="10"/>
      <c r="Y85" s="10"/>
      <c r="Z85" s="9">
        <v>2.0883822589999999</v>
      </c>
      <c r="AA85" s="9">
        <v>52.098552400000003</v>
      </c>
      <c r="AB85" s="9">
        <v>44.704427694400003</v>
      </c>
      <c r="AC85" s="9">
        <v>40.096202495076497</v>
      </c>
      <c r="AD85" s="98">
        <v>138.9875648484765</v>
      </c>
    </row>
    <row r="86" spans="2:30" s="3" customFormat="1" x14ac:dyDescent="0.25">
      <c r="O86" s="77"/>
      <c r="P86" s="77"/>
      <c r="Q86" s="77"/>
      <c r="R86" s="78"/>
      <c r="S86" s="45"/>
    </row>
    <row r="87" spans="2:30" s="3" customFormat="1" x14ac:dyDescent="0.25">
      <c r="B87" s="60"/>
      <c r="K87" s="47"/>
      <c r="O87" s="79"/>
      <c r="P87" s="79"/>
      <c r="Q87" s="79"/>
      <c r="R87" s="80"/>
      <c r="S87" s="81"/>
      <c r="AC87" s="47"/>
    </row>
    <row r="88" spans="2:30" s="3" customFormat="1" ht="31.5" x14ac:dyDescent="0.35">
      <c r="B88" s="60"/>
      <c r="C88" s="145">
        <v>2035</v>
      </c>
      <c r="D88" s="146"/>
      <c r="E88" s="146"/>
      <c r="F88" s="146"/>
      <c r="G88" s="146"/>
      <c r="H88" s="76" t="s">
        <v>36</v>
      </c>
      <c r="I88" s="76" t="s">
        <v>49</v>
      </c>
      <c r="J88" s="76" t="s">
        <v>38</v>
      </c>
      <c r="K88" s="76" t="s">
        <v>48</v>
      </c>
      <c r="L88" s="93" t="s">
        <v>1</v>
      </c>
      <c r="N88" s="145">
        <v>2035</v>
      </c>
      <c r="O88" s="141" t="s">
        <v>36</v>
      </c>
      <c r="P88" s="76" t="s">
        <v>49</v>
      </c>
      <c r="Q88" s="76" t="s">
        <v>38</v>
      </c>
      <c r="R88" s="76" t="s">
        <v>48</v>
      </c>
      <c r="S88" s="93" t="s">
        <v>1</v>
      </c>
      <c r="U88" s="145">
        <v>2035</v>
      </c>
      <c r="V88" s="146"/>
      <c r="W88" s="146"/>
      <c r="X88" s="146"/>
      <c r="Y88" s="146"/>
      <c r="Z88" s="76" t="s">
        <v>36</v>
      </c>
      <c r="AA88" s="76" t="s">
        <v>49</v>
      </c>
      <c r="AB88" s="76" t="s">
        <v>38</v>
      </c>
      <c r="AC88" s="76" t="s">
        <v>48</v>
      </c>
      <c r="AD88" s="93" t="s">
        <v>1</v>
      </c>
    </row>
    <row r="89" spans="2:30" s="3" customFormat="1" x14ac:dyDescent="0.25">
      <c r="B89" s="60"/>
      <c r="C89" s="147" t="s">
        <v>18</v>
      </c>
      <c r="D89"/>
      <c r="E89"/>
      <c r="F89"/>
      <c r="G89"/>
      <c r="H89" s="8">
        <f>SUM(H90:H91)</f>
        <v>0</v>
      </c>
      <c r="I89" s="8">
        <f>SUM(I90:I91)</f>
        <v>29.296271150000003</v>
      </c>
      <c r="J89" s="8">
        <f>SUM(J90:J91)</f>
        <v>5.2767476699999998</v>
      </c>
      <c r="K89" s="8">
        <f>SUM(K90:K91)</f>
        <v>1.0117752367149</v>
      </c>
      <c r="L89" s="96">
        <f t="shared" ref="L89:L98" si="22">SUM(H89:K89)</f>
        <v>35.584794056714898</v>
      </c>
      <c r="N89" s="150" t="s">
        <v>18</v>
      </c>
      <c r="O89" s="29">
        <f>'[2]Bilan 2035 AMS'!$X$46/11.63</f>
        <v>0</v>
      </c>
      <c r="P89" s="28">
        <f>SUM('[2]Bilan 2035 AMS'!$X$41:$X$43)/11.63</f>
        <v>21.382730406719936</v>
      </c>
      <c r="Q89" s="28">
        <f>'[2]Bilan 2035 AMS'!$X$13/11.63</f>
        <v>5.4104030618615928</v>
      </c>
      <c r="R89" s="28">
        <f>('[2]Bilan 2035 AMS'!$X$22+'[2]Bilan 2035 AMS'!$X$30+SUM('[2]Bilan 2035 AMS'!$X$36:$X$40)+SUM('[2]Bilan 2035 AMS'!$X$44:$X$45)+'[2]Bilan 2035 AMS'!$X$47)/11.63</f>
        <v>0.88574894127807591</v>
      </c>
      <c r="S89" s="142">
        <f>SUM(O89:R89)</f>
        <v>27.678882409859607</v>
      </c>
      <c r="U89" s="147" t="s">
        <v>18</v>
      </c>
      <c r="V89"/>
      <c r="W89"/>
      <c r="X89"/>
      <c r="Y89"/>
      <c r="Z89" s="8">
        <v>0</v>
      </c>
      <c r="AA89" s="8">
        <v>29.114973710000001</v>
      </c>
      <c r="AB89" s="8">
        <v>5.4204162680000003</v>
      </c>
      <c r="AC89" s="8">
        <v>1.0140505968549001</v>
      </c>
      <c r="AD89" s="96">
        <v>35.549440574854899</v>
      </c>
    </row>
    <row r="90" spans="2:30" s="3" customFormat="1" x14ac:dyDescent="0.25">
      <c r="B90" s="60"/>
      <c r="C90" s="148" t="s">
        <v>19</v>
      </c>
      <c r="D90" t="s">
        <v>394</v>
      </c>
      <c r="E90" t="s">
        <v>395</v>
      </c>
      <c r="F90" t="s">
        <v>396</v>
      </c>
      <c r="G90" t="s">
        <v>397</v>
      </c>
      <c r="H90" s="16">
        <f>VLOOKUP(D90,Résultats!$B$2:$AX$476,'T energie vecteurs'!T5,FALSE)</f>
        <v>0</v>
      </c>
      <c r="I90" s="16">
        <f>VLOOKUP(E90,Résultats!$B$2:$AX$476,'T energie vecteurs'!T5,FALSE)</f>
        <v>13.989121770000001</v>
      </c>
      <c r="J90" s="16">
        <f>VLOOKUP(F90,Résultats!$B$2:$AX$476,'T energie vecteurs'!T5,FALSE)</f>
        <v>1.5880339429999999</v>
      </c>
      <c r="K90" s="16">
        <f>VLOOKUP(G90,Résultats!$B$2:$AX$476,'T energie vecteurs'!T5,FALSE)</f>
        <v>2.1523714900000001E-5</v>
      </c>
      <c r="L90" s="95">
        <f t="shared" si="22"/>
        <v>15.577177236714899</v>
      </c>
      <c r="N90" s="148" t="s">
        <v>19</v>
      </c>
      <c r="O90" s="143"/>
      <c r="P90" s="16"/>
      <c r="Q90" s="34"/>
      <c r="R90" s="16"/>
      <c r="S90" s="95"/>
      <c r="U90" s="148" t="s">
        <v>19</v>
      </c>
      <c r="V90" t="s">
        <v>394</v>
      </c>
      <c r="W90" t="s">
        <v>395</v>
      </c>
      <c r="X90" t="s">
        <v>396</v>
      </c>
      <c r="Y90" t="s">
        <v>397</v>
      </c>
      <c r="Z90" s="16">
        <v>0</v>
      </c>
      <c r="AA90" s="16">
        <v>13.75063001</v>
      </c>
      <c r="AB90" s="16">
        <v>1.730598662</v>
      </c>
      <c r="AC90" s="16">
        <v>2.1556854899999999E-5</v>
      </c>
      <c r="AD90" s="95">
        <v>15.481250228854901</v>
      </c>
    </row>
    <row r="91" spans="2:30" s="3" customFormat="1" x14ac:dyDescent="0.25">
      <c r="B91" s="60"/>
      <c r="C91" s="149" t="s">
        <v>20</v>
      </c>
      <c r="D91" t="s">
        <v>398</v>
      </c>
      <c r="E91" t="s">
        <v>399</v>
      </c>
      <c r="F91" t="s">
        <v>400</v>
      </c>
      <c r="G91" t="s">
        <v>401</v>
      </c>
      <c r="H91" s="16">
        <f>VLOOKUP(D91,Résultats!$B$2:$AX$476,'T energie vecteurs'!T5,FALSE)</f>
        <v>0</v>
      </c>
      <c r="I91" s="16">
        <f>VLOOKUP(E91,Résultats!$B$2:$AX$476,'T energie vecteurs'!T5,FALSE)</f>
        <v>15.30714938</v>
      </c>
      <c r="J91" s="16">
        <f>VLOOKUP(F91,Résultats!$B$2:$AX$476,'T energie vecteurs'!T5,FALSE)</f>
        <v>3.6887137270000001</v>
      </c>
      <c r="K91" s="16">
        <f>VLOOKUP(G91,Résultats!$B$2:$AX$476,'T energie vecteurs'!T5,FALSE)</f>
        <v>1.0117537130000001</v>
      </c>
      <c r="L91" s="95">
        <f t="shared" si="22"/>
        <v>20.007616820000003</v>
      </c>
      <c r="N91" s="149" t="s">
        <v>20</v>
      </c>
      <c r="O91" s="143"/>
      <c r="P91" s="16"/>
      <c r="Q91" s="34"/>
      <c r="R91" s="16"/>
      <c r="S91" s="95"/>
      <c r="U91" s="149" t="s">
        <v>20</v>
      </c>
      <c r="V91" t="s">
        <v>398</v>
      </c>
      <c r="W91" t="s">
        <v>399</v>
      </c>
      <c r="X91" t="s">
        <v>400</v>
      </c>
      <c r="Y91" t="s">
        <v>401</v>
      </c>
      <c r="Z91" s="16">
        <v>0</v>
      </c>
      <c r="AA91" s="16">
        <v>15.364343699999999</v>
      </c>
      <c r="AB91" s="16">
        <v>3.6898176060000001</v>
      </c>
      <c r="AC91" s="16">
        <v>1.01402904</v>
      </c>
      <c r="AD91" s="95">
        <v>20.068190345999998</v>
      </c>
    </row>
    <row r="92" spans="2:30" s="3" customFormat="1" x14ac:dyDescent="0.25">
      <c r="B92" s="60"/>
      <c r="C92" s="147" t="s">
        <v>21</v>
      </c>
      <c r="D92" t="s">
        <v>402</v>
      </c>
      <c r="E92" t="s">
        <v>403</v>
      </c>
      <c r="F92" t="s">
        <v>404</v>
      </c>
      <c r="G92" t="s">
        <v>405</v>
      </c>
      <c r="H92" s="8">
        <f>VLOOKUP(D92,Résultats!$B$2:$AX$476,'T energie vecteurs'!T5,FALSE)</f>
        <v>0.1948611146</v>
      </c>
      <c r="I92" s="294">
        <f>VLOOKUP(E92,Résultats!$B$2:$AX$476,'T energie vecteurs'!T5,FALSE)</f>
        <v>4.1705608119999997</v>
      </c>
      <c r="J92" s="8">
        <f>VLOOKUP(F92,Résultats!$B$2:$AX$476,'T energie vecteurs'!T5,FALSE)</f>
        <v>14.30391223</v>
      </c>
      <c r="K92" s="8">
        <f>VLOOKUP(G92,Résultats!$B$2:$AX$476,'T energie vecteurs'!T5,FALSE)+2</f>
        <v>15.250159699999999</v>
      </c>
      <c r="L92" s="96">
        <f t="shared" si="22"/>
        <v>33.919493856599999</v>
      </c>
      <c r="N92" s="150" t="s">
        <v>21</v>
      </c>
      <c r="O92" s="29">
        <f>'[2]Bilan 2035 AMS'!$V$46/11.63</f>
        <v>0</v>
      </c>
      <c r="P92" s="28">
        <f>SUM('[2]Bilan 2035 AMS'!$V$41:$V$43)/11.63</f>
        <v>0.26244481999880703</v>
      </c>
      <c r="Q92" s="28">
        <f>'[2]Bilan 2035 AMS'!$V$13/11.63</f>
        <v>13.920813823171006</v>
      </c>
      <c r="R92" s="28">
        <f>('[2]Bilan 2035 AMS'!$V$22+'[2]Bilan 2035 AMS'!$V$30+SUM('[2]Bilan 2035 AMS'!$V$36:$V$40)+SUM('[2]Bilan 2035 AMS'!$V$44:$V$45)+'[2]Bilan 2035 AMS'!$V$47)/11.63</f>
        <v>18.428808856007375</v>
      </c>
      <c r="S92" s="142">
        <f t="shared" ref="S92:S98" si="23">SUM(O92:R92)</f>
        <v>32.612067499177186</v>
      </c>
      <c r="U92" s="147" t="s">
        <v>21</v>
      </c>
      <c r="V92" t="s">
        <v>402</v>
      </c>
      <c r="W92" t="s">
        <v>403</v>
      </c>
      <c r="X92" t="s">
        <v>404</v>
      </c>
      <c r="Y92" t="s">
        <v>405</v>
      </c>
      <c r="Z92" s="8">
        <v>0.1950288731</v>
      </c>
      <c r="AA92" s="294">
        <v>4.1620379979999997</v>
      </c>
      <c r="AB92" s="8">
        <v>14.292295380000001</v>
      </c>
      <c r="AC92" s="8">
        <v>15.30683022</v>
      </c>
      <c r="AD92" s="96">
        <v>33.956192471100003</v>
      </c>
    </row>
    <row r="93" spans="2:30" s="3" customFormat="1" x14ac:dyDescent="0.25">
      <c r="B93" s="60"/>
      <c r="C93" s="147" t="s">
        <v>22</v>
      </c>
      <c r="D93" t="s">
        <v>406</v>
      </c>
      <c r="E93" t="s">
        <v>407</v>
      </c>
      <c r="F93" t="s">
        <v>408</v>
      </c>
      <c r="G93" t="s">
        <v>409</v>
      </c>
      <c r="H93" s="8">
        <f>VLOOKUP(D93,Résultats!$B$2:$AX$476,'T energie vecteurs'!T5,FALSE)</f>
        <v>0</v>
      </c>
      <c r="I93" s="8">
        <f>VLOOKUP(E93,Résultats!$B$2:$AX$476,'T energie vecteurs'!T5,FALSE)</f>
        <v>1.365062472</v>
      </c>
      <c r="J93" s="8">
        <f>VLOOKUP(F93,Résultats!$B$2:$AX$476,'T energie vecteurs'!T5,FALSE)</f>
        <v>9.2172074009999996</v>
      </c>
      <c r="K93" s="8">
        <f>VLOOKUP(G93,Résultats!$B$2:$AX$476,'T energie vecteurs'!T5,FALSE)</f>
        <v>13.14151683</v>
      </c>
      <c r="L93" s="96">
        <f t="shared" si="22"/>
        <v>23.723786703000002</v>
      </c>
      <c r="N93" s="150" t="s">
        <v>22</v>
      </c>
      <c r="O93" s="29">
        <f>('[2]Bilan 2035 AMS'!$W$46)/11.63</f>
        <v>0</v>
      </c>
      <c r="P93" s="28">
        <f>SUM('[2]Bilan 2035 AMS'!$W$41:$W$43)/11.63</f>
        <v>0.17752685454813696</v>
      </c>
      <c r="Q93" s="28">
        <f>('[2]Bilan 2035 AMS'!$W$13)/11.63</f>
        <v>10.219258004272318</v>
      </c>
      <c r="R93" s="28">
        <f>('[2]Bilan 2035 AMS'!$W$22+'[2]Bilan 2035 AMS'!$W$30+SUM('[2]Bilan 2035 AMS'!$W$36:$W$40)+SUM('[2]Bilan 2035 AMS'!$W$44:$W$45)+'[2]Bilan 2035 AMS'!$W$47)/11.63</f>
        <v>8.3604329747133743</v>
      </c>
      <c r="S93" s="142">
        <f t="shared" si="23"/>
        <v>18.757217833533829</v>
      </c>
      <c r="U93" s="147" t="s">
        <v>22</v>
      </c>
      <c r="V93" t="s">
        <v>406</v>
      </c>
      <c r="W93" t="s">
        <v>407</v>
      </c>
      <c r="X93" t="s">
        <v>408</v>
      </c>
      <c r="Y93" t="s">
        <v>409</v>
      </c>
      <c r="Z93" s="8">
        <v>0</v>
      </c>
      <c r="AA93" s="8">
        <v>1.3600609930000001</v>
      </c>
      <c r="AB93" s="8">
        <v>9.1909168549999904</v>
      </c>
      <c r="AC93" s="8">
        <v>13.204582200000001</v>
      </c>
      <c r="AD93" s="96">
        <v>23.755560047999992</v>
      </c>
    </row>
    <row r="94" spans="2:30" s="3" customFormat="1" x14ac:dyDescent="0.25">
      <c r="B94" s="60"/>
      <c r="C94" s="147" t="s">
        <v>23</v>
      </c>
      <c r="D94"/>
      <c r="E94"/>
      <c r="F94"/>
      <c r="G94"/>
      <c r="H94" s="8">
        <f>SUM(H95:H97)</f>
        <v>1.8930786791999998</v>
      </c>
      <c r="I94" s="8">
        <f>SUM(I95:I97)</f>
        <v>10.018716206999999</v>
      </c>
      <c r="J94" s="8">
        <f>SUM(J95:J97)</f>
        <v>18.062764866800002</v>
      </c>
      <c r="K94" s="8">
        <f>SUM(K95:K97)</f>
        <v>8.9466328385999994</v>
      </c>
      <c r="L94" s="96">
        <f t="shared" si="22"/>
        <v>38.921192591600004</v>
      </c>
      <c r="N94" s="150" t="s">
        <v>490</v>
      </c>
      <c r="O94" s="29">
        <f>O95+O96</f>
        <v>1.2895605785735207</v>
      </c>
      <c r="P94" s="28">
        <f t="shared" ref="P94:R94" si="24">P95+P96</f>
        <v>11.337300806411763</v>
      </c>
      <c r="Q94" s="28">
        <f t="shared" si="24"/>
        <v>14.018807628102843</v>
      </c>
      <c r="R94" s="28">
        <f t="shared" si="24"/>
        <v>15.570794990567688</v>
      </c>
      <c r="S94" s="142">
        <f t="shared" si="23"/>
        <v>42.216464003655815</v>
      </c>
      <c r="U94" s="147" t="s">
        <v>23</v>
      </c>
      <c r="V94"/>
      <c r="W94"/>
      <c r="X94"/>
      <c r="Y94"/>
      <c r="Z94" s="8">
        <v>1.9099873234</v>
      </c>
      <c r="AA94" s="8">
        <v>10.033018376000001</v>
      </c>
      <c r="AB94" s="8">
        <v>18.145015513899999</v>
      </c>
      <c r="AC94" s="8">
        <v>8.9927629241000009</v>
      </c>
      <c r="AD94" s="96">
        <v>39.080784137400002</v>
      </c>
    </row>
    <row r="95" spans="2:30" s="3" customFormat="1" x14ac:dyDescent="0.25">
      <c r="B95" s="60"/>
      <c r="C95" s="149" t="s">
        <v>24</v>
      </c>
      <c r="D95" t="s">
        <v>410</v>
      </c>
      <c r="E95" t="s">
        <v>411</v>
      </c>
      <c r="F95" t="s">
        <v>412</v>
      </c>
      <c r="G95" t="s">
        <v>413</v>
      </c>
      <c r="H95" s="16">
        <f>VLOOKUP(D95,Résultats!$B$2:$AX$476,'T energie vecteurs'!T5,FALSE)</f>
        <v>1.0062594739999999</v>
      </c>
      <c r="I95" s="16">
        <f>VLOOKUP(E95,Résultats!$B$2:$AX$476,'T energie vecteurs'!T5,FALSE)</f>
        <v>4.9418895029999996</v>
      </c>
      <c r="J95" s="16">
        <f>VLOOKUP(F95,Résultats!$B$2:$AX$476,'T energie vecteurs'!T5,FALSE)</f>
        <v>17.691037990000002</v>
      </c>
      <c r="K95" s="16">
        <f>VLOOKUP(G95,Résultats!$B$2:$AX$476,'T energie vecteurs'!T5,FALSE)</f>
        <v>6.3528234680000004</v>
      </c>
      <c r="L95" s="95">
        <f t="shared" si="22"/>
        <v>29.992010435000001</v>
      </c>
      <c r="N95" s="149" t="s">
        <v>491</v>
      </c>
      <c r="O95" s="143">
        <f>'[2]Bilan 2035 AMS'!$U$46/11.63</f>
        <v>0.31437903703224818</v>
      </c>
      <c r="P95" s="30">
        <f>SUM('[2]Bilan 2035 AMS'!$U$41:$U$43)/11.63</f>
        <v>0.93558908643124061</v>
      </c>
      <c r="Q95" s="30">
        <f>'[2]Bilan 2035 AMS'!$U$13/11.63</f>
        <v>14.018807628102843</v>
      </c>
      <c r="R95" s="30">
        <f>('[2]Bilan 2035 AMS'!$U$22+'[2]Bilan 2035 AMS'!$U$30+SUM('[2]Bilan 2035 AMS'!$U$36:$U$40)+SUM('[2]Bilan 2035 AMS'!$U$44:$U$45)+'[2]Bilan 2035 AMS'!$U$47)/11.63</f>
        <v>12.828509585335674</v>
      </c>
      <c r="S95" s="95">
        <f t="shared" si="23"/>
        <v>28.097285336902004</v>
      </c>
      <c r="U95" s="149" t="s">
        <v>24</v>
      </c>
      <c r="V95" t="s">
        <v>410</v>
      </c>
      <c r="W95" t="s">
        <v>411</v>
      </c>
      <c r="X95" t="s">
        <v>412</v>
      </c>
      <c r="Y95" t="s">
        <v>413</v>
      </c>
      <c r="Z95" s="16">
        <v>1.014095553</v>
      </c>
      <c r="AA95" s="16">
        <v>4.9572090940000004</v>
      </c>
      <c r="AB95" s="16">
        <v>17.77331891</v>
      </c>
      <c r="AC95" s="16">
        <v>6.3926736650000002</v>
      </c>
      <c r="AD95" s="95">
        <v>30.137297222000001</v>
      </c>
    </row>
    <row r="96" spans="2:30" s="3" customFormat="1" x14ac:dyDescent="0.25">
      <c r="B96" s="60"/>
      <c r="C96" s="149" t="s">
        <v>47</v>
      </c>
      <c r="D96" t="s">
        <v>414</v>
      </c>
      <c r="E96" t="s">
        <v>415</v>
      </c>
      <c r="F96" t="s">
        <v>416</v>
      </c>
      <c r="G96" t="s">
        <v>417</v>
      </c>
      <c r="H96" s="16">
        <f>VLOOKUP(D96,Résultats!$B$2:$AX$476,'T energie vecteurs'!T5,FALSE)</f>
        <v>0.88681920520000002</v>
      </c>
      <c r="I96" s="16">
        <f>VLOOKUP(E96,Résultats!$B$2:$AX$476,'T energie vecteurs'!T5,FALSE)</f>
        <v>2.1852671410000002</v>
      </c>
      <c r="J96" s="16">
        <f>VLOOKUP(F96,Résultats!$B$2:$AX$476,'T energie vecteurs'!T5,FALSE)</f>
        <v>0</v>
      </c>
      <c r="K96" s="16">
        <f>VLOOKUP(G96,Résultats!$B$2:$AX$476,'T energie vecteurs'!T5,FALSE)</f>
        <v>2.1112535800000001</v>
      </c>
      <c r="L96" s="95">
        <f t="shared" si="22"/>
        <v>5.1833399262000004</v>
      </c>
      <c r="N96" s="149" t="s">
        <v>47</v>
      </c>
      <c r="O96" s="22">
        <f>'[2]Bilan 2035 AMS'!$E$52/11.63</f>
        <v>0.97518154154127257</v>
      </c>
      <c r="P96" s="16">
        <f>('[2]Bilan 2035 AMS'!$E$54+'[2]Bilan 2035 AMS'!$E$56)/11.63</f>
        <v>10.401711719980522</v>
      </c>
      <c r="Q96" s="16">
        <v>0</v>
      </c>
      <c r="R96" s="16">
        <f>('[2]Bilan 2035 AMS'!$E$53+'[2]Bilan 2035 AMS'!$E$55+'[2]Bilan 2035 AMS'!$E$57)/11.63</f>
        <v>2.7422854052320145</v>
      </c>
      <c r="S96" s="95">
        <f t="shared" si="23"/>
        <v>14.119178666753809</v>
      </c>
      <c r="U96" s="149" t="s">
        <v>47</v>
      </c>
      <c r="V96" t="s">
        <v>414</v>
      </c>
      <c r="W96" t="s">
        <v>415</v>
      </c>
      <c r="X96" t="s">
        <v>416</v>
      </c>
      <c r="Y96" t="s">
        <v>417</v>
      </c>
      <c r="Z96" s="16">
        <v>0.89589177040000001</v>
      </c>
      <c r="AA96" s="16">
        <v>2.187229995</v>
      </c>
      <c r="AB96" s="16">
        <v>0</v>
      </c>
      <c r="AC96" s="16">
        <v>2.114832695</v>
      </c>
      <c r="AD96" s="95">
        <v>5.1979544604000001</v>
      </c>
    </row>
    <row r="97" spans="2:30" s="3" customFormat="1" x14ac:dyDescent="0.25">
      <c r="B97" s="60"/>
      <c r="C97" s="149" t="s">
        <v>25</v>
      </c>
      <c r="D97" t="s">
        <v>418</v>
      </c>
      <c r="E97" t="s">
        <v>419</v>
      </c>
      <c r="F97" t="s">
        <v>420</v>
      </c>
      <c r="G97" t="s">
        <v>421</v>
      </c>
      <c r="H97" s="16">
        <f>VLOOKUP(D97,Résultats!$B$2:$AX$476,'T energie vecteurs'!T5,FALSE)</f>
        <v>0</v>
      </c>
      <c r="I97" s="16">
        <f>VLOOKUP(E97,Résultats!$B$2:$AX$476,'T energie vecteurs'!T5,FALSE)</f>
        <v>2.8915595629999999</v>
      </c>
      <c r="J97" s="16">
        <f>VLOOKUP(F97,Résultats!$B$2:$AX$476,'T energie vecteurs'!T5,FALSE)</f>
        <v>0.37172687679999999</v>
      </c>
      <c r="K97" s="16">
        <f>VLOOKUP(G97,Résultats!$B$2:$AX$476,'T energie vecteurs'!T5,FALSE)</f>
        <v>0.48255579059999998</v>
      </c>
      <c r="L97" s="95">
        <f t="shared" si="22"/>
        <v>3.7458422304000001</v>
      </c>
      <c r="N97" s="150" t="s">
        <v>25</v>
      </c>
      <c r="O97" s="29">
        <f>'[2]Bilan 2035 AMS'!$T$46/11.63</f>
        <v>0</v>
      </c>
      <c r="P97" s="28">
        <f>SUM('[2]Bilan 2035 AMS'!$T$41:$T$43)/11.63</f>
        <v>2.6634240155513398</v>
      </c>
      <c r="Q97" s="28">
        <f>'[2]Bilan 2035 AMS'!$T$13/11.63</f>
        <v>0.59083250678331611</v>
      </c>
      <c r="R97" s="28">
        <f>('[2]Bilan 2035 AMS'!$T$22+'[2]Bilan 2035 AMS'!$T$30+SUM('[2]Bilan 2035 AMS'!$T$36:$T$40)+SUM('[2]Bilan 2035 AMS'!$T$44:$T$45)+'[2]Bilan 2035 AMS'!$T$47)/11.63</f>
        <v>0.57839341838434266</v>
      </c>
      <c r="S97" s="142">
        <f t="shared" si="23"/>
        <v>3.8326499407189987</v>
      </c>
      <c r="U97" s="149" t="s">
        <v>25</v>
      </c>
      <c r="V97" t="s">
        <v>418</v>
      </c>
      <c r="W97" t="s">
        <v>419</v>
      </c>
      <c r="X97" t="s">
        <v>420</v>
      </c>
      <c r="Y97" t="s">
        <v>421</v>
      </c>
      <c r="Z97" s="16">
        <v>0</v>
      </c>
      <c r="AA97" s="16">
        <v>2.8885792870000002</v>
      </c>
      <c r="AB97" s="16">
        <v>0.37169660389999998</v>
      </c>
      <c r="AC97" s="16">
        <v>0.48525656410000001</v>
      </c>
      <c r="AD97" s="95">
        <v>3.7455324550000002</v>
      </c>
    </row>
    <row r="98" spans="2:30" s="3" customFormat="1" x14ac:dyDescent="0.25">
      <c r="B98" s="60"/>
      <c r="C98" s="23" t="s">
        <v>26</v>
      </c>
      <c r="D98" s="10"/>
      <c r="E98" s="10"/>
      <c r="F98" s="10"/>
      <c r="G98" s="10"/>
      <c r="H98" s="9">
        <f>SUM(H89,H92:H94)</f>
        <v>2.0879397937999999</v>
      </c>
      <c r="I98" s="9">
        <f>SUM(I89,I92:I94)</f>
        <v>44.850610640999996</v>
      </c>
      <c r="J98" s="9">
        <f>SUM(J89,J92:J94)</f>
        <v>46.860632167800006</v>
      </c>
      <c r="K98" s="9">
        <f>SUM(K89,K92:K94)</f>
        <v>38.350084605314898</v>
      </c>
      <c r="L98" s="98">
        <f t="shared" si="22"/>
        <v>132.1492672079149</v>
      </c>
      <c r="N98" s="151" t="s">
        <v>26</v>
      </c>
      <c r="O98" s="32">
        <f>O89+O92+O93+O94+O97</f>
        <v>1.2895605785735207</v>
      </c>
      <c r="P98" s="31">
        <f>P89+P92+P93+P94+P97</f>
        <v>35.823426903229986</v>
      </c>
      <c r="Q98" s="31">
        <f>Q89+Q92+Q93+Q94+Q97</f>
        <v>44.160115024191072</v>
      </c>
      <c r="R98" s="31">
        <f>R89+R92+R93+R94+R97</f>
        <v>43.824179180950857</v>
      </c>
      <c r="S98" s="144">
        <f t="shared" si="23"/>
        <v>125.09728168694545</v>
      </c>
      <c r="U98" s="23" t="s">
        <v>26</v>
      </c>
      <c r="V98" s="10"/>
      <c r="W98" s="10"/>
      <c r="X98" s="10"/>
      <c r="Y98" s="10"/>
      <c r="Z98" s="9">
        <v>2.1050161964999998</v>
      </c>
      <c r="AA98" s="9">
        <v>44.670091077000002</v>
      </c>
      <c r="AB98" s="9">
        <v>47.048644016899992</v>
      </c>
      <c r="AC98" s="9">
        <v>38.518225940954899</v>
      </c>
      <c r="AD98" s="98">
        <v>132.34197723135489</v>
      </c>
    </row>
    <row r="99" spans="2:30" s="3" customFormat="1" x14ac:dyDescent="0.25">
      <c r="B99" s="60"/>
      <c r="K99" s="47"/>
      <c r="AC99" s="47"/>
    </row>
    <row r="100" spans="2:30" s="3" customFormat="1" x14ac:dyDescent="0.25">
      <c r="B100" s="60"/>
      <c r="K100" s="47"/>
      <c r="AC100" s="47"/>
    </row>
    <row r="101" spans="2:30" ht="31.5" x14ac:dyDescent="0.35">
      <c r="C101" s="145">
        <v>2040</v>
      </c>
      <c r="D101" s="146"/>
      <c r="E101" s="146"/>
      <c r="F101" s="146"/>
      <c r="G101" s="146"/>
      <c r="H101" s="76" t="s">
        <v>36</v>
      </c>
      <c r="I101" s="76" t="s">
        <v>49</v>
      </c>
      <c r="J101" s="76" t="s">
        <v>38</v>
      </c>
      <c r="K101" s="76" t="s">
        <v>48</v>
      </c>
      <c r="L101" s="93" t="s">
        <v>1</v>
      </c>
      <c r="M101" s="19"/>
      <c r="N101" s="145">
        <v>2040</v>
      </c>
      <c r="O101" s="141" t="s">
        <v>36</v>
      </c>
      <c r="P101" s="76" t="s">
        <v>49</v>
      </c>
      <c r="Q101" s="76" t="s">
        <v>38</v>
      </c>
      <c r="R101" s="76" t="s">
        <v>48</v>
      </c>
      <c r="S101" s="93" t="s">
        <v>1</v>
      </c>
      <c r="T101" s="19"/>
      <c r="U101" s="145">
        <v>2040</v>
      </c>
      <c r="V101" s="146"/>
      <c r="W101" s="146"/>
      <c r="X101" s="146"/>
      <c r="Y101" s="146"/>
      <c r="Z101" s="76" t="s">
        <v>36</v>
      </c>
      <c r="AA101" s="76" t="s">
        <v>49</v>
      </c>
      <c r="AB101" s="76" t="s">
        <v>38</v>
      </c>
      <c r="AC101" s="76" t="s">
        <v>48</v>
      </c>
      <c r="AD101" s="93" t="s">
        <v>1</v>
      </c>
    </row>
    <row r="102" spans="2:30" x14ac:dyDescent="0.25">
      <c r="C102" s="147" t="s">
        <v>18</v>
      </c>
      <c r="H102" s="8">
        <f>SUM(H103:H104)</f>
        <v>0</v>
      </c>
      <c r="I102" s="8">
        <f>SUM(I103:I104)</f>
        <v>22.315769789999997</v>
      </c>
      <c r="J102" s="8">
        <f>SUM(J103:J104)</f>
        <v>7.8423346579999995</v>
      </c>
      <c r="K102" s="8">
        <f>SUM(K103:K104)</f>
        <v>1.4325860999562998</v>
      </c>
      <c r="L102" s="96">
        <f t="shared" ref="L102:L111" si="25">SUM(H102:K102)</f>
        <v>31.590690547956296</v>
      </c>
      <c r="M102" s="75"/>
      <c r="N102" s="150" t="s">
        <v>18</v>
      </c>
      <c r="O102" s="29">
        <f>'[2]Bilan 2040 AMS'!$X$46/11.63</f>
        <v>0</v>
      </c>
      <c r="P102" s="28">
        <f>SUM('[2]Bilan 2040 AMS'!$X$41:$X$43)/11.63</f>
        <v>12.191717043104701</v>
      </c>
      <c r="Q102" s="28">
        <f>'[2]Bilan 2040 AMS'!$X$13/11.63</f>
        <v>8.0404185135153163</v>
      </c>
      <c r="R102" s="28">
        <f>('[2]Bilan 2040 AMS'!$X$22+'[2]Bilan 2040 AMS'!$X$30+SUM('[2]Bilan 2040 AMS'!$X$36:$X$40)+SUM('[2]Bilan 2040 AMS'!$X$44:$X$45)+'[2]Bilan 2040 AMS'!$X$47)/11.63</f>
        <v>1.0858470087569896</v>
      </c>
      <c r="S102" s="142">
        <f>SUM(O102:R102)</f>
        <v>21.317982565377005</v>
      </c>
      <c r="T102" s="75"/>
      <c r="U102" s="147" t="s">
        <v>18</v>
      </c>
      <c r="Z102" s="8">
        <v>0</v>
      </c>
      <c r="AA102" s="8">
        <v>22.208829556000001</v>
      </c>
      <c r="AB102" s="8">
        <v>8.0115067789999994</v>
      </c>
      <c r="AC102" s="8">
        <v>1.4401179985132</v>
      </c>
      <c r="AD102" s="96">
        <v>31.660454333513201</v>
      </c>
    </row>
    <row r="103" spans="2:30" x14ac:dyDescent="0.25">
      <c r="C103" s="148" t="s">
        <v>19</v>
      </c>
      <c r="D103" t="s">
        <v>394</v>
      </c>
      <c r="E103" t="s">
        <v>395</v>
      </c>
      <c r="F103" t="s">
        <v>396</v>
      </c>
      <c r="G103" t="s">
        <v>397</v>
      </c>
      <c r="H103" s="16">
        <f>VLOOKUP(D103,Résultats!$B$2:$AX$476,'T energie vecteurs'!U5,FALSE)</f>
        <v>0</v>
      </c>
      <c r="I103" s="16">
        <f>VLOOKUP(E103,Résultats!$B$2:$AX$476,'T energie vecteurs'!U5,FALSE)</f>
        <v>10.17535833</v>
      </c>
      <c r="J103" s="16">
        <f>VLOOKUP(F103,Résultats!$B$2:$AX$476,'T energie vecteurs'!U5,FALSE)</f>
        <v>2.3741841539999999</v>
      </c>
      <c r="K103" s="16">
        <f>VLOOKUP(G103,Résultats!$B$2:$AX$476,'T energie vecteurs'!U5,FALSE)</f>
        <v>1.5742956299999999E-5</v>
      </c>
      <c r="L103" s="95">
        <f t="shared" si="25"/>
        <v>12.5495582269563</v>
      </c>
      <c r="M103" s="16"/>
      <c r="N103" s="148" t="s">
        <v>19</v>
      </c>
      <c r="O103" s="143"/>
      <c r="P103" s="16"/>
      <c r="Q103" s="34"/>
      <c r="R103" s="16"/>
      <c r="S103" s="95"/>
      <c r="T103" s="16"/>
      <c r="U103" s="148" t="s">
        <v>19</v>
      </c>
      <c r="V103" t="s">
        <v>394</v>
      </c>
      <c r="W103" t="s">
        <v>395</v>
      </c>
      <c r="X103" t="s">
        <v>396</v>
      </c>
      <c r="Y103" t="s">
        <v>397</v>
      </c>
      <c r="Z103" s="16">
        <v>0</v>
      </c>
      <c r="AA103" s="16">
        <v>9.9989063560000009</v>
      </c>
      <c r="AB103" s="16">
        <v>2.527125426</v>
      </c>
      <c r="AC103" s="16">
        <v>1.5745513199999999E-5</v>
      </c>
      <c r="AD103" s="95">
        <v>12.526047527513201</v>
      </c>
    </row>
    <row r="104" spans="2:30" x14ac:dyDescent="0.25">
      <c r="C104" s="149" t="s">
        <v>20</v>
      </c>
      <c r="D104" t="s">
        <v>398</v>
      </c>
      <c r="E104" t="s">
        <v>399</v>
      </c>
      <c r="F104" t="s">
        <v>400</v>
      </c>
      <c r="G104" t="s">
        <v>401</v>
      </c>
      <c r="H104" s="16">
        <f>VLOOKUP(D104,Résultats!$B$2:$AX$476,'T energie vecteurs'!U5,FALSE)</f>
        <v>0</v>
      </c>
      <c r="I104" s="16">
        <f>VLOOKUP(E104,Résultats!$B$2:$AX$476,'T energie vecteurs'!U5,FALSE)</f>
        <v>12.140411459999999</v>
      </c>
      <c r="J104" s="16">
        <f>VLOOKUP(F104,Résultats!$B$2:$AX$476,'T energie vecteurs'!U5,FALSE)</f>
        <v>5.4681505039999996</v>
      </c>
      <c r="K104" s="16">
        <f>VLOOKUP(G104,Résultats!$B$2:$AX$476,'T energie vecteurs'!U5,FALSE)</f>
        <v>1.4325703569999999</v>
      </c>
      <c r="L104" s="95">
        <f t="shared" si="25"/>
        <v>19.041132320999999</v>
      </c>
      <c r="M104" s="16"/>
      <c r="N104" s="149" t="s">
        <v>20</v>
      </c>
      <c r="O104" s="143"/>
      <c r="P104" s="16"/>
      <c r="Q104" s="34"/>
      <c r="R104" s="16"/>
      <c r="S104" s="95"/>
      <c r="T104" s="16"/>
      <c r="U104" s="149" t="s">
        <v>20</v>
      </c>
      <c r="V104" t="s">
        <v>398</v>
      </c>
      <c r="W104" t="s">
        <v>399</v>
      </c>
      <c r="X104" t="s">
        <v>400</v>
      </c>
      <c r="Y104" t="s">
        <v>401</v>
      </c>
      <c r="Z104" s="16">
        <v>0</v>
      </c>
      <c r="AA104" s="16">
        <v>12.2099232</v>
      </c>
      <c r="AB104" s="16">
        <v>5.4843813529999998</v>
      </c>
      <c r="AC104" s="16">
        <v>1.4401022530000001</v>
      </c>
      <c r="AD104" s="95">
        <v>19.134406806000001</v>
      </c>
    </row>
    <row r="105" spans="2:30" x14ac:dyDescent="0.25">
      <c r="C105" s="147" t="s">
        <v>21</v>
      </c>
      <c r="D105" t="s">
        <v>402</v>
      </c>
      <c r="E105" t="s">
        <v>403</v>
      </c>
      <c r="F105" t="s">
        <v>404</v>
      </c>
      <c r="G105" t="s">
        <v>405</v>
      </c>
      <c r="H105" s="8">
        <f>VLOOKUP(D105,Résultats!$B$2:$AX$476,'T energie vecteurs'!U5,FALSE)</f>
        <v>0.1669540981</v>
      </c>
      <c r="I105" s="294">
        <f>VLOOKUP(E105,Résultats!$B$2:$AX$476,'T energie vecteurs'!U5,FALSE)</f>
        <v>3.821025965</v>
      </c>
      <c r="J105" s="8">
        <f>VLOOKUP(F105,Résultats!$B$2:$AX$476,'T energie vecteurs'!U5,FALSE)</f>
        <v>13.94913844</v>
      </c>
      <c r="K105" s="8">
        <f>VLOOKUP(G105,Résultats!$B$2:$AX$476,'T energie vecteurs'!U5,FALSE)+2</f>
        <v>13.85919531</v>
      </c>
      <c r="L105" s="96">
        <f t="shared" si="25"/>
        <v>31.796313813100003</v>
      </c>
      <c r="M105" s="75"/>
      <c r="N105" s="150" t="s">
        <v>21</v>
      </c>
      <c r="O105" s="29">
        <f>'[2]Bilan 2040 AMS'!$V$46/11.63</f>
        <v>0</v>
      </c>
      <c r="P105" s="28">
        <f>SUM('[2]Bilan 2040 AMS'!$V$41:$V$43)/11.63</f>
        <v>6.1040227141625304E-2</v>
      </c>
      <c r="Q105" s="28">
        <f>'[2]Bilan 2040 AMS'!$V$13/11.63</f>
        <v>13.209596020840994</v>
      </c>
      <c r="R105" s="28">
        <f>('[2]Bilan 2040 AMS'!$V$22+'[2]Bilan 2040 AMS'!$V$30+SUM('[2]Bilan 2040 AMS'!$V$36:$V$40)+SUM('[2]Bilan 2040 AMS'!$V$44:$V$45)+'[2]Bilan 2040 AMS'!$V$47)/11.63</f>
        <v>17.347844556605228</v>
      </c>
      <c r="S105" s="142">
        <f t="shared" ref="S105:S111" si="26">SUM(O105:R105)</f>
        <v>30.618480804587847</v>
      </c>
      <c r="T105" s="75"/>
      <c r="U105" s="147" t="s">
        <v>21</v>
      </c>
      <c r="V105" t="s">
        <v>402</v>
      </c>
      <c r="W105" t="s">
        <v>403</v>
      </c>
      <c r="X105" t="s">
        <v>404</v>
      </c>
      <c r="Y105" t="s">
        <v>405</v>
      </c>
      <c r="Z105" s="8">
        <v>0.1675986894</v>
      </c>
      <c r="AA105" s="294">
        <v>3.807506762</v>
      </c>
      <c r="AB105" s="8">
        <v>13.96566464</v>
      </c>
      <c r="AC105" s="8">
        <v>13.947059449999999</v>
      </c>
      <c r="AD105" s="96">
        <v>31.887829541400002</v>
      </c>
    </row>
    <row r="106" spans="2:30" x14ac:dyDescent="0.25">
      <c r="C106" s="147" t="s">
        <v>22</v>
      </c>
      <c r="D106" t="s">
        <v>406</v>
      </c>
      <c r="E106" t="s">
        <v>407</v>
      </c>
      <c r="F106" t="s">
        <v>408</v>
      </c>
      <c r="G106" t="s">
        <v>409</v>
      </c>
      <c r="H106" s="8">
        <f>VLOOKUP(D106,Résultats!$B$2:$AX$476,'T energie vecteurs'!U5,FALSE)</f>
        <v>0</v>
      </c>
      <c r="I106" s="8">
        <f>VLOOKUP(E106,Résultats!$B$2:$AX$476,'T energie vecteurs'!U5,FALSE)</f>
        <v>1.3795525239999999</v>
      </c>
      <c r="J106" s="8">
        <f>VLOOKUP(F106,Résultats!$B$2:$AX$476,'T energie vecteurs'!U5,FALSE)</f>
        <v>9.1096015870000002</v>
      </c>
      <c r="K106" s="8">
        <f>VLOOKUP(G106,Résultats!$B$2:$AX$476,'T energie vecteurs'!U5,FALSE)</f>
        <v>11.622079039999999</v>
      </c>
      <c r="L106" s="96">
        <f t="shared" si="25"/>
        <v>22.111233151</v>
      </c>
      <c r="M106" s="75"/>
      <c r="N106" s="150" t="s">
        <v>22</v>
      </c>
      <c r="O106" s="29">
        <f>('[2]Bilan 2040 AMS'!$W$46)/11.63</f>
        <v>0</v>
      </c>
      <c r="P106" s="28">
        <f>SUM('[2]Bilan 2040 AMS'!$W$41:$W$43)/11.63</f>
        <v>6.3880432315261901E-2</v>
      </c>
      <c r="Q106" s="28">
        <f>('[2]Bilan 2040 AMS'!$W$13)/11.63</f>
        <v>10.029414757557689</v>
      </c>
      <c r="R106" s="28">
        <f>('[2]Bilan 2040 AMS'!$W$22+'[2]Bilan 2040 AMS'!$W$30+SUM('[2]Bilan 2040 AMS'!$W$36:$W$40)+SUM('[2]Bilan 2040 AMS'!$W$44:$W$45)+'[2]Bilan 2040 AMS'!$W$47)/11.63</f>
        <v>7.8410614287588816</v>
      </c>
      <c r="S106" s="142">
        <f t="shared" si="26"/>
        <v>17.934356618631831</v>
      </c>
      <c r="T106" s="75"/>
      <c r="U106" s="147" t="s">
        <v>22</v>
      </c>
      <c r="V106" t="s">
        <v>406</v>
      </c>
      <c r="W106" t="s">
        <v>407</v>
      </c>
      <c r="X106" t="s">
        <v>408</v>
      </c>
      <c r="Y106" t="s">
        <v>409</v>
      </c>
      <c r="Z106" s="8">
        <v>0</v>
      </c>
      <c r="AA106" s="8">
        <v>1.3701595129999999</v>
      </c>
      <c r="AB106" s="8">
        <v>9.0765223319999997</v>
      </c>
      <c r="AC106" s="8">
        <v>11.72368342</v>
      </c>
      <c r="AD106" s="96">
        <v>22.170365265000001</v>
      </c>
    </row>
    <row r="107" spans="2:30" x14ac:dyDescent="0.25">
      <c r="C107" s="147" t="s">
        <v>23</v>
      </c>
      <c r="H107" s="8">
        <f>SUM(H108:H110)</f>
        <v>1.9967421595000001</v>
      </c>
      <c r="I107" s="8">
        <f>SUM(I108:I110)</f>
        <v>11.083204188</v>
      </c>
      <c r="J107" s="8">
        <f>SUM(J108:J110)</f>
        <v>19.020982461399999</v>
      </c>
      <c r="K107" s="8">
        <f>SUM(K108:K110)</f>
        <v>9.7475064075000013</v>
      </c>
      <c r="L107" s="96">
        <f t="shared" si="25"/>
        <v>41.848435216400006</v>
      </c>
      <c r="M107" s="75"/>
      <c r="N107" s="150" t="s">
        <v>490</v>
      </c>
      <c r="O107" s="29">
        <f>O108+O109</f>
        <v>1.1470880379308943</v>
      </c>
      <c r="P107" s="28">
        <f t="shared" ref="P107:R107" si="27">P108+P109</f>
        <v>10.34609820525753</v>
      </c>
      <c r="Q107" s="28">
        <f t="shared" si="27"/>
        <v>15.232489488749787</v>
      </c>
      <c r="R107" s="28">
        <f t="shared" si="27"/>
        <v>16.48108085677471</v>
      </c>
      <c r="S107" s="142">
        <f t="shared" si="26"/>
        <v>43.206756588712921</v>
      </c>
      <c r="T107" s="75"/>
      <c r="U107" s="147" t="s">
        <v>23</v>
      </c>
      <c r="Z107" s="8">
        <v>2.0140348428000001</v>
      </c>
      <c r="AA107" s="8">
        <v>11.067507462</v>
      </c>
      <c r="AB107" s="8">
        <v>19.151096059299999</v>
      </c>
      <c r="AC107" s="8">
        <v>9.783758262000001</v>
      </c>
      <c r="AD107" s="96">
        <v>42.016396626099997</v>
      </c>
    </row>
    <row r="108" spans="2:30" x14ac:dyDescent="0.25">
      <c r="C108" s="149" t="s">
        <v>24</v>
      </c>
      <c r="D108" t="s">
        <v>410</v>
      </c>
      <c r="E108" t="s">
        <v>411</v>
      </c>
      <c r="F108" t="s">
        <v>412</v>
      </c>
      <c r="G108" t="s">
        <v>413</v>
      </c>
      <c r="H108" s="16">
        <f>VLOOKUP(D108,Résultats!$B$2:$AX$476,'T energie vecteurs'!U5,FALSE)</f>
        <v>1.086068391</v>
      </c>
      <c r="I108" s="16">
        <f>VLOOKUP(E108,Résultats!$B$2:$AX$476,'T energie vecteurs'!U5,FALSE)</f>
        <v>5.5616310249999996</v>
      </c>
      <c r="J108" s="16">
        <f>VLOOKUP(F108,Résultats!$B$2:$AX$476,'T energie vecteurs'!U5,FALSE)</f>
        <v>18.6191183</v>
      </c>
      <c r="K108" s="16">
        <f>VLOOKUP(G108,Résultats!$B$2:$AX$476,'T energie vecteurs'!U5,FALSE)</f>
        <v>6.9803214010000003</v>
      </c>
      <c r="L108" s="95">
        <f t="shared" si="25"/>
        <v>32.247139116999996</v>
      </c>
      <c r="M108" s="16"/>
      <c r="N108" s="149" t="s">
        <v>491</v>
      </c>
      <c r="O108" s="143">
        <f>'[2]Bilan 2040 AMS'!$U$46/11.63</f>
        <v>0.23928972873592452</v>
      </c>
      <c r="P108" s="30">
        <f>SUM('[2]Bilan 2040 AMS'!$U$41:$U$43)/11.63</f>
        <v>0.69055770755550139</v>
      </c>
      <c r="Q108" s="30">
        <f>'[2]Bilan 2040 AMS'!$U$13/11.63</f>
        <v>15.232489488749787</v>
      </c>
      <c r="R108" s="30">
        <f>('[2]Bilan 2040 AMS'!$U$22+'[2]Bilan 2040 AMS'!$U$30+SUM('[2]Bilan 2040 AMS'!$U$36:$U$40)+SUM('[2]Bilan 2040 AMS'!$U$44:$U$45)+'[2]Bilan 2040 AMS'!$U$47)/11.63</f>
        <v>12.396061534712597</v>
      </c>
      <c r="S108" s="95">
        <f t="shared" si="26"/>
        <v>28.558398459753811</v>
      </c>
      <c r="T108" s="16"/>
      <c r="U108" s="149" t="s">
        <v>24</v>
      </c>
      <c r="V108" t="s">
        <v>410</v>
      </c>
      <c r="W108" t="s">
        <v>411</v>
      </c>
      <c r="X108" t="s">
        <v>412</v>
      </c>
      <c r="Y108" t="s">
        <v>413</v>
      </c>
      <c r="Z108" s="16">
        <v>1.0920116790000001</v>
      </c>
      <c r="AA108" s="16">
        <v>5.560453334</v>
      </c>
      <c r="AB108" s="16">
        <v>18.748610419999999</v>
      </c>
      <c r="AC108" s="16">
        <v>7.0101194810000003</v>
      </c>
      <c r="AD108" s="95">
        <v>32.411194913999999</v>
      </c>
    </row>
    <row r="109" spans="2:30" x14ac:dyDescent="0.25">
      <c r="C109" s="149" t="s">
        <v>47</v>
      </c>
      <c r="D109" t="s">
        <v>414</v>
      </c>
      <c r="E109" t="s">
        <v>415</v>
      </c>
      <c r="F109" t="s">
        <v>416</v>
      </c>
      <c r="G109" t="s">
        <v>417</v>
      </c>
      <c r="H109" s="16">
        <f>VLOOKUP(D109,Résultats!$B$2:$AX$476,'T energie vecteurs'!U5,FALSE)</f>
        <v>0.91067376850000004</v>
      </c>
      <c r="I109" s="16">
        <f>VLOOKUP(E109,Résultats!$B$2:$AX$476,'T energie vecteurs'!U5,FALSE)</f>
        <v>2.3460969199999999</v>
      </c>
      <c r="J109" s="16">
        <f>VLOOKUP(F109,Résultats!$B$2:$AX$476,'T energie vecteurs'!U5,FALSE)</f>
        <v>0</v>
      </c>
      <c r="K109" s="16">
        <f>VLOOKUP(G109,Résultats!$B$2:$AX$476,'T energie vecteurs'!U5,FALSE)</f>
        <v>2.2603574860000002</v>
      </c>
      <c r="L109" s="95">
        <f t="shared" si="25"/>
        <v>5.5171281744999998</v>
      </c>
      <c r="M109" s="16"/>
      <c r="N109" s="149" t="s">
        <v>47</v>
      </c>
      <c r="O109" s="22">
        <f>'[2]Bilan 2040 AMS'!$E$52/11.63</f>
        <v>0.90779830919496984</v>
      </c>
      <c r="P109" s="16">
        <f>('[2]Bilan 2040 AMS'!$E$54+'[2]Bilan 2040 AMS'!$E$56)/11.63</f>
        <v>9.6555404977020274</v>
      </c>
      <c r="Q109" s="16">
        <v>0</v>
      </c>
      <c r="R109" s="16">
        <f>('[2]Bilan 2040 AMS'!$E$53+'[2]Bilan 2040 AMS'!$E$55+'[2]Bilan 2040 AMS'!$E$57)/11.63</f>
        <v>4.0850193220621129</v>
      </c>
      <c r="S109" s="95">
        <f t="shared" si="26"/>
        <v>14.64835812895911</v>
      </c>
      <c r="T109" s="16"/>
      <c r="U109" s="149" t="s">
        <v>47</v>
      </c>
      <c r="V109" t="s">
        <v>414</v>
      </c>
      <c r="W109" t="s">
        <v>415</v>
      </c>
      <c r="X109" t="s">
        <v>416</v>
      </c>
      <c r="Y109" t="s">
        <v>417</v>
      </c>
      <c r="Z109" s="16">
        <v>0.92202316380000005</v>
      </c>
      <c r="AA109" s="16">
        <v>2.3465452779999998</v>
      </c>
      <c r="AB109" s="16">
        <v>0</v>
      </c>
      <c r="AC109" s="16">
        <v>2.263465563</v>
      </c>
      <c r="AD109" s="95">
        <v>5.5320340047999998</v>
      </c>
    </row>
    <row r="110" spans="2:30" x14ac:dyDescent="0.25">
      <c r="C110" s="149" t="s">
        <v>25</v>
      </c>
      <c r="D110" t="s">
        <v>418</v>
      </c>
      <c r="E110" t="s">
        <v>419</v>
      </c>
      <c r="F110" t="s">
        <v>420</v>
      </c>
      <c r="G110" t="s">
        <v>421</v>
      </c>
      <c r="H110" s="16">
        <f>VLOOKUP(D110,Résultats!$B$2:$AX$476,'T energie vecteurs'!U5,FALSE)</f>
        <v>0</v>
      </c>
      <c r="I110" s="16">
        <f>VLOOKUP(E110,Résultats!$B$2:$AX$476,'T energie vecteurs'!U5,FALSE)</f>
        <v>3.1754762429999999</v>
      </c>
      <c r="J110" s="16">
        <f>VLOOKUP(F110,Résultats!$B$2:$AX$476,'T energie vecteurs'!U5,FALSE)</f>
        <v>0.40186416139999998</v>
      </c>
      <c r="K110" s="16">
        <f>VLOOKUP(G110,Résultats!$B$2:$AX$476,'T energie vecteurs'!U5,FALSE)</f>
        <v>0.50682752050000002</v>
      </c>
      <c r="L110" s="95">
        <f t="shared" si="25"/>
        <v>4.0841679249</v>
      </c>
      <c r="M110" s="16"/>
      <c r="N110" s="150" t="s">
        <v>25</v>
      </c>
      <c r="O110" s="29">
        <f>'[2]Bilan 2040 AMS'!$T$46/11.63</f>
        <v>0</v>
      </c>
      <c r="P110" s="28">
        <f>SUM('[2]Bilan 2040 AMS'!$T$41:$T$43)/11.63</f>
        <v>2.2837204781323637</v>
      </c>
      <c r="Q110" s="28">
        <f>'[2]Bilan 2040 AMS'!$T$13/11.63</f>
        <v>0.59286024248158409</v>
      </c>
      <c r="R110" s="28">
        <f>('[2]Bilan 2040 AMS'!$T$22+'[2]Bilan 2040 AMS'!$T$30+SUM('[2]Bilan 2040 AMS'!$T$36:$T$40)+SUM('[2]Bilan 2040 AMS'!$T$44:$T$45)+'[2]Bilan 2040 AMS'!$T$47)/11.63</f>
        <v>0.65579878825779125</v>
      </c>
      <c r="S110" s="142">
        <f t="shared" si="26"/>
        <v>3.5323795088717391</v>
      </c>
      <c r="T110" s="16"/>
      <c r="U110" s="149" t="s">
        <v>25</v>
      </c>
      <c r="V110" t="s">
        <v>418</v>
      </c>
      <c r="W110" t="s">
        <v>419</v>
      </c>
      <c r="X110" t="s">
        <v>420</v>
      </c>
      <c r="Y110" t="s">
        <v>421</v>
      </c>
      <c r="Z110" s="16">
        <v>0</v>
      </c>
      <c r="AA110" s="16">
        <v>3.1605088499999998</v>
      </c>
      <c r="AB110" s="16">
        <v>0.40248563929999998</v>
      </c>
      <c r="AC110" s="16">
        <v>0.51017321800000004</v>
      </c>
      <c r="AD110" s="95">
        <v>4.0731677072999997</v>
      </c>
    </row>
    <row r="111" spans="2:30" x14ac:dyDescent="0.25">
      <c r="C111" s="23" t="s">
        <v>26</v>
      </c>
      <c r="D111" s="10"/>
      <c r="E111" s="10"/>
      <c r="F111" s="10"/>
      <c r="G111" s="10"/>
      <c r="H111" s="9">
        <f>SUM(H102,H105:H107)</f>
        <v>2.1636962576000003</v>
      </c>
      <c r="I111" s="9">
        <f>SUM(I102,I105:I107)</f>
        <v>38.599552466999995</v>
      </c>
      <c r="J111" s="9">
        <f>SUM(J102,J105:J107)</f>
        <v>49.9220571464</v>
      </c>
      <c r="K111" s="9">
        <f>SUM(K102,K105:K107)</f>
        <v>36.661366857456301</v>
      </c>
      <c r="L111" s="98">
        <f t="shared" si="25"/>
        <v>127.3466727284563</v>
      </c>
      <c r="M111" s="79"/>
      <c r="N111" s="151" t="s">
        <v>26</v>
      </c>
      <c r="O111" s="32">
        <f>O102+O105+O106+O107+O110</f>
        <v>1.1470880379308943</v>
      </c>
      <c r="P111" s="31">
        <f>P102+P105+P106+P107+P110</f>
        <v>24.946456385951482</v>
      </c>
      <c r="Q111" s="31">
        <f>Q102+Q105+Q106+Q107+Q110</f>
        <v>47.104779023145369</v>
      </c>
      <c r="R111" s="31">
        <f>R102+R105+R106+R107+R110</f>
        <v>43.411632639153602</v>
      </c>
      <c r="S111" s="144">
        <f t="shared" si="26"/>
        <v>116.60995608618134</v>
      </c>
      <c r="T111" s="79"/>
      <c r="U111" s="23" t="s">
        <v>26</v>
      </c>
      <c r="V111" s="10"/>
      <c r="W111" s="10"/>
      <c r="X111" s="10"/>
      <c r="Y111" s="10"/>
      <c r="Z111" s="9">
        <v>2.1816335322000002</v>
      </c>
      <c r="AA111" s="9">
        <v>38.454003293</v>
      </c>
      <c r="AB111" s="9">
        <v>50.204789810299999</v>
      </c>
      <c r="AC111" s="9">
        <v>36.894619130513199</v>
      </c>
      <c r="AD111" s="98">
        <v>127.7350457660132</v>
      </c>
    </row>
    <row r="112" spans="2:30" s="3" customFormat="1" x14ac:dyDescent="0.25"/>
    <row r="113" spans="3:30" s="3" customFormat="1" x14ac:dyDescent="0.25"/>
    <row r="114" spans="3:30" ht="31.5" x14ac:dyDescent="0.35">
      <c r="C114" s="145">
        <v>2050</v>
      </c>
      <c r="D114" s="146"/>
      <c r="E114" s="146"/>
      <c r="F114" s="146"/>
      <c r="G114" s="146"/>
      <c r="H114" s="76" t="s">
        <v>36</v>
      </c>
      <c r="I114" s="76" t="s">
        <v>49</v>
      </c>
      <c r="J114" s="76" t="s">
        <v>38</v>
      </c>
      <c r="K114" s="76" t="s">
        <v>48</v>
      </c>
      <c r="L114" s="93" t="s">
        <v>1</v>
      </c>
      <c r="M114" s="19"/>
      <c r="N114" s="145">
        <v>2050</v>
      </c>
      <c r="O114" s="141" t="s">
        <v>36</v>
      </c>
      <c r="P114" s="76" t="s">
        <v>49</v>
      </c>
      <c r="Q114" s="76" t="s">
        <v>38</v>
      </c>
      <c r="R114" s="76" t="s">
        <v>48</v>
      </c>
      <c r="S114" s="93" t="s">
        <v>1</v>
      </c>
      <c r="T114" s="19"/>
      <c r="U114" s="145">
        <v>2050</v>
      </c>
      <c r="V114" s="146"/>
      <c r="W114" s="146"/>
      <c r="X114" s="146"/>
      <c r="Y114" s="146"/>
      <c r="Z114" s="76" t="s">
        <v>36</v>
      </c>
      <c r="AA114" s="76" t="s">
        <v>49</v>
      </c>
      <c r="AB114" s="76" t="s">
        <v>38</v>
      </c>
      <c r="AC114" s="76" t="s">
        <v>48</v>
      </c>
      <c r="AD114" s="93" t="s">
        <v>1</v>
      </c>
    </row>
    <row r="115" spans="3:30" x14ac:dyDescent="0.25">
      <c r="C115" s="147" t="s">
        <v>18</v>
      </c>
      <c r="H115" s="8">
        <f>SUM(H116:H117)</f>
        <v>0</v>
      </c>
      <c r="I115" s="8">
        <f>SUM(I116:I117)</f>
        <v>14.428829781000001</v>
      </c>
      <c r="J115" s="8">
        <f>SUM(J116:J117)</f>
        <v>10.913435324</v>
      </c>
      <c r="K115" s="8">
        <f>SUM(K116:K117)</f>
        <v>2.0358938809046601</v>
      </c>
      <c r="L115" s="96">
        <f t="shared" ref="L115:L124" si="28">SUM(H115:K115)</f>
        <v>27.378158985904662</v>
      </c>
      <c r="M115" s="75"/>
      <c r="N115" s="150" t="s">
        <v>18</v>
      </c>
      <c r="O115" s="29">
        <f>'[2]Bilan 2050 AMS'!$X$46/11.63</f>
        <v>0</v>
      </c>
      <c r="P115" s="28">
        <f>SUM('[2]Bilan 2050 AMS'!$X$41:$X$43)/11.63</f>
        <v>2.2926536581471288</v>
      </c>
      <c r="Q115" s="28">
        <f>'[2]Bilan 2050 AMS'!$X$13/11.63</f>
        <v>10.137971706805169</v>
      </c>
      <c r="R115" s="28">
        <f>('[2]Bilan 2050 AMS'!$X$22+'[2]Bilan 2050 AMS'!$X$30+SUM('[2]Bilan 2050 AMS'!$X$36:$X$40)+SUM('[2]Bilan 2050 AMS'!$X$44:$X$45)+'[2]Bilan 2050 AMS'!$X$47)/11.63</f>
        <v>1.2737279691923438</v>
      </c>
      <c r="S115" s="142">
        <f>SUM(O115:R115)</f>
        <v>13.704353334144642</v>
      </c>
      <c r="T115" s="270"/>
      <c r="U115" s="147" t="s">
        <v>18</v>
      </c>
      <c r="Z115" s="8">
        <v>0</v>
      </c>
      <c r="AA115" s="8">
        <v>14.39661049699999</v>
      </c>
      <c r="AB115" s="8">
        <v>11.116465913000001</v>
      </c>
      <c r="AC115" s="8">
        <v>2.0492831945894801</v>
      </c>
      <c r="AD115" s="96">
        <v>27.562359604589471</v>
      </c>
    </row>
    <row r="116" spans="3:30" x14ac:dyDescent="0.25">
      <c r="C116" s="148" t="s">
        <v>19</v>
      </c>
      <c r="D116" t="s">
        <v>394</v>
      </c>
      <c r="E116" t="s">
        <v>395</v>
      </c>
      <c r="F116" t="s">
        <v>396</v>
      </c>
      <c r="G116" t="s">
        <v>397</v>
      </c>
      <c r="H116" s="16">
        <f>VLOOKUP(D116,Résultats!$B$2:$AX$476,'T energie vecteurs'!W5,FALSE)</f>
        <v>0</v>
      </c>
      <c r="I116" s="16">
        <f>VLOOKUP(E116,Résultats!$B$2:$AX$476,'T energie vecteurs'!W5,FALSE)</f>
        <v>5.1962086550000004</v>
      </c>
      <c r="J116" s="16">
        <f>VLOOKUP(F116,Résultats!$B$2:$AX$476,'T energie vecteurs'!W5,FALSE)</f>
        <v>3.2460628960000002</v>
      </c>
      <c r="K116" s="16">
        <f>VLOOKUP(G116,Résultats!$B$2:$AX$476,'T energie vecteurs'!W5,FALSE)</f>
        <v>8.0419046599999996E-6</v>
      </c>
      <c r="L116" s="95">
        <f>SUM(H116:K116)</f>
        <v>8.4422795929046615</v>
      </c>
      <c r="M116" s="16"/>
      <c r="N116" s="148" t="s">
        <v>19</v>
      </c>
      <c r="O116" s="143"/>
      <c r="P116" s="16"/>
      <c r="Q116" s="34"/>
      <c r="R116" s="16"/>
      <c r="S116" s="95"/>
      <c r="T116" s="270"/>
      <c r="U116" s="148" t="s">
        <v>19</v>
      </c>
      <c r="V116" t="s">
        <v>394</v>
      </c>
      <c r="W116" t="s">
        <v>395</v>
      </c>
      <c r="X116" t="s">
        <v>396</v>
      </c>
      <c r="Y116" t="s">
        <v>397</v>
      </c>
      <c r="Z116" s="16">
        <v>0</v>
      </c>
      <c r="AA116" s="16">
        <v>5.106032956</v>
      </c>
      <c r="AB116" s="16">
        <v>3.412502253</v>
      </c>
      <c r="AC116" s="16">
        <v>8.0425894799999998E-6</v>
      </c>
      <c r="AD116" s="95">
        <v>8.5185432515894792</v>
      </c>
    </row>
    <row r="117" spans="3:30" x14ac:dyDescent="0.25">
      <c r="C117" s="149" t="s">
        <v>20</v>
      </c>
      <c r="D117" t="s">
        <v>398</v>
      </c>
      <c r="E117" t="s">
        <v>399</v>
      </c>
      <c r="F117" t="s">
        <v>400</v>
      </c>
      <c r="G117" t="s">
        <v>401</v>
      </c>
      <c r="H117" s="16">
        <f>VLOOKUP(D117,Résultats!$B$2:$AX$476,'T energie vecteurs'!W5,FALSE)</f>
        <v>0</v>
      </c>
      <c r="I117" s="34">
        <f>VLOOKUP(E117,Résultats!$B$2:$AX$476,'T energie vecteurs'!W5,FALSE)</f>
        <v>9.2326211259999997</v>
      </c>
      <c r="J117" s="16">
        <f>VLOOKUP(F117,Résultats!$B$2:$AX$476,'T energie vecteurs'!W5,FALSE)</f>
        <v>7.6673724280000002</v>
      </c>
      <c r="K117" s="16">
        <f>VLOOKUP(G117,Résultats!$B$2:$AX$476,'T energie vecteurs'!W5,FALSE)</f>
        <v>2.0358858390000001</v>
      </c>
      <c r="L117" s="95">
        <f>SUM(H117:K117)</f>
        <v>18.935879392999997</v>
      </c>
      <c r="M117" s="16"/>
      <c r="N117" s="149" t="s">
        <v>20</v>
      </c>
      <c r="O117" s="143"/>
      <c r="P117" s="16"/>
      <c r="Q117" s="34"/>
      <c r="R117" s="16"/>
      <c r="S117" s="95"/>
      <c r="T117" s="270"/>
      <c r="U117" s="149" t="s">
        <v>20</v>
      </c>
      <c r="V117" t="s">
        <v>398</v>
      </c>
      <c r="W117" t="s">
        <v>399</v>
      </c>
      <c r="X117" t="s">
        <v>400</v>
      </c>
      <c r="Y117" t="s">
        <v>401</v>
      </c>
      <c r="Z117" s="16">
        <v>0</v>
      </c>
      <c r="AA117" s="34">
        <v>9.2905775409999904</v>
      </c>
      <c r="AB117" s="16">
        <v>7.7039636600000003</v>
      </c>
      <c r="AC117" s="16">
        <v>2.0492751519999999</v>
      </c>
      <c r="AD117" s="95">
        <v>19.04381635299999</v>
      </c>
    </row>
    <row r="118" spans="3:30" x14ac:dyDescent="0.25">
      <c r="C118" s="147" t="s">
        <v>21</v>
      </c>
      <c r="D118" t="s">
        <v>402</v>
      </c>
      <c r="E118" t="s">
        <v>403</v>
      </c>
      <c r="F118" t="s">
        <v>404</v>
      </c>
      <c r="G118" t="s">
        <v>405</v>
      </c>
      <c r="H118" s="8">
        <f>VLOOKUP(D118,Résultats!$B$2:$AX$476,'T energie vecteurs'!W5,FALSE)</f>
        <v>0.12461403660000001</v>
      </c>
      <c r="I118" s="8">
        <f>VLOOKUP(E118,Résultats!$B$2:$AX$476,'T energie vecteurs'!W5,FALSE)</f>
        <v>3.01178817</v>
      </c>
      <c r="J118" s="8">
        <f>VLOOKUP(F118,Résultats!$B$2:$AX$476,'T energie vecteurs'!W5,FALSE)</f>
        <v>13.122443990000001</v>
      </c>
      <c r="K118" s="8">
        <f>VLOOKUP(G118,Résultats!$B$2:$AX$476,'T energie vecteurs'!W5,FALSE)+2</f>
        <v>11.994234867999999</v>
      </c>
      <c r="L118" s="317">
        <f t="shared" si="28"/>
        <v>28.2530810646</v>
      </c>
      <c r="M118" s="75"/>
      <c r="N118" s="150" t="s">
        <v>21</v>
      </c>
      <c r="O118" s="29">
        <f>'[2]Bilan 2050 AMS'!$V$46/11.63</f>
        <v>0</v>
      </c>
      <c r="P118" s="28">
        <f>SUM('[2]Bilan 2050 AMS'!$V$41:$V$43)/11.63</f>
        <v>3.0621684968348089E-2</v>
      </c>
      <c r="Q118" s="28">
        <f>'[2]Bilan 2050 AMS'!$V$13/11.63</f>
        <v>11.491747360902071</v>
      </c>
      <c r="R118" s="28">
        <f>('[2]Bilan 2050 AMS'!$V$22+'[2]Bilan 2050 AMS'!$V$30+SUM('[2]Bilan 2050 AMS'!$V$36:$V$40)+SUM('[2]Bilan 2050 AMS'!$V$44:$V$45)+'[2]Bilan 2050 AMS'!$V$47)/11.63</f>
        <v>15.333196306176815</v>
      </c>
      <c r="S118" s="142">
        <f t="shared" ref="S118:S124" si="29">SUM(O118:R118)</f>
        <v>26.855565352047236</v>
      </c>
      <c r="T118" s="270"/>
      <c r="U118" s="147" t="s">
        <v>21</v>
      </c>
      <c r="V118" t="s">
        <v>402</v>
      </c>
      <c r="W118" t="s">
        <v>403</v>
      </c>
      <c r="X118" t="s">
        <v>404</v>
      </c>
      <c r="Y118" t="s">
        <v>405</v>
      </c>
      <c r="Z118" s="8">
        <v>0.12642521970000001</v>
      </c>
      <c r="AA118" s="8">
        <v>3.0125354729999998</v>
      </c>
      <c r="AB118" s="8">
        <v>13.23202734</v>
      </c>
      <c r="AC118" s="8">
        <v>12.15124329</v>
      </c>
      <c r="AD118" s="317">
        <v>28.522231322700001</v>
      </c>
    </row>
    <row r="119" spans="3:30" x14ac:dyDescent="0.25">
      <c r="C119" s="147" t="s">
        <v>22</v>
      </c>
      <c r="D119" t="s">
        <v>406</v>
      </c>
      <c r="E119" t="s">
        <v>407</v>
      </c>
      <c r="F119" t="s">
        <v>408</v>
      </c>
      <c r="G119" t="s">
        <v>409</v>
      </c>
      <c r="H119" s="8">
        <f>VLOOKUP(D119,Résultats!$B$2:$AX$476,'T energie vecteurs'!W5,FALSE)</f>
        <v>0</v>
      </c>
      <c r="I119" s="8">
        <f>VLOOKUP(E119,Résultats!$B$2:$AX$476,'T energie vecteurs'!W5,FALSE)</f>
        <v>1.353279868</v>
      </c>
      <c r="J119" s="8">
        <f>VLOOKUP(F119,Résultats!$B$2:$AX$476,'T energie vecteurs'!W5,FALSE)</f>
        <v>8.5581727650000001</v>
      </c>
      <c r="K119" s="8">
        <f>VLOOKUP(G119,Résultats!$B$2:$AX$476,'T energie vecteurs'!W5,FALSE)</f>
        <v>9.337112372</v>
      </c>
      <c r="L119" s="96">
        <f t="shared" si="28"/>
        <v>19.248565005</v>
      </c>
      <c r="M119" s="75"/>
      <c r="N119" s="150" t="s">
        <v>22</v>
      </c>
      <c r="O119" s="29">
        <f>('[2]Bilan 2050 AMS'!$W$46)/11.63</f>
        <v>0</v>
      </c>
      <c r="P119" s="28">
        <f>SUM('[2]Bilan 2050 AMS'!$W$41:$W$43)/11.63</f>
        <v>5.6625066314646942E-3</v>
      </c>
      <c r="Q119" s="28">
        <f>('[2]Bilan 2050 AMS'!$W$13)/11.63</f>
        <v>9.5724519323725303</v>
      </c>
      <c r="R119" s="28">
        <f>('[2]Bilan 2050 AMS'!$W$22+'[2]Bilan 2050 AMS'!$W$30+SUM('[2]Bilan 2050 AMS'!$W$36:$W$40)+SUM('[2]Bilan 2050 AMS'!$W$44:$W$45)+'[2]Bilan 2050 AMS'!$W$47)/11.63</f>
        <v>6.9289112574602063</v>
      </c>
      <c r="S119" s="142">
        <f t="shared" si="29"/>
        <v>16.507025696464201</v>
      </c>
      <c r="T119" s="270"/>
      <c r="U119" s="147" t="s">
        <v>22</v>
      </c>
      <c r="V119" t="s">
        <v>406</v>
      </c>
      <c r="W119" t="s">
        <v>407</v>
      </c>
      <c r="X119" t="s">
        <v>408</v>
      </c>
      <c r="Y119" t="s">
        <v>409</v>
      </c>
      <c r="Z119" s="8">
        <v>0</v>
      </c>
      <c r="AA119" s="8">
        <v>1.33889835</v>
      </c>
      <c r="AB119" s="8">
        <v>8.5375712210000003</v>
      </c>
      <c r="AC119" s="8">
        <v>9.4603264980000006</v>
      </c>
      <c r="AD119" s="96">
        <v>19.336796069000002</v>
      </c>
    </row>
    <row r="120" spans="3:30" x14ac:dyDescent="0.25">
      <c r="C120" s="147" t="s">
        <v>23</v>
      </c>
      <c r="H120" s="8">
        <f>SUM(H121:H123)</f>
        <v>2.1095754387999999</v>
      </c>
      <c r="I120" s="8">
        <f>SUM(I121:I123)</f>
        <v>13.253168277999999</v>
      </c>
      <c r="J120" s="8">
        <f>SUM(J121:J123)</f>
        <v>20.967509124200003</v>
      </c>
      <c r="K120" s="8">
        <f>SUM(K121:K123)</f>
        <v>11.674569912599999</v>
      </c>
      <c r="L120" s="96">
        <f>SUM(H120:K120)</f>
        <v>48.004822753600003</v>
      </c>
      <c r="M120" s="75"/>
      <c r="N120" s="150" t="s">
        <v>490</v>
      </c>
      <c r="O120" s="29">
        <f>O121+O122</f>
        <v>5.5141288986823259E-2</v>
      </c>
      <c r="P120" s="28">
        <f t="shared" ref="P120:R120" si="30">P121+P122</f>
        <v>8.659475909889423</v>
      </c>
      <c r="Q120" s="28">
        <f t="shared" si="30"/>
        <v>18.376980061860618</v>
      </c>
      <c r="R120" s="28">
        <f t="shared" si="30"/>
        <v>18.495508139104587</v>
      </c>
      <c r="S120" s="142">
        <f t="shared" si="29"/>
        <v>45.587105399841448</v>
      </c>
      <c r="T120" s="270"/>
      <c r="U120" s="147" t="s">
        <v>23</v>
      </c>
      <c r="Z120" s="8">
        <v>2.1308741222999998</v>
      </c>
      <c r="AA120" s="8">
        <v>13.198537666</v>
      </c>
      <c r="AB120" s="8">
        <v>21.249602394300002</v>
      </c>
      <c r="AC120" s="8">
        <v>11.706782009499999</v>
      </c>
      <c r="AD120" s="96">
        <v>48.285796192100008</v>
      </c>
    </row>
    <row r="121" spans="3:30" x14ac:dyDescent="0.25">
      <c r="C121" s="149" t="s">
        <v>24</v>
      </c>
      <c r="D121" t="s">
        <v>410</v>
      </c>
      <c r="E121" t="s">
        <v>411</v>
      </c>
      <c r="F121" t="s">
        <v>412</v>
      </c>
      <c r="G121" t="s">
        <v>413</v>
      </c>
      <c r="H121" s="16">
        <f>VLOOKUP(D121,Résultats!$B$2:$AX$476,'T energie vecteurs'!W5,FALSE)</f>
        <v>1.1737075079999999</v>
      </c>
      <c r="I121" s="16">
        <f>VLOOKUP(E121,Résultats!$B$2:$AX$476,'T energie vecteurs'!W5,FALSE)</f>
        <v>6.8449278209999997</v>
      </c>
      <c r="J121" s="16">
        <f>VLOOKUP(F121,Résultats!$B$2:$AX$476,'T energie vecteurs'!W5,FALSE)</f>
        <v>20.497574790000002</v>
      </c>
      <c r="K121" s="16">
        <f>VLOOKUP(G121,Résultats!$B$2:$AX$476,'T energie vecteurs'!W5,FALSE)</f>
        <v>8.4894162679999994</v>
      </c>
      <c r="L121" s="95">
        <f t="shared" si="28"/>
        <v>37.005626387</v>
      </c>
      <c r="M121" s="16"/>
      <c r="N121" s="149" t="s">
        <v>491</v>
      </c>
      <c r="O121" s="143">
        <f>'[2]Bilan 2050 AMS'!$U$46/11.63</f>
        <v>5.5141288986823259E-2</v>
      </c>
      <c r="P121" s="30">
        <f>SUM('[2]Bilan 2050 AMS'!$U$41:$U$43)/11.63</f>
        <v>0.24326850906629924</v>
      </c>
      <c r="Q121" s="30">
        <f>'[2]Bilan 2050 AMS'!$U$13/11.63</f>
        <v>18.376980061860618</v>
      </c>
      <c r="R121" s="30">
        <f>('[2]Bilan 2050 AMS'!$U$22+'[2]Bilan 2050 AMS'!$U$30+SUM('[2]Bilan 2050 AMS'!$U$36:$U$40)+SUM('[2]Bilan 2050 AMS'!$U$44:$U$45)+'[2]Bilan 2050 AMS'!$U$47)/11.63</f>
        <v>11.543053292700122</v>
      </c>
      <c r="S121" s="95">
        <f t="shared" si="29"/>
        <v>30.218443152613862</v>
      </c>
      <c r="T121" s="270"/>
      <c r="U121" s="149" t="s">
        <v>24</v>
      </c>
      <c r="V121" t="s">
        <v>410</v>
      </c>
      <c r="W121" t="s">
        <v>411</v>
      </c>
      <c r="X121" t="s">
        <v>412</v>
      </c>
      <c r="Y121" t="s">
        <v>413</v>
      </c>
      <c r="Z121" s="16">
        <v>1.177775711</v>
      </c>
      <c r="AA121" s="16">
        <v>6.8110208109999997</v>
      </c>
      <c r="AB121" s="16">
        <v>20.77625755</v>
      </c>
      <c r="AC121" s="16">
        <v>8.502217323</v>
      </c>
      <c r="AD121" s="95">
        <v>37.267271394999995</v>
      </c>
    </row>
    <row r="122" spans="3:30" x14ac:dyDescent="0.25">
      <c r="C122" s="149" t="s">
        <v>47</v>
      </c>
      <c r="D122" t="s">
        <v>414</v>
      </c>
      <c r="E122" t="s">
        <v>415</v>
      </c>
      <c r="F122" t="s">
        <v>416</v>
      </c>
      <c r="G122" t="s">
        <v>417</v>
      </c>
      <c r="H122" s="16">
        <f>VLOOKUP(D122,Résultats!$B$2:$AX$476,'T energie vecteurs'!W5,FALSE)</f>
        <v>0.93586793079999997</v>
      </c>
      <c r="I122" s="16">
        <f>VLOOKUP(E122,Résultats!$B$2:$AX$476,'T energie vecteurs'!W5,FALSE)</f>
        <v>2.700038894</v>
      </c>
      <c r="J122" s="16">
        <f>VLOOKUP(F122,Résultats!$B$2:$AX$476,'T energie vecteurs'!W5,FALSE)</f>
        <v>0</v>
      </c>
      <c r="K122" s="16">
        <f>VLOOKUP(G122,Résultats!$B$2:$AX$476,'T energie vecteurs'!W5,FALSE)</f>
        <v>2.5966750709999999</v>
      </c>
      <c r="L122" s="95">
        <f t="shared" si="28"/>
        <v>6.2325818958000001</v>
      </c>
      <c r="M122" s="16"/>
      <c r="N122" s="149" t="s">
        <v>47</v>
      </c>
      <c r="O122" s="22">
        <f>'[2]Bilan 2050 AMS'!$E$52/11.63</f>
        <v>0</v>
      </c>
      <c r="P122" s="16">
        <f>('[2]Bilan 2050 AMS'!$E$54+'[2]Bilan 2050 AMS'!$E$56)/11.63</f>
        <v>8.416207400823124</v>
      </c>
      <c r="Q122" s="16">
        <v>0</v>
      </c>
      <c r="R122" s="16">
        <f>('[2]Bilan 2050 AMS'!$E$53+'[2]Bilan 2050 AMS'!$E$55+'[2]Bilan 2050 AMS'!$E$57)/11.63</f>
        <v>6.9524548464044633</v>
      </c>
      <c r="S122" s="95">
        <f t="shared" si="29"/>
        <v>15.368662247227586</v>
      </c>
      <c r="T122" s="270"/>
      <c r="U122" s="149" t="s">
        <v>47</v>
      </c>
      <c r="V122" t="s">
        <v>414</v>
      </c>
      <c r="W122" t="s">
        <v>415</v>
      </c>
      <c r="X122" t="s">
        <v>416</v>
      </c>
      <c r="Y122" t="s">
        <v>417</v>
      </c>
      <c r="Z122" s="16">
        <v>0.95309841129999995</v>
      </c>
      <c r="AA122" s="16">
        <v>2.7104909240000001</v>
      </c>
      <c r="AB122" s="16">
        <v>0</v>
      </c>
      <c r="AC122" s="16">
        <v>2.6112694429999999</v>
      </c>
      <c r="AD122" s="95">
        <v>6.2748587783000005</v>
      </c>
    </row>
    <row r="123" spans="3:30" x14ac:dyDescent="0.25">
      <c r="C123" s="149" t="s">
        <v>25</v>
      </c>
      <c r="D123" t="s">
        <v>418</v>
      </c>
      <c r="E123" t="s">
        <v>419</v>
      </c>
      <c r="F123" t="s">
        <v>420</v>
      </c>
      <c r="G123" t="s">
        <v>421</v>
      </c>
      <c r="H123" s="16">
        <f>VLOOKUP(D123,Résultats!$B$2:$AX$476,'T energie vecteurs'!W5,FALSE)</f>
        <v>0</v>
      </c>
      <c r="I123" s="16">
        <f>VLOOKUP(E123,Résultats!$B$2:$AX$476,'T energie vecteurs'!W5,FALSE)</f>
        <v>3.7082015629999998</v>
      </c>
      <c r="J123" s="16">
        <f>VLOOKUP(F123,Résultats!$B$2:$AX$476,'T energie vecteurs'!W5,FALSE)</f>
        <v>0.46993433420000003</v>
      </c>
      <c r="K123" s="16">
        <f>VLOOKUP(G123,Résultats!$B$2:$AX$476,'T energie vecteurs'!W5,FALSE)</f>
        <v>0.5884785736</v>
      </c>
      <c r="L123" s="95">
        <f t="shared" si="28"/>
        <v>4.7666144707999996</v>
      </c>
      <c r="M123" s="16"/>
      <c r="N123" s="150" t="s">
        <v>25</v>
      </c>
      <c r="O123" s="29">
        <f>'[2]Bilan 2050 AMS'!$T$46/11.63</f>
        <v>0</v>
      </c>
      <c r="P123" s="28">
        <f>SUM('[2]Bilan 2050 AMS'!$T$41:$T$43)/11.63</f>
        <v>1.6205405671470268</v>
      </c>
      <c r="Q123" s="28">
        <f>'[2]Bilan 2050 AMS'!$T$13/11.63</f>
        <v>0.59590433813600663</v>
      </c>
      <c r="R123" s="28">
        <f>('[2]Bilan 2050 AMS'!$T$22+'[2]Bilan 2050 AMS'!$T$30+SUM('[2]Bilan 2050 AMS'!$T$36:$T$40)+SUM('[2]Bilan 2050 AMS'!$T$44:$T$45)+'[2]Bilan 2050 AMS'!$T$47)/11.63</f>
        <v>0.82592305453866399</v>
      </c>
      <c r="S123" s="142">
        <f t="shared" si="29"/>
        <v>3.0423679598216973</v>
      </c>
      <c r="T123" s="270"/>
      <c r="U123" s="149" t="s">
        <v>25</v>
      </c>
      <c r="V123" t="s">
        <v>418</v>
      </c>
      <c r="W123" t="s">
        <v>419</v>
      </c>
      <c r="X123" t="s">
        <v>420</v>
      </c>
      <c r="Y123" t="s">
        <v>421</v>
      </c>
      <c r="Z123" s="16">
        <v>0</v>
      </c>
      <c r="AA123" s="16">
        <v>3.6770259310000002</v>
      </c>
      <c r="AB123" s="16">
        <v>0.47334484430000001</v>
      </c>
      <c r="AC123" s="16">
        <v>0.59329524349999996</v>
      </c>
      <c r="AD123" s="95">
        <v>4.7436660187999999</v>
      </c>
    </row>
    <row r="124" spans="3:30" x14ac:dyDescent="0.25">
      <c r="C124" s="23" t="s">
        <v>26</v>
      </c>
      <c r="D124" s="10"/>
      <c r="E124" s="10"/>
      <c r="F124" s="10"/>
      <c r="G124" s="10"/>
      <c r="H124" s="9">
        <f>SUM(H115,H118:H120)</f>
        <v>2.2341894754</v>
      </c>
      <c r="I124" s="9">
        <f>SUM(I115,I118:I120)</f>
        <v>32.047066096999998</v>
      </c>
      <c r="J124" s="9">
        <f>SUM(J115,J118:J120)</f>
        <v>53.5615612032</v>
      </c>
      <c r="K124" s="9">
        <f>SUM(K115,K118:K120)</f>
        <v>35.041811033504658</v>
      </c>
      <c r="L124" s="98">
        <f t="shared" si="28"/>
        <v>122.88462780910466</v>
      </c>
      <c r="M124" s="79"/>
      <c r="N124" s="151" t="s">
        <v>26</v>
      </c>
      <c r="O124" s="32">
        <f>O115+O118+O119+O120+O123</f>
        <v>5.5141288986823259E-2</v>
      </c>
      <c r="P124" s="31">
        <f>P115+P118+P119+P120+P123</f>
        <v>12.608954326783392</v>
      </c>
      <c r="Q124" s="31">
        <f>Q115+Q118+Q119+Q120+Q123</f>
        <v>50.175055400076403</v>
      </c>
      <c r="R124" s="31">
        <f>R115+R118+R119+R120+R123</f>
        <v>42.857266726472616</v>
      </c>
      <c r="S124" s="144">
        <f t="shared" si="29"/>
        <v>105.69641774231923</v>
      </c>
      <c r="T124" s="79"/>
      <c r="U124" s="23" t="s">
        <v>26</v>
      </c>
      <c r="V124" s="10"/>
      <c r="W124" s="10"/>
      <c r="X124" s="10"/>
      <c r="Y124" s="10"/>
      <c r="Z124" s="9">
        <v>2.257299342</v>
      </c>
      <c r="AA124" s="9">
        <v>31.946581985999991</v>
      </c>
      <c r="AB124" s="9">
        <v>54.135666868300007</v>
      </c>
      <c r="AC124" s="9">
        <v>35.367634992089478</v>
      </c>
      <c r="AD124" s="98">
        <v>123.70718318838948</v>
      </c>
    </row>
    <row r="125" spans="3:30" x14ac:dyDescent="0.25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O125" s="77"/>
      <c r="P125" s="77"/>
      <c r="Q125" s="77"/>
      <c r="R125" s="78"/>
      <c r="S125" s="45"/>
      <c r="U125" s="3"/>
      <c r="V125" s="3"/>
      <c r="W125" s="3"/>
      <c r="X125" s="3"/>
      <c r="Y125" s="3"/>
      <c r="Z125" s="3"/>
      <c r="AA125" s="3"/>
      <c r="AB125" s="3"/>
      <c r="AC125" s="3"/>
      <c r="AD125" s="3"/>
    </row>
    <row r="126" spans="3:30" x14ac:dyDescent="0.25">
      <c r="C126" s="3"/>
      <c r="D126" s="3"/>
      <c r="E126" s="3"/>
      <c r="F126" s="3">
        <f>0.1/0.028*51.84</f>
        <v>185.14285714285717</v>
      </c>
      <c r="G126" s="3"/>
      <c r="H126" s="3"/>
      <c r="I126" s="3"/>
      <c r="J126" s="3"/>
      <c r="K126" s="3"/>
      <c r="L126" s="3"/>
      <c r="M126" s="3"/>
      <c r="O126" s="3"/>
      <c r="P126" s="3"/>
      <c r="Q126" s="3"/>
      <c r="R126" s="3"/>
      <c r="S126" s="3"/>
      <c r="U126" s="3"/>
      <c r="V126" s="3"/>
      <c r="W126" s="3"/>
      <c r="X126" s="3">
        <v>185.14285714285717</v>
      </c>
      <c r="Y126" s="3"/>
      <c r="Z126" s="3"/>
      <c r="AA126" s="3"/>
      <c r="AB126" s="3"/>
      <c r="AC126" s="3"/>
      <c r="AD126" s="3"/>
    </row>
    <row r="127" spans="3:30" x14ac:dyDescent="0.25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O127" s="3"/>
      <c r="P127" s="3"/>
      <c r="Q127" s="3"/>
      <c r="R127" s="3"/>
      <c r="S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 spans="3:30" s="3" customFormat="1" x14ac:dyDescent="0.25">
      <c r="C128" s="60" t="s">
        <v>488</v>
      </c>
      <c r="F128" s="3">
        <f>0.1/0.028*51.84</f>
        <v>185.14285714285717</v>
      </c>
      <c r="N128" s="60" t="s">
        <v>489</v>
      </c>
      <c r="U128" s="60" t="s">
        <v>488</v>
      </c>
      <c r="X128" s="3">
        <v>185.14285714285717</v>
      </c>
    </row>
    <row r="129" spans="3:30" s="3" customFormat="1" ht="31.5" x14ac:dyDescent="0.35">
      <c r="C129" s="145">
        <v>2050</v>
      </c>
      <c r="D129" s="146"/>
      <c r="E129" s="146"/>
      <c r="F129" s="146"/>
      <c r="G129" s="146"/>
      <c r="H129" s="76" t="s">
        <v>36</v>
      </c>
      <c r="I129" s="76" t="s">
        <v>49</v>
      </c>
      <c r="J129" s="76" t="s">
        <v>38</v>
      </c>
      <c r="K129" s="76" t="s">
        <v>48</v>
      </c>
      <c r="L129" s="93" t="s">
        <v>1</v>
      </c>
      <c r="N129" s="145">
        <v>2050</v>
      </c>
      <c r="O129" s="141" t="s">
        <v>36</v>
      </c>
      <c r="P129" s="76" t="s">
        <v>49</v>
      </c>
      <c r="Q129" s="76" t="s">
        <v>38</v>
      </c>
      <c r="R129" s="76" t="s">
        <v>48</v>
      </c>
      <c r="S129" s="93" t="s">
        <v>1</v>
      </c>
      <c r="U129" s="145">
        <v>2050</v>
      </c>
      <c r="V129" s="146"/>
      <c r="W129" s="146"/>
      <c r="X129" s="146"/>
      <c r="Y129" s="146"/>
      <c r="Z129" s="76" t="s">
        <v>36</v>
      </c>
      <c r="AA129" s="76" t="s">
        <v>49</v>
      </c>
      <c r="AB129" s="76" t="s">
        <v>38</v>
      </c>
      <c r="AC129" s="76" t="s">
        <v>48</v>
      </c>
      <c r="AD129" s="93" t="s">
        <v>1</v>
      </c>
    </row>
    <row r="130" spans="3:30" s="3" customFormat="1" x14ac:dyDescent="0.25">
      <c r="C130" s="276" t="s">
        <v>18</v>
      </c>
      <c r="D130" s="277"/>
      <c r="E130" s="277"/>
      <c r="F130" s="277"/>
      <c r="G130" s="277"/>
      <c r="H130" s="278" t="e">
        <f>H115-#REF!</f>
        <v>#REF!</v>
      </c>
      <c r="I130" s="278" t="e">
        <f>I115-#REF!</f>
        <v>#REF!</v>
      </c>
      <c r="J130" s="278" t="e">
        <f>J115-#REF!</f>
        <v>#REF!</v>
      </c>
      <c r="K130" s="278" t="e">
        <f>K115-#REF!</f>
        <v>#REF!</v>
      </c>
      <c r="L130" s="279" t="e">
        <f>L115-#REF!</f>
        <v>#REF!</v>
      </c>
      <c r="N130" s="276" t="s">
        <v>18</v>
      </c>
      <c r="O130" s="285">
        <f>H115-O115</f>
        <v>0</v>
      </c>
      <c r="P130" s="286">
        <f t="shared" ref="P130:S139" si="31">I115-P115</f>
        <v>12.136176122852872</v>
      </c>
      <c r="Q130" s="286">
        <f t="shared" si="31"/>
        <v>0.77546361719483059</v>
      </c>
      <c r="R130" s="286">
        <f t="shared" si="31"/>
        <v>0.76216591171231629</v>
      </c>
      <c r="S130" s="287">
        <f t="shared" si="31"/>
        <v>13.67380565176002</v>
      </c>
      <c r="U130" s="276" t="s">
        <v>18</v>
      </c>
      <c r="V130" s="277"/>
      <c r="W130" s="277"/>
      <c r="X130" s="277"/>
      <c r="Y130" s="277"/>
      <c r="Z130" s="278" t="e">
        <v>#REF!</v>
      </c>
      <c r="AA130" s="278" t="e">
        <v>#REF!</v>
      </c>
      <c r="AB130" s="278" t="e">
        <v>#REF!</v>
      </c>
      <c r="AC130" s="278" t="e">
        <v>#REF!</v>
      </c>
      <c r="AD130" s="279" t="e">
        <v>#REF!</v>
      </c>
    </row>
    <row r="131" spans="3:30" s="3" customFormat="1" x14ac:dyDescent="0.25">
      <c r="C131" s="148" t="s">
        <v>19</v>
      </c>
      <c r="D131" t="s">
        <v>394</v>
      </c>
      <c r="E131" t="s">
        <v>395</v>
      </c>
      <c r="F131" t="s">
        <v>396</v>
      </c>
      <c r="G131" t="s">
        <v>397</v>
      </c>
      <c r="H131" s="34" t="e">
        <f>H116-#REF!</f>
        <v>#REF!</v>
      </c>
      <c r="I131" s="34" t="e">
        <f>I116-#REF!</f>
        <v>#REF!</v>
      </c>
      <c r="J131" s="34" t="e">
        <f>J116-#REF!</f>
        <v>#REF!</v>
      </c>
      <c r="K131" s="34" t="e">
        <f>K116-#REF!</f>
        <v>#REF!</v>
      </c>
      <c r="L131" s="280" t="e">
        <f>L116-#REF!</f>
        <v>#REF!</v>
      </c>
      <c r="N131" s="148" t="s">
        <v>19</v>
      </c>
      <c r="O131" s="288">
        <f t="shared" ref="O131:O139" si="32">H116-O116</f>
        <v>0</v>
      </c>
      <c r="P131" s="34">
        <f t="shared" si="31"/>
        <v>5.1962086550000004</v>
      </c>
      <c r="Q131" s="34">
        <f t="shared" si="31"/>
        <v>3.2460628960000002</v>
      </c>
      <c r="R131" s="34">
        <f t="shared" si="31"/>
        <v>8.0419046599999996E-6</v>
      </c>
      <c r="S131" s="280">
        <f t="shared" si="31"/>
        <v>8.4422795929046615</v>
      </c>
      <c r="U131" s="148" t="s">
        <v>19</v>
      </c>
      <c r="V131" t="s">
        <v>394</v>
      </c>
      <c r="W131" t="s">
        <v>395</v>
      </c>
      <c r="X131" t="s">
        <v>396</v>
      </c>
      <c r="Y131" t="s">
        <v>397</v>
      </c>
      <c r="Z131" s="34" t="e">
        <v>#REF!</v>
      </c>
      <c r="AA131" s="34" t="e">
        <v>#REF!</v>
      </c>
      <c r="AB131" s="34" t="e">
        <v>#REF!</v>
      </c>
      <c r="AC131" s="34" t="e">
        <v>#REF!</v>
      </c>
      <c r="AD131" s="280" t="e">
        <v>#REF!</v>
      </c>
    </row>
    <row r="132" spans="3:30" s="3" customFormat="1" x14ac:dyDescent="0.25">
      <c r="C132" s="149" t="s">
        <v>20</v>
      </c>
      <c r="D132" t="s">
        <v>398</v>
      </c>
      <c r="E132" t="s">
        <v>399</v>
      </c>
      <c r="F132" t="s">
        <v>400</v>
      </c>
      <c r="G132" t="s">
        <v>401</v>
      </c>
      <c r="H132" s="34" t="e">
        <f>H117-#REF!</f>
        <v>#REF!</v>
      </c>
      <c r="I132" s="34" t="e">
        <f>I117-#REF!</f>
        <v>#REF!</v>
      </c>
      <c r="J132" s="34" t="e">
        <f>J117-#REF!</f>
        <v>#REF!</v>
      </c>
      <c r="K132" s="34" t="e">
        <f>K117-#REF!</f>
        <v>#REF!</v>
      </c>
      <c r="L132" s="280" t="e">
        <f>L117-#REF!</f>
        <v>#REF!</v>
      </c>
      <c r="N132" s="149" t="s">
        <v>20</v>
      </c>
      <c r="O132" s="288">
        <f t="shared" si="32"/>
        <v>0</v>
      </c>
      <c r="P132" s="34">
        <f t="shared" si="31"/>
        <v>9.2326211259999997</v>
      </c>
      <c r="Q132" s="34">
        <f t="shared" si="31"/>
        <v>7.6673724280000002</v>
      </c>
      <c r="R132" s="34">
        <f t="shared" si="31"/>
        <v>2.0358858390000001</v>
      </c>
      <c r="S132" s="280">
        <f t="shared" si="31"/>
        <v>18.935879392999997</v>
      </c>
      <c r="U132" s="149" t="s">
        <v>20</v>
      </c>
      <c r="V132" t="s">
        <v>398</v>
      </c>
      <c r="W132" t="s">
        <v>399</v>
      </c>
      <c r="X132" t="s">
        <v>400</v>
      </c>
      <c r="Y132" t="s">
        <v>401</v>
      </c>
      <c r="Z132" s="34" t="e">
        <v>#REF!</v>
      </c>
      <c r="AA132" s="34" t="e">
        <v>#REF!</v>
      </c>
      <c r="AB132" s="34" t="e">
        <v>#REF!</v>
      </c>
      <c r="AC132" s="34" t="e">
        <v>#REF!</v>
      </c>
      <c r="AD132" s="280" t="e">
        <v>#REF!</v>
      </c>
    </row>
    <row r="133" spans="3:30" s="3" customFormat="1" x14ac:dyDescent="0.25">
      <c r="C133" s="276" t="s">
        <v>21</v>
      </c>
      <c r="D133" s="277" t="s">
        <v>402</v>
      </c>
      <c r="E133" s="277" t="s">
        <v>403</v>
      </c>
      <c r="F133" s="277" t="s">
        <v>404</v>
      </c>
      <c r="G133" s="277" t="s">
        <v>405</v>
      </c>
      <c r="H133" s="278" t="e">
        <f>H118-#REF!</f>
        <v>#REF!</v>
      </c>
      <c r="I133" s="278" t="e">
        <f>I118-#REF!</f>
        <v>#REF!</v>
      </c>
      <c r="J133" s="278" t="e">
        <f>J118-#REF!</f>
        <v>#REF!</v>
      </c>
      <c r="K133" s="278" t="e">
        <f>K118-#REF!</f>
        <v>#REF!</v>
      </c>
      <c r="L133" s="279" t="e">
        <f>L118-#REF!</f>
        <v>#REF!</v>
      </c>
      <c r="N133" s="276" t="s">
        <v>21</v>
      </c>
      <c r="O133" s="289">
        <f t="shared" si="32"/>
        <v>0.12461403660000001</v>
      </c>
      <c r="P133" s="286">
        <f t="shared" si="31"/>
        <v>2.9811664850316517</v>
      </c>
      <c r="Q133" s="286">
        <f t="shared" si="31"/>
        <v>1.6306966290979297</v>
      </c>
      <c r="R133" s="286">
        <f t="shared" si="31"/>
        <v>-3.3389614381768151</v>
      </c>
      <c r="S133" s="287">
        <f t="shared" si="31"/>
        <v>1.3975157125527637</v>
      </c>
      <c r="U133" s="276" t="s">
        <v>21</v>
      </c>
      <c r="V133" s="277" t="s">
        <v>402</v>
      </c>
      <c r="W133" s="277" t="s">
        <v>403</v>
      </c>
      <c r="X133" s="277" t="s">
        <v>404</v>
      </c>
      <c r="Y133" s="277" t="s">
        <v>405</v>
      </c>
      <c r="Z133" s="278" t="e">
        <v>#REF!</v>
      </c>
      <c r="AA133" s="278" t="e">
        <v>#REF!</v>
      </c>
      <c r="AB133" s="278" t="e">
        <v>#REF!</v>
      </c>
      <c r="AC133" s="278" t="e">
        <v>#REF!</v>
      </c>
      <c r="AD133" s="279" t="e">
        <v>#REF!</v>
      </c>
    </row>
    <row r="134" spans="3:30" s="3" customFormat="1" x14ac:dyDescent="0.25">
      <c r="C134" s="276" t="s">
        <v>22</v>
      </c>
      <c r="D134" s="277" t="s">
        <v>406</v>
      </c>
      <c r="E134" s="277" t="s">
        <v>407</v>
      </c>
      <c r="F134" s="277" t="s">
        <v>408</v>
      </c>
      <c r="G134" s="277" t="s">
        <v>409</v>
      </c>
      <c r="H134" s="278" t="e">
        <f>H119-#REF!</f>
        <v>#REF!</v>
      </c>
      <c r="I134" s="278" t="e">
        <f>I119-#REF!</f>
        <v>#REF!</v>
      </c>
      <c r="J134" s="278" t="e">
        <f>J119-#REF!</f>
        <v>#REF!</v>
      </c>
      <c r="K134" s="278" t="e">
        <f>K119-#REF!</f>
        <v>#REF!</v>
      </c>
      <c r="L134" s="279" t="e">
        <f>L119-#REF!</f>
        <v>#REF!</v>
      </c>
      <c r="N134" s="276" t="s">
        <v>22</v>
      </c>
      <c r="O134" s="289">
        <f t="shared" si="32"/>
        <v>0</v>
      </c>
      <c r="P134" s="286">
        <f t="shared" si="31"/>
        <v>1.3476173613685354</v>
      </c>
      <c r="Q134" s="286">
        <f t="shared" si="31"/>
        <v>-1.0142791673725302</v>
      </c>
      <c r="R134" s="286">
        <f t="shared" si="31"/>
        <v>2.4082011145397937</v>
      </c>
      <c r="S134" s="287">
        <f t="shared" si="31"/>
        <v>2.7415393085357991</v>
      </c>
      <c r="U134" s="276" t="s">
        <v>22</v>
      </c>
      <c r="V134" s="277" t="s">
        <v>406</v>
      </c>
      <c r="W134" s="277" t="s">
        <v>407</v>
      </c>
      <c r="X134" s="277" t="s">
        <v>408</v>
      </c>
      <c r="Y134" s="277" t="s">
        <v>409</v>
      </c>
      <c r="Z134" s="278" t="e">
        <v>#REF!</v>
      </c>
      <c r="AA134" s="278" t="e">
        <v>#REF!</v>
      </c>
      <c r="AB134" s="278" t="e">
        <v>#REF!</v>
      </c>
      <c r="AC134" s="278" t="e">
        <v>#REF!</v>
      </c>
      <c r="AD134" s="279" t="e">
        <v>#REF!</v>
      </c>
    </row>
    <row r="135" spans="3:30" s="3" customFormat="1" x14ac:dyDescent="0.25">
      <c r="C135" s="276" t="s">
        <v>23</v>
      </c>
      <c r="D135" s="277"/>
      <c r="E135" s="277"/>
      <c r="F135" s="277"/>
      <c r="G135" s="277"/>
      <c r="H135" s="278" t="e">
        <f>H120-#REF!</f>
        <v>#REF!</v>
      </c>
      <c r="I135" s="278" t="e">
        <f>I120-#REF!</f>
        <v>#REF!</v>
      </c>
      <c r="J135" s="278" t="e">
        <f>J120-#REF!</f>
        <v>#REF!</v>
      </c>
      <c r="K135" s="278" t="e">
        <f>K120-#REF!</f>
        <v>#REF!</v>
      </c>
      <c r="L135" s="279" t="e">
        <f>L120-#REF!</f>
        <v>#REF!</v>
      </c>
      <c r="N135" s="276" t="s">
        <v>23</v>
      </c>
      <c r="O135" s="289">
        <f t="shared" si="32"/>
        <v>2.0544341498131766</v>
      </c>
      <c r="P135" s="286">
        <f t="shared" si="31"/>
        <v>4.5936923681105757</v>
      </c>
      <c r="Q135" s="286">
        <f t="shared" si="31"/>
        <v>2.5905290623393853</v>
      </c>
      <c r="R135" s="286">
        <f t="shared" si="31"/>
        <v>-6.8209382265045875</v>
      </c>
      <c r="S135" s="287">
        <f t="shared" si="31"/>
        <v>2.4177173537585546</v>
      </c>
      <c r="U135" s="276" t="s">
        <v>23</v>
      </c>
      <c r="V135" s="277"/>
      <c r="W135" s="277"/>
      <c r="X135" s="277"/>
      <c r="Y135" s="277"/>
      <c r="Z135" s="278" t="e">
        <v>#REF!</v>
      </c>
      <c r="AA135" s="278" t="e">
        <v>#REF!</v>
      </c>
      <c r="AB135" s="278" t="e">
        <v>#REF!</v>
      </c>
      <c r="AC135" s="278" t="e">
        <v>#REF!</v>
      </c>
      <c r="AD135" s="279" t="e">
        <v>#REF!</v>
      </c>
    </row>
    <row r="136" spans="3:30" s="3" customFormat="1" x14ac:dyDescent="0.25">
      <c r="C136" s="149" t="s">
        <v>24</v>
      </c>
      <c r="D136" t="s">
        <v>410</v>
      </c>
      <c r="E136" t="s">
        <v>411</v>
      </c>
      <c r="F136" t="s">
        <v>412</v>
      </c>
      <c r="G136" t="s">
        <v>413</v>
      </c>
      <c r="H136" s="34" t="e">
        <f>H121-#REF!</f>
        <v>#REF!</v>
      </c>
      <c r="I136" s="34" t="e">
        <f>I121-#REF!</f>
        <v>#REF!</v>
      </c>
      <c r="J136" s="34" t="e">
        <f>J121-#REF!</f>
        <v>#REF!</v>
      </c>
      <c r="K136" s="34" t="e">
        <f>K121-#REF!</f>
        <v>#REF!</v>
      </c>
      <c r="L136" s="280" t="e">
        <f>L121-#REF!</f>
        <v>#REF!</v>
      </c>
      <c r="N136" s="149" t="s">
        <v>24</v>
      </c>
      <c r="O136" s="288">
        <f t="shared" si="32"/>
        <v>1.1185662190131767</v>
      </c>
      <c r="P136" s="271">
        <f t="shared" si="31"/>
        <v>6.6016593119337008</v>
      </c>
      <c r="Q136" s="271">
        <f t="shared" si="31"/>
        <v>2.120594728139384</v>
      </c>
      <c r="R136" s="271">
        <f t="shared" si="31"/>
        <v>-3.053637024700123</v>
      </c>
      <c r="S136" s="280">
        <f t="shared" si="31"/>
        <v>6.7871832343861378</v>
      </c>
      <c r="U136" s="149" t="s">
        <v>24</v>
      </c>
      <c r="V136" t="s">
        <v>410</v>
      </c>
      <c r="W136" t="s">
        <v>411</v>
      </c>
      <c r="X136" t="s">
        <v>412</v>
      </c>
      <c r="Y136" t="s">
        <v>413</v>
      </c>
      <c r="Z136" s="34" t="e">
        <v>#REF!</v>
      </c>
      <c r="AA136" s="34" t="e">
        <v>#REF!</v>
      </c>
      <c r="AB136" s="34" t="e">
        <v>#REF!</v>
      </c>
      <c r="AC136" s="34" t="e">
        <v>#REF!</v>
      </c>
      <c r="AD136" s="280" t="e">
        <v>#REF!</v>
      </c>
    </row>
    <row r="137" spans="3:30" s="3" customFormat="1" x14ac:dyDescent="0.25">
      <c r="C137" s="149" t="s">
        <v>47</v>
      </c>
      <c r="D137" t="s">
        <v>414</v>
      </c>
      <c r="E137" t="s">
        <v>415</v>
      </c>
      <c r="F137" t="s">
        <v>416</v>
      </c>
      <c r="G137" t="s">
        <v>417</v>
      </c>
      <c r="H137" s="34" t="e">
        <f>H122-#REF!</f>
        <v>#REF!</v>
      </c>
      <c r="I137" s="34" t="e">
        <f>I122-#REF!</f>
        <v>#REF!</v>
      </c>
      <c r="J137" s="34" t="e">
        <f>J122-#REF!</f>
        <v>#REF!</v>
      </c>
      <c r="K137" s="34" t="e">
        <f>K122-#REF!</f>
        <v>#REF!</v>
      </c>
      <c r="L137" s="280" t="e">
        <f>L122-#REF!</f>
        <v>#REF!</v>
      </c>
      <c r="N137" s="149" t="s">
        <v>47</v>
      </c>
      <c r="O137" s="290">
        <f t="shared" si="32"/>
        <v>0.93586793079999997</v>
      </c>
      <c r="P137" s="34">
        <f t="shared" si="31"/>
        <v>-5.7161685068231236</v>
      </c>
      <c r="Q137" s="34">
        <f t="shared" si="31"/>
        <v>0</v>
      </c>
      <c r="R137" s="34">
        <f t="shared" si="31"/>
        <v>-4.3557797754044634</v>
      </c>
      <c r="S137" s="280">
        <f t="shared" si="31"/>
        <v>-9.1360803514275872</v>
      </c>
      <c r="U137" s="149" t="s">
        <v>47</v>
      </c>
      <c r="V137" t="s">
        <v>414</v>
      </c>
      <c r="W137" t="s">
        <v>415</v>
      </c>
      <c r="X137" t="s">
        <v>416</v>
      </c>
      <c r="Y137" t="s">
        <v>417</v>
      </c>
      <c r="Z137" s="34" t="e">
        <v>#REF!</v>
      </c>
      <c r="AA137" s="34" t="e">
        <v>#REF!</v>
      </c>
      <c r="AB137" s="34" t="e">
        <v>#REF!</v>
      </c>
      <c r="AC137" s="34" t="e">
        <v>#REF!</v>
      </c>
      <c r="AD137" s="280" t="e">
        <v>#REF!</v>
      </c>
    </row>
    <row r="138" spans="3:30" s="3" customFormat="1" x14ac:dyDescent="0.25">
      <c r="C138" s="149" t="s">
        <v>25</v>
      </c>
      <c r="D138" t="s">
        <v>418</v>
      </c>
      <c r="E138" t="s">
        <v>419</v>
      </c>
      <c r="F138" t="s">
        <v>420</v>
      </c>
      <c r="G138" t="s">
        <v>421</v>
      </c>
      <c r="H138" s="34" t="e">
        <f>H123-#REF!</f>
        <v>#REF!</v>
      </c>
      <c r="I138" s="34" t="e">
        <f>I123-#REF!</f>
        <v>#REF!</v>
      </c>
      <c r="J138" s="34" t="e">
        <f>J123-#REF!</f>
        <v>#REF!</v>
      </c>
      <c r="K138" s="34" t="e">
        <f>K123-#REF!</f>
        <v>#REF!</v>
      </c>
      <c r="L138" s="280" t="e">
        <f>L123-#REF!</f>
        <v>#REF!</v>
      </c>
      <c r="N138" s="149" t="s">
        <v>25</v>
      </c>
      <c r="O138" s="288">
        <f t="shared" si="32"/>
        <v>0</v>
      </c>
      <c r="P138" s="271">
        <f t="shared" si="31"/>
        <v>2.087660995852973</v>
      </c>
      <c r="Q138" s="271">
        <f t="shared" si="31"/>
        <v>-0.1259700039360066</v>
      </c>
      <c r="R138" s="271">
        <f t="shared" si="31"/>
        <v>-0.23744448093866399</v>
      </c>
      <c r="S138" s="280">
        <f t="shared" si="31"/>
        <v>1.7242465109783023</v>
      </c>
      <c r="U138" s="149" t="s">
        <v>25</v>
      </c>
      <c r="V138" t="s">
        <v>418</v>
      </c>
      <c r="W138" t="s">
        <v>419</v>
      </c>
      <c r="X138" t="s">
        <v>420</v>
      </c>
      <c r="Y138" t="s">
        <v>421</v>
      </c>
      <c r="Z138" s="34" t="e">
        <v>#REF!</v>
      </c>
      <c r="AA138" s="34" t="e">
        <v>#REF!</v>
      </c>
      <c r="AB138" s="34" t="e">
        <v>#REF!</v>
      </c>
      <c r="AC138" s="34" t="e">
        <v>#REF!</v>
      </c>
      <c r="AD138" s="280" t="e">
        <v>#REF!</v>
      </c>
    </row>
    <row r="139" spans="3:30" s="3" customFormat="1" x14ac:dyDescent="0.25">
      <c r="C139" s="281" t="s">
        <v>26</v>
      </c>
      <c r="D139" s="282"/>
      <c r="E139" s="282"/>
      <c r="F139" s="282"/>
      <c r="G139" s="282"/>
      <c r="H139" s="283" t="e">
        <f>H124-#REF!</f>
        <v>#REF!</v>
      </c>
      <c r="I139" s="283" t="e">
        <f>I124-#REF!</f>
        <v>#REF!</v>
      </c>
      <c r="J139" s="283" t="e">
        <f>J124-#REF!</f>
        <v>#REF!</v>
      </c>
      <c r="K139" s="283" t="e">
        <f>K124-#REF!</f>
        <v>#REF!</v>
      </c>
      <c r="L139" s="284" t="e">
        <f>L124-#REF!</f>
        <v>#REF!</v>
      </c>
      <c r="N139" s="281" t="s">
        <v>26</v>
      </c>
      <c r="O139" s="291">
        <f t="shared" si="32"/>
        <v>2.1790481864131768</v>
      </c>
      <c r="P139" s="292">
        <f t="shared" si="31"/>
        <v>19.438111770216608</v>
      </c>
      <c r="Q139" s="292">
        <f t="shared" si="31"/>
        <v>3.3865058031235975</v>
      </c>
      <c r="R139" s="292">
        <f t="shared" si="31"/>
        <v>-7.8154556929679586</v>
      </c>
      <c r="S139" s="293">
        <f t="shared" si="31"/>
        <v>17.18821006678543</v>
      </c>
      <c r="U139" s="281" t="s">
        <v>26</v>
      </c>
      <c r="V139" s="282"/>
      <c r="W139" s="282"/>
      <c r="X139" s="282"/>
      <c r="Y139" s="282"/>
      <c r="Z139" s="283" t="e">
        <v>#REF!</v>
      </c>
      <c r="AA139" s="283" t="e">
        <v>#REF!</v>
      </c>
      <c r="AB139" s="283" t="e">
        <v>#REF!</v>
      </c>
      <c r="AC139" s="283" t="e">
        <v>#REF!</v>
      </c>
      <c r="AD139" s="284" t="e">
        <v>#REF!</v>
      </c>
    </row>
    <row r="140" spans="3:30" s="3" customFormat="1" x14ac:dyDescent="0.25"/>
    <row r="141" spans="3:30" s="3" customFormat="1" x14ac:dyDescent="0.25"/>
    <row r="142" spans="3:30" s="3" customFormat="1" x14ac:dyDescent="0.25"/>
    <row r="143" spans="3:30" s="3" customFormat="1" x14ac:dyDescent="0.25"/>
    <row r="144" spans="3:30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pans="3:21" s="3" customFormat="1" x14ac:dyDescent="0.25"/>
    <row r="194" spans="3:21" s="3" customFormat="1" x14ac:dyDescent="0.25"/>
    <row r="195" spans="3:21" s="3" customFormat="1" x14ac:dyDescent="0.25"/>
    <row r="196" spans="3:21" s="3" customFormat="1" x14ac:dyDescent="0.25"/>
    <row r="197" spans="3:21" s="3" customFormat="1" x14ac:dyDescent="0.25"/>
    <row r="198" spans="3:21" s="3" customFormat="1" x14ac:dyDescent="0.25"/>
    <row r="199" spans="3:21" s="3" customFormat="1" x14ac:dyDescent="0.25"/>
    <row r="200" spans="3:21" s="3" customFormat="1" x14ac:dyDescent="0.25"/>
    <row r="201" spans="3:21" s="3" customFormat="1" x14ac:dyDescent="0.25"/>
    <row r="202" spans="3:21" s="3" customFormat="1" x14ac:dyDescent="0.25"/>
    <row r="203" spans="3:21" s="3" customFormat="1" x14ac:dyDescent="0.25"/>
    <row r="204" spans="3:21" s="3" customFormat="1" x14ac:dyDescent="0.25">
      <c r="C204" s="3">
        <f>0</f>
        <v>0</v>
      </c>
      <c r="U204" s="3">
        <v>0</v>
      </c>
    </row>
    <row r="205" spans="3:21" s="3" customFormat="1" x14ac:dyDescent="0.25"/>
    <row r="206" spans="3:21" s="3" customFormat="1" x14ac:dyDescent="0.25"/>
    <row r="207" spans="3:21" s="3" customFormat="1" x14ac:dyDescent="0.25"/>
    <row r="208" spans="3:21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  <row r="372" s="3" customFormat="1" x14ac:dyDescent="0.25"/>
    <row r="373" s="3" customFormat="1" x14ac:dyDescent="0.25"/>
    <row r="374" s="3" customFormat="1" x14ac:dyDescent="0.25"/>
    <row r="375" s="3" customFormat="1" x14ac:dyDescent="0.25"/>
    <row r="376" s="3" customFormat="1" x14ac:dyDescent="0.25"/>
    <row r="377" s="3" customFormat="1" x14ac:dyDescent="0.25"/>
    <row r="378" s="3" customFormat="1" x14ac:dyDescent="0.25"/>
    <row r="379" s="3" customFormat="1" x14ac:dyDescent="0.25"/>
    <row r="380" s="3" customFormat="1" x14ac:dyDescent="0.25"/>
    <row r="381" s="3" customFormat="1" x14ac:dyDescent="0.25"/>
    <row r="382" s="3" customFormat="1" x14ac:dyDescent="0.25"/>
    <row r="383" s="3" customFormat="1" x14ac:dyDescent="0.25"/>
    <row r="384" s="3" customFormat="1" x14ac:dyDescent="0.25"/>
    <row r="385" s="3" customFormat="1" x14ac:dyDescent="0.25"/>
    <row r="386" s="3" customFormat="1" x14ac:dyDescent="0.25"/>
    <row r="387" s="3" customFormat="1" x14ac:dyDescent="0.25"/>
    <row r="388" s="3" customFormat="1" x14ac:dyDescent="0.25"/>
    <row r="389" s="3" customFormat="1" x14ac:dyDescent="0.25"/>
    <row r="390" s="3" customFormat="1" x14ac:dyDescent="0.25"/>
    <row r="391" s="3" customFormat="1" x14ac:dyDescent="0.25"/>
    <row r="392" s="3" customFormat="1" x14ac:dyDescent="0.25"/>
    <row r="393" s="3" customFormat="1" x14ac:dyDescent="0.25"/>
    <row r="394" s="3" customFormat="1" x14ac:dyDescent="0.25"/>
    <row r="395" s="3" customFormat="1" x14ac:dyDescent="0.25"/>
    <row r="396" s="3" customFormat="1" x14ac:dyDescent="0.25"/>
    <row r="397" s="3" customFormat="1" x14ac:dyDescent="0.25"/>
    <row r="398" s="3" customFormat="1" x14ac:dyDescent="0.25"/>
    <row r="399" s="3" customFormat="1" x14ac:dyDescent="0.25"/>
    <row r="400" s="3" customFormat="1" x14ac:dyDescent="0.25"/>
    <row r="401" s="3" customFormat="1" x14ac:dyDescent="0.25"/>
    <row r="402" s="3" customFormat="1" x14ac:dyDescent="0.25"/>
    <row r="403" s="3" customFormat="1" x14ac:dyDescent="0.25"/>
    <row r="404" s="3" customFormat="1" x14ac:dyDescent="0.25"/>
    <row r="405" s="3" customFormat="1" x14ac:dyDescent="0.25"/>
    <row r="406" s="3" customFormat="1" x14ac:dyDescent="0.25"/>
    <row r="407" s="3" customFormat="1" x14ac:dyDescent="0.25"/>
    <row r="408" s="3" customFormat="1" x14ac:dyDescent="0.25"/>
    <row r="409" s="3" customFormat="1" x14ac:dyDescent="0.25"/>
    <row r="410" s="3" customFormat="1" x14ac:dyDescent="0.25"/>
    <row r="411" s="3" customFormat="1" x14ac:dyDescent="0.25"/>
    <row r="412" s="3" customFormat="1" x14ac:dyDescent="0.25"/>
    <row r="413" s="3" customFormat="1" x14ac:dyDescent="0.25"/>
    <row r="414" s="3" customFormat="1" x14ac:dyDescent="0.25"/>
    <row r="415" s="3" customFormat="1" x14ac:dyDescent="0.25"/>
    <row r="416" s="3" customFormat="1" x14ac:dyDescent="0.25"/>
    <row r="417" s="3" customFormat="1" x14ac:dyDescent="0.25"/>
    <row r="418" s="3" customFormat="1" x14ac:dyDescent="0.25"/>
    <row r="419" s="3" customFormat="1" x14ac:dyDescent="0.25"/>
    <row r="420" s="3" customFormat="1" x14ac:dyDescent="0.25"/>
    <row r="421" s="3" customFormat="1" x14ac:dyDescent="0.25"/>
    <row r="422" s="3" customFormat="1" x14ac:dyDescent="0.25"/>
    <row r="423" s="3" customFormat="1" x14ac:dyDescent="0.25"/>
    <row r="424" s="3" customFormat="1" x14ac:dyDescent="0.25"/>
    <row r="425" s="3" customFormat="1" x14ac:dyDescent="0.25"/>
    <row r="426" s="3" customFormat="1" x14ac:dyDescent="0.25"/>
    <row r="427" s="3" customFormat="1" x14ac:dyDescent="0.25"/>
    <row r="428" s="3" customFormat="1" x14ac:dyDescent="0.25"/>
    <row r="429" s="3" customFormat="1" x14ac:dyDescent="0.25"/>
    <row r="430" s="3" customFormat="1" x14ac:dyDescent="0.25"/>
    <row r="431" s="3" customFormat="1" x14ac:dyDescent="0.25"/>
    <row r="432" s="3" customFormat="1" x14ac:dyDescent="0.25"/>
    <row r="433" s="3" customFormat="1" x14ac:dyDescent="0.25"/>
    <row r="434" s="3" customFormat="1" x14ac:dyDescent="0.25"/>
    <row r="435" s="3" customFormat="1" x14ac:dyDescent="0.25"/>
    <row r="436" s="3" customFormat="1" x14ac:dyDescent="0.25"/>
    <row r="437" s="3" customFormat="1" x14ac:dyDescent="0.25"/>
    <row r="438" s="3" customFormat="1" x14ac:dyDescent="0.25"/>
    <row r="439" s="3" customFormat="1" x14ac:dyDescent="0.25"/>
    <row r="440" s="3" customFormat="1" x14ac:dyDescent="0.25"/>
    <row r="441" s="3" customFormat="1" x14ac:dyDescent="0.25"/>
    <row r="442" s="3" customFormat="1" x14ac:dyDescent="0.25"/>
    <row r="443" s="3" customFormat="1" x14ac:dyDescent="0.25"/>
    <row r="444" s="3" customFormat="1" x14ac:dyDescent="0.25"/>
    <row r="445" s="3" customFormat="1" x14ac:dyDescent="0.25"/>
    <row r="446" s="3" customFormat="1" x14ac:dyDescent="0.25"/>
    <row r="447" s="3" customFormat="1" x14ac:dyDescent="0.25"/>
    <row r="448" s="3" customFormat="1" x14ac:dyDescent="0.25"/>
    <row r="449" s="3" customFormat="1" x14ac:dyDescent="0.25"/>
    <row r="450" s="3" customFormat="1" x14ac:dyDescent="0.25"/>
    <row r="451" s="3" customFormat="1" x14ac:dyDescent="0.25"/>
    <row r="452" s="3" customFormat="1" x14ac:dyDescent="0.25"/>
    <row r="453" s="3" customFormat="1" x14ac:dyDescent="0.25"/>
    <row r="454" s="3" customFormat="1" x14ac:dyDescent="0.25"/>
    <row r="455" s="3" customFormat="1" x14ac:dyDescent="0.25"/>
    <row r="456" s="3" customFormat="1" x14ac:dyDescent="0.25"/>
    <row r="457" s="3" customFormat="1" x14ac:dyDescent="0.25"/>
    <row r="458" s="3" customFormat="1" x14ac:dyDescent="0.25"/>
    <row r="459" s="3" customFormat="1" x14ac:dyDescent="0.25"/>
    <row r="460" s="3" customFormat="1" x14ac:dyDescent="0.25"/>
    <row r="461" s="3" customFormat="1" x14ac:dyDescent="0.25"/>
    <row r="462" s="3" customFormat="1" x14ac:dyDescent="0.25"/>
    <row r="463" s="3" customFormat="1" x14ac:dyDescent="0.25"/>
    <row r="464" s="3" customFormat="1" x14ac:dyDescent="0.25"/>
    <row r="465" s="3" customFormat="1" x14ac:dyDescent="0.25"/>
    <row r="466" s="3" customFormat="1" x14ac:dyDescent="0.25"/>
    <row r="467" s="3" customFormat="1" x14ac:dyDescent="0.25"/>
    <row r="468" s="3" customFormat="1" x14ac:dyDescent="0.25"/>
    <row r="469" s="3" customFormat="1" x14ac:dyDescent="0.25"/>
    <row r="470" s="3" customFormat="1" x14ac:dyDescent="0.25"/>
    <row r="471" s="3" customFormat="1" x14ac:dyDescent="0.25"/>
    <row r="472" s="3" customFormat="1" x14ac:dyDescent="0.25"/>
    <row r="473" s="3" customFormat="1" x14ac:dyDescent="0.25"/>
    <row r="474" s="3" customFormat="1" x14ac:dyDescent="0.25"/>
    <row r="475" s="3" customFormat="1" x14ac:dyDescent="0.25"/>
    <row r="476" s="3" customFormat="1" x14ac:dyDescent="0.25"/>
    <row r="477" s="3" customFormat="1" x14ac:dyDescent="0.25"/>
    <row r="478" s="3" customFormat="1" x14ac:dyDescent="0.25"/>
    <row r="479" s="3" customFormat="1" x14ac:dyDescent="0.25"/>
    <row r="480" s="3" customFormat="1" x14ac:dyDescent="0.25"/>
    <row r="481" s="3" customFormat="1" x14ac:dyDescent="0.25"/>
    <row r="482" s="3" customFormat="1" x14ac:dyDescent="0.25"/>
    <row r="483" s="3" customFormat="1" x14ac:dyDescent="0.25"/>
    <row r="484" s="3" customFormat="1" x14ac:dyDescent="0.25"/>
    <row r="485" s="3" customFormat="1" x14ac:dyDescent="0.25"/>
    <row r="486" s="3" customFormat="1" x14ac:dyDescent="0.25"/>
    <row r="487" s="3" customFormat="1" x14ac:dyDescent="0.25"/>
    <row r="488" s="3" customFormat="1" x14ac:dyDescent="0.25"/>
    <row r="489" s="3" customFormat="1" x14ac:dyDescent="0.25"/>
    <row r="490" s="3" customFormat="1" x14ac:dyDescent="0.25"/>
    <row r="491" s="3" customFormat="1" x14ac:dyDescent="0.25"/>
    <row r="492" s="3" customFormat="1" x14ac:dyDescent="0.25"/>
    <row r="493" s="3" customFormat="1" x14ac:dyDescent="0.25"/>
    <row r="494" s="3" customFormat="1" x14ac:dyDescent="0.25"/>
    <row r="495" s="3" customFormat="1" x14ac:dyDescent="0.25"/>
    <row r="496" s="3" customFormat="1" x14ac:dyDescent="0.25"/>
    <row r="497" s="3" customFormat="1" x14ac:dyDescent="0.25"/>
    <row r="498" s="3" customFormat="1" x14ac:dyDescent="0.25"/>
    <row r="499" s="3" customFormat="1" x14ac:dyDescent="0.25"/>
    <row r="500" s="3" customFormat="1" x14ac:dyDescent="0.25"/>
    <row r="501" s="3" customFormat="1" x14ac:dyDescent="0.25"/>
    <row r="502" s="3" customFormat="1" x14ac:dyDescent="0.25"/>
    <row r="503" s="3" customFormat="1" x14ac:dyDescent="0.25"/>
    <row r="504" s="3" customFormat="1" x14ac:dyDescent="0.25"/>
    <row r="505" s="3" customFormat="1" x14ac:dyDescent="0.25"/>
    <row r="506" s="3" customFormat="1" x14ac:dyDescent="0.25"/>
    <row r="507" s="3" customFormat="1" x14ac:dyDescent="0.25"/>
    <row r="508" s="3" customFormat="1" x14ac:dyDescent="0.25"/>
    <row r="509" s="3" customFormat="1" x14ac:dyDescent="0.25"/>
    <row r="510" s="3" customFormat="1" x14ac:dyDescent="0.25"/>
    <row r="511" s="3" customFormat="1" x14ac:dyDescent="0.25"/>
    <row r="512" s="3" customFormat="1" x14ac:dyDescent="0.25"/>
    <row r="513" s="3" customFormat="1" x14ac:dyDescent="0.25"/>
    <row r="514" s="3" customFormat="1" x14ac:dyDescent="0.25"/>
    <row r="515" s="3" customFormat="1" x14ac:dyDescent="0.25"/>
    <row r="516" s="3" customFormat="1" x14ac:dyDescent="0.25"/>
    <row r="517" s="3" customFormat="1" x14ac:dyDescent="0.25"/>
    <row r="518" s="3" customFormat="1" x14ac:dyDescent="0.25"/>
    <row r="519" s="3" customFormat="1" x14ac:dyDescent="0.25"/>
    <row r="520" s="3" customFormat="1" x14ac:dyDescent="0.25"/>
    <row r="521" s="3" customFormat="1" x14ac:dyDescent="0.25"/>
    <row r="522" s="3" customFormat="1" x14ac:dyDescent="0.25"/>
    <row r="523" s="3" customFormat="1" x14ac:dyDescent="0.25"/>
    <row r="524" s="3" customFormat="1" x14ac:dyDescent="0.25"/>
    <row r="525" s="3" customFormat="1" x14ac:dyDescent="0.25"/>
    <row r="526" s="3" customFormat="1" x14ac:dyDescent="0.25"/>
    <row r="527" s="3" customFormat="1" x14ac:dyDescent="0.25"/>
    <row r="528" s="3" customFormat="1" x14ac:dyDescent="0.25"/>
    <row r="529" s="3" customFormat="1" x14ac:dyDescent="0.25"/>
    <row r="530" s="3" customFormat="1" x14ac:dyDescent="0.25"/>
    <row r="531" s="3" customFormat="1" x14ac:dyDescent="0.25"/>
    <row r="532" s="3" customFormat="1" x14ac:dyDescent="0.25"/>
    <row r="533" s="3" customFormat="1" x14ac:dyDescent="0.25"/>
    <row r="534" s="3" customFormat="1" x14ac:dyDescent="0.25"/>
    <row r="535" s="3" customFormat="1" x14ac:dyDescent="0.25"/>
    <row r="536" s="3" customFormat="1" x14ac:dyDescent="0.25"/>
    <row r="537" s="3" customFormat="1" x14ac:dyDescent="0.25"/>
    <row r="538" s="3" customFormat="1" x14ac:dyDescent="0.25"/>
    <row r="539" s="3" customFormat="1" x14ac:dyDescent="0.25"/>
    <row r="540" s="3" customFormat="1" x14ac:dyDescent="0.25"/>
    <row r="541" s="3" customFormat="1" x14ac:dyDescent="0.25"/>
    <row r="542" s="3" customFormat="1" x14ac:dyDescent="0.25"/>
    <row r="543" s="3" customFormat="1" x14ac:dyDescent="0.25"/>
    <row r="544" s="3" customFormat="1" x14ac:dyDescent="0.25"/>
    <row r="545" s="3" customFormat="1" x14ac:dyDescent="0.25"/>
    <row r="546" s="3" customFormat="1" x14ac:dyDescent="0.25"/>
    <row r="547" s="3" customFormat="1" x14ac:dyDescent="0.25"/>
    <row r="548" s="3" customFormat="1" x14ac:dyDescent="0.25"/>
    <row r="549" s="3" customFormat="1" x14ac:dyDescent="0.25"/>
    <row r="550" s="3" customFormat="1" x14ac:dyDescent="0.25"/>
    <row r="551" s="3" customFormat="1" x14ac:dyDescent="0.25"/>
    <row r="552" s="3" customFormat="1" x14ac:dyDescent="0.25"/>
    <row r="553" s="3" customFormat="1" x14ac:dyDescent="0.25"/>
    <row r="554" s="3" customFormat="1" x14ac:dyDescent="0.25"/>
    <row r="555" s="3" customFormat="1" x14ac:dyDescent="0.25"/>
    <row r="556" s="3" customFormat="1" x14ac:dyDescent="0.25"/>
    <row r="557" s="3" customFormat="1" x14ac:dyDescent="0.25"/>
    <row r="558" s="3" customFormat="1" x14ac:dyDescent="0.25"/>
    <row r="559" s="3" customFormat="1" x14ac:dyDescent="0.25"/>
    <row r="560" s="3" customFormat="1" x14ac:dyDescent="0.25"/>
    <row r="561" s="3" customFormat="1" x14ac:dyDescent="0.25"/>
    <row r="562" s="3" customFormat="1" x14ac:dyDescent="0.25"/>
    <row r="563" s="3" customFormat="1" x14ac:dyDescent="0.25"/>
    <row r="564" s="3" customFormat="1" x14ac:dyDescent="0.25"/>
    <row r="565" s="3" customFormat="1" x14ac:dyDescent="0.25"/>
    <row r="566" s="3" customFormat="1" x14ac:dyDescent="0.25"/>
    <row r="567" s="3" customFormat="1" x14ac:dyDescent="0.25"/>
    <row r="568" s="3" customFormat="1" x14ac:dyDescent="0.25"/>
    <row r="569" s="3" customFormat="1" x14ac:dyDescent="0.25"/>
    <row r="570" s="3" customFormat="1" x14ac:dyDescent="0.25"/>
    <row r="571" s="3" customFormat="1" x14ac:dyDescent="0.25"/>
    <row r="572" s="3" customFormat="1" x14ac:dyDescent="0.25"/>
    <row r="573" s="3" customFormat="1" x14ac:dyDescent="0.25"/>
    <row r="574" s="3" customFormat="1" x14ac:dyDescent="0.25"/>
    <row r="575" s="3" customFormat="1" x14ac:dyDescent="0.25"/>
    <row r="576" s="3" customFormat="1" x14ac:dyDescent="0.25"/>
    <row r="577" s="3" customFormat="1" x14ac:dyDescent="0.25"/>
    <row r="578" s="3" customFormat="1" x14ac:dyDescent="0.25"/>
    <row r="579" s="3" customFormat="1" x14ac:dyDescent="0.25"/>
    <row r="580" s="3" customFormat="1" x14ac:dyDescent="0.25"/>
    <row r="581" s="3" customFormat="1" x14ac:dyDescent="0.25"/>
    <row r="582" s="3" customFormat="1" x14ac:dyDescent="0.25"/>
    <row r="583" s="3" customFormat="1" x14ac:dyDescent="0.25"/>
    <row r="584" s="3" customFormat="1" x14ac:dyDescent="0.25"/>
    <row r="585" s="3" customFormat="1" x14ac:dyDescent="0.25"/>
    <row r="586" s="3" customFormat="1" x14ac:dyDescent="0.25"/>
    <row r="587" s="3" customFormat="1" x14ac:dyDescent="0.25"/>
    <row r="588" s="3" customFormat="1" x14ac:dyDescent="0.25"/>
    <row r="589" s="3" customFormat="1" x14ac:dyDescent="0.25"/>
    <row r="590" s="3" customFormat="1" x14ac:dyDescent="0.25"/>
    <row r="591" s="3" customFormat="1" x14ac:dyDescent="0.25"/>
    <row r="592" s="3" customFormat="1" x14ac:dyDescent="0.25"/>
    <row r="593" s="3" customFormat="1" x14ac:dyDescent="0.25"/>
    <row r="594" s="3" customFormat="1" x14ac:dyDescent="0.25"/>
    <row r="595" s="3" customFormat="1" x14ac:dyDescent="0.25"/>
    <row r="596" s="3" customFormat="1" x14ac:dyDescent="0.25"/>
    <row r="597" s="3" customFormat="1" x14ac:dyDescent="0.25"/>
    <row r="598" s="3" customFormat="1" x14ac:dyDescent="0.25"/>
    <row r="599" s="3" customFormat="1" x14ac:dyDescent="0.25"/>
    <row r="600" s="3" customFormat="1" x14ac:dyDescent="0.25"/>
    <row r="601" s="3" customFormat="1" x14ac:dyDescent="0.25"/>
    <row r="602" s="3" customFormat="1" x14ac:dyDescent="0.25"/>
    <row r="603" s="3" customFormat="1" x14ac:dyDescent="0.25"/>
    <row r="604" s="3" customFormat="1" x14ac:dyDescent="0.25"/>
    <row r="605" s="3" customFormat="1" x14ac:dyDescent="0.25"/>
    <row r="606" s="3" customFormat="1" x14ac:dyDescent="0.25"/>
    <row r="607" s="3" customFormat="1" x14ac:dyDescent="0.25"/>
    <row r="608" s="3" customFormat="1" x14ac:dyDescent="0.25"/>
    <row r="609" s="3" customFormat="1" x14ac:dyDescent="0.25"/>
    <row r="610" s="3" customFormat="1" x14ac:dyDescent="0.25"/>
    <row r="611" s="3" customFormat="1" x14ac:dyDescent="0.25"/>
    <row r="612" s="3" customFormat="1" x14ac:dyDescent="0.25"/>
    <row r="613" s="3" customFormat="1" x14ac:dyDescent="0.25"/>
    <row r="614" s="3" customFormat="1" x14ac:dyDescent="0.25"/>
    <row r="615" s="3" customFormat="1" x14ac:dyDescent="0.25"/>
    <row r="616" s="3" customFormat="1" x14ac:dyDescent="0.25"/>
    <row r="617" s="3" customFormat="1" x14ac:dyDescent="0.25"/>
    <row r="618" s="3" customFormat="1" x14ac:dyDescent="0.25"/>
    <row r="619" s="3" customFormat="1" x14ac:dyDescent="0.25"/>
    <row r="620" s="3" customFormat="1" x14ac:dyDescent="0.25"/>
    <row r="621" s="3" customFormat="1" x14ac:dyDescent="0.25"/>
    <row r="622" s="3" customFormat="1" x14ac:dyDescent="0.25"/>
    <row r="623" s="3" customFormat="1" x14ac:dyDescent="0.25"/>
    <row r="624" s="3" customFormat="1" x14ac:dyDescent="0.25"/>
    <row r="625" s="3" customFormat="1" x14ac:dyDescent="0.25"/>
    <row r="626" s="3" customFormat="1" x14ac:dyDescent="0.25"/>
    <row r="627" s="3" customFormat="1" x14ac:dyDescent="0.25"/>
    <row r="628" s="3" customFormat="1" x14ac:dyDescent="0.25"/>
    <row r="629" s="3" customFormat="1" x14ac:dyDescent="0.25"/>
    <row r="630" s="3" customFormat="1" x14ac:dyDescent="0.25"/>
    <row r="631" s="3" customFormat="1" x14ac:dyDescent="0.25"/>
    <row r="632" s="3" customFormat="1" x14ac:dyDescent="0.25"/>
    <row r="633" s="3" customFormat="1" x14ac:dyDescent="0.25"/>
    <row r="634" s="3" customFormat="1" x14ac:dyDescent="0.25"/>
    <row r="635" s="3" customFormat="1" x14ac:dyDescent="0.25"/>
    <row r="636" s="3" customFormat="1" x14ac:dyDescent="0.25"/>
    <row r="637" s="3" customFormat="1" x14ac:dyDescent="0.25"/>
    <row r="638" s="3" customFormat="1" x14ac:dyDescent="0.25"/>
    <row r="639" s="3" customFormat="1" x14ac:dyDescent="0.25"/>
    <row r="640" s="3" customFormat="1" x14ac:dyDescent="0.25"/>
    <row r="641" s="3" customFormat="1" x14ac:dyDescent="0.25"/>
    <row r="642" s="3" customFormat="1" x14ac:dyDescent="0.25"/>
    <row r="643" s="3" customFormat="1" x14ac:dyDescent="0.25"/>
    <row r="644" s="3" customFormat="1" x14ac:dyDescent="0.25"/>
    <row r="645" s="3" customFormat="1" x14ac:dyDescent="0.25"/>
    <row r="646" s="3" customFormat="1" x14ac:dyDescent="0.25"/>
    <row r="647" s="3" customFormat="1" x14ac:dyDescent="0.25"/>
    <row r="648" s="3" customFormat="1" x14ac:dyDescent="0.25"/>
    <row r="649" s="3" customFormat="1" x14ac:dyDescent="0.25"/>
    <row r="650" s="3" customFormat="1" x14ac:dyDescent="0.25"/>
    <row r="651" s="3" customFormat="1" x14ac:dyDescent="0.25"/>
    <row r="652" s="3" customFormat="1" x14ac:dyDescent="0.25"/>
    <row r="653" s="3" customFormat="1" x14ac:dyDescent="0.25"/>
    <row r="654" s="3" customFormat="1" x14ac:dyDescent="0.25"/>
    <row r="655" s="3" customFormat="1" x14ac:dyDescent="0.25"/>
    <row r="656" s="3" customFormat="1" x14ac:dyDescent="0.25"/>
    <row r="657" s="3" customFormat="1" x14ac:dyDescent="0.25"/>
    <row r="658" s="3" customFormat="1" x14ac:dyDescent="0.25"/>
    <row r="659" s="3" customFormat="1" x14ac:dyDescent="0.25"/>
    <row r="660" s="3" customFormat="1" x14ac:dyDescent="0.25"/>
    <row r="661" s="3" customFormat="1" x14ac:dyDescent="0.25"/>
    <row r="662" s="3" customFormat="1" x14ac:dyDescent="0.25"/>
    <row r="663" s="3" customFormat="1" x14ac:dyDescent="0.25"/>
    <row r="664" s="3" customFormat="1" x14ac:dyDescent="0.25"/>
    <row r="665" s="3" customFormat="1" x14ac:dyDescent="0.25"/>
    <row r="666" s="3" customFormat="1" x14ac:dyDescent="0.25"/>
    <row r="667" s="3" customFormat="1" x14ac:dyDescent="0.25"/>
    <row r="668" s="3" customFormat="1" x14ac:dyDescent="0.25"/>
    <row r="669" s="3" customFormat="1" x14ac:dyDescent="0.25"/>
    <row r="670" s="3" customFormat="1" x14ac:dyDescent="0.25"/>
    <row r="671" s="3" customFormat="1" x14ac:dyDescent="0.25"/>
    <row r="672" s="3" customFormat="1" x14ac:dyDescent="0.25"/>
    <row r="673" s="3" customFormat="1" x14ac:dyDescent="0.25"/>
    <row r="674" s="3" customFormat="1" x14ac:dyDescent="0.25"/>
    <row r="675" s="3" customFormat="1" x14ac:dyDescent="0.25"/>
    <row r="676" s="3" customFormat="1" x14ac:dyDescent="0.25"/>
    <row r="677" s="3" customFormat="1" x14ac:dyDescent="0.25"/>
    <row r="678" s="3" customFormat="1" x14ac:dyDescent="0.25"/>
    <row r="679" s="3" customFormat="1" x14ac:dyDescent="0.25"/>
    <row r="680" s="3" customFormat="1" x14ac:dyDescent="0.25"/>
    <row r="681" s="3" customFormat="1" x14ac:dyDescent="0.25"/>
    <row r="682" s="3" customFormat="1" x14ac:dyDescent="0.25"/>
    <row r="683" s="3" customFormat="1" x14ac:dyDescent="0.25"/>
    <row r="684" s="3" customFormat="1" x14ac:dyDescent="0.25"/>
    <row r="685" s="3" customFormat="1" x14ac:dyDescent="0.25"/>
    <row r="686" s="3" customFormat="1" x14ac:dyDescent="0.25"/>
    <row r="687" s="3" customFormat="1" x14ac:dyDescent="0.25"/>
    <row r="688" s="3" customFormat="1" x14ac:dyDescent="0.25"/>
    <row r="689" s="3" customFormat="1" x14ac:dyDescent="0.25"/>
    <row r="690" s="3" customFormat="1" x14ac:dyDescent="0.25"/>
    <row r="691" s="3" customFormat="1" x14ac:dyDescent="0.25"/>
    <row r="692" s="3" customFormat="1" x14ac:dyDescent="0.25"/>
    <row r="693" s="3" customFormat="1" x14ac:dyDescent="0.25"/>
    <row r="694" s="3" customFormat="1" x14ac:dyDescent="0.25"/>
    <row r="695" s="3" customFormat="1" x14ac:dyDescent="0.25"/>
    <row r="696" s="3" customFormat="1" x14ac:dyDescent="0.25"/>
    <row r="697" s="3" customFormat="1" x14ac:dyDescent="0.25"/>
    <row r="698" s="3" customFormat="1" x14ac:dyDescent="0.25"/>
    <row r="699" s="3" customFormat="1" x14ac:dyDescent="0.25"/>
    <row r="700" s="3" customFormat="1" x14ac:dyDescent="0.25"/>
    <row r="701" s="3" customFormat="1" x14ac:dyDescent="0.25"/>
    <row r="702" s="3" customFormat="1" x14ac:dyDescent="0.25"/>
    <row r="703" s="3" customFormat="1" x14ac:dyDescent="0.25"/>
    <row r="704" s="3" customFormat="1" x14ac:dyDescent="0.25"/>
    <row r="705" s="3" customFormat="1" x14ac:dyDescent="0.25"/>
    <row r="706" s="3" customFormat="1" x14ac:dyDescent="0.25"/>
    <row r="707" s="3" customFormat="1" x14ac:dyDescent="0.25"/>
    <row r="708" s="3" customFormat="1" x14ac:dyDescent="0.25"/>
    <row r="709" s="3" customFormat="1" x14ac:dyDescent="0.25"/>
    <row r="710" s="3" customFormat="1" x14ac:dyDescent="0.25"/>
    <row r="711" s="3" customFormat="1" x14ac:dyDescent="0.25"/>
    <row r="712" s="3" customFormat="1" x14ac:dyDescent="0.25"/>
    <row r="713" s="3" customFormat="1" x14ac:dyDescent="0.25"/>
    <row r="714" s="3" customFormat="1" x14ac:dyDescent="0.25"/>
    <row r="715" s="3" customFormat="1" x14ac:dyDescent="0.25"/>
    <row r="716" s="3" customFormat="1" x14ac:dyDescent="0.25"/>
    <row r="717" s="3" customFormat="1" x14ac:dyDescent="0.25"/>
    <row r="718" s="3" customFormat="1" x14ac:dyDescent="0.25"/>
    <row r="719" s="3" customFormat="1" x14ac:dyDescent="0.25"/>
    <row r="720" s="3" customFormat="1" x14ac:dyDescent="0.25"/>
    <row r="721" s="3" customFormat="1" x14ac:dyDescent="0.25"/>
    <row r="722" s="3" customFormat="1" x14ac:dyDescent="0.25"/>
    <row r="723" s="3" customFormat="1" x14ac:dyDescent="0.25"/>
    <row r="724" s="3" customFormat="1" x14ac:dyDescent="0.25"/>
    <row r="725" s="3" customFormat="1" x14ac:dyDescent="0.25"/>
    <row r="726" s="3" customFormat="1" x14ac:dyDescent="0.25"/>
    <row r="727" s="3" customFormat="1" x14ac:dyDescent="0.25"/>
    <row r="728" s="3" customFormat="1" x14ac:dyDescent="0.25"/>
    <row r="729" s="3" customFormat="1" x14ac:dyDescent="0.25"/>
    <row r="730" s="3" customFormat="1" x14ac:dyDescent="0.25"/>
    <row r="731" s="3" customFormat="1" x14ac:dyDescent="0.25"/>
    <row r="732" s="3" customFormat="1" x14ac:dyDescent="0.25"/>
    <row r="733" s="3" customFormat="1" x14ac:dyDescent="0.25"/>
    <row r="734" s="3" customFormat="1" x14ac:dyDescent="0.25"/>
    <row r="735" s="3" customFormat="1" x14ac:dyDescent="0.25"/>
    <row r="736" s="3" customFormat="1" x14ac:dyDescent="0.25"/>
    <row r="737" s="3" customFormat="1" x14ac:dyDescent="0.25"/>
    <row r="738" s="3" customFormat="1" x14ac:dyDescent="0.25"/>
    <row r="739" s="3" customFormat="1" x14ac:dyDescent="0.25"/>
    <row r="740" s="3" customFormat="1" x14ac:dyDescent="0.25"/>
    <row r="741" s="3" customFormat="1" x14ac:dyDescent="0.25"/>
    <row r="742" s="3" customFormat="1" x14ac:dyDescent="0.25"/>
    <row r="743" s="3" customFormat="1" x14ac:dyDescent="0.25"/>
    <row r="744" s="3" customFormat="1" x14ac:dyDescent="0.25"/>
    <row r="745" s="3" customFormat="1" x14ac:dyDescent="0.25"/>
    <row r="746" s="3" customFormat="1" x14ac:dyDescent="0.25"/>
    <row r="747" s="3" customFormat="1" x14ac:dyDescent="0.25"/>
    <row r="748" s="3" customFormat="1" x14ac:dyDescent="0.25"/>
    <row r="749" s="3" customFormat="1" x14ac:dyDescent="0.25"/>
    <row r="750" s="3" customFormat="1" x14ac:dyDescent="0.25"/>
    <row r="751" s="3" customFormat="1" x14ac:dyDescent="0.25"/>
    <row r="752" s="3" customFormat="1" x14ac:dyDescent="0.25"/>
    <row r="753" s="3" customFormat="1" x14ac:dyDescent="0.25"/>
    <row r="754" s="3" customFormat="1" x14ac:dyDescent="0.25"/>
    <row r="755" s="3" customFormat="1" x14ac:dyDescent="0.25"/>
    <row r="756" s="3" customFormat="1" x14ac:dyDescent="0.25"/>
    <row r="757" s="3" customFormat="1" x14ac:dyDescent="0.25"/>
    <row r="758" s="3" customFormat="1" x14ac:dyDescent="0.25"/>
    <row r="759" s="3" customFormat="1" x14ac:dyDescent="0.25"/>
    <row r="760" s="3" customFormat="1" x14ac:dyDescent="0.25"/>
    <row r="761" s="3" customFormat="1" x14ac:dyDescent="0.25"/>
    <row r="762" s="3" customFormat="1" x14ac:dyDescent="0.25"/>
    <row r="763" s="3" customFormat="1" x14ac:dyDescent="0.25"/>
    <row r="764" s="3" customFormat="1" x14ac:dyDescent="0.25"/>
    <row r="765" s="3" customFormat="1" x14ac:dyDescent="0.25"/>
    <row r="766" s="3" customFormat="1" x14ac:dyDescent="0.25"/>
    <row r="767" s="3" customFormat="1" x14ac:dyDescent="0.25"/>
    <row r="768" s="3" customFormat="1" x14ac:dyDescent="0.25"/>
    <row r="769" s="3" customFormat="1" x14ac:dyDescent="0.25"/>
    <row r="770" s="3" customFormat="1" x14ac:dyDescent="0.25"/>
    <row r="771" s="3" customFormat="1" x14ac:dyDescent="0.25"/>
    <row r="772" s="3" customFormat="1" x14ac:dyDescent="0.25"/>
    <row r="773" s="3" customFormat="1" x14ac:dyDescent="0.25"/>
    <row r="774" s="3" customFormat="1" x14ac:dyDescent="0.25"/>
    <row r="775" s="3" customFormat="1" x14ac:dyDescent="0.25"/>
    <row r="776" s="3" customFormat="1" x14ac:dyDescent="0.25"/>
    <row r="777" s="3" customFormat="1" x14ac:dyDescent="0.25"/>
    <row r="778" s="3" customFormat="1" x14ac:dyDescent="0.25"/>
    <row r="779" s="3" customFormat="1" x14ac:dyDescent="0.25"/>
    <row r="780" s="3" customFormat="1" x14ac:dyDescent="0.25"/>
    <row r="781" s="3" customFormat="1" x14ac:dyDescent="0.25"/>
    <row r="782" s="3" customFormat="1" x14ac:dyDescent="0.25"/>
    <row r="783" s="3" customFormat="1" x14ac:dyDescent="0.25"/>
    <row r="784" s="3" customFormat="1" x14ac:dyDescent="0.25"/>
    <row r="785" s="3" customFormat="1" x14ac:dyDescent="0.25"/>
    <row r="786" s="3" customFormat="1" x14ac:dyDescent="0.25"/>
    <row r="787" s="3" customFormat="1" x14ac:dyDescent="0.25"/>
    <row r="788" s="3" customFormat="1" x14ac:dyDescent="0.25"/>
    <row r="789" s="3" customFormat="1" x14ac:dyDescent="0.25"/>
    <row r="790" s="3" customFormat="1" x14ac:dyDescent="0.25"/>
    <row r="791" s="3" customFormat="1" x14ac:dyDescent="0.25"/>
    <row r="792" s="3" customFormat="1" x14ac:dyDescent="0.25"/>
    <row r="793" s="3" customFormat="1" x14ac:dyDescent="0.25"/>
    <row r="794" s="3" customFormat="1" x14ac:dyDescent="0.25"/>
    <row r="795" s="3" customFormat="1" x14ac:dyDescent="0.25"/>
    <row r="796" s="3" customFormat="1" x14ac:dyDescent="0.25"/>
    <row r="797" s="3" customFormat="1" x14ac:dyDescent="0.25"/>
    <row r="798" s="3" customFormat="1" x14ac:dyDescent="0.25"/>
    <row r="799" s="3" customFormat="1" x14ac:dyDescent="0.25"/>
    <row r="800" s="3" customFormat="1" x14ac:dyDescent="0.25"/>
    <row r="801" s="3" customFormat="1" x14ac:dyDescent="0.25"/>
    <row r="802" s="3" customFormat="1" x14ac:dyDescent="0.25"/>
    <row r="803" s="3" customFormat="1" x14ac:dyDescent="0.25"/>
    <row r="804" s="3" customFormat="1" x14ac:dyDescent="0.25"/>
    <row r="805" s="3" customFormat="1" x14ac:dyDescent="0.25"/>
    <row r="806" s="3" customFormat="1" x14ac:dyDescent="0.25"/>
    <row r="807" s="3" customFormat="1" x14ac:dyDescent="0.25"/>
    <row r="808" s="3" customFormat="1" x14ac:dyDescent="0.25"/>
    <row r="809" s="3" customFormat="1" x14ac:dyDescent="0.25"/>
    <row r="810" s="3" customFormat="1" x14ac:dyDescent="0.25"/>
    <row r="811" s="3" customFormat="1" x14ac:dyDescent="0.25"/>
    <row r="812" s="3" customFormat="1" x14ac:dyDescent="0.25"/>
    <row r="813" s="3" customFormat="1" x14ac:dyDescent="0.25"/>
    <row r="814" s="3" customFormat="1" x14ac:dyDescent="0.25"/>
    <row r="815" s="3" customFormat="1" x14ac:dyDescent="0.25"/>
    <row r="816" s="3" customFormat="1" x14ac:dyDescent="0.25"/>
    <row r="817" s="3" customFormat="1" x14ac:dyDescent="0.25"/>
    <row r="818" s="3" customFormat="1" x14ac:dyDescent="0.25"/>
    <row r="819" s="3" customFormat="1" x14ac:dyDescent="0.25"/>
    <row r="820" s="3" customFormat="1" x14ac:dyDescent="0.25"/>
    <row r="821" s="3" customFormat="1" x14ac:dyDescent="0.25"/>
    <row r="822" s="3" customFormat="1" x14ac:dyDescent="0.25"/>
    <row r="823" s="3" customFormat="1" x14ac:dyDescent="0.25"/>
    <row r="824" s="3" customFormat="1" x14ac:dyDescent="0.25"/>
    <row r="825" s="3" customFormat="1" x14ac:dyDescent="0.25"/>
    <row r="826" s="3" customFormat="1" x14ac:dyDescent="0.25"/>
    <row r="827" s="3" customFormat="1" x14ac:dyDescent="0.25"/>
    <row r="828" s="3" customFormat="1" x14ac:dyDescent="0.25"/>
    <row r="829" s="3" customFormat="1" x14ac:dyDescent="0.25"/>
    <row r="830" s="3" customFormat="1" x14ac:dyDescent="0.25"/>
    <row r="831" s="3" customFormat="1" x14ac:dyDescent="0.25"/>
    <row r="832" s="3" customFormat="1" x14ac:dyDescent="0.25"/>
    <row r="833" s="3" customFormat="1" x14ac:dyDescent="0.25"/>
    <row r="834" s="3" customFormat="1" x14ac:dyDescent="0.25"/>
    <row r="835" s="3" customFormat="1" x14ac:dyDescent="0.25"/>
    <row r="836" s="3" customFormat="1" x14ac:dyDescent="0.25"/>
    <row r="837" s="3" customFormat="1" x14ac:dyDescent="0.25"/>
    <row r="838" s="3" customFormat="1" x14ac:dyDescent="0.25"/>
    <row r="839" s="3" customFormat="1" x14ac:dyDescent="0.25"/>
    <row r="840" s="3" customFormat="1" x14ac:dyDescent="0.25"/>
    <row r="841" s="3" customFormat="1" x14ac:dyDescent="0.25"/>
    <row r="842" s="3" customFormat="1" x14ac:dyDescent="0.25"/>
    <row r="843" s="3" customFormat="1" x14ac:dyDescent="0.25"/>
    <row r="844" s="3" customFormat="1" x14ac:dyDescent="0.25"/>
    <row r="845" s="3" customFormat="1" x14ac:dyDescent="0.25"/>
    <row r="846" s="3" customFormat="1" x14ac:dyDescent="0.25"/>
    <row r="847" s="3" customFormat="1" x14ac:dyDescent="0.25"/>
    <row r="848" s="3" customFormat="1" x14ac:dyDescent="0.25"/>
    <row r="849" s="3" customFormat="1" x14ac:dyDescent="0.25"/>
    <row r="850" s="3" customFormat="1" x14ac:dyDescent="0.25"/>
    <row r="851" s="3" customFormat="1" x14ac:dyDescent="0.25"/>
    <row r="852" s="3" customFormat="1" x14ac:dyDescent="0.25"/>
    <row r="853" s="3" customFormat="1" x14ac:dyDescent="0.25"/>
    <row r="854" s="3" customFormat="1" x14ac:dyDescent="0.25"/>
    <row r="855" s="3" customFormat="1" x14ac:dyDescent="0.25"/>
    <row r="856" s="3" customFormat="1" x14ac:dyDescent="0.25"/>
    <row r="857" s="3" customFormat="1" x14ac:dyDescent="0.25"/>
    <row r="858" s="3" customFormat="1" x14ac:dyDescent="0.25"/>
    <row r="859" s="3" customFormat="1" x14ac:dyDescent="0.25"/>
    <row r="860" s="3" customFormat="1" x14ac:dyDescent="0.25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15">
    <tabColor rgb="FF0070C0"/>
    <pageSetUpPr fitToPage="1"/>
  </sheetPr>
  <dimension ref="A1:BD67"/>
  <sheetViews>
    <sheetView showGridLines="0" zoomScaleNormal="100" workbookViewId="0">
      <selection activeCell="BA8" sqref="BA8"/>
    </sheetView>
  </sheetViews>
  <sheetFormatPr baseColWidth="10" defaultRowHeight="15" x14ac:dyDescent="0.25"/>
  <cols>
    <col min="1" max="1" width="15.7109375" customWidth="1"/>
    <col min="2" max="2" width="33.85546875" bestFit="1" customWidth="1"/>
    <col min="3" max="16" width="8.85546875" hidden="1" customWidth="1"/>
    <col min="17" max="17" width="14" customWidth="1"/>
    <col min="18" max="26" width="8.85546875" hidden="1" customWidth="1"/>
    <col min="27" max="27" width="14" customWidth="1"/>
    <col min="28" max="46" width="14" hidden="1" customWidth="1"/>
    <col min="47" max="47" width="14" customWidth="1"/>
    <col min="49" max="49" width="13.42578125" customWidth="1"/>
  </cols>
  <sheetData>
    <row r="1" spans="1:56" s="244" customFormat="1" ht="45" customHeight="1" x14ac:dyDescent="0.25">
      <c r="A1" s="239" t="str">
        <f>Résultats!B1</f>
        <v>SNBC3</v>
      </c>
      <c r="B1" s="240" t="s">
        <v>465</v>
      </c>
      <c r="C1" s="241">
        <v>2006</v>
      </c>
      <c r="D1" s="242">
        <v>2007</v>
      </c>
      <c r="E1" s="242">
        <v>2008</v>
      </c>
      <c r="F1" s="242">
        <v>2009</v>
      </c>
      <c r="G1" s="242">
        <v>2010</v>
      </c>
      <c r="H1" s="242">
        <v>2011</v>
      </c>
      <c r="I1" s="242">
        <v>2012</v>
      </c>
      <c r="J1" s="242">
        <v>2013</v>
      </c>
      <c r="K1" s="242">
        <v>2014</v>
      </c>
      <c r="L1" s="242">
        <v>2015</v>
      </c>
      <c r="M1" s="242">
        <v>2016</v>
      </c>
      <c r="N1" s="242">
        <v>2017</v>
      </c>
      <c r="O1" s="242">
        <v>2018</v>
      </c>
      <c r="P1" s="242">
        <v>2019</v>
      </c>
      <c r="Q1" s="242">
        <v>2020</v>
      </c>
      <c r="R1" s="242">
        <v>2021</v>
      </c>
      <c r="S1" s="242">
        <v>2022</v>
      </c>
      <c r="T1" s="242">
        <v>2023</v>
      </c>
      <c r="U1" s="242">
        <v>2024</v>
      </c>
      <c r="V1" s="242">
        <v>2025</v>
      </c>
      <c r="W1" s="242">
        <v>2026</v>
      </c>
      <c r="X1" s="242">
        <v>2027</v>
      </c>
      <c r="Y1" s="242">
        <v>2028</v>
      </c>
      <c r="Z1" s="242">
        <v>2029</v>
      </c>
      <c r="AA1" s="242">
        <v>2030</v>
      </c>
      <c r="AB1" s="242">
        <v>2031</v>
      </c>
      <c r="AC1" s="242">
        <v>2032</v>
      </c>
      <c r="AD1" s="242">
        <v>2033</v>
      </c>
      <c r="AE1" s="242">
        <v>2034</v>
      </c>
      <c r="AF1" s="242">
        <v>2035</v>
      </c>
      <c r="AG1" s="242">
        <v>2036</v>
      </c>
      <c r="AH1" s="242">
        <v>2037</v>
      </c>
      <c r="AI1" s="242">
        <v>2038</v>
      </c>
      <c r="AJ1" s="242">
        <v>2039</v>
      </c>
      <c r="AK1" s="242">
        <v>2040</v>
      </c>
      <c r="AL1" s="242">
        <v>2041</v>
      </c>
      <c r="AM1" s="242">
        <v>2042</v>
      </c>
      <c r="AN1" s="242">
        <v>2043</v>
      </c>
      <c r="AO1" s="242">
        <v>2044</v>
      </c>
      <c r="AP1" s="242">
        <v>2045</v>
      </c>
      <c r="AQ1" s="242">
        <v>2046</v>
      </c>
      <c r="AR1" s="242">
        <v>2047</v>
      </c>
      <c r="AS1" s="242">
        <v>2048</v>
      </c>
      <c r="AT1" s="242">
        <v>2049</v>
      </c>
      <c r="AU1" s="243">
        <v>2050</v>
      </c>
      <c r="AW1" s="266" t="s">
        <v>493</v>
      </c>
      <c r="AX1" s="242">
        <v>2020</v>
      </c>
      <c r="AY1" s="242">
        <v>2030</v>
      </c>
      <c r="AZ1" s="243">
        <v>2050</v>
      </c>
    </row>
    <row r="2" spans="1:56" x14ac:dyDescent="0.25">
      <c r="B2" s="245" t="s">
        <v>1</v>
      </c>
      <c r="C2" s="246">
        <f t="shared" ref="C2:AU2" si="0">C3+C4+C7</f>
        <v>842942.38378000003</v>
      </c>
      <c r="D2" s="247">
        <f t="shared" si="0"/>
        <v>877838.86006999994</v>
      </c>
      <c r="E2" s="247">
        <f t="shared" si="0"/>
        <v>894583.92736999993</v>
      </c>
      <c r="F2" s="247">
        <f t="shared" si="0"/>
        <v>921997.35709999991</v>
      </c>
      <c r="G2" s="247">
        <f t="shared" si="0"/>
        <v>944029.87904000003</v>
      </c>
      <c r="H2" s="247">
        <f t="shared" si="0"/>
        <v>982440.49484000006</v>
      </c>
      <c r="I2" s="247">
        <f t="shared" si="0"/>
        <v>1023044.5498800001</v>
      </c>
      <c r="J2" s="247">
        <f t="shared" si="0"/>
        <v>1067578.8770900001</v>
      </c>
      <c r="K2" s="247">
        <f t="shared" si="0"/>
        <v>1123086.4611599999</v>
      </c>
      <c r="L2" s="247">
        <f t="shared" si="0"/>
        <v>1180735.05718</v>
      </c>
      <c r="M2" s="247">
        <f t="shared" si="0"/>
        <v>1182844.52141</v>
      </c>
      <c r="N2" s="247">
        <f t="shared" si="0"/>
        <v>1178611.2043900001</v>
      </c>
      <c r="O2" s="247">
        <f t="shared" si="0"/>
        <v>1174138.3707300001</v>
      </c>
      <c r="P2" s="247">
        <f t="shared" si="0"/>
        <v>1168273.6893499999</v>
      </c>
      <c r="Q2" s="247">
        <f t="shared" si="0"/>
        <v>1175745.8585399999</v>
      </c>
      <c r="R2" s="247">
        <f t="shared" si="0"/>
        <v>1178393.83458</v>
      </c>
      <c r="S2" s="247">
        <f t="shared" si="0"/>
        <v>1180332.9717899999</v>
      </c>
      <c r="T2" s="247">
        <f t="shared" si="0"/>
        <v>1181578.0947</v>
      </c>
      <c r="U2" s="247">
        <f t="shared" si="0"/>
        <v>1178961.9251999999</v>
      </c>
      <c r="V2" s="247">
        <f t="shared" si="0"/>
        <v>1174401.04009</v>
      </c>
      <c r="W2" s="247">
        <f t="shared" si="0"/>
        <v>1172094.6478300001</v>
      </c>
      <c r="X2" s="247">
        <f t="shared" si="0"/>
        <v>1167931.0136799999</v>
      </c>
      <c r="Y2" s="247">
        <f t="shared" si="0"/>
        <v>1162814.6126899999</v>
      </c>
      <c r="Z2" s="247">
        <f t="shared" si="0"/>
        <v>1156505.8072000002</v>
      </c>
      <c r="AA2" s="247">
        <f t="shared" si="0"/>
        <v>1149160.6531100001</v>
      </c>
      <c r="AB2" s="247">
        <f t="shared" si="0"/>
        <v>1143945.60512</v>
      </c>
      <c r="AC2" s="247">
        <f t="shared" si="0"/>
        <v>1138899.1691700001</v>
      </c>
      <c r="AD2" s="247">
        <f t="shared" si="0"/>
        <v>1133955.1067100002</v>
      </c>
      <c r="AE2" s="247">
        <f t="shared" si="0"/>
        <v>1129299.4360700001</v>
      </c>
      <c r="AF2" s="247">
        <f t="shared" si="0"/>
        <v>1124941.0196399998</v>
      </c>
      <c r="AG2" s="247">
        <f t="shared" si="0"/>
        <v>1119954.5500999999</v>
      </c>
      <c r="AH2" s="247">
        <f t="shared" si="0"/>
        <v>1116160.7381799999</v>
      </c>
      <c r="AI2" s="247">
        <f t="shared" si="0"/>
        <v>1112782.907928</v>
      </c>
      <c r="AJ2" s="247">
        <f t="shared" si="0"/>
        <v>1109909.93508</v>
      </c>
      <c r="AK2" s="247">
        <f t="shared" si="0"/>
        <v>1107080.330052</v>
      </c>
      <c r="AL2" s="247">
        <f t="shared" si="0"/>
        <v>1104194.1558090001</v>
      </c>
      <c r="AM2" s="247">
        <f t="shared" si="0"/>
        <v>1101799.6091419999</v>
      </c>
      <c r="AN2" s="247">
        <f t="shared" si="0"/>
        <v>1099485.3757490001</v>
      </c>
      <c r="AO2" s="247">
        <f t="shared" si="0"/>
        <v>1097240.6869999999</v>
      </c>
      <c r="AP2" s="247">
        <f t="shared" si="0"/>
        <v>1093074.535901</v>
      </c>
      <c r="AQ2" s="247">
        <f t="shared" si="0"/>
        <v>1088984.254709</v>
      </c>
      <c r="AR2" s="247">
        <f t="shared" si="0"/>
        <v>1085363.8593850001</v>
      </c>
      <c r="AS2" s="247">
        <f t="shared" si="0"/>
        <v>1082244.6277390001</v>
      </c>
      <c r="AT2" s="247">
        <f t="shared" si="0"/>
        <v>1079461.185206</v>
      </c>
      <c r="AU2" s="248">
        <f t="shared" si="0"/>
        <v>1076363.709057</v>
      </c>
      <c r="AW2" t="s">
        <v>494</v>
      </c>
      <c r="AX2" s="299">
        <f>Q8/Q7</f>
        <v>0.92305239947971929</v>
      </c>
      <c r="AY2" s="299">
        <f>AA8/AA7</f>
        <v>0.90697768004911328</v>
      </c>
      <c r="AZ2" s="299">
        <f>AU8/AU7</f>
        <v>0.87885826375553533</v>
      </c>
    </row>
    <row r="3" spans="1:56" x14ac:dyDescent="0.25">
      <c r="B3" s="249" t="s">
        <v>466</v>
      </c>
      <c r="C3" s="250">
        <f>Résultats!E286</f>
        <v>13442.05508</v>
      </c>
      <c r="D3" s="251">
        <f>Résultats!F286</f>
        <v>13722.81287</v>
      </c>
      <c r="E3" s="251">
        <f>Résultats!G286</f>
        <v>14096.83547</v>
      </c>
      <c r="F3" s="251">
        <f>Résultats!H286</f>
        <v>13574.7979</v>
      </c>
      <c r="G3" s="251">
        <f>Résultats!I286</f>
        <v>13067.91574</v>
      </c>
      <c r="H3" s="251">
        <f>Résultats!J286</f>
        <v>13345.89464</v>
      </c>
      <c r="I3" s="251">
        <f>Résultats!K286</f>
        <v>13560.866379999999</v>
      </c>
      <c r="J3" s="251">
        <f>Résultats!L286</f>
        <v>13430.80559</v>
      </c>
      <c r="K3" s="251">
        <f>Résultats!M286</f>
        <v>13600.12976</v>
      </c>
      <c r="L3" s="251">
        <f>Résultats!N286</f>
        <v>13988.516680000001</v>
      </c>
      <c r="M3" s="251">
        <f>Résultats!O286</f>
        <v>14218.74951</v>
      </c>
      <c r="N3" s="251">
        <f>Résultats!P286</f>
        <v>14465.768389999999</v>
      </c>
      <c r="O3" s="251">
        <f>Résultats!Q286</f>
        <v>14820.502130000001</v>
      </c>
      <c r="P3" s="251">
        <f>Résultats!R286</f>
        <v>15189.15755</v>
      </c>
      <c r="Q3" s="251">
        <f>Résultats!S286</f>
        <v>14847.02563</v>
      </c>
      <c r="R3" s="251">
        <f>Résultats!T286</f>
        <v>14261.44808</v>
      </c>
      <c r="S3" s="251">
        <f>Résultats!U286</f>
        <v>14104.25749</v>
      </c>
      <c r="T3" s="251">
        <f>Résultats!V286</f>
        <v>13928.4944</v>
      </c>
      <c r="U3" s="251">
        <f>Résultats!W286</f>
        <v>13773.076650000001</v>
      </c>
      <c r="V3" s="251">
        <f>Résultats!X286</f>
        <v>13554.16588</v>
      </c>
      <c r="W3" s="251">
        <f>Résultats!Y286</f>
        <v>13384.935649999999</v>
      </c>
      <c r="X3" s="251">
        <f>Résultats!Z286</f>
        <v>13172.66633</v>
      </c>
      <c r="Y3" s="251">
        <f>Résultats!AA286</f>
        <v>12989.50546</v>
      </c>
      <c r="Z3" s="251">
        <f>Résultats!AB286</f>
        <v>12802.720009999999</v>
      </c>
      <c r="AA3" s="251">
        <f>Résultats!AC286</f>
        <v>12577.395490000001</v>
      </c>
      <c r="AB3" s="251">
        <f>Résultats!AD286</f>
        <v>12138.42308</v>
      </c>
      <c r="AC3" s="251">
        <f>Résultats!AE286</f>
        <v>11745.3595</v>
      </c>
      <c r="AD3" s="251">
        <f>Résultats!AF286</f>
        <v>11367.341850000001</v>
      </c>
      <c r="AE3" s="251">
        <f>Résultats!AG286</f>
        <v>11003.08812</v>
      </c>
      <c r="AF3" s="251">
        <f>Résultats!AH286</f>
        <v>10647.690930000001</v>
      </c>
      <c r="AG3" s="251">
        <f>Résultats!AI286</f>
        <v>10325.12557</v>
      </c>
      <c r="AH3" s="251">
        <f>Résultats!AJ286</f>
        <v>10047.42571</v>
      </c>
      <c r="AI3" s="251">
        <f>Résultats!AK286</f>
        <v>9764.6568979999902</v>
      </c>
      <c r="AJ3" s="251">
        <f>Résultats!AL286</f>
        <v>9510.2646499999901</v>
      </c>
      <c r="AK3" s="251">
        <f>Résultats!AM286</f>
        <v>9244.2671119999995</v>
      </c>
      <c r="AL3" s="251">
        <f>Résultats!AN286</f>
        <v>8998.3089290000007</v>
      </c>
      <c r="AM3" s="251">
        <f>Résultats!AO286</f>
        <v>8777.0311320000001</v>
      </c>
      <c r="AN3" s="251">
        <f>Résultats!AP286</f>
        <v>8545.3707190000005</v>
      </c>
      <c r="AO3" s="251">
        <f>Résultats!AQ286</f>
        <v>8319.76548</v>
      </c>
      <c r="AP3" s="251">
        <f>Résultats!AR286</f>
        <v>8097.5123110000004</v>
      </c>
      <c r="AQ3" s="251">
        <f>Résultats!AS286</f>
        <v>7868.7135989999997</v>
      </c>
      <c r="AR3" s="251">
        <f>Résultats!AT286</f>
        <v>7639.8278849999997</v>
      </c>
      <c r="AS3" s="251">
        <f>Résultats!AU286</f>
        <v>7423.9300190000004</v>
      </c>
      <c r="AT3" s="251">
        <f>Résultats!AV286</f>
        <v>7216.7032259999996</v>
      </c>
      <c r="AU3" s="252">
        <f>Résultats!AW286</f>
        <v>7018.3772369999997</v>
      </c>
      <c r="AV3" s="253"/>
      <c r="AW3" t="s">
        <v>495</v>
      </c>
      <c r="AX3" s="299">
        <f>Q5/Q4</f>
        <v>0.63834423528882744</v>
      </c>
      <c r="AY3" s="299">
        <f>AA5/AA4</f>
        <v>0.56366291118779488</v>
      </c>
      <c r="AZ3" s="299">
        <f>AU5/AU4</f>
        <v>0.43758631699290423</v>
      </c>
    </row>
    <row r="4" spans="1:56" x14ac:dyDescent="0.25">
      <c r="B4" s="254" t="s">
        <v>467</v>
      </c>
      <c r="C4" s="255">
        <f>Résultats!E292</f>
        <v>248850.0986</v>
      </c>
      <c r="D4" s="256">
        <f>Résultats!F292</f>
        <v>266843.1495</v>
      </c>
      <c r="E4" s="256">
        <f>Résultats!G292</f>
        <v>279055.70049999998</v>
      </c>
      <c r="F4" s="256">
        <f>Résultats!H292</f>
        <v>295163.7597</v>
      </c>
      <c r="G4" s="256">
        <f>Résultats!I292</f>
        <v>308732.76409999997</v>
      </c>
      <c r="H4" s="256">
        <f>Résultats!J292</f>
        <v>330278.70449999999</v>
      </c>
      <c r="I4" s="256">
        <f>Résultats!K292</f>
        <v>355440.2426</v>
      </c>
      <c r="J4" s="256">
        <f>Résultats!L292</f>
        <v>380929.57709999999</v>
      </c>
      <c r="K4" s="256">
        <f>Résultats!M292</f>
        <v>410418.7648</v>
      </c>
      <c r="L4" s="256">
        <f>Résultats!N292</f>
        <v>442302.08069999999</v>
      </c>
      <c r="M4" s="256">
        <f>Résultats!O292</f>
        <v>441015.01640000002</v>
      </c>
      <c r="N4" s="256">
        <f>Résultats!P292</f>
        <v>436769.96260000003</v>
      </c>
      <c r="O4" s="256">
        <f>Résultats!Q292</f>
        <v>434815.89889999997</v>
      </c>
      <c r="P4" s="256">
        <f>Résultats!R292</f>
        <v>431777.24119999999</v>
      </c>
      <c r="Q4" s="256">
        <f>SUM(Q5:Q6)</f>
        <v>435664.47039999999</v>
      </c>
      <c r="R4" s="256">
        <f t="shared" ref="R4:AU4" si="1">SUM(R5:R6)</f>
        <v>337543.17939999996</v>
      </c>
      <c r="S4" s="256">
        <f t="shared" si="1"/>
        <v>337434.00439999998</v>
      </c>
      <c r="T4" s="256">
        <f t="shared" si="1"/>
        <v>336791.58399999997</v>
      </c>
      <c r="U4" s="256">
        <f t="shared" si="1"/>
        <v>331712.75225000002</v>
      </c>
      <c r="V4" s="256">
        <f t="shared" si="1"/>
        <v>325466.25871000002</v>
      </c>
      <c r="W4" s="256">
        <f t="shared" si="1"/>
        <v>325827.01538</v>
      </c>
      <c r="X4" s="256">
        <f t="shared" si="1"/>
        <v>324987.99174999999</v>
      </c>
      <c r="Y4" s="256">
        <f t="shared" si="1"/>
        <v>323168.22973000002</v>
      </c>
      <c r="Z4" s="256">
        <f t="shared" si="1"/>
        <v>320382.90849</v>
      </c>
      <c r="AA4" s="256">
        <f t="shared" si="1"/>
        <v>448855.43430000002</v>
      </c>
      <c r="AB4" s="256">
        <f t="shared" si="1"/>
        <v>315030.31033999997</v>
      </c>
      <c r="AC4" s="256">
        <f t="shared" si="1"/>
        <v>312918.37456999999</v>
      </c>
      <c r="AD4" s="256">
        <f t="shared" si="1"/>
        <v>310961.24326000002</v>
      </c>
      <c r="AE4" s="256">
        <f t="shared" si="1"/>
        <v>309163.15554999997</v>
      </c>
      <c r="AF4" s="256">
        <f t="shared" si="1"/>
        <v>307557.28850999998</v>
      </c>
      <c r="AG4" s="256">
        <f t="shared" si="1"/>
        <v>305055.64182999998</v>
      </c>
      <c r="AH4" s="256">
        <f t="shared" si="1"/>
        <v>303097.32517000003</v>
      </c>
      <c r="AI4" s="256">
        <f t="shared" si="1"/>
        <v>301546.62252999999</v>
      </c>
      <c r="AJ4" s="256">
        <f t="shared" si="1"/>
        <v>300145.85132999998</v>
      </c>
      <c r="AK4" s="256">
        <f t="shared" si="1"/>
        <v>298888.66743999993</v>
      </c>
      <c r="AL4" s="256">
        <f t="shared" si="1"/>
        <v>297622.81757999997</v>
      </c>
      <c r="AM4" s="256">
        <f t="shared" si="1"/>
        <v>296366.68670999998</v>
      </c>
      <c r="AN4" s="256">
        <f t="shared" si="1"/>
        <v>295227.57092999999</v>
      </c>
      <c r="AO4" s="256">
        <f t="shared" si="1"/>
        <v>294084.39112000004</v>
      </c>
      <c r="AP4" s="256">
        <f t="shared" si="1"/>
        <v>291345.61868999997</v>
      </c>
      <c r="AQ4" s="256">
        <f t="shared" si="1"/>
        <v>289006.70581000001</v>
      </c>
      <c r="AR4" s="256">
        <f t="shared" si="1"/>
        <v>286898.8937999999</v>
      </c>
      <c r="AS4" s="256">
        <f t="shared" si="1"/>
        <v>284898.35102</v>
      </c>
      <c r="AT4" s="256">
        <f t="shared" si="1"/>
        <v>283005.02948000003</v>
      </c>
      <c r="AU4" s="256">
        <f t="shared" si="1"/>
        <v>479989.27970000007</v>
      </c>
      <c r="AV4" s="253"/>
      <c r="AW4" t="s">
        <v>496</v>
      </c>
      <c r="AX4" s="299">
        <f>Q10/(Q7+Q4)</f>
        <v>0.81620654172322593</v>
      </c>
      <c r="AY4" s="299">
        <f>AA10/(AA7+AA4)</f>
        <v>0.77139702755777428</v>
      </c>
      <c r="AZ4" s="299">
        <f>AU10/(AU7+AU4)</f>
        <v>0.68078772697400425</v>
      </c>
    </row>
    <row r="5" spans="1:56" x14ac:dyDescent="0.25">
      <c r="B5" s="258" t="s">
        <v>468</v>
      </c>
      <c r="C5" s="259">
        <f>Résultats!E287</f>
        <v>163461.30420000001</v>
      </c>
      <c r="D5" s="212">
        <f>Résultats!F287</f>
        <v>173850.61290000001</v>
      </c>
      <c r="E5" s="212">
        <f>Résultats!G287</f>
        <v>181614.35490000001</v>
      </c>
      <c r="F5" s="212">
        <f>Résultats!H287</f>
        <v>189712.6238</v>
      </c>
      <c r="G5" s="212">
        <f>Résultats!I287</f>
        <v>197581.39600000001</v>
      </c>
      <c r="H5" s="212">
        <f>Résultats!J287</f>
        <v>207731.50080000001</v>
      </c>
      <c r="I5" s="212">
        <f>Résultats!K287</f>
        <v>223635.23190000001</v>
      </c>
      <c r="J5" s="212">
        <f>Résultats!L287</f>
        <v>240065.74299999999</v>
      </c>
      <c r="K5" s="212">
        <f>Résultats!M287</f>
        <v>257629.97409999999</v>
      </c>
      <c r="L5" s="212">
        <f>Résultats!N287</f>
        <v>282472.80469999998</v>
      </c>
      <c r="M5" s="212">
        <f>Résultats!O287</f>
        <v>284279.66859999998</v>
      </c>
      <c r="N5" s="212">
        <f>Résultats!P287</f>
        <v>280035.9448</v>
      </c>
      <c r="O5" s="212">
        <f>Résultats!Q287</f>
        <v>275071.4583</v>
      </c>
      <c r="P5" s="212">
        <f>Résultats!R287</f>
        <v>274677.01870000002</v>
      </c>
      <c r="Q5" s="212">
        <f>Résultats!S287</f>
        <v>278103.9032</v>
      </c>
      <c r="R5" s="212">
        <f>Résultats!T287</f>
        <v>282057.05599999998</v>
      </c>
      <c r="S5" s="212">
        <f>Résultats!U287</f>
        <v>281608.5258</v>
      </c>
      <c r="T5" s="212">
        <f>Résultats!V287</f>
        <v>280582.02409999998</v>
      </c>
      <c r="U5" s="212">
        <f>Résultats!W287</f>
        <v>273503.03960000002</v>
      </c>
      <c r="V5" s="212">
        <f>Résultats!X287</f>
        <v>265266.51400000002</v>
      </c>
      <c r="W5" s="212">
        <f>Résultats!Y287</f>
        <v>264987.26130000001</v>
      </c>
      <c r="X5" s="212">
        <f>Résultats!Z287</f>
        <v>263465.51850000001</v>
      </c>
      <c r="Y5" s="212">
        <f>Résultats!AA287</f>
        <v>260871.4418</v>
      </c>
      <c r="Z5" s="212">
        <f>Résultats!AB287</f>
        <v>257252.5882</v>
      </c>
      <c r="AA5" s="212">
        <f>Résultats!AC287</f>
        <v>253003.16080000001</v>
      </c>
      <c r="AB5" s="212">
        <f>Résultats!AD287</f>
        <v>250691.28109999999</v>
      </c>
      <c r="AC5" s="212">
        <f>Résultats!AE287</f>
        <v>248186.60029999999</v>
      </c>
      <c r="AD5" s="212">
        <f>Résultats!AF287</f>
        <v>245892.65729999999</v>
      </c>
      <c r="AE5" s="212">
        <f>Résultats!AG287</f>
        <v>243777.47219999999</v>
      </c>
      <c r="AF5" s="212">
        <f>Résultats!AH287</f>
        <v>241880.7083</v>
      </c>
      <c r="AG5" s="212">
        <f>Résultats!AI287</f>
        <v>238916.35219999999</v>
      </c>
      <c r="AH5" s="212">
        <f>Résultats!AJ287</f>
        <v>236503.69500000001</v>
      </c>
      <c r="AI5" s="212">
        <f>Résultats!AK287</f>
        <v>234567.58319999999</v>
      </c>
      <c r="AJ5" s="212">
        <f>Résultats!AL287</f>
        <v>232775.70129999999</v>
      </c>
      <c r="AK5" s="212">
        <f>Résultats!AM287</f>
        <v>231177.73430000001</v>
      </c>
      <c r="AL5" s="212">
        <f>Résultats!AN287</f>
        <v>229567.13029999999</v>
      </c>
      <c r="AM5" s="212">
        <f>Résultats!AO287</f>
        <v>227913.3713</v>
      </c>
      <c r="AN5" s="212">
        <f>Résultats!AP287</f>
        <v>226407.50320000001</v>
      </c>
      <c r="AO5" s="212">
        <f>Résultats!AQ287</f>
        <v>224902.48130000001</v>
      </c>
      <c r="AP5" s="212">
        <f>Résultats!AR287</f>
        <v>221640.16529999999</v>
      </c>
      <c r="AQ5" s="212">
        <f>Résultats!AS287</f>
        <v>218916.07459999999</v>
      </c>
      <c r="AR5" s="212">
        <f>Résultats!AT287</f>
        <v>216424.897</v>
      </c>
      <c r="AS5" s="212">
        <f>Résultats!AU287</f>
        <v>214010.0877</v>
      </c>
      <c r="AT5" s="212">
        <f>Résultats!AV287</f>
        <v>211709.09210000001</v>
      </c>
      <c r="AU5" s="260">
        <f>Résultats!AW287</f>
        <v>210036.74110000001</v>
      </c>
    </row>
    <row r="6" spans="1:56" x14ac:dyDescent="0.25">
      <c r="B6" s="261" t="s">
        <v>469</v>
      </c>
      <c r="C6" s="262">
        <f>Résultats!E290</f>
        <v>47168.089</v>
      </c>
      <c r="D6" s="263">
        <f>Résultats!F290</f>
        <v>48340.077310000001</v>
      </c>
      <c r="E6" s="263">
        <f>Résultats!G290</f>
        <v>48150.356659999998</v>
      </c>
      <c r="F6" s="263">
        <f>Résultats!H290</f>
        <v>49180.408499999998</v>
      </c>
      <c r="G6" s="263">
        <f>Résultats!I290</f>
        <v>49789.817490000001</v>
      </c>
      <c r="H6" s="263">
        <f>Résultats!J290</f>
        <v>51234.149850000002</v>
      </c>
      <c r="I6" s="263">
        <f>Résultats!K290</f>
        <v>51676.634530000003</v>
      </c>
      <c r="J6" s="263">
        <f>Résultats!L290</f>
        <v>52676.492980000003</v>
      </c>
      <c r="K6" s="263">
        <f>Résultats!M290</f>
        <v>54535.777620000001</v>
      </c>
      <c r="L6" s="263">
        <f>Résultats!N290</f>
        <v>55449.988640000003</v>
      </c>
      <c r="M6" s="263">
        <f>Résultats!O290</f>
        <v>55541.989950000003</v>
      </c>
      <c r="N6" s="263">
        <f>Résultats!P290</f>
        <v>55961.59375</v>
      </c>
      <c r="O6" s="263">
        <f>Résultats!Q290</f>
        <v>56214.762139999999</v>
      </c>
      <c r="P6" s="263">
        <f>Résultats!R290</f>
        <v>55743.440360000001</v>
      </c>
      <c r="Q6" s="263">
        <f>Résultats!S289</f>
        <v>157560.56719999999</v>
      </c>
      <c r="R6" s="263">
        <f>Résultats!T290</f>
        <v>55486.123399999997</v>
      </c>
      <c r="S6" s="263">
        <f>Résultats!U290</f>
        <v>55825.478600000002</v>
      </c>
      <c r="T6" s="263">
        <f>Résultats!V290</f>
        <v>56209.5599</v>
      </c>
      <c r="U6" s="263">
        <f>Résultats!W290</f>
        <v>58209.712650000001</v>
      </c>
      <c r="V6" s="263">
        <f>Résultats!X290</f>
        <v>60199.744709999999</v>
      </c>
      <c r="W6" s="263">
        <f>Résultats!Y290</f>
        <v>60839.754079999999</v>
      </c>
      <c r="X6" s="263">
        <f>Résultats!Z290</f>
        <v>61522.473250000003</v>
      </c>
      <c r="Y6" s="263">
        <f>Résultats!AA290</f>
        <v>62296.787929999999</v>
      </c>
      <c r="Z6" s="263">
        <f>Résultats!AB290</f>
        <v>63130.320290000003</v>
      </c>
      <c r="AA6" s="263">
        <f>Résultats!AC289</f>
        <v>195852.27350000001</v>
      </c>
      <c r="AB6" s="263">
        <f>Résultats!AD290</f>
        <v>64339.029240000003</v>
      </c>
      <c r="AC6" s="263">
        <f>Résultats!AE290</f>
        <v>64731.774270000002</v>
      </c>
      <c r="AD6" s="263">
        <f>Résultats!AF290</f>
        <v>65068.585959999997</v>
      </c>
      <c r="AE6" s="263">
        <f>Résultats!AG290</f>
        <v>65385.683349999999</v>
      </c>
      <c r="AF6" s="263">
        <f>Résultats!AH290</f>
        <v>65676.58021</v>
      </c>
      <c r="AG6" s="263">
        <f>Résultats!AI290</f>
        <v>66139.289629999999</v>
      </c>
      <c r="AH6" s="263">
        <f>Résultats!AJ290</f>
        <v>66593.630170000004</v>
      </c>
      <c r="AI6" s="263">
        <f>Résultats!AK290</f>
        <v>66979.03933</v>
      </c>
      <c r="AJ6" s="263">
        <f>Résultats!AL290</f>
        <v>67370.150030000004</v>
      </c>
      <c r="AK6" s="263">
        <f>Résultats!AM290</f>
        <v>67710.933139999906</v>
      </c>
      <c r="AL6" s="263">
        <f>Résultats!AN290</f>
        <v>68055.687279999998</v>
      </c>
      <c r="AM6" s="263">
        <f>Résultats!AO290</f>
        <v>68453.315409999996</v>
      </c>
      <c r="AN6" s="263">
        <f>Résultats!AP290</f>
        <v>68820.067729999995</v>
      </c>
      <c r="AO6" s="263">
        <f>Résultats!AQ290</f>
        <v>69181.909820000001</v>
      </c>
      <c r="AP6" s="263">
        <f>Résultats!AR290</f>
        <v>69705.453389999995</v>
      </c>
      <c r="AQ6" s="263">
        <f>Résultats!AS290</f>
        <v>70090.631210000007</v>
      </c>
      <c r="AR6" s="263">
        <f>Résultats!AT290</f>
        <v>70473.996799999906</v>
      </c>
      <c r="AS6" s="263">
        <f>Résultats!AU290</f>
        <v>70888.263319999998</v>
      </c>
      <c r="AT6" s="263">
        <f>Résultats!AV290</f>
        <v>71295.937380000003</v>
      </c>
      <c r="AU6" s="264">
        <f>Résultats!AW289</f>
        <v>269952.53860000003</v>
      </c>
      <c r="AV6" s="253"/>
      <c r="BB6" t="s">
        <v>506</v>
      </c>
    </row>
    <row r="7" spans="1:56" x14ac:dyDescent="0.25">
      <c r="B7" s="258" t="s">
        <v>470</v>
      </c>
      <c r="C7" s="259">
        <f>Résultats!E291</f>
        <v>580650.23010000004</v>
      </c>
      <c r="D7" s="212">
        <f>Résultats!F291</f>
        <v>597272.89769999997</v>
      </c>
      <c r="E7" s="212">
        <f>Résultats!G291</f>
        <v>601431.39139999996</v>
      </c>
      <c r="F7" s="212">
        <f>Résultats!H291</f>
        <v>613258.79949999996</v>
      </c>
      <c r="G7" s="212">
        <f>Résultats!I291</f>
        <v>622229.19920000003</v>
      </c>
      <c r="H7" s="212">
        <f>Résultats!J291</f>
        <v>638815.89569999999</v>
      </c>
      <c r="I7" s="212">
        <f>Résultats!K291</f>
        <v>654043.44090000005</v>
      </c>
      <c r="J7" s="212">
        <f>Résultats!L291</f>
        <v>673218.49439999997</v>
      </c>
      <c r="K7" s="212">
        <f>Résultats!M291</f>
        <v>699067.56660000002</v>
      </c>
      <c r="L7" s="212">
        <f>Résultats!N291</f>
        <v>724444.45979999995</v>
      </c>
      <c r="M7" s="212">
        <f>Résultats!O291</f>
        <v>727610.75549999997</v>
      </c>
      <c r="N7" s="212">
        <f>Résultats!P291</f>
        <v>727375.47340000002</v>
      </c>
      <c r="O7" s="212">
        <f>Résultats!Q291</f>
        <v>724501.96970000002</v>
      </c>
      <c r="P7" s="212">
        <f>Résultats!R291</f>
        <v>721307.29059999995</v>
      </c>
      <c r="Q7" s="212">
        <f>SUM(Q8:Q9)</f>
        <v>725234.36251000001</v>
      </c>
      <c r="R7" s="212">
        <f t="shared" ref="R7:AU7" si="2">SUM(R8:R9)</f>
        <v>826589.2071</v>
      </c>
      <c r="S7" s="212">
        <f t="shared" si="2"/>
        <v>828794.70990000002</v>
      </c>
      <c r="T7" s="212">
        <f t="shared" si="2"/>
        <v>830858.01630000002</v>
      </c>
      <c r="U7" s="212">
        <f t="shared" si="2"/>
        <v>833476.09629999998</v>
      </c>
      <c r="V7" s="212">
        <f t="shared" si="2"/>
        <v>835380.61549999996</v>
      </c>
      <c r="W7" s="212">
        <f t="shared" si="2"/>
        <v>832882.69680000003</v>
      </c>
      <c r="X7" s="212">
        <f t="shared" si="2"/>
        <v>829770.35560000001</v>
      </c>
      <c r="Y7" s="212">
        <f t="shared" si="2"/>
        <v>826656.87749999994</v>
      </c>
      <c r="Z7" s="212">
        <f t="shared" si="2"/>
        <v>823320.17870000005</v>
      </c>
      <c r="AA7" s="212">
        <f t="shared" si="2"/>
        <v>687727.82331999997</v>
      </c>
      <c r="AB7" s="212">
        <f t="shared" si="2"/>
        <v>816776.87170000002</v>
      </c>
      <c r="AC7" s="212">
        <f t="shared" si="2"/>
        <v>814235.4351</v>
      </c>
      <c r="AD7" s="212">
        <f t="shared" si="2"/>
        <v>811626.52160000009</v>
      </c>
      <c r="AE7" s="212">
        <f t="shared" si="2"/>
        <v>809133.19240000006</v>
      </c>
      <c r="AF7" s="212">
        <f t="shared" si="2"/>
        <v>806736.04019999993</v>
      </c>
      <c r="AG7" s="212">
        <f t="shared" si="2"/>
        <v>804573.78269999998</v>
      </c>
      <c r="AH7" s="212">
        <f t="shared" si="2"/>
        <v>803015.98729999992</v>
      </c>
      <c r="AI7" s="212">
        <f t="shared" si="2"/>
        <v>801471.62849999999</v>
      </c>
      <c r="AJ7" s="212">
        <f t="shared" si="2"/>
        <v>800253.81909999996</v>
      </c>
      <c r="AK7" s="212">
        <f t="shared" si="2"/>
        <v>798947.39549999998</v>
      </c>
      <c r="AL7" s="212">
        <f t="shared" si="2"/>
        <v>797573.02930000005</v>
      </c>
      <c r="AM7" s="212">
        <f t="shared" si="2"/>
        <v>796655.89130000002</v>
      </c>
      <c r="AN7" s="212">
        <f t="shared" si="2"/>
        <v>795712.43410000007</v>
      </c>
      <c r="AO7" s="212">
        <f t="shared" si="2"/>
        <v>794836.53039999993</v>
      </c>
      <c r="AP7" s="212">
        <f t="shared" si="2"/>
        <v>793631.40489999996</v>
      </c>
      <c r="AQ7" s="212">
        <f t="shared" si="2"/>
        <v>792108.83530000004</v>
      </c>
      <c r="AR7" s="212">
        <f t="shared" si="2"/>
        <v>790825.13770000008</v>
      </c>
      <c r="AS7" s="212">
        <f t="shared" si="2"/>
        <v>789922.34669999999</v>
      </c>
      <c r="AT7" s="212">
        <f t="shared" si="2"/>
        <v>789239.45250000001</v>
      </c>
      <c r="AU7" s="212">
        <f t="shared" si="2"/>
        <v>589356.05212000001</v>
      </c>
      <c r="AW7" t="s">
        <v>502</v>
      </c>
      <c r="AX7" s="312">
        <f>Q3/Q2</f>
        <v>1.2627750735551403E-2</v>
      </c>
      <c r="AY7" s="312">
        <f>AA3/AA2</f>
        <v>1.0944853929658577E-2</v>
      </c>
      <c r="AZ7" s="312">
        <f>AU3/AU2</f>
        <v>6.5204513845499171E-3</v>
      </c>
      <c r="BB7" s="312">
        <f>[4]Trafic!$H$27/([4]Trafic!$H$30-[4]Trafic!$H$29)</f>
        <v>9.6732536609177803E-3</v>
      </c>
      <c r="BC7" s="312">
        <f>[4]Trafic!$J$27/([4]Trafic!$J$30-[4]Trafic!$J$29)</f>
        <v>1.4577967949865439E-2</v>
      </c>
      <c r="BD7" s="312">
        <f>[4]Trafic!$N$27/([4]Trafic!$N$30-[4]Trafic!$N$29)</f>
        <v>6.5864876836073186E-3</v>
      </c>
    </row>
    <row r="8" spans="1:56" x14ac:dyDescent="0.25">
      <c r="B8" s="258" t="s">
        <v>471</v>
      </c>
      <c r="C8" s="259">
        <f>Résultats!E288</f>
        <v>533482.14110000001</v>
      </c>
      <c r="D8" s="212">
        <f>Résultats!F288</f>
        <v>548933.17799999996</v>
      </c>
      <c r="E8" s="212">
        <f>Résultats!G288</f>
        <v>553284.51399999997</v>
      </c>
      <c r="F8" s="212">
        <f>Résultats!H288</f>
        <v>564082.01509999996</v>
      </c>
      <c r="G8" s="212">
        <f>Résultats!I288</f>
        <v>572443.19079999998</v>
      </c>
      <c r="H8" s="212">
        <f>Résultats!J288</f>
        <v>587585.80200000003</v>
      </c>
      <c r="I8" s="212">
        <f>Résultats!K288</f>
        <v>602377.31019999995</v>
      </c>
      <c r="J8" s="212">
        <f>Résultats!L288</f>
        <v>620555.54040000006</v>
      </c>
      <c r="K8" s="212">
        <f>Résultats!M288</f>
        <v>644546.1128</v>
      </c>
      <c r="L8" s="212">
        <f>Résultats!N288</f>
        <v>669020.35369999998</v>
      </c>
      <c r="M8" s="212">
        <f>Résultats!O288</f>
        <v>672094.98140000005</v>
      </c>
      <c r="N8" s="212">
        <f>Résultats!P288</f>
        <v>671441.94350000005</v>
      </c>
      <c r="O8" s="212">
        <f>Résultats!Q288</f>
        <v>668317.33319999999</v>
      </c>
      <c r="P8" s="212">
        <f>Résultats!R288</f>
        <v>665594.32799999998</v>
      </c>
      <c r="Q8" s="212">
        <f>Résultats!S288</f>
        <v>669429.31850000005</v>
      </c>
      <c r="R8" s="212">
        <f>Résultats!T288</f>
        <v>669841.82380000001</v>
      </c>
      <c r="S8" s="212">
        <f>Résultats!U288</f>
        <v>671125.33649999998</v>
      </c>
      <c r="T8" s="212">
        <f>Résultats!V288</f>
        <v>672150.93700000003</v>
      </c>
      <c r="U8" s="212">
        <f>Résultats!W288</f>
        <v>665858.96089999995</v>
      </c>
      <c r="V8" s="212">
        <f>Résultats!X288</f>
        <v>658330.26569999999</v>
      </c>
      <c r="W8" s="212">
        <f>Résultats!Y288</f>
        <v>652577.34779999999</v>
      </c>
      <c r="X8" s="212">
        <f>Résultats!Z288</f>
        <v>645985.48970000003</v>
      </c>
      <c r="Y8" s="212">
        <f>Résultats!AA288</f>
        <v>639059.10259999998</v>
      </c>
      <c r="Z8" s="212">
        <f>Résultats!AB288</f>
        <v>631628.6335</v>
      </c>
      <c r="AA8" s="212">
        <f>Résultats!AC288</f>
        <v>623753.78570000001</v>
      </c>
      <c r="AB8" s="212">
        <f>Résultats!AD288</f>
        <v>617721.55090000003</v>
      </c>
      <c r="AC8" s="212">
        <f>Résultats!AE288</f>
        <v>611779.5233</v>
      </c>
      <c r="AD8" s="212">
        <f>Résultats!AF288</f>
        <v>605793.83310000005</v>
      </c>
      <c r="AE8" s="212">
        <f>Résultats!AG288</f>
        <v>599929.00210000004</v>
      </c>
      <c r="AF8" s="212">
        <f>Résultats!AH288</f>
        <v>594178.35719999997</v>
      </c>
      <c r="AG8" s="212">
        <f>Résultats!AI288</f>
        <v>588454.45620000002</v>
      </c>
      <c r="AH8" s="212">
        <f>Résultats!AJ288</f>
        <v>583225.98789999995</v>
      </c>
      <c r="AI8" s="212">
        <f>Résultats!AK288</f>
        <v>578074.60629999998</v>
      </c>
      <c r="AJ8" s="212">
        <f>Résultats!AL288</f>
        <v>573147.37879999995</v>
      </c>
      <c r="AK8" s="212">
        <f>Résultats!AM288</f>
        <v>568162.97739999997</v>
      </c>
      <c r="AL8" s="212">
        <f>Résultats!AN288</f>
        <v>563146.37040000001</v>
      </c>
      <c r="AM8" s="212">
        <f>Résultats!AO288</f>
        <v>558432.84649999999</v>
      </c>
      <c r="AN8" s="212">
        <f>Résultats!AP288</f>
        <v>553713.21270000003</v>
      </c>
      <c r="AO8" s="212">
        <f>Résultats!AQ288</f>
        <v>549022.07109999994</v>
      </c>
      <c r="AP8" s="212">
        <f>Résultats!AR288</f>
        <v>543838.95539999998</v>
      </c>
      <c r="AQ8" s="212">
        <f>Résultats!AS288</f>
        <v>538434.78280000004</v>
      </c>
      <c r="AR8" s="212">
        <f>Résultats!AT288</f>
        <v>533243.94400000002</v>
      </c>
      <c r="AS8" s="212">
        <f>Résultats!AU288</f>
        <v>528313.41029999999</v>
      </c>
      <c r="AT8" s="212">
        <f>Résultats!AV288</f>
        <v>523502.9754</v>
      </c>
      <c r="AU8" s="260">
        <f>Résultats!AW288</f>
        <v>517960.43670000002</v>
      </c>
      <c r="AW8" t="s">
        <v>503</v>
      </c>
      <c r="AX8" s="312">
        <f>+Q6/Q2</f>
        <v>0.13400903439766582</v>
      </c>
      <c r="AY8" s="312">
        <f>+AA6/AA2</f>
        <v>0.17043071651466701</v>
      </c>
      <c r="AZ8" s="312">
        <f>+AU6/AU2</f>
        <v>0.25080048345043598</v>
      </c>
      <c r="BB8" s="312">
        <f>[4]Trafic!$H$25/[4]Trafic!$H$31</f>
        <v>8.6581998710879085E-2</v>
      </c>
      <c r="BC8" s="312">
        <f>[4]Trafic!$J$25/[4]Trafic!$J$31</f>
        <v>0.14233557304995703</v>
      </c>
      <c r="BD8" s="312">
        <f>[4]Trafic!$N$25/[4]Trafic!$N$31</f>
        <v>0.18954036770730018</v>
      </c>
    </row>
    <row r="9" spans="1:56" x14ac:dyDescent="0.25">
      <c r="B9" s="261" t="s">
        <v>472</v>
      </c>
      <c r="C9" s="262">
        <f>Résultats!E289</f>
        <v>85388.794389999995</v>
      </c>
      <c r="D9" s="263">
        <f>Résultats!F289</f>
        <v>93009.712629999995</v>
      </c>
      <c r="E9" s="263">
        <f>Résultats!G289</f>
        <v>97459.601599999995</v>
      </c>
      <c r="F9" s="263">
        <f>Résultats!H289</f>
        <v>105513.5346</v>
      </c>
      <c r="G9" s="263">
        <f>Résultats!I289</f>
        <v>111221.7874</v>
      </c>
      <c r="H9" s="263">
        <f>Résultats!J289</f>
        <v>122711.4235</v>
      </c>
      <c r="I9" s="263">
        <f>Résultats!K289</f>
        <v>131981.77799999999</v>
      </c>
      <c r="J9" s="263">
        <f>Résultats!L289</f>
        <v>141054.14490000001</v>
      </c>
      <c r="K9" s="263">
        <f>Résultats!M289</f>
        <v>152999.29670000001</v>
      </c>
      <c r="L9" s="263">
        <f>Résultats!N289</f>
        <v>160166.47949999999</v>
      </c>
      <c r="M9" s="263">
        <f>Résultats!O289</f>
        <v>157105.08249999999</v>
      </c>
      <c r="N9" s="263">
        <f>Résultats!P289</f>
        <v>157111.60769999999</v>
      </c>
      <c r="O9" s="263">
        <f>Résultats!Q289</f>
        <v>160190.26079999999</v>
      </c>
      <c r="P9" s="263">
        <f>Résultats!R289</f>
        <v>157554.4577</v>
      </c>
      <c r="Q9" s="263">
        <f>Résultats!S290</f>
        <v>55805.044009999998</v>
      </c>
      <c r="R9" s="263">
        <f>Résultats!T289</f>
        <v>156747.38329999999</v>
      </c>
      <c r="S9" s="263">
        <f>Résultats!U289</f>
        <v>157669.37340000001</v>
      </c>
      <c r="T9" s="263">
        <f>Résultats!V289</f>
        <v>158707.07930000001</v>
      </c>
      <c r="U9" s="263">
        <f>Résultats!W289</f>
        <v>167617.1354</v>
      </c>
      <c r="V9" s="263">
        <f>Résultats!X289</f>
        <v>177050.3498</v>
      </c>
      <c r="W9" s="263">
        <f>Résultats!Y289</f>
        <v>180305.34899999999</v>
      </c>
      <c r="X9" s="263">
        <f>Résultats!Z289</f>
        <v>183784.8659</v>
      </c>
      <c r="Y9" s="263">
        <f>Résultats!AA289</f>
        <v>187597.77489999999</v>
      </c>
      <c r="Z9" s="263">
        <f>Résultats!AB289</f>
        <v>191691.54519999999</v>
      </c>
      <c r="AA9" s="263">
        <f>Résultats!AC290</f>
        <v>63974.037620000003</v>
      </c>
      <c r="AB9" s="263">
        <f>Résultats!AD289</f>
        <v>199055.32079999999</v>
      </c>
      <c r="AC9" s="263">
        <f>Résultats!AE289</f>
        <v>202455.9118</v>
      </c>
      <c r="AD9" s="263">
        <f>Résultats!AF289</f>
        <v>205832.68849999999</v>
      </c>
      <c r="AE9" s="263">
        <f>Résultats!AG289</f>
        <v>209204.19029999999</v>
      </c>
      <c r="AF9" s="263">
        <f>Résultats!AH289</f>
        <v>212557.68299999999</v>
      </c>
      <c r="AG9" s="263">
        <f>Résultats!AI289</f>
        <v>216119.3265</v>
      </c>
      <c r="AH9" s="263">
        <f>Résultats!AJ289</f>
        <v>219789.9994</v>
      </c>
      <c r="AI9" s="263">
        <f>Résultats!AK289</f>
        <v>223397.02220000001</v>
      </c>
      <c r="AJ9" s="263">
        <f>Résultats!AL289</f>
        <v>227106.44029999999</v>
      </c>
      <c r="AK9" s="263">
        <f>Résultats!AM289</f>
        <v>230784.41810000001</v>
      </c>
      <c r="AL9" s="263">
        <f>Résultats!AN289</f>
        <v>234426.65890000001</v>
      </c>
      <c r="AM9" s="263">
        <f>Résultats!AO289</f>
        <v>238223.0448</v>
      </c>
      <c r="AN9" s="263">
        <f>Résultats!AP289</f>
        <v>241999.22140000001</v>
      </c>
      <c r="AO9" s="263">
        <f>Résultats!AQ289</f>
        <v>245814.45929999999</v>
      </c>
      <c r="AP9" s="263">
        <f>Résultats!AR289</f>
        <v>249792.44949999999</v>
      </c>
      <c r="AQ9" s="263">
        <f>Résultats!AS289</f>
        <v>253674.05249999999</v>
      </c>
      <c r="AR9" s="263">
        <f>Résultats!AT289</f>
        <v>257581.1937</v>
      </c>
      <c r="AS9" s="263">
        <f>Résultats!AU289</f>
        <v>261608.93640000001</v>
      </c>
      <c r="AT9" s="263">
        <f>Résultats!AV289</f>
        <v>265736.47710000002</v>
      </c>
      <c r="AU9" s="264">
        <f>Résultats!AW290</f>
        <v>71395.615420000002</v>
      </c>
      <c r="AW9" t="s">
        <v>504</v>
      </c>
      <c r="AX9" s="312">
        <f>Q9/Q2</f>
        <v>4.7463525901164344E-2</v>
      </c>
      <c r="AY9" s="312">
        <f>AA9/AA2</f>
        <v>5.5670229786292789E-2</v>
      </c>
      <c r="AZ9" s="312">
        <f>AU9/AU2</f>
        <v>6.6330381467942234E-2</v>
      </c>
      <c r="BB9" s="312">
        <f>[4]Trafic!$H$26/[4]Trafic!$H$31</f>
        <v>5.0587052351781035E-2</v>
      </c>
      <c r="BC9" s="312">
        <f>[4]Trafic!$J$26/[4]Trafic!$J$31</f>
        <v>7.6007847942966056E-2</v>
      </c>
      <c r="BD9" s="312">
        <f>[4]Trafic!$N$26/[4]Trafic!$N$31</f>
        <v>9.8293993125704568E-2</v>
      </c>
    </row>
    <row r="10" spans="1:56" x14ac:dyDescent="0.25">
      <c r="B10" s="249" t="s">
        <v>473</v>
      </c>
      <c r="C10" s="250">
        <f t="shared" ref="C10:AU10" si="3">C5+C8</f>
        <v>696943.44530000002</v>
      </c>
      <c r="D10" s="251">
        <f t="shared" si="3"/>
        <v>722783.79089999991</v>
      </c>
      <c r="E10" s="251">
        <f t="shared" si="3"/>
        <v>734898.8689</v>
      </c>
      <c r="F10" s="251">
        <f t="shared" si="3"/>
        <v>753794.6388999999</v>
      </c>
      <c r="G10" s="251">
        <f t="shared" si="3"/>
        <v>770024.58679999993</v>
      </c>
      <c r="H10" s="251">
        <f t="shared" si="3"/>
        <v>795317.30280000006</v>
      </c>
      <c r="I10" s="251">
        <f t="shared" si="3"/>
        <v>826012.54209999996</v>
      </c>
      <c r="J10" s="251">
        <f t="shared" si="3"/>
        <v>860621.28340000007</v>
      </c>
      <c r="K10" s="251">
        <f t="shared" si="3"/>
        <v>902176.08689999999</v>
      </c>
      <c r="L10" s="251">
        <f t="shared" si="3"/>
        <v>951493.15839999996</v>
      </c>
      <c r="M10" s="251">
        <f t="shared" si="3"/>
        <v>956374.65</v>
      </c>
      <c r="N10" s="251">
        <f t="shared" si="3"/>
        <v>951477.88829999999</v>
      </c>
      <c r="O10" s="251">
        <f t="shared" si="3"/>
        <v>943388.79150000005</v>
      </c>
      <c r="P10" s="251">
        <f t="shared" si="3"/>
        <v>940271.34669999999</v>
      </c>
      <c r="Q10" s="251">
        <f>Q5+Q8</f>
        <v>947533.22170000011</v>
      </c>
      <c r="R10" s="251">
        <f t="shared" si="3"/>
        <v>951898.8798</v>
      </c>
      <c r="S10" s="251">
        <f t="shared" si="3"/>
        <v>952733.86229999992</v>
      </c>
      <c r="T10" s="251">
        <f t="shared" si="3"/>
        <v>952732.96109999996</v>
      </c>
      <c r="U10" s="251">
        <f t="shared" si="3"/>
        <v>939362.00049999997</v>
      </c>
      <c r="V10" s="251">
        <f t="shared" si="3"/>
        <v>923596.77970000007</v>
      </c>
      <c r="W10" s="251">
        <f t="shared" si="3"/>
        <v>917564.6091</v>
      </c>
      <c r="X10" s="251">
        <f t="shared" si="3"/>
        <v>909451.00820000004</v>
      </c>
      <c r="Y10" s="251">
        <f t="shared" si="3"/>
        <v>899930.54440000001</v>
      </c>
      <c r="Z10" s="251">
        <f t="shared" si="3"/>
        <v>888881.22169999999</v>
      </c>
      <c r="AA10" s="251">
        <f t="shared" si="3"/>
        <v>876756.94650000008</v>
      </c>
      <c r="AB10" s="251">
        <f t="shared" si="3"/>
        <v>868412.83200000005</v>
      </c>
      <c r="AC10" s="251">
        <f t="shared" si="3"/>
        <v>859966.12360000005</v>
      </c>
      <c r="AD10" s="251">
        <f t="shared" si="3"/>
        <v>851686.49040000001</v>
      </c>
      <c r="AE10" s="251">
        <f t="shared" si="3"/>
        <v>843706.4743</v>
      </c>
      <c r="AF10" s="251">
        <f t="shared" si="3"/>
        <v>836059.06550000003</v>
      </c>
      <c r="AG10" s="251">
        <f t="shared" si="3"/>
        <v>827370.80839999998</v>
      </c>
      <c r="AH10" s="251">
        <f t="shared" si="3"/>
        <v>819729.6828999999</v>
      </c>
      <c r="AI10" s="251">
        <f t="shared" si="3"/>
        <v>812642.18949999998</v>
      </c>
      <c r="AJ10" s="251">
        <f t="shared" si="3"/>
        <v>805923.0800999999</v>
      </c>
      <c r="AK10" s="251">
        <f t="shared" si="3"/>
        <v>799340.71169999999</v>
      </c>
      <c r="AL10" s="251">
        <f t="shared" si="3"/>
        <v>792713.50069999998</v>
      </c>
      <c r="AM10" s="251">
        <f t="shared" si="3"/>
        <v>786346.21779999998</v>
      </c>
      <c r="AN10" s="251">
        <f t="shared" si="3"/>
        <v>780120.71590000007</v>
      </c>
      <c r="AO10" s="251">
        <f t="shared" si="3"/>
        <v>773924.55239999993</v>
      </c>
      <c r="AP10" s="251">
        <f t="shared" si="3"/>
        <v>765479.12069999997</v>
      </c>
      <c r="AQ10" s="251">
        <f t="shared" si="3"/>
        <v>757350.8574000001</v>
      </c>
      <c r="AR10" s="251">
        <f t="shared" si="3"/>
        <v>749668.84100000001</v>
      </c>
      <c r="AS10" s="251">
        <f t="shared" si="3"/>
        <v>742323.49800000002</v>
      </c>
      <c r="AT10" s="251">
        <f t="shared" si="3"/>
        <v>735212.0675</v>
      </c>
      <c r="AU10" s="252">
        <f t="shared" si="3"/>
        <v>727997.17780000006</v>
      </c>
      <c r="AW10" t="s">
        <v>505</v>
      </c>
      <c r="AX10" s="312">
        <f>1-SUM(AX7:AX9)</f>
        <v>0.80589968896561848</v>
      </c>
      <c r="AY10" s="312">
        <f>1-SUM(AY7:AY9)</f>
        <v>0.76295419976938161</v>
      </c>
      <c r="AZ10" s="312">
        <f t="shared" ref="AZ10" si="4">1-SUM(AZ7:AZ9)</f>
        <v>0.6763486836970718</v>
      </c>
      <c r="BB10" s="312">
        <f>([4]Trafic!$H$23+[4]Trafic!$H$28)/[4]Trafic!$H$30</f>
        <v>0.84698145105670741</v>
      </c>
      <c r="BC10" s="312">
        <f>([4]Trafic!$J$23+[4]Trafic!$J$28)/[4]Trafic!$J$30</f>
        <v>0.75252158630631349</v>
      </c>
      <c r="BD10" s="312">
        <f>([4]Trafic!$N$23+[4]Trafic!$N$28)/[4]Trafic!$N$30</f>
        <v>0.6858880697768327</v>
      </c>
    </row>
    <row r="11" spans="1:56" x14ac:dyDescent="0.25">
      <c r="C11" s="265"/>
      <c r="D11" s="265"/>
      <c r="E11" s="265"/>
      <c r="F11" s="265"/>
      <c r="G11" s="265"/>
      <c r="H11" s="265"/>
      <c r="I11" s="265"/>
      <c r="J11" s="265"/>
      <c r="K11" s="265"/>
      <c r="L11" s="265"/>
      <c r="M11" s="265"/>
      <c r="N11" s="265"/>
      <c r="O11" s="265"/>
      <c r="P11" s="265"/>
      <c r="Q11" s="265"/>
      <c r="R11" s="265"/>
      <c r="S11" s="265"/>
      <c r="T11" s="265"/>
      <c r="U11" s="265"/>
      <c r="V11" s="265"/>
      <c r="W11" s="265"/>
      <c r="X11" s="265"/>
      <c r="Y11" s="265"/>
      <c r="Z11" s="265"/>
      <c r="AA11" s="265"/>
      <c r="AB11" s="265"/>
      <c r="AC11" s="265"/>
      <c r="AD11" s="265"/>
      <c r="AE11" s="265"/>
      <c r="AF11" s="265"/>
      <c r="AG11" s="265"/>
      <c r="AH11" s="265"/>
      <c r="AI11" s="265"/>
      <c r="AJ11" s="265"/>
      <c r="AK11" s="265"/>
      <c r="AL11" s="265"/>
      <c r="AM11" s="265"/>
      <c r="AN11" s="265"/>
      <c r="AO11" s="265"/>
      <c r="AP11" s="265"/>
      <c r="AQ11" s="265"/>
      <c r="AR11" s="265"/>
      <c r="AS11" s="265"/>
      <c r="AT11" s="265"/>
      <c r="AU11" s="265"/>
    </row>
    <row r="12" spans="1:56" s="244" customFormat="1" ht="45" customHeight="1" x14ac:dyDescent="0.25">
      <c r="A12" s="239" t="s">
        <v>474</v>
      </c>
      <c r="B12" s="240" t="s">
        <v>465</v>
      </c>
      <c r="C12" s="242">
        <v>2006</v>
      </c>
      <c r="D12" s="242">
        <v>2007</v>
      </c>
      <c r="E12" s="242">
        <v>2008</v>
      </c>
      <c r="F12" s="242">
        <v>2009</v>
      </c>
      <c r="G12" s="242">
        <v>2010</v>
      </c>
      <c r="H12" s="242">
        <v>2011</v>
      </c>
      <c r="I12" s="242">
        <v>2012</v>
      </c>
      <c r="J12" s="242">
        <v>2013</v>
      </c>
      <c r="K12" s="242">
        <v>2014</v>
      </c>
      <c r="L12" s="242">
        <v>2015</v>
      </c>
      <c r="M12" s="242">
        <v>2016</v>
      </c>
      <c r="N12" s="242">
        <v>2017</v>
      </c>
      <c r="O12" s="242">
        <v>2018</v>
      </c>
      <c r="P12" s="242">
        <v>2019</v>
      </c>
      <c r="Q12" s="242">
        <v>2020</v>
      </c>
      <c r="R12" s="242">
        <v>2021</v>
      </c>
      <c r="S12" s="242">
        <v>2022</v>
      </c>
      <c r="T12" s="242">
        <v>2023</v>
      </c>
      <c r="U12" s="242">
        <v>2024</v>
      </c>
      <c r="V12" s="242">
        <v>2025</v>
      </c>
      <c r="W12" s="242">
        <v>2026</v>
      </c>
      <c r="X12" s="242">
        <v>2027</v>
      </c>
      <c r="Y12" s="242">
        <v>2028</v>
      </c>
      <c r="Z12" s="242">
        <v>2029</v>
      </c>
      <c r="AA12" s="242">
        <v>2030</v>
      </c>
      <c r="AB12" s="242">
        <v>2031</v>
      </c>
      <c r="AC12" s="242">
        <v>2032</v>
      </c>
      <c r="AD12" s="242">
        <v>2033</v>
      </c>
      <c r="AE12" s="242">
        <v>2034</v>
      </c>
      <c r="AF12" s="242">
        <v>2035</v>
      </c>
      <c r="AG12" s="242">
        <v>2036</v>
      </c>
      <c r="AH12" s="242">
        <v>2037</v>
      </c>
      <c r="AI12" s="242">
        <v>2038</v>
      </c>
      <c r="AJ12" s="242">
        <v>2039</v>
      </c>
      <c r="AK12" s="242">
        <v>2040</v>
      </c>
      <c r="AL12" s="242">
        <v>2041</v>
      </c>
      <c r="AM12" s="242">
        <v>2042</v>
      </c>
      <c r="AN12" s="242">
        <v>2043</v>
      </c>
      <c r="AO12" s="242">
        <v>2044</v>
      </c>
      <c r="AP12" s="242">
        <v>2045</v>
      </c>
      <c r="AQ12" s="242">
        <v>2046</v>
      </c>
      <c r="AR12" s="242">
        <v>2047</v>
      </c>
      <c r="AS12" s="242">
        <v>2048</v>
      </c>
      <c r="AT12" s="242">
        <v>2049</v>
      </c>
      <c r="AU12" s="243">
        <v>2050</v>
      </c>
      <c r="AW12" s="266" t="s">
        <v>493</v>
      </c>
      <c r="AX12" s="242">
        <v>2020</v>
      </c>
      <c r="AY12" s="242">
        <v>2030</v>
      </c>
      <c r="AZ12" s="243">
        <v>2050</v>
      </c>
    </row>
    <row r="13" spans="1:56" x14ac:dyDescent="0.25">
      <c r="B13" s="245" t="s">
        <v>1</v>
      </c>
      <c r="C13" s="246">
        <f t="shared" ref="C13:AU13" si="5">C14+C15+C18</f>
        <v>842942.38378000003</v>
      </c>
      <c r="D13" s="247">
        <f t="shared" si="5"/>
        <v>877838.86006999994</v>
      </c>
      <c r="E13" s="247">
        <f t="shared" si="5"/>
        <v>894583.92736999993</v>
      </c>
      <c r="F13" s="247">
        <f t="shared" si="5"/>
        <v>921997.35709999991</v>
      </c>
      <c r="G13" s="247">
        <f t="shared" si="5"/>
        <v>944029.87904000003</v>
      </c>
      <c r="H13" s="247">
        <f t="shared" si="5"/>
        <v>982440.49484000006</v>
      </c>
      <c r="I13" s="247">
        <f t="shared" si="5"/>
        <v>1023044.5498800001</v>
      </c>
      <c r="J13" s="247">
        <f t="shared" si="5"/>
        <v>1067578.8770900001</v>
      </c>
      <c r="K13" s="247">
        <f t="shared" si="5"/>
        <v>1123086.4611599999</v>
      </c>
      <c r="L13" s="247">
        <f t="shared" si="5"/>
        <v>1180735.05718</v>
      </c>
      <c r="M13" s="247">
        <f t="shared" si="5"/>
        <v>1182844.52141</v>
      </c>
      <c r="N13" s="247">
        <f t="shared" si="5"/>
        <v>1178611.2043900001</v>
      </c>
      <c r="O13" s="247">
        <f t="shared" si="5"/>
        <v>1174138.3707300001</v>
      </c>
      <c r="P13" s="247">
        <f t="shared" si="5"/>
        <v>1168273.6893499999</v>
      </c>
      <c r="Q13" s="247">
        <f t="shared" si="5"/>
        <v>1175249.1251300001</v>
      </c>
      <c r="R13" s="247">
        <f t="shared" si="5"/>
        <v>1179997.09348</v>
      </c>
      <c r="S13" s="247">
        <f t="shared" si="5"/>
        <v>1182610.71539</v>
      </c>
      <c r="T13" s="247">
        <f t="shared" si="5"/>
        <v>1184449.83051</v>
      </c>
      <c r="U13" s="247">
        <f t="shared" si="5"/>
        <v>1186593.21294</v>
      </c>
      <c r="V13" s="247">
        <f t="shared" si="5"/>
        <v>1188045.7382400001</v>
      </c>
      <c r="W13" s="247">
        <f t="shared" si="5"/>
        <v>1189276.7050900001</v>
      </c>
      <c r="X13" s="247">
        <f t="shared" si="5"/>
        <v>1190500.40068</v>
      </c>
      <c r="Y13" s="247">
        <f t="shared" si="5"/>
        <v>1192587.0216299999</v>
      </c>
      <c r="Z13" s="247">
        <f t="shared" si="5"/>
        <v>1195141.91224</v>
      </c>
      <c r="AA13" s="247">
        <f t="shared" si="5"/>
        <v>1197855.7823600001</v>
      </c>
      <c r="AB13" s="247">
        <f t="shared" si="5"/>
        <v>1200856.56473</v>
      </c>
      <c r="AC13" s="247">
        <f t="shared" si="5"/>
        <v>1206224.29058</v>
      </c>
      <c r="AD13" s="247">
        <f t="shared" si="5"/>
        <v>1210935.74193</v>
      </c>
      <c r="AE13" s="247">
        <f t="shared" si="5"/>
        <v>1215499.35088</v>
      </c>
      <c r="AF13" s="247">
        <f t="shared" si="5"/>
        <v>1222598.0658100001</v>
      </c>
      <c r="AG13" s="247">
        <f t="shared" si="5"/>
        <v>1226594.5610400001</v>
      </c>
      <c r="AH13" s="247">
        <f t="shared" si="5"/>
        <v>1231420.93649</v>
      </c>
      <c r="AI13" s="247">
        <f t="shared" si="5"/>
        <v>1236601.0672599999</v>
      </c>
      <c r="AJ13" s="247">
        <f t="shared" si="5"/>
        <v>1242018.4266900001</v>
      </c>
      <c r="AK13" s="247">
        <f t="shared" si="5"/>
        <v>1247541.4772099999</v>
      </c>
      <c r="AL13" s="247">
        <f t="shared" si="5"/>
        <v>1253377.5410199999</v>
      </c>
      <c r="AM13" s="247">
        <f t="shared" si="5"/>
        <v>1258873.75664</v>
      </c>
      <c r="AN13" s="247">
        <f t="shared" si="5"/>
        <v>1264286.36806</v>
      </c>
      <c r="AO13" s="247">
        <f t="shared" si="5"/>
        <v>1269633.5702500001</v>
      </c>
      <c r="AP13" s="247">
        <f t="shared" si="5"/>
        <v>1274916.27079</v>
      </c>
      <c r="AQ13" s="247">
        <f t="shared" si="5"/>
        <v>1280337.5708699999</v>
      </c>
      <c r="AR13" s="247">
        <f t="shared" si="5"/>
        <v>1285647.4000200001</v>
      </c>
      <c r="AS13" s="247">
        <f t="shared" si="5"/>
        <v>1290883.3784400001</v>
      </c>
      <c r="AT13" s="247">
        <f t="shared" si="5"/>
        <v>1296072.34809</v>
      </c>
      <c r="AU13" s="248">
        <f t="shared" si="5"/>
        <v>1301297.2349</v>
      </c>
      <c r="AW13" t="s">
        <v>494</v>
      </c>
      <c r="AX13" s="299">
        <f>Q19/Q18</f>
        <v>0.92309210953745935</v>
      </c>
      <c r="AY13" s="299">
        <f>AA19/AA18</f>
        <v>0.91149755600104332</v>
      </c>
      <c r="AZ13" s="299">
        <f>AU19/AU18</f>
        <v>0.89532535011142356</v>
      </c>
    </row>
    <row r="14" spans="1:56" x14ac:dyDescent="0.25">
      <c r="B14" s="249" t="s">
        <v>466</v>
      </c>
      <c r="C14" s="250">
        <f>Résultats!E294</f>
        <v>13442.05508</v>
      </c>
      <c r="D14" s="251">
        <f>Résultats!F294</f>
        <v>13722.81287</v>
      </c>
      <c r="E14" s="251">
        <f>Résultats!G294</f>
        <v>14096.83547</v>
      </c>
      <c r="F14" s="251">
        <f>Résultats!H294</f>
        <v>13574.7979</v>
      </c>
      <c r="G14" s="251">
        <f>Résultats!I294</f>
        <v>13067.91574</v>
      </c>
      <c r="H14" s="251">
        <f>Résultats!J294</f>
        <v>13345.89464</v>
      </c>
      <c r="I14" s="251">
        <f>Résultats!K294</f>
        <v>13560.866379999999</v>
      </c>
      <c r="J14" s="251">
        <f>Résultats!L294</f>
        <v>13430.80559</v>
      </c>
      <c r="K14" s="251">
        <f>Résultats!M294</f>
        <v>13600.12976</v>
      </c>
      <c r="L14" s="251">
        <f>Résultats!N294</f>
        <v>13988.516680000001</v>
      </c>
      <c r="M14" s="251">
        <f>Résultats!O294</f>
        <v>14218.74951</v>
      </c>
      <c r="N14" s="251">
        <f>Résultats!P294</f>
        <v>14465.768389999999</v>
      </c>
      <c r="O14" s="251">
        <f>Résultats!Q294</f>
        <v>14820.502130000001</v>
      </c>
      <c r="P14" s="251">
        <f>Résultats!R294</f>
        <v>15189.15755</v>
      </c>
      <c r="Q14" s="251">
        <f>Résultats!S294</f>
        <v>14847.02563</v>
      </c>
      <c r="R14" s="251">
        <f>Résultats!T294</f>
        <v>14261.44808</v>
      </c>
      <c r="S14" s="251">
        <f>Résultats!U294</f>
        <v>14104.25749</v>
      </c>
      <c r="T14" s="251">
        <f>Résultats!V294</f>
        <v>13920.406709999999</v>
      </c>
      <c r="U14" s="251">
        <f>Résultats!W294</f>
        <v>14112.78004</v>
      </c>
      <c r="V14" s="251">
        <f>Résultats!X294</f>
        <v>14235.29644</v>
      </c>
      <c r="W14" s="251">
        <f>Résultats!Y294</f>
        <v>14363.61889</v>
      </c>
      <c r="X14" s="251">
        <f>Résultats!Z294</f>
        <v>14458.106879999999</v>
      </c>
      <c r="Y14" s="251">
        <f>Résultats!AA294</f>
        <v>14632.233130000001</v>
      </c>
      <c r="Z14" s="251">
        <f>Résultats!AB294</f>
        <v>14836.82524</v>
      </c>
      <c r="AA14" s="251">
        <f>Résultats!AC294</f>
        <v>15046.31936</v>
      </c>
      <c r="AB14" s="251">
        <f>Résultats!AD294</f>
        <v>15275.947029999999</v>
      </c>
      <c r="AC14" s="251">
        <f>Résultats!AE294</f>
        <v>15499.65328</v>
      </c>
      <c r="AD14" s="251">
        <f>Résultats!AF294</f>
        <v>15756.969429999999</v>
      </c>
      <c r="AE14" s="251">
        <f>Résultats!AG294</f>
        <v>16042.28368</v>
      </c>
      <c r="AF14" s="251">
        <f>Résultats!AH294</f>
        <v>16356.282810000001</v>
      </c>
      <c r="AG14" s="251">
        <f>Résultats!AI294</f>
        <v>16709.42164</v>
      </c>
      <c r="AH14" s="251">
        <f>Résultats!AJ294</f>
        <v>17097.734789999999</v>
      </c>
      <c r="AI14" s="251">
        <f>Résultats!AK294</f>
        <v>17493.700659999999</v>
      </c>
      <c r="AJ14" s="251">
        <f>Résultats!AL294</f>
        <v>17907.72249</v>
      </c>
      <c r="AK14" s="251">
        <f>Résultats!AM294</f>
        <v>18332.548409999999</v>
      </c>
      <c r="AL14" s="251">
        <f>Résultats!AN294</f>
        <v>18776.62472</v>
      </c>
      <c r="AM14" s="251">
        <f>Résultats!AO294</f>
        <v>19203.639640000001</v>
      </c>
      <c r="AN14" s="251">
        <f>Résultats!AP294</f>
        <v>19642.467359999999</v>
      </c>
      <c r="AO14" s="251">
        <f>Résultats!AQ294</f>
        <v>20090.328249999999</v>
      </c>
      <c r="AP14" s="251">
        <f>Résultats!AR294</f>
        <v>20542.466690000001</v>
      </c>
      <c r="AQ14" s="251">
        <f>Résultats!AS294</f>
        <v>20996.544870000002</v>
      </c>
      <c r="AR14" s="251">
        <f>Résultats!AT294</f>
        <v>21461.176319999999</v>
      </c>
      <c r="AS14" s="251">
        <f>Résultats!AU294</f>
        <v>21932.706340000001</v>
      </c>
      <c r="AT14" s="251">
        <f>Résultats!AV294</f>
        <v>22410.59719</v>
      </c>
      <c r="AU14" s="252">
        <f>Résultats!AW294</f>
        <v>22904.3999</v>
      </c>
      <c r="AW14" t="s">
        <v>495</v>
      </c>
      <c r="AX14" s="299">
        <f>Q16/Q15</f>
        <v>0.63902707592904939</v>
      </c>
      <c r="AY14" s="299">
        <f>AA16/AA15</f>
        <v>0.63528359009758573</v>
      </c>
      <c r="AZ14" s="299">
        <f>AU16/AU15</f>
        <v>0.65229033356251942</v>
      </c>
    </row>
    <row r="15" spans="1:56" x14ac:dyDescent="0.25">
      <c r="B15" s="254" t="s">
        <v>467</v>
      </c>
      <c r="C15" s="255">
        <f>Résultats!E300</f>
        <v>248850.0986</v>
      </c>
      <c r="D15" s="256">
        <f>Résultats!F300</f>
        <v>266843.1495</v>
      </c>
      <c r="E15" s="256">
        <f>Résultats!G300</f>
        <v>279055.70049999998</v>
      </c>
      <c r="F15" s="256">
        <f>Résultats!H300</f>
        <v>295163.7597</v>
      </c>
      <c r="G15" s="256">
        <f>Résultats!I300</f>
        <v>308732.76409999997</v>
      </c>
      <c r="H15" s="256">
        <f>Résultats!J300</f>
        <v>330278.70449999999</v>
      </c>
      <c r="I15" s="256">
        <f>Résultats!K300</f>
        <v>355440.2426</v>
      </c>
      <c r="J15" s="256">
        <f>Résultats!L300</f>
        <v>380929.57709999999</v>
      </c>
      <c r="K15" s="256">
        <f>Résultats!M300</f>
        <v>410418.7648</v>
      </c>
      <c r="L15" s="256">
        <f>Résultats!N300</f>
        <v>442302.08069999999</v>
      </c>
      <c r="M15" s="256">
        <f>Résultats!O300</f>
        <v>441015.01640000002</v>
      </c>
      <c r="N15" s="256">
        <f>Résultats!P300</f>
        <v>436769.96260000003</v>
      </c>
      <c r="O15" s="256">
        <f>Résultats!Q300</f>
        <v>434815.89889999997</v>
      </c>
      <c r="P15" s="256">
        <f>Résultats!R300</f>
        <v>431777.24119999999</v>
      </c>
      <c r="Q15" s="256">
        <f>Résultats!S300</f>
        <v>435198.93550000002</v>
      </c>
      <c r="R15" s="256">
        <f>Résultats!T300</f>
        <v>438316.75770000002</v>
      </c>
      <c r="S15" s="256">
        <f>Résultats!U300</f>
        <v>438786.88870000001</v>
      </c>
      <c r="T15" s="256">
        <f>Résultats!V300</f>
        <v>438794.19010000001</v>
      </c>
      <c r="U15" s="256">
        <f>Résultats!W300</f>
        <v>439136.60820000002</v>
      </c>
      <c r="V15" s="256">
        <f>Résultats!X300</f>
        <v>439385.75699999998</v>
      </c>
      <c r="W15" s="256">
        <f>Résultats!Y300</f>
        <v>439492.57880000002</v>
      </c>
      <c r="X15" s="256">
        <f>Résultats!Z300</f>
        <v>439781.82799999998</v>
      </c>
      <c r="Y15" s="256">
        <f>Résultats!AA300</f>
        <v>440266.01409999997</v>
      </c>
      <c r="Z15" s="256">
        <f>Résultats!AB300</f>
        <v>440946.56229999999</v>
      </c>
      <c r="AA15" s="256">
        <f>Résultats!AC300</f>
        <v>441737.01079999999</v>
      </c>
      <c r="AB15" s="256">
        <f>Résultats!AD300</f>
        <v>442644.25429999997</v>
      </c>
      <c r="AC15" s="256">
        <f>Résultats!AE300</f>
        <v>445426.08179999999</v>
      </c>
      <c r="AD15" s="256">
        <f>Résultats!AF300</f>
        <v>447557.49440000003</v>
      </c>
      <c r="AE15" s="256">
        <f>Résultats!AG300</f>
        <v>449464.16239999997</v>
      </c>
      <c r="AF15" s="256">
        <f>Résultats!AH300</f>
        <v>453175.07510000002</v>
      </c>
      <c r="AG15" s="256">
        <f>Résultats!AI300</f>
        <v>454333.70110000001</v>
      </c>
      <c r="AH15" s="256">
        <f>Résultats!AJ300</f>
        <v>455973.80219999998</v>
      </c>
      <c r="AI15" s="256">
        <f>Résultats!AK300</f>
        <v>457846.75209999998</v>
      </c>
      <c r="AJ15" s="256">
        <f>Résultats!AL300</f>
        <v>459841.75750000001</v>
      </c>
      <c r="AK15" s="256">
        <f>Résultats!AM300</f>
        <v>461907.78869999998</v>
      </c>
      <c r="AL15" s="256">
        <f>Résultats!AN300</f>
        <v>464173.6384</v>
      </c>
      <c r="AM15" s="256">
        <f>Résultats!AO300</f>
        <v>466226.48100000003</v>
      </c>
      <c r="AN15" s="256">
        <f>Résultats!AP300</f>
        <v>468186.15340000001</v>
      </c>
      <c r="AO15" s="256">
        <f>Résultats!AQ300</f>
        <v>470097.51040000003</v>
      </c>
      <c r="AP15" s="256">
        <f>Résultats!AR300</f>
        <v>471970.29210000002</v>
      </c>
      <c r="AQ15" s="256">
        <f>Résultats!AS300</f>
        <v>473964.587</v>
      </c>
      <c r="AR15" s="256">
        <f>Résultats!AT300</f>
        <v>475860.1911</v>
      </c>
      <c r="AS15" s="256">
        <f>Résultats!AU300</f>
        <v>477702.25140000001</v>
      </c>
      <c r="AT15" s="256">
        <f>Résultats!AV300</f>
        <v>479509.21309999999</v>
      </c>
      <c r="AU15" s="257">
        <f>Résultats!AW300</f>
        <v>481302.7622</v>
      </c>
      <c r="AW15" t="s">
        <v>496</v>
      </c>
      <c r="AX15" s="299">
        <f>Q21/(Q18+Q15)</f>
        <v>0.81655593531610993</v>
      </c>
      <c r="AY15" s="299">
        <f>AA21/(AA18+AA15)</f>
        <v>0.80834152330416387</v>
      </c>
      <c r="AZ15" s="299">
        <f>AU21/(AU18+AU15)</f>
        <v>0.80382497434757616</v>
      </c>
    </row>
    <row r="16" spans="1:56" x14ac:dyDescent="0.25">
      <c r="B16" s="258" t="s">
        <v>468</v>
      </c>
      <c r="C16" s="259">
        <f>Résultats!E295</f>
        <v>163461.30420000001</v>
      </c>
      <c r="D16" s="212">
        <f>Résultats!F295</f>
        <v>173850.61290000001</v>
      </c>
      <c r="E16" s="212">
        <f>Résultats!G295</f>
        <v>181614.35490000001</v>
      </c>
      <c r="F16" s="212">
        <f>Résultats!H295</f>
        <v>189712.6238</v>
      </c>
      <c r="G16" s="212">
        <f>Résultats!I295</f>
        <v>197581.39600000001</v>
      </c>
      <c r="H16" s="212">
        <f>Résultats!J295</f>
        <v>207731.50080000001</v>
      </c>
      <c r="I16" s="212">
        <f>Résultats!K295</f>
        <v>223635.23190000001</v>
      </c>
      <c r="J16" s="212">
        <f>Résultats!L295</f>
        <v>240065.74299999999</v>
      </c>
      <c r="K16" s="212">
        <f>Résultats!M295</f>
        <v>257629.97409999999</v>
      </c>
      <c r="L16" s="212">
        <f>Résultats!N295</f>
        <v>282472.80469999998</v>
      </c>
      <c r="M16" s="212">
        <f>Résultats!O295</f>
        <v>284279.66859999998</v>
      </c>
      <c r="N16" s="212">
        <f>Résultats!P295</f>
        <v>280035.9448</v>
      </c>
      <c r="O16" s="212">
        <f>Résultats!Q295</f>
        <v>275071.4583</v>
      </c>
      <c r="P16" s="212">
        <f>Résultats!R295</f>
        <v>274677.01870000002</v>
      </c>
      <c r="Q16" s="212">
        <f>Résultats!S295</f>
        <v>278103.9032</v>
      </c>
      <c r="R16" s="212">
        <f>Résultats!T295</f>
        <v>282057.05599999998</v>
      </c>
      <c r="S16" s="212">
        <f>Résultats!U295</f>
        <v>281608.5258</v>
      </c>
      <c r="T16" s="212">
        <f>Résultats!V295</f>
        <v>280594.7279</v>
      </c>
      <c r="U16" s="212">
        <f>Résultats!W295</f>
        <v>280325.745</v>
      </c>
      <c r="V16" s="212">
        <f>Résultats!X295</f>
        <v>280153.04249999998</v>
      </c>
      <c r="W16" s="212">
        <f>Résultats!Y295</f>
        <v>279858.07900000003</v>
      </c>
      <c r="X16" s="212">
        <f>Résultats!Z295</f>
        <v>279962.69939999998</v>
      </c>
      <c r="Y16" s="212">
        <f>Résultats!AA295</f>
        <v>280026.46950000001</v>
      </c>
      <c r="Z16" s="212">
        <f>Résultats!AB295</f>
        <v>280254.29489999998</v>
      </c>
      <c r="AA16" s="212">
        <f>Résultats!AC295</f>
        <v>280628.27409999998</v>
      </c>
      <c r="AB16" s="212">
        <f>Résultats!AD295</f>
        <v>281102.18670000002</v>
      </c>
      <c r="AC16" s="212">
        <f>Résultats!AE295</f>
        <v>284271.68050000002</v>
      </c>
      <c r="AD16" s="212">
        <f>Résultats!AF295</f>
        <v>286414.85019999999</v>
      </c>
      <c r="AE16" s="212">
        <f>Résultats!AG295</f>
        <v>288170.43660000002</v>
      </c>
      <c r="AF16" s="212">
        <f>Résultats!AH295</f>
        <v>292437.95909999998</v>
      </c>
      <c r="AG16" s="212">
        <f>Résultats!AI295</f>
        <v>292925.83510000003</v>
      </c>
      <c r="AH16" s="212">
        <f>Résultats!AJ295</f>
        <v>294032.68190000003</v>
      </c>
      <c r="AI16" s="212">
        <f>Résultats!AK295</f>
        <v>295468.06439999997</v>
      </c>
      <c r="AJ16" s="212">
        <f>Résultats!AL295</f>
        <v>297062.1876</v>
      </c>
      <c r="AK16" s="212">
        <f>Résultats!AM295</f>
        <v>298763.94809999998</v>
      </c>
      <c r="AL16" s="212">
        <f>Résultats!AN295</f>
        <v>300730.40600000002</v>
      </c>
      <c r="AM16" s="212">
        <f>Résultats!AO295</f>
        <v>302424.90159999998</v>
      </c>
      <c r="AN16" s="212">
        <f>Résultats!AP295</f>
        <v>303964.67320000002</v>
      </c>
      <c r="AO16" s="212">
        <f>Résultats!AQ295</f>
        <v>305435.4351</v>
      </c>
      <c r="AP16" s="212">
        <f>Résultats!AR295</f>
        <v>306858.73310000001</v>
      </c>
      <c r="AQ16" s="212">
        <f>Résultats!AS295</f>
        <v>308471.05790000001</v>
      </c>
      <c r="AR16" s="212">
        <f>Résultats!AT295</f>
        <v>309929.67540000001</v>
      </c>
      <c r="AS16" s="212">
        <f>Résultats!AU295</f>
        <v>311315.0001</v>
      </c>
      <c r="AT16" s="212">
        <f>Résultats!AV295</f>
        <v>312652.80080000003</v>
      </c>
      <c r="AU16" s="260">
        <f>Résultats!AW295</f>
        <v>313949.13929999998</v>
      </c>
    </row>
    <row r="17" spans="1:49" x14ac:dyDescent="0.25">
      <c r="B17" s="261" t="s">
        <v>469</v>
      </c>
      <c r="C17" s="262">
        <f>Résultats!E298</f>
        <v>47168.089</v>
      </c>
      <c r="D17" s="263">
        <f>Résultats!F298</f>
        <v>48340.077310000001</v>
      </c>
      <c r="E17" s="263">
        <f>Résultats!G298</f>
        <v>48150.356659999998</v>
      </c>
      <c r="F17" s="263">
        <f>Résultats!H298</f>
        <v>49180.408499999998</v>
      </c>
      <c r="G17" s="263">
        <f>Résultats!I298</f>
        <v>49789.817490000001</v>
      </c>
      <c r="H17" s="263">
        <f>Résultats!J298</f>
        <v>51234.149850000002</v>
      </c>
      <c r="I17" s="263">
        <f>Résultats!K298</f>
        <v>51676.634530000003</v>
      </c>
      <c r="J17" s="263">
        <f>Résultats!L298</f>
        <v>52676.492980000003</v>
      </c>
      <c r="K17" s="263">
        <f>Résultats!M298</f>
        <v>54535.777620000001</v>
      </c>
      <c r="L17" s="263">
        <f>Résultats!N298</f>
        <v>55449.988640000003</v>
      </c>
      <c r="M17" s="263">
        <f>Résultats!O298</f>
        <v>55541.989950000003</v>
      </c>
      <c r="N17" s="263">
        <f>Résultats!P298</f>
        <v>55961.59375</v>
      </c>
      <c r="O17" s="263">
        <f>Résultats!Q298</f>
        <v>56214.762139999999</v>
      </c>
      <c r="P17" s="263">
        <f>Résultats!R298</f>
        <v>55743.440360000001</v>
      </c>
      <c r="Q17" s="263">
        <f>Résultats!S297</f>
        <v>157560.56719999999</v>
      </c>
      <c r="R17" s="263">
        <f>Résultats!T298</f>
        <v>55486.123399999997</v>
      </c>
      <c r="S17" s="263">
        <f>Résultats!U298</f>
        <v>55825.478600000002</v>
      </c>
      <c r="T17" s="263">
        <f>Résultats!V298</f>
        <v>56199.443019999999</v>
      </c>
      <c r="U17" s="263">
        <f>Résultats!W298</f>
        <v>56432.251029999999</v>
      </c>
      <c r="V17" s="263">
        <f>Résultats!X298</f>
        <v>56589.248339999998</v>
      </c>
      <c r="W17" s="263">
        <f>Résultats!Y298</f>
        <v>56747.280440000002</v>
      </c>
      <c r="X17" s="263">
        <f>Résultats!Z298</f>
        <v>56836.985399999998</v>
      </c>
      <c r="Y17" s="263">
        <f>Résultats!AA298</f>
        <v>57005.082690000003</v>
      </c>
      <c r="Z17" s="263">
        <f>Résultats!AB298</f>
        <v>57183.140930000001</v>
      </c>
      <c r="AA17" s="263">
        <f>Résultats!AC297</f>
        <v>161611.2298</v>
      </c>
      <c r="AB17" s="263">
        <f>Résultats!AD298</f>
        <v>57520.578849999998</v>
      </c>
      <c r="AC17" s="263">
        <f>Résultats!AE298</f>
        <v>57424.060819999999</v>
      </c>
      <c r="AD17" s="263">
        <f>Résultats!AF298</f>
        <v>57447.958890000002</v>
      </c>
      <c r="AE17" s="263">
        <f>Résultats!AG298</f>
        <v>57524.765460000002</v>
      </c>
      <c r="AF17" s="263">
        <f>Résultats!AH298</f>
        <v>57384.210220000001</v>
      </c>
      <c r="AG17" s="263">
        <f>Résultats!AI298</f>
        <v>57629.395550000001</v>
      </c>
      <c r="AH17" s="263">
        <f>Résultats!AJ298</f>
        <v>57837.337979999997</v>
      </c>
      <c r="AI17" s="263">
        <f>Résultats!AK298</f>
        <v>58019.605069999998</v>
      </c>
      <c r="AJ17" s="263">
        <f>Résultats!AL298</f>
        <v>58194.214460000003</v>
      </c>
      <c r="AK17" s="263">
        <f>Résultats!AM298</f>
        <v>58358.374280000004</v>
      </c>
      <c r="AL17" s="263">
        <f>Résultats!AN298</f>
        <v>58502.725229999996</v>
      </c>
      <c r="AM17" s="263">
        <f>Résultats!AO298</f>
        <v>58666.599560000002</v>
      </c>
      <c r="AN17" s="263">
        <f>Résultats!AP298</f>
        <v>58849.12859</v>
      </c>
      <c r="AO17" s="263">
        <f>Résultats!AQ298</f>
        <v>59037.070059999998</v>
      </c>
      <c r="AP17" s="263">
        <f>Résultats!AR298</f>
        <v>59227.195679999997</v>
      </c>
      <c r="AQ17" s="263">
        <f>Résultats!AS298</f>
        <v>59396.510280000002</v>
      </c>
      <c r="AR17" s="263">
        <f>Résultats!AT298</f>
        <v>59581.701059999999</v>
      </c>
      <c r="AS17" s="263">
        <f>Résultats!AU298</f>
        <v>59772.412550000001</v>
      </c>
      <c r="AT17" s="263">
        <f>Résultats!AV298</f>
        <v>59966.70175</v>
      </c>
      <c r="AU17" s="264">
        <f>Résultats!AW297</f>
        <v>167939.47930000001</v>
      </c>
      <c r="AW17" s="253"/>
    </row>
    <row r="18" spans="1:49" x14ac:dyDescent="0.25">
      <c r="B18" s="258" t="s">
        <v>470</v>
      </c>
      <c r="C18" s="259">
        <f>Résultats!E299</f>
        <v>580650.23010000004</v>
      </c>
      <c r="D18" s="212">
        <f>Résultats!F299</f>
        <v>597272.89769999997</v>
      </c>
      <c r="E18" s="212">
        <f>Résultats!G299</f>
        <v>601431.39139999996</v>
      </c>
      <c r="F18" s="212">
        <f>Résultats!H299</f>
        <v>613258.79949999996</v>
      </c>
      <c r="G18" s="212">
        <f>Résultats!I299</f>
        <v>622229.19920000003</v>
      </c>
      <c r="H18" s="212">
        <f>Résultats!J299</f>
        <v>638815.89569999999</v>
      </c>
      <c r="I18" s="212">
        <f>Résultats!K299</f>
        <v>654043.44090000005</v>
      </c>
      <c r="J18" s="212">
        <f>Résultats!L299</f>
        <v>673218.49439999997</v>
      </c>
      <c r="K18" s="212">
        <f>Résultats!M299</f>
        <v>699067.56660000002</v>
      </c>
      <c r="L18" s="212">
        <f>Résultats!N299</f>
        <v>724444.45979999995</v>
      </c>
      <c r="M18" s="212">
        <f>Résultats!O299</f>
        <v>727610.75549999997</v>
      </c>
      <c r="N18" s="212">
        <f>Résultats!P299</f>
        <v>727375.47340000002</v>
      </c>
      <c r="O18" s="212">
        <f>Résultats!Q299</f>
        <v>724501.96970000002</v>
      </c>
      <c r="P18" s="212">
        <f>Résultats!R299</f>
        <v>721307.29059999995</v>
      </c>
      <c r="Q18" s="212">
        <f>Résultats!S299</f>
        <v>725203.16399999999</v>
      </c>
      <c r="R18" s="212">
        <f>Résultats!T299</f>
        <v>727418.88769999996</v>
      </c>
      <c r="S18" s="212">
        <f>Résultats!U299</f>
        <v>729719.56920000003</v>
      </c>
      <c r="T18" s="212">
        <f>Résultats!V299</f>
        <v>731735.23369999998</v>
      </c>
      <c r="U18" s="212">
        <f>Résultats!W299</f>
        <v>733343.8247</v>
      </c>
      <c r="V18" s="212">
        <f>Résultats!X299</f>
        <v>734424.68480000005</v>
      </c>
      <c r="W18" s="212">
        <f>Résultats!Y299</f>
        <v>735420.5074</v>
      </c>
      <c r="X18" s="212">
        <f>Résultats!Z299</f>
        <v>736260.46580000001</v>
      </c>
      <c r="Y18" s="212">
        <f>Résultats!AA299</f>
        <v>737688.77439999999</v>
      </c>
      <c r="Z18" s="212">
        <f>Résultats!AB299</f>
        <v>739358.52469999995</v>
      </c>
      <c r="AA18" s="212">
        <f>Résultats!AC299</f>
        <v>741072.45220000006</v>
      </c>
      <c r="AB18" s="212">
        <f>Résultats!AD299</f>
        <v>742936.36340000003</v>
      </c>
      <c r="AC18" s="212">
        <f>Résultats!AE299</f>
        <v>745298.55550000002</v>
      </c>
      <c r="AD18" s="212">
        <f>Résultats!AF299</f>
        <v>747621.2781</v>
      </c>
      <c r="AE18" s="212">
        <f>Résultats!AG299</f>
        <v>749992.90480000002</v>
      </c>
      <c r="AF18" s="212">
        <f>Résultats!AH299</f>
        <v>753066.70790000004</v>
      </c>
      <c r="AG18" s="212">
        <f>Résultats!AI299</f>
        <v>755551.43830000004</v>
      </c>
      <c r="AH18" s="212">
        <f>Résultats!AJ299</f>
        <v>758349.39950000006</v>
      </c>
      <c r="AI18" s="212">
        <f>Résultats!AK299</f>
        <v>761260.61450000003</v>
      </c>
      <c r="AJ18" s="212">
        <f>Résultats!AL299</f>
        <v>764268.94669999997</v>
      </c>
      <c r="AK18" s="212">
        <f>Résultats!AM299</f>
        <v>767301.14009999996</v>
      </c>
      <c r="AL18" s="212">
        <f>Résultats!AN299</f>
        <v>770427.27789999999</v>
      </c>
      <c r="AM18" s="212">
        <f>Résultats!AO299</f>
        <v>773443.63600000006</v>
      </c>
      <c r="AN18" s="212">
        <f>Résultats!AP299</f>
        <v>776457.74730000005</v>
      </c>
      <c r="AO18" s="212">
        <f>Résultats!AQ299</f>
        <v>779445.73160000006</v>
      </c>
      <c r="AP18" s="212">
        <f>Résultats!AR299</f>
        <v>782403.51199999999</v>
      </c>
      <c r="AQ18" s="212">
        <f>Résultats!AS299</f>
        <v>785376.43900000001</v>
      </c>
      <c r="AR18" s="212">
        <f>Résultats!AT299</f>
        <v>788326.03260000004</v>
      </c>
      <c r="AS18" s="212">
        <f>Résultats!AU299</f>
        <v>791248.42070000002</v>
      </c>
      <c r="AT18" s="212">
        <f>Résultats!AV299</f>
        <v>794152.53780000005</v>
      </c>
      <c r="AU18" s="260">
        <f>Résultats!AW299</f>
        <v>797090.07279999997</v>
      </c>
    </row>
    <row r="19" spans="1:49" x14ac:dyDescent="0.25">
      <c r="B19" s="258" t="s">
        <v>471</v>
      </c>
      <c r="C19" s="259">
        <f>Résultats!E296</f>
        <v>533482.14110000001</v>
      </c>
      <c r="D19" s="212">
        <f>Résultats!F296</f>
        <v>548933.17799999996</v>
      </c>
      <c r="E19" s="212">
        <f>Résultats!G296</f>
        <v>553284.51399999997</v>
      </c>
      <c r="F19" s="212">
        <f>Résultats!H296</f>
        <v>564082.01509999996</v>
      </c>
      <c r="G19" s="212">
        <f>Résultats!I296</f>
        <v>572443.19079999998</v>
      </c>
      <c r="H19" s="212">
        <f>Résultats!J296</f>
        <v>587585.80200000003</v>
      </c>
      <c r="I19" s="212">
        <f>Résultats!K296</f>
        <v>602377.31019999995</v>
      </c>
      <c r="J19" s="212">
        <f>Résultats!L296</f>
        <v>620555.54040000006</v>
      </c>
      <c r="K19" s="212">
        <f>Résultats!M296</f>
        <v>644546.1128</v>
      </c>
      <c r="L19" s="212">
        <f>Résultats!N296</f>
        <v>669020.35369999998</v>
      </c>
      <c r="M19" s="212">
        <f>Résultats!O296</f>
        <v>672094.98140000005</v>
      </c>
      <c r="N19" s="212">
        <f>Résultats!P296</f>
        <v>671441.94350000005</v>
      </c>
      <c r="O19" s="212">
        <f>Résultats!Q296</f>
        <v>668317.33319999999</v>
      </c>
      <c r="P19" s="212">
        <f>Résultats!R296</f>
        <v>665594.32799999998</v>
      </c>
      <c r="Q19" s="212">
        <f>Résultats!S296</f>
        <v>669429.31850000005</v>
      </c>
      <c r="R19" s="212">
        <f>Résultats!T296</f>
        <v>669841.82380000001</v>
      </c>
      <c r="S19" s="212">
        <f>Résultats!U296</f>
        <v>671125.33649999998</v>
      </c>
      <c r="T19" s="212">
        <f>Résultats!V296</f>
        <v>672087.43090000004</v>
      </c>
      <c r="U19" s="212">
        <f>Résultats!W296</f>
        <v>672782.62890000001</v>
      </c>
      <c r="V19" s="212">
        <f>Résultats!X296</f>
        <v>673027.09459999995</v>
      </c>
      <c r="W19" s="212">
        <f>Résultats!Y296</f>
        <v>673184.90689999994</v>
      </c>
      <c r="X19" s="212">
        <f>Résultats!Z296</f>
        <v>673255.30570000003</v>
      </c>
      <c r="Y19" s="212">
        <f>Résultats!AA296</f>
        <v>673829.41650000005</v>
      </c>
      <c r="Z19" s="212">
        <f>Résultats!AB296</f>
        <v>674630.64870000002</v>
      </c>
      <c r="AA19" s="212">
        <f>Résultats!AC296</f>
        <v>675485.72900000005</v>
      </c>
      <c r="AB19" s="212">
        <f>Résultats!AD296</f>
        <v>676480.21519999998</v>
      </c>
      <c r="AC19" s="212">
        <f>Résultats!AE296</f>
        <v>678232.67890000006</v>
      </c>
      <c r="AD19" s="212">
        <f>Résultats!AF296</f>
        <v>679821.52</v>
      </c>
      <c r="AE19" s="212">
        <f>Résultats!AG296</f>
        <v>681401.8639</v>
      </c>
      <c r="AF19" s="212">
        <f>Résultats!AH296</f>
        <v>683887.97320000001</v>
      </c>
      <c r="AG19" s="212">
        <f>Résultats!AI296</f>
        <v>685402.88600000006</v>
      </c>
      <c r="AH19" s="212">
        <f>Résultats!AJ296</f>
        <v>687258.94140000001</v>
      </c>
      <c r="AI19" s="212">
        <f>Résultats!AK296</f>
        <v>689247.43469999998</v>
      </c>
      <c r="AJ19" s="212">
        <f>Résultats!AL296</f>
        <v>691334.20589999994</v>
      </c>
      <c r="AK19" s="212">
        <f>Résultats!AM296</f>
        <v>693450.00170000002</v>
      </c>
      <c r="AL19" s="212">
        <f>Résultats!AN296</f>
        <v>695672.72820000001</v>
      </c>
      <c r="AM19" s="212">
        <f>Résultats!AO296</f>
        <v>697763.50989999995</v>
      </c>
      <c r="AN19" s="212">
        <f>Résultats!AP296</f>
        <v>699828.63130000001</v>
      </c>
      <c r="AO19" s="212">
        <f>Résultats!AQ296</f>
        <v>701858.05729999999</v>
      </c>
      <c r="AP19" s="212">
        <f>Résultats!AR296</f>
        <v>703851.125</v>
      </c>
      <c r="AQ19" s="212">
        <f>Résultats!AS296</f>
        <v>705875.10699999996</v>
      </c>
      <c r="AR19" s="212">
        <f>Résultats!AT296</f>
        <v>707855.8064</v>
      </c>
      <c r="AS19" s="212">
        <f>Résultats!AU296</f>
        <v>709799.90099999995</v>
      </c>
      <c r="AT19" s="212">
        <f>Résultats!AV296</f>
        <v>711718.10270000005</v>
      </c>
      <c r="AU19" s="260">
        <f>Résultats!AW296</f>
        <v>713654.94850000006</v>
      </c>
    </row>
    <row r="20" spans="1:49" x14ac:dyDescent="0.25">
      <c r="B20" s="261" t="s">
        <v>472</v>
      </c>
      <c r="C20" s="262">
        <f>Résultats!E297</f>
        <v>85388.794389999995</v>
      </c>
      <c r="D20" s="263">
        <f>Résultats!F297</f>
        <v>93009.712629999995</v>
      </c>
      <c r="E20" s="263">
        <f>Résultats!G297</f>
        <v>97459.601599999995</v>
      </c>
      <c r="F20" s="263">
        <f>Résultats!H297</f>
        <v>105513.5346</v>
      </c>
      <c r="G20" s="263">
        <f>Résultats!I297</f>
        <v>111221.7874</v>
      </c>
      <c r="H20" s="263">
        <f>Résultats!J297</f>
        <v>122711.4235</v>
      </c>
      <c r="I20" s="263">
        <f>Résultats!K297</f>
        <v>131981.77799999999</v>
      </c>
      <c r="J20" s="263">
        <f>Résultats!L297</f>
        <v>141054.14490000001</v>
      </c>
      <c r="K20" s="263">
        <f>Résultats!M297</f>
        <v>152999.29670000001</v>
      </c>
      <c r="L20" s="263">
        <f>Résultats!N297</f>
        <v>160166.47949999999</v>
      </c>
      <c r="M20" s="263">
        <f>Résultats!O297</f>
        <v>157105.08249999999</v>
      </c>
      <c r="N20" s="263">
        <f>Résultats!P297</f>
        <v>157111.60769999999</v>
      </c>
      <c r="O20" s="263">
        <f>Résultats!Q297</f>
        <v>160190.26079999999</v>
      </c>
      <c r="P20" s="263">
        <f>Résultats!R297</f>
        <v>157554.4577</v>
      </c>
      <c r="Q20" s="263">
        <f>Résultats!S298</f>
        <v>55805.044009999998</v>
      </c>
      <c r="R20" s="263">
        <f>Résultats!T297</f>
        <v>156747.38329999999</v>
      </c>
      <c r="S20" s="263">
        <f>Résultats!U297</f>
        <v>157669.37340000001</v>
      </c>
      <c r="T20" s="263">
        <f>Résultats!V297</f>
        <v>158695.6355</v>
      </c>
      <c r="U20" s="263">
        <f>Résultats!W297</f>
        <v>159308.5998</v>
      </c>
      <c r="V20" s="263">
        <f>Résultats!X297</f>
        <v>159731.2757</v>
      </c>
      <c r="W20" s="263">
        <f>Résultats!Y297</f>
        <v>160133.83100000001</v>
      </c>
      <c r="X20" s="263">
        <f>Résultats!Z297</f>
        <v>160318.81959999999</v>
      </c>
      <c r="Y20" s="263">
        <f>Résultats!AA297</f>
        <v>160740.07889999999</v>
      </c>
      <c r="Z20" s="263">
        <f>Résultats!AB297</f>
        <v>161193.78099999999</v>
      </c>
      <c r="AA20" s="263">
        <f>Résultats!AC298</f>
        <v>57348.68518</v>
      </c>
      <c r="AB20" s="263">
        <f>Résultats!AD297</f>
        <v>162045.6439</v>
      </c>
      <c r="AC20" s="263">
        <f>Résultats!AE297</f>
        <v>161670.5975</v>
      </c>
      <c r="AD20" s="263">
        <f>Résultats!AF297</f>
        <v>161664.2598</v>
      </c>
      <c r="AE20" s="263">
        <f>Résultats!AG297</f>
        <v>161818.94149999999</v>
      </c>
      <c r="AF20" s="263">
        <f>Résultats!AH297</f>
        <v>161283.59270000001</v>
      </c>
      <c r="AG20" s="263">
        <f>Résultats!AI297</f>
        <v>161956.06409999999</v>
      </c>
      <c r="AH20" s="263">
        <f>Résultats!AJ297</f>
        <v>162491.30900000001</v>
      </c>
      <c r="AI20" s="263">
        <f>Résultats!AK297</f>
        <v>162931.38260000001</v>
      </c>
      <c r="AJ20" s="263">
        <f>Résultats!AL297</f>
        <v>163335.1183</v>
      </c>
      <c r="AK20" s="263">
        <f>Résultats!AM297</f>
        <v>163702.52050000001</v>
      </c>
      <c r="AL20" s="263">
        <f>Résultats!AN297</f>
        <v>164005.83069999999</v>
      </c>
      <c r="AM20" s="263">
        <f>Résultats!AO297</f>
        <v>164367.28810000001</v>
      </c>
      <c r="AN20" s="263">
        <f>Résultats!AP297</f>
        <v>164789.90359999999</v>
      </c>
      <c r="AO20" s="263">
        <f>Résultats!AQ297</f>
        <v>165233.06529999999</v>
      </c>
      <c r="AP20" s="263">
        <f>Résultats!AR297</f>
        <v>165685.02160000001</v>
      </c>
      <c r="AQ20" s="263">
        <f>Résultats!AS297</f>
        <v>166069.87549999999</v>
      </c>
      <c r="AR20" s="263">
        <f>Résultats!AT297</f>
        <v>166509.4002</v>
      </c>
      <c r="AS20" s="263">
        <f>Résultats!AU297</f>
        <v>166968.5349</v>
      </c>
      <c r="AT20" s="263">
        <f>Résultats!AV297</f>
        <v>167440.0122</v>
      </c>
      <c r="AU20" s="264">
        <f>Résultats!AW298</f>
        <v>60170.274899999997</v>
      </c>
    </row>
    <row r="21" spans="1:49" x14ac:dyDescent="0.25">
      <c r="B21" s="249" t="s">
        <v>473</v>
      </c>
      <c r="C21" s="250">
        <f t="shared" ref="C21:AU21" si="6">C16+C19</f>
        <v>696943.44530000002</v>
      </c>
      <c r="D21" s="251">
        <f t="shared" si="6"/>
        <v>722783.79089999991</v>
      </c>
      <c r="E21" s="251">
        <f t="shared" si="6"/>
        <v>734898.8689</v>
      </c>
      <c r="F21" s="251">
        <f t="shared" si="6"/>
        <v>753794.6388999999</v>
      </c>
      <c r="G21" s="251">
        <f t="shared" si="6"/>
        <v>770024.58679999993</v>
      </c>
      <c r="H21" s="251">
        <f t="shared" si="6"/>
        <v>795317.30280000006</v>
      </c>
      <c r="I21" s="251">
        <f t="shared" si="6"/>
        <v>826012.54209999996</v>
      </c>
      <c r="J21" s="251">
        <f t="shared" si="6"/>
        <v>860621.28340000007</v>
      </c>
      <c r="K21" s="251">
        <f t="shared" si="6"/>
        <v>902176.08689999999</v>
      </c>
      <c r="L21" s="251">
        <f t="shared" si="6"/>
        <v>951493.15839999996</v>
      </c>
      <c r="M21" s="251">
        <f t="shared" si="6"/>
        <v>956374.65</v>
      </c>
      <c r="N21" s="251">
        <f t="shared" si="6"/>
        <v>951477.88829999999</v>
      </c>
      <c r="O21" s="251">
        <f t="shared" si="6"/>
        <v>943388.79150000005</v>
      </c>
      <c r="P21" s="251">
        <f t="shared" si="6"/>
        <v>940271.34669999999</v>
      </c>
      <c r="Q21" s="251">
        <f t="shared" si="6"/>
        <v>947533.22170000011</v>
      </c>
      <c r="R21" s="251">
        <f t="shared" si="6"/>
        <v>951898.8798</v>
      </c>
      <c r="S21" s="251">
        <f t="shared" si="6"/>
        <v>952733.86229999992</v>
      </c>
      <c r="T21" s="251">
        <f t="shared" si="6"/>
        <v>952682.15880000009</v>
      </c>
      <c r="U21" s="251">
        <f t="shared" si="6"/>
        <v>953108.37390000001</v>
      </c>
      <c r="V21" s="251">
        <f t="shared" si="6"/>
        <v>953180.13709999993</v>
      </c>
      <c r="W21" s="251">
        <f t="shared" si="6"/>
        <v>953042.98589999997</v>
      </c>
      <c r="X21" s="251">
        <f t="shared" si="6"/>
        <v>953218.00509999995</v>
      </c>
      <c r="Y21" s="251">
        <f t="shared" si="6"/>
        <v>953855.88600000006</v>
      </c>
      <c r="Z21" s="251">
        <f t="shared" si="6"/>
        <v>954884.9436</v>
      </c>
      <c r="AA21" s="251">
        <f t="shared" si="6"/>
        <v>956114.00310000009</v>
      </c>
      <c r="AB21" s="251">
        <f t="shared" si="6"/>
        <v>957582.40189999994</v>
      </c>
      <c r="AC21" s="251">
        <f t="shared" si="6"/>
        <v>962504.35940000007</v>
      </c>
      <c r="AD21" s="251">
        <f t="shared" si="6"/>
        <v>966236.3702</v>
      </c>
      <c r="AE21" s="251">
        <f t="shared" si="6"/>
        <v>969572.30050000001</v>
      </c>
      <c r="AF21" s="251">
        <f t="shared" si="6"/>
        <v>976325.93229999999</v>
      </c>
      <c r="AG21" s="251">
        <f t="shared" si="6"/>
        <v>978328.72110000008</v>
      </c>
      <c r="AH21" s="251">
        <f t="shared" si="6"/>
        <v>981291.62330000009</v>
      </c>
      <c r="AI21" s="251">
        <f t="shared" si="6"/>
        <v>984715.4990999999</v>
      </c>
      <c r="AJ21" s="251">
        <f t="shared" si="6"/>
        <v>988396.39350000001</v>
      </c>
      <c r="AK21" s="251">
        <f t="shared" si="6"/>
        <v>992213.94980000006</v>
      </c>
      <c r="AL21" s="251">
        <f t="shared" si="6"/>
        <v>996403.13419999997</v>
      </c>
      <c r="AM21" s="251">
        <f t="shared" si="6"/>
        <v>1000188.4114999999</v>
      </c>
      <c r="AN21" s="251">
        <f t="shared" si="6"/>
        <v>1003793.3045000001</v>
      </c>
      <c r="AO21" s="251">
        <f t="shared" si="6"/>
        <v>1007293.4924</v>
      </c>
      <c r="AP21" s="251">
        <f t="shared" si="6"/>
        <v>1010709.8581000001</v>
      </c>
      <c r="AQ21" s="251">
        <f t="shared" si="6"/>
        <v>1014346.1649</v>
      </c>
      <c r="AR21" s="251">
        <f t="shared" si="6"/>
        <v>1017785.4818</v>
      </c>
      <c r="AS21" s="251">
        <f t="shared" si="6"/>
        <v>1021114.9010999999</v>
      </c>
      <c r="AT21" s="251">
        <f t="shared" si="6"/>
        <v>1024370.9035</v>
      </c>
      <c r="AU21" s="252">
        <f t="shared" si="6"/>
        <v>1027604.0878000001</v>
      </c>
      <c r="AW21" s="253"/>
    </row>
    <row r="22" spans="1:49" x14ac:dyDescent="0.25">
      <c r="C22" s="212"/>
      <c r="D22" s="212"/>
      <c r="E22" s="212"/>
      <c r="F22" s="212"/>
      <c r="G22" s="212"/>
      <c r="H22" s="212"/>
      <c r="I22" s="212"/>
      <c r="J22" s="212"/>
      <c r="K22" s="212"/>
      <c r="L22" s="212"/>
      <c r="M22" s="212"/>
      <c r="N22" s="212"/>
      <c r="O22" s="212"/>
      <c r="P22" s="212"/>
      <c r="Q22" s="212"/>
      <c r="R22" s="212"/>
      <c r="S22" s="212"/>
      <c r="T22" s="212"/>
      <c r="U22" s="212"/>
      <c r="V22" s="212"/>
      <c r="W22" s="212"/>
      <c r="X22" s="212"/>
      <c r="Y22" s="212"/>
      <c r="Z22" s="212"/>
      <c r="AA22" s="212"/>
      <c r="AB22" s="212"/>
      <c r="AC22" s="212"/>
      <c r="AD22" s="212"/>
      <c r="AE22" s="212"/>
      <c r="AF22" s="212"/>
      <c r="AG22" s="212"/>
      <c r="AH22" s="212"/>
      <c r="AI22" s="212"/>
      <c r="AJ22" s="212"/>
      <c r="AK22" s="212"/>
      <c r="AL22" s="212"/>
      <c r="AM22" s="212"/>
      <c r="AN22" s="212"/>
      <c r="AO22" s="212"/>
      <c r="AP22" s="212"/>
      <c r="AQ22" s="212"/>
      <c r="AR22" s="212"/>
      <c r="AS22" s="212"/>
      <c r="AT22" s="212"/>
      <c r="AU22" s="212"/>
      <c r="AW22" s="253"/>
    </row>
    <row r="23" spans="1:49" s="244" customFormat="1" ht="45" customHeight="1" x14ac:dyDescent="0.25">
      <c r="A23" s="239" t="str">
        <f>"Ecarts "&amp;Résultats!B1&amp;"  - TEND"</f>
        <v>Ecarts SNBC3  - TEND</v>
      </c>
      <c r="B23" s="266" t="s">
        <v>475</v>
      </c>
      <c r="C23" s="242">
        <v>2006</v>
      </c>
      <c r="D23" s="242">
        <v>2007</v>
      </c>
      <c r="E23" s="242">
        <v>2008</v>
      </c>
      <c r="F23" s="242">
        <v>2009</v>
      </c>
      <c r="G23" s="242">
        <v>2010</v>
      </c>
      <c r="H23" s="242">
        <v>2011</v>
      </c>
      <c r="I23" s="242">
        <v>2012</v>
      </c>
      <c r="J23" s="242">
        <v>2013</v>
      </c>
      <c r="K23" s="242">
        <v>2014</v>
      </c>
      <c r="L23" s="242">
        <v>2015</v>
      </c>
      <c r="M23" s="242">
        <v>2016</v>
      </c>
      <c r="N23" s="242">
        <v>2017</v>
      </c>
      <c r="O23" s="242">
        <v>2018</v>
      </c>
      <c r="P23" s="242">
        <v>2019</v>
      </c>
      <c r="Q23" s="242">
        <v>2020</v>
      </c>
      <c r="R23" s="242">
        <v>2021</v>
      </c>
      <c r="S23" s="242">
        <v>2022</v>
      </c>
      <c r="T23" s="242">
        <v>2023</v>
      </c>
      <c r="U23" s="242">
        <v>2024</v>
      </c>
      <c r="V23" s="242">
        <v>2025</v>
      </c>
      <c r="W23" s="242">
        <v>2026</v>
      </c>
      <c r="X23" s="242">
        <v>2027</v>
      </c>
      <c r="Y23" s="242">
        <v>2028</v>
      </c>
      <c r="Z23" s="242">
        <v>2029</v>
      </c>
      <c r="AA23" s="242">
        <v>2030</v>
      </c>
      <c r="AB23" s="242">
        <v>2031</v>
      </c>
      <c r="AC23" s="242">
        <v>2032</v>
      </c>
      <c r="AD23" s="242">
        <v>2033</v>
      </c>
      <c r="AE23" s="242">
        <v>2034</v>
      </c>
      <c r="AF23" s="242">
        <v>2035</v>
      </c>
      <c r="AG23" s="242">
        <v>2036</v>
      </c>
      <c r="AH23" s="242">
        <v>2037</v>
      </c>
      <c r="AI23" s="242">
        <v>2038</v>
      </c>
      <c r="AJ23" s="242">
        <v>2039</v>
      </c>
      <c r="AK23" s="242">
        <v>2040</v>
      </c>
      <c r="AL23" s="242">
        <v>2041</v>
      </c>
      <c r="AM23" s="242">
        <v>2042</v>
      </c>
      <c r="AN23" s="242">
        <v>2043</v>
      </c>
      <c r="AO23" s="242">
        <v>2044</v>
      </c>
      <c r="AP23" s="242">
        <v>2045</v>
      </c>
      <c r="AQ23" s="242">
        <v>2046</v>
      </c>
      <c r="AR23" s="242">
        <v>2047</v>
      </c>
      <c r="AS23" s="242">
        <v>2048</v>
      </c>
      <c r="AT23" s="242">
        <v>2049</v>
      </c>
      <c r="AU23" s="243">
        <v>2050</v>
      </c>
      <c r="AV23" s="267"/>
    </row>
    <row r="24" spans="1:49" x14ac:dyDescent="0.25">
      <c r="B24" s="245" t="s">
        <v>1</v>
      </c>
      <c r="C24" s="247">
        <f t="shared" ref="C24:AU25" si="7">C2-C13</f>
        <v>0</v>
      </c>
      <c r="D24" s="247">
        <f t="shared" si="7"/>
        <v>0</v>
      </c>
      <c r="E24" s="247">
        <f t="shared" si="7"/>
        <v>0</v>
      </c>
      <c r="F24" s="247">
        <f t="shared" si="7"/>
        <v>0</v>
      </c>
      <c r="G24" s="247">
        <f t="shared" si="7"/>
        <v>0</v>
      </c>
      <c r="H24" s="247">
        <f t="shared" si="7"/>
        <v>0</v>
      </c>
      <c r="I24" s="247">
        <f t="shared" si="7"/>
        <v>0</v>
      </c>
      <c r="J24" s="247">
        <f t="shared" si="7"/>
        <v>0</v>
      </c>
      <c r="K24" s="247">
        <f t="shared" si="7"/>
        <v>0</v>
      </c>
      <c r="L24" s="247">
        <f t="shared" si="7"/>
        <v>0</v>
      </c>
      <c r="M24" s="247">
        <f t="shared" si="7"/>
        <v>0</v>
      </c>
      <c r="N24" s="247">
        <f t="shared" si="7"/>
        <v>0</v>
      </c>
      <c r="O24" s="247">
        <f t="shared" si="7"/>
        <v>0</v>
      </c>
      <c r="P24" s="247">
        <f t="shared" si="7"/>
        <v>0</v>
      </c>
      <c r="Q24" s="247">
        <f t="shared" si="7"/>
        <v>496.73340999986976</v>
      </c>
      <c r="R24" s="247">
        <f t="shared" si="7"/>
        <v>-1603.2589000000153</v>
      </c>
      <c r="S24" s="247">
        <f t="shared" si="7"/>
        <v>-2277.7436000001617</v>
      </c>
      <c r="T24" s="247">
        <f t="shared" si="7"/>
        <v>-2871.7358099999838</v>
      </c>
      <c r="U24" s="247">
        <f t="shared" si="7"/>
        <v>-7631.287740000058</v>
      </c>
      <c r="V24" s="247">
        <f t="shared" si="7"/>
        <v>-13644.698150000069</v>
      </c>
      <c r="W24" s="247">
        <f t="shared" si="7"/>
        <v>-17182.057259999914</v>
      </c>
      <c r="X24" s="247">
        <f t="shared" si="7"/>
        <v>-22569.387000000104</v>
      </c>
      <c r="Y24" s="247">
        <f t="shared" si="7"/>
        <v>-29772.408939999994</v>
      </c>
      <c r="Z24" s="247">
        <f t="shared" si="7"/>
        <v>-38636.10503999982</v>
      </c>
      <c r="AA24" s="247">
        <f t="shared" si="7"/>
        <v>-48695.129249999998</v>
      </c>
      <c r="AB24" s="247">
        <f t="shared" si="7"/>
        <v>-56910.95961000002</v>
      </c>
      <c r="AC24" s="247">
        <f t="shared" si="7"/>
        <v>-67325.121409999905</v>
      </c>
      <c r="AD24" s="247">
        <f t="shared" si="7"/>
        <v>-76980.635219999822</v>
      </c>
      <c r="AE24" s="247">
        <f t="shared" si="7"/>
        <v>-86199.914809999987</v>
      </c>
      <c r="AF24" s="247">
        <f t="shared" si="7"/>
        <v>-97657.04617000022</v>
      </c>
      <c r="AG24" s="247">
        <f t="shared" si="7"/>
        <v>-106640.01094000018</v>
      </c>
      <c r="AH24" s="247">
        <f t="shared" si="7"/>
        <v>-115260.19831000012</v>
      </c>
      <c r="AI24" s="247">
        <f t="shared" si="7"/>
        <v>-123818.15933199995</v>
      </c>
      <c r="AJ24" s="247">
        <f t="shared" si="7"/>
        <v>-132108.49161000014</v>
      </c>
      <c r="AK24" s="247">
        <f t="shared" si="7"/>
        <v>-140461.14715799992</v>
      </c>
      <c r="AL24" s="247">
        <f t="shared" si="7"/>
        <v>-149183.38521099975</v>
      </c>
      <c r="AM24" s="247">
        <f t="shared" si="7"/>
        <v>-157074.14749800018</v>
      </c>
      <c r="AN24" s="247">
        <f t="shared" si="7"/>
        <v>-164800.99231099989</v>
      </c>
      <c r="AO24" s="247">
        <f t="shared" si="7"/>
        <v>-172392.88325000019</v>
      </c>
      <c r="AP24" s="247">
        <f t="shared" si="7"/>
        <v>-181841.73488899996</v>
      </c>
      <c r="AQ24" s="247">
        <f t="shared" si="7"/>
        <v>-191353.31616099994</v>
      </c>
      <c r="AR24" s="247">
        <f t="shared" si="7"/>
        <v>-200283.54063499998</v>
      </c>
      <c r="AS24" s="247">
        <f t="shared" si="7"/>
        <v>-208638.75070099998</v>
      </c>
      <c r="AT24" s="247">
        <f t="shared" si="7"/>
        <v>-216611.16288399999</v>
      </c>
      <c r="AU24" s="247">
        <f t="shared" si="7"/>
        <v>-224933.52584300004</v>
      </c>
      <c r="AV24" s="268"/>
    </row>
    <row r="25" spans="1:49" x14ac:dyDescent="0.25">
      <c r="B25" s="249" t="s">
        <v>466</v>
      </c>
      <c r="C25" s="251">
        <f t="shared" si="7"/>
        <v>0</v>
      </c>
      <c r="D25" s="251">
        <f t="shared" si="7"/>
        <v>0</v>
      </c>
      <c r="E25" s="251">
        <f t="shared" si="7"/>
        <v>0</v>
      </c>
      <c r="F25" s="251">
        <f t="shared" si="7"/>
        <v>0</v>
      </c>
      <c r="G25" s="251">
        <f t="shared" si="7"/>
        <v>0</v>
      </c>
      <c r="H25" s="251">
        <f t="shared" si="7"/>
        <v>0</v>
      </c>
      <c r="I25" s="251">
        <f t="shared" si="7"/>
        <v>0</v>
      </c>
      <c r="J25" s="251">
        <f t="shared" si="7"/>
        <v>0</v>
      </c>
      <c r="K25" s="251">
        <f t="shared" si="7"/>
        <v>0</v>
      </c>
      <c r="L25" s="251">
        <f t="shared" si="7"/>
        <v>0</v>
      </c>
      <c r="M25" s="251">
        <f t="shared" si="7"/>
        <v>0</v>
      </c>
      <c r="N25" s="251">
        <f t="shared" si="7"/>
        <v>0</v>
      </c>
      <c r="O25" s="251">
        <f t="shared" si="7"/>
        <v>0</v>
      </c>
      <c r="P25" s="251">
        <f t="shared" si="7"/>
        <v>0</v>
      </c>
      <c r="Q25" s="251">
        <f t="shared" si="7"/>
        <v>0</v>
      </c>
      <c r="R25" s="251">
        <f t="shared" si="7"/>
        <v>0</v>
      </c>
      <c r="S25" s="251">
        <f t="shared" si="7"/>
        <v>0</v>
      </c>
      <c r="T25" s="251">
        <f t="shared" si="7"/>
        <v>8.0876900000002934</v>
      </c>
      <c r="U25" s="251">
        <f t="shared" si="7"/>
        <v>-339.70338999999876</v>
      </c>
      <c r="V25" s="251">
        <f t="shared" si="7"/>
        <v>-681.1305599999996</v>
      </c>
      <c r="W25" s="251">
        <f t="shared" si="7"/>
        <v>-978.6832400000003</v>
      </c>
      <c r="X25" s="251">
        <f t="shared" si="7"/>
        <v>-1285.4405499999993</v>
      </c>
      <c r="Y25" s="251">
        <f t="shared" si="7"/>
        <v>-1642.7276700000002</v>
      </c>
      <c r="Z25" s="251">
        <f t="shared" si="7"/>
        <v>-2034.105230000001</v>
      </c>
      <c r="AA25" s="251">
        <f t="shared" si="7"/>
        <v>-2468.9238699999987</v>
      </c>
      <c r="AB25" s="251">
        <f t="shared" si="7"/>
        <v>-3137.5239499999989</v>
      </c>
      <c r="AC25" s="251">
        <f t="shared" si="7"/>
        <v>-3754.29378</v>
      </c>
      <c r="AD25" s="251">
        <f t="shared" si="7"/>
        <v>-4389.6275799999985</v>
      </c>
      <c r="AE25" s="251">
        <f t="shared" si="7"/>
        <v>-5039.1955600000001</v>
      </c>
      <c r="AF25" s="251">
        <f t="shared" si="7"/>
        <v>-5708.5918799999999</v>
      </c>
      <c r="AG25" s="251">
        <f t="shared" si="7"/>
        <v>-6384.2960700000003</v>
      </c>
      <c r="AH25" s="251">
        <f t="shared" si="7"/>
        <v>-7050.3090799999991</v>
      </c>
      <c r="AI25" s="251">
        <f t="shared" si="7"/>
        <v>-7729.0437620000084</v>
      </c>
      <c r="AJ25" s="251">
        <f t="shared" si="7"/>
        <v>-8397.45784000001</v>
      </c>
      <c r="AK25" s="251">
        <f t="shared" si="7"/>
        <v>-9088.2812979999999</v>
      </c>
      <c r="AL25" s="251">
        <f t="shared" si="7"/>
        <v>-9778.3157909999991</v>
      </c>
      <c r="AM25" s="251">
        <f t="shared" si="7"/>
        <v>-10426.608508000001</v>
      </c>
      <c r="AN25" s="251">
        <f t="shared" si="7"/>
        <v>-11097.096640999998</v>
      </c>
      <c r="AO25" s="251">
        <f t="shared" si="7"/>
        <v>-11770.562769999999</v>
      </c>
      <c r="AP25" s="251">
        <f t="shared" si="7"/>
        <v>-12444.954379000001</v>
      </c>
      <c r="AQ25" s="251">
        <f t="shared" si="7"/>
        <v>-13127.831271000003</v>
      </c>
      <c r="AR25" s="251">
        <f t="shared" si="7"/>
        <v>-13821.348435</v>
      </c>
      <c r="AS25" s="251">
        <f t="shared" si="7"/>
        <v>-14508.776321000001</v>
      </c>
      <c r="AT25" s="251">
        <f t="shared" si="7"/>
        <v>-15193.893964000001</v>
      </c>
      <c r="AU25" s="251">
        <f t="shared" si="7"/>
        <v>-15886.022663</v>
      </c>
      <c r="AV25" s="268"/>
    </row>
    <row r="26" spans="1:49" x14ac:dyDescent="0.25">
      <c r="B26" s="254" t="s">
        <v>467</v>
      </c>
      <c r="C26" s="256">
        <f t="shared" ref="C26:E26" si="8">SUM(C27:C28)</f>
        <v>0</v>
      </c>
      <c r="D26" s="256">
        <f t="shared" si="8"/>
        <v>0</v>
      </c>
      <c r="E26" s="256">
        <f t="shared" si="8"/>
        <v>0</v>
      </c>
      <c r="F26" s="256">
        <f>SUM(F27:F28)</f>
        <v>0</v>
      </c>
      <c r="G26" s="256">
        <f t="shared" ref="G26:AU26" si="9">SUM(G27:G28)</f>
        <v>0</v>
      </c>
      <c r="H26" s="256">
        <f t="shared" si="9"/>
        <v>0</v>
      </c>
      <c r="I26" s="256">
        <f t="shared" si="9"/>
        <v>0</v>
      </c>
      <c r="J26" s="256">
        <f t="shared" si="9"/>
        <v>0</v>
      </c>
      <c r="K26" s="256">
        <f t="shared" si="9"/>
        <v>0</v>
      </c>
      <c r="L26" s="256">
        <f t="shared" si="9"/>
        <v>0</v>
      </c>
      <c r="M26" s="256">
        <f t="shared" si="9"/>
        <v>0</v>
      </c>
      <c r="N26" s="256">
        <f t="shared" si="9"/>
        <v>0</v>
      </c>
      <c r="O26" s="256">
        <f t="shared" si="9"/>
        <v>0</v>
      </c>
      <c r="P26" s="256">
        <f t="shared" si="9"/>
        <v>0</v>
      </c>
      <c r="Q26" s="256">
        <f t="shared" si="9"/>
        <v>0</v>
      </c>
      <c r="R26" s="256">
        <f t="shared" si="9"/>
        <v>0</v>
      </c>
      <c r="S26" s="256">
        <f t="shared" si="9"/>
        <v>0</v>
      </c>
      <c r="T26" s="256">
        <f t="shared" si="9"/>
        <v>-2.5869200000161072</v>
      </c>
      <c r="U26" s="256">
        <f t="shared" si="9"/>
        <v>-5045.2437799999752</v>
      </c>
      <c r="V26" s="256">
        <f t="shared" si="9"/>
        <v>-11276.032129999956</v>
      </c>
      <c r="W26" s="256">
        <f t="shared" si="9"/>
        <v>-10778.344060000018</v>
      </c>
      <c r="X26" s="256">
        <f t="shared" si="9"/>
        <v>-11811.693049999973</v>
      </c>
      <c r="Y26" s="256">
        <f t="shared" si="9"/>
        <v>-13863.32246000001</v>
      </c>
      <c r="Z26" s="256">
        <f t="shared" si="9"/>
        <v>-17054.527339999979</v>
      </c>
      <c r="AA26" s="256">
        <f t="shared" si="9"/>
        <v>6615.9304000000411</v>
      </c>
      <c r="AB26" s="256">
        <f t="shared" si="9"/>
        <v>-23592.455210000022</v>
      </c>
      <c r="AC26" s="256">
        <f t="shared" si="9"/>
        <v>-28777.366750000023</v>
      </c>
      <c r="AD26" s="256">
        <f t="shared" si="9"/>
        <v>-32901.56583</v>
      </c>
      <c r="AE26" s="256">
        <f t="shared" si="9"/>
        <v>-36532.046510000029</v>
      </c>
      <c r="AF26" s="256">
        <f t="shared" si="9"/>
        <v>-42264.880809999981</v>
      </c>
      <c r="AG26" s="256">
        <f t="shared" si="9"/>
        <v>-45499.588820000034</v>
      </c>
      <c r="AH26" s="256">
        <f t="shared" si="9"/>
        <v>-48772.694710000011</v>
      </c>
      <c r="AI26" s="256">
        <f t="shared" si="9"/>
        <v>-51941.046939999978</v>
      </c>
      <c r="AJ26" s="256">
        <f t="shared" si="9"/>
        <v>-55110.550730000017</v>
      </c>
      <c r="AK26" s="256">
        <f t="shared" si="9"/>
        <v>-58233.654940000066</v>
      </c>
      <c r="AL26" s="256">
        <f t="shared" si="9"/>
        <v>-61610.313650000026</v>
      </c>
      <c r="AM26" s="256">
        <f t="shared" si="9"/>
        <v>-64724.814449999991</v>
      </c>
      <c r="AN26" s="256">
        <f t="shared" si="9"/>
        <v>-67586.230860000011</v>
      </c>
      <c r="AO26" s="256">
        <f t="shared" si="9"/>
        <v>-70388.114039999986</v>
      </c>
      <c r="AP26" s="256">
        <f t="shared" si="9"/>
        <v>-74740.310090000014</v>
      </c>
      <c r="AQ26" s="256">
        <f t="shared" si="9"/>
        <v>-78860.862370000017</v>
      </c>
      <c r="AR26" s="256">
        <f t="shared" si="9"/>
        <v>-82612.482660000096</v>
      </c>
      <c r="AS26" s="256">
        <f t="shared" si="9"/>
        <v>-86189.061630000011</v>
      </c>
      <c r="AT26" s="256">
        <f t="shared" si="9"/>
        <v>-89614.473070000007</v>
      </c>
      <c r="AU26" s="256">
        <f t="shared" si="9"/>
        <v>-1899.3388999999443</v>
      </c>
      <c r="AV26" s="268"/>
    </row>
    <row r="27" spans="1:49" x14ac:dyDescent="0.25">
      <c r="B27" s="258" t="s">
        <v>468</v>
      </c>
      <c r="C27" s="212">
        <f t="shared" ref="C27:AU28" si="10">C5-C16</f>
        <v>0</v>
      </c>
      <c r="D27" s="212">
        <f t="shared" si="10"/>
        <v>0</v>
      </c>
      <c r="E27" s="212">
        <f t="shared" si="10"/>
        <v>0</v>
      </c>
      <c r="F27" s="212">
        <f t="shared" si="10"/>
        <v>0</v>
      </c>
      <c r="G27" s="212">
        <f t="shared" si="10"/>
        <v>0</v>
      </c>
      <c r="H27" s="212">
        <f t="shared" si="10"/>
        <v>0</v>
      </c>
      <c r="I27" s="212">
        <f t="shared" si="10"/>
        <v>0</v>
      </c>
      <c r="J27" s="212">
        <f t="shared" si="10"/>
        <v>0</v>
      </c>
      <c r="K27" s="212">
        <f t="shared" si="10"/>
        <v>0</v>
      </c>
      <c r="L27" s="212">
        <f t="shared" si="10"/>
        <v>0</v>
      </c>
      <c r="M27" s="212">
        <f t="shared" si="10"/>
        <v>0</v>
      </c>
      <c r="N27" s="212">
        <f t="shared" si="10"/>
        <v>0</v>
      </c>
      <c r="O27" s="212">
        <f t="shared" si="10"/>
        <v>0</v>
      </c>
      <c r="P27" s="212">
        <f t="shared" si="10"/>
        <v>0</v>
      </c>
      <c r="Q27" s="212">
        <f t="shared" si="10"/>
        <v>0</v>
      </c>
      <c r="R27" s="212">
        <f t="shared" si="10"/>
        <v>0</v>
      </c>
      <c r="S27" s="212">
        <f t="shared" si="10"/>
        <v>0</v>
      </c>
      <c r="T27" s="212">
        <f t="shared" si="10"/>
        <v>-12.703800000017509</v>
      </c>
      <c r="U27" s="212">
        <f t="shared" si="10"/>
        <v>-6822.7053999999771</v>
      </c>
      <c r="V27" s="212">
        <f t="shared" si="10"/>
        <v>-14886.528499999957</v>
      </c>
      <c r="W27" s="212">
        <f t="shared" si="10"/>
        <v>-14870.817700000014</v>
      </c>
      <c r="X27" s="212">
        <f t="shared" si="10"/>
        <v>-16497.180899999978</v>
      </c>
      <c r="Y27" s="212">
        <f t="shared" si="10"/>
        <v>-19155.027700000006</v>
      </c>
      <c r="Z27" s="212">
        <f t="shared" si="10"/>
        <v>-23001.706699999981</v>
      </c>
      <c r="AA27" s="212">
        <f t="shared" si="10"/>
        <v>-27625.113299999968</v>
      </c>
      <c r="AB27" s="212">
        <f t="shared" si="10"/>
        <v>-30410.905600000027</v>
      </c>
      <c r="AC27" s="212">
        <f t="shared" si="10"/>
        <v>-36085.080200000026</v>
      </c>
      <c r="AD27" s="212">
        <f t="shared" si="10"/>
        <v>-40522.192899999995</v>
      </c>
      <c r="AE27" s="212">
        <f t="shared" si="10"/>
        <v>-44392.964400000026</v>
      </c>
      <c r="AF27" s="212">
        <f t="shared" si="10"/>
        <v>-50557.25079999998</v>
      </c>
      <c r="AG27" s="212">
        <f t="shared" si="10"/>
        <v>-54009.482900000032</v>
      </c>
      <c r="AH27" s="212">
        <f t="shared" si="10"/>
        <v>-57528.986900000018</v>
      </c>
      <c r="AI27" s="212">
        <f t="shared" si="10"/>
        <v>-60900.48119999998</v>
      </c>
      <c r="AJ27" s="212">
        <f t="shared" si="10"/>
        <v>-64286.486300000019</v>
      </c>
      <c r="AK27" s="212">
        <f t="shared" si="10"/>
        <v>-67586.213799999969</v>
      </c>
      <c r="AL27" s="212">
        <f t="shared" si="10"/>
        <v>-71163.275700000027</v>
      </c>
      <c r="AM27" s="212">
        <f t="shared" si="10"/>
        <v>-74511.530299999984</v>
      </c>
      <c r="AN27" s="212">
        <f t="shared" si="10"/>
        <v>-77557.170000000013</v>
      </c>
      <c r="AO27" s="212">
        <f t="shared" si="10"/>
        <v>-80532.953799999988</v>
      </c>
      <c r="AP27" s="212">
        <f t="shared" si="10"/>
        <v>-85218.567800000019</v>
      </c>
      <c r="AQ27" s="212">
        <f t="shared" si="10"/>
        <v>-89554.983300000022</v>
      </c>
      <c r="AR27" s="212">
        <f t="shared" si="10"/>
        <v>-93504.77840000001</v>
      </c>
      <c r="AS27" s="212">
        <f t="shared" si="10"/>
        <v>-97304.912400000001</v>
      </c>
      <c r="AT27" s="212">
        <f t="shared" si="10"/>
        <v>-100943.70870000002</v>
      </c>
      <c r="AU27" s="212">
        <f t="shared" si="10"/>
        <v>-103912.39819999997</v>
      </c>
      <c r="AV27" s="268"/>
    </row>
    <row r="28" spans="1:49" x14ac:dyDescent="0.25">
      <c r="B28" s="261" t="s">
        <v>469</v>
      </c>
      <c r="C28" s="263">
        <f t="shared" si="10"/>
        <v>0</v>
      </c>
      <c r="D28" s="263">
        <f t="shared" si="10"/>
        <v>0</v>
      </c>
      <c r="E28" s="263">
        <f t="shared" si="10"/>
        <v>0</v>
      </c>
      <c r="F28" s="263">
        <f t="shared" si="10"/>
        <v>0</v>
      </c>
      <c r="G28" s="263">
        <f t="shared" si="10"/>
        <v>0</v>
      </c>
      <c r="H28" s="263">
        <f t="shared" si="10"/>
        <v>0</v>
      </c>
      <c r="I28" s="263">
        <f t="shared" si="10"/>
        <v>0</v>
      </c>
      <c r="J28" s="263">
        <f t="shared" si="10"/>
        <v>0</v>
      </c>
      <c r="K28" s="263">
        <f t="shared" si="10"/>
        <v>0</v>
      </c>
      <c r="L28" s="263">
        <f t="shared" si="10"/>
        <v>0</v>
      </c>
      <c r="M28" s="263">
        <f t="shared" si="10"/>
        <v>0</v>
      </c>
      <c r="N28" s="263">
        <f t="shared" si="10"/>
        <v>0</v>
      </c>
      <c r="O28" s="263">
        <f t="shared" si="10"/>
        <v>0</v>
      </c>
      <c r="P28" s="263">
        <f t="shared" si="10"/>
        <v>0</v>
      </c>
      <c r="Q28" s="263">
        <f t="shared" si="10"/>
        <v>0</v>
      </c>
      <c r="R28" s="263">
        <f t="shared" si="10"/>
        <v>0</v>
      </c>
      <c r="S28" s="263">
        <f t="shared" si="10"/>
        <v>0</v>
      </c>
      <c r="T28" s="263">
        <f t="shared" si="10"/>
        <v>10.116880000001402</v>
      </c>
      <c r="U28" s="263">
        <f t="shared" si="10"/>
        <v>1777.4616200000019</v>
      </c>
      <c r="V28" s="263">
        <f t="shared" si="10"/>
        <v>3610.4963700000008</v>
      </c>
      <c r="W28" s="263">
        <f t="shared" si="10"/>
        <v>4092.4736399999965</v>
      </c>
      <c r="X28" s="263">
        <f t="shared" si="10"/>
        <v>4685.487850000005</v>
      </c>
      <c r="Y28" s="263">
        <f t="shared" si="10"/>
        <v>5291.7052399999957</v>
      </c>
      <c r="Z28" s="263">
        <f t="shared" si="10"/>
        <v>5947.1793600000019</v>
      </c>
      <c r="AA28" s="263">
        <f t="shared" si="10"/>
        <v>34241.043700000009</v>
      </c>
      <c r="AB28" s="263">
        <f t="shared" si="10"/>
        <v>6818.4503900000054</v>
      </c>
      <c r="AC28" s="263">
        <f t="shared" si="10"/>
        <v>7307.7134500000029</v>
      </c>
      <c r="AD28" s="263">
        <f t="shared" si="10"/>
        <v>7620.627069999995</v>
      </c>
      <c r="AE28" s="263">
        <f t="shared" si="10"/>
        <v>7860.917889999997</v>
      </c>
      <c r="AF28" s="263">
        <f t="shared" si="10"/>
        <v>8292.3699899999992</v>
      </c>
      <c r="AG28" s="263">
        <f t="shared" si="10"/>
        <v>8509.8940799999982</v>
      </c>
      <c r="AH28" s="263">
        <f t="shared" si="10"/>
        <v>8756.2921900000074</v>
      </c>
      <c r="AI28" s="263">
        <f t="shared" si="10"/>
        <v>8959.4342600000018</v>
      </c>
      <c r="AJ28" s="263">
        <f t="shared" si="10"/>
        <v>9175.9355700000015</v>
      </c>
      <c r="AK28" s="263">
        <f t="shared" si="10"/>
        <v>9352.5588599999028</v>
      </c>
      <c r="AL28" s="263">
        <f t="shared" si="10"/>
        <v>9552.9620500000019</v>
      </c>
      <c r="AM28" s="263">
        <f t="shared" si="10"/>
        <v>9786.7158499999932</v>
      </c>
      <c r="AN28" s="263">
        <f t="shared" si="10"/>
        <v>9970.9391399999949</v>
      </c>
      <c r="AO28" s="263">
        <f t="shared" si="10"/>
        <v>10144.839760000003</v>
      </c>
      <c r="AP28" s="263">
        <f t="shared" si="10"/>
        <v>10478.257709999998</v>
      </c>
      <c r="AQ28" s="263">
        <f t="shared" si="10"/>
        <v>10694.120930000005</v>
      </c>
      <c r="AR28" s="263">
        <f t="shared" si="10"/>
        <v>10892.295739999907</v>
      </c>
      <c r="AS28" s="263">
        <f t="shared" si="10"/>
        <v>11115.850769999997</v>
      </c>
      <c r="AT28" s="263">
        <f t="shared" si="10"/>
        <v>11329.235630000003</v>
      </c>
      <c r="AU28" s="263">
        <f t="shared" si="10"/>
        <v>102013.05930000002</v>
      </c>
      <c r="AV28" s="268"/>
    </row>
    <row r="29" spans="1:49" x14ac:dyDescent="0.25">
      <c r="B29" s="258" t="s">
        <v>470</v>
      </c>
      <c r="C29" s="212">
        <f t="shared" ref="C29:E29" si="11">SUM(C30:C31)</f>
        <v>0</v>
      </c>
      <c r="D29" s="212">
        <f t="shared" si="11"/>
        <v>0</v>
      </c>
      <c r="E29" s="212">
        <f t="shared" si="11"/>
        <v>0</v>
      </c>
      <c r="F29" s="212">
        <f>SUM(F30:F31)</f>
        <v>0</v>
      </c>
      <c r="G29" s="212">
        <f t="shared" ref="G29:AU29" si="12">SUM(G30:G31)</f>
        <v>0</v>
      </c>
      <c r="H29" s="212">
        <f t="shared" si="12"/>
        <v>0</v>
      </c>
      <c r="I29" s="212">
        <f t="shared" si="12"/>
        <v>0</v>
      </c>
      <c r="J29" s="212">
        <f t="shared" si="12"/>
        <v>0</v>
      </c>
      <c r="K29" s="212">
        <f t="shared" si="12"/>
        <v>0</v>
      </c>
      <c r="L29" s="212">
        <f t="shared" si="12"/>
        <v>0</v>
      </c>
      <c r="M29" s="212">
        <f t="shared" si="12"/>
        <v>0</v>
      </c>
      <c r="N29" s="212">
        <f t="shared" si="12"/>
        <v>0</v>
      </c>
      <c r="O29" s="212">
        <f t="shared" si="12"/>
        <v>0</v>
      </c>
      <c r="P29" s="212">
        <f t="shared" si="12"/>
        <v>0</v>
      </c>
      <c r="Q29" s="212">
        <f t="shared" si="12"/>
        <v>0</v>
      </c>
      <c r="R29" s="212">
        <f t="shared" si="12"/>
        <v>0</v>
      </c>
      <c r="S29" s="212">
        <f t="shared" si="12"/>
        <v>0</v>
      </c>
      <c r="T29" s="212">
        <f t="shared" si="12"/>
        <v>74.949900000006892</v>
      </c>
      <c r="U29" s="212">
        <f t="shared" si="12"/>
        <v>1384.8675999999396</v>
      </c>
      <c r="V29" s="212">
        <f t="shared" si="12"/>
        <v>2622.2452000000339</v>
      </c>
      <c r="W29" s="212">
        <f t="shared" si="12"/>
        <v>-436.04109999997308</v>
      </c>
      <c r="X29" s="212">
        <f t="shared" si="12"/>
        <v>-3803.7696999999753</v>
      </c>
      <c r="Y29" s="212">
        <f t="shared" si="12"/>
        <v>-7912.6179000000702</v>
      </c>
      <c r="Z29" s="212">
        <f t="shared" si="12"/>
        <v>-12504.251000000018</v>
      </c>
      <c r="AA29" s="212">
        <f t="shared" si="12"/>
        <v>-45106.59086000004</v>
      </c>
      <c r="AB29" s="212">
        <f t="shared" si="12"/>
        <v>-21748.987399999955</v>
      </c>
      <c r="AC29" s="212">
        <f t="shared" si="12"/>
        <v>-25667.841300000058</v>
      </c>
      <c r="AD29" s="212">
        <f t="shared" si="12"/>
        <v>-29859.258199999982</v>
      </c>
      <c r="AE29" s="212">
        <f t="shared" si="12"/>
        <v>-34087.612999999954</v>
      </c>
      <c r="AF29" s="212">
        <f t="shared" si="12"/>
        <v>-38435.525700000057</v>
      </c>
      <c r="AG29" s="212">
        <f t="shared" si="12"/>
        <v>-42785.167400000035</v>
      </c>
      <c r="AH29" s="212">
        <f t="shared" si="12"/>
        <v>-46734.263100000069</v>
      </c>
      <c r="AI29" s="212">
        <f t="shared" si="12"/>
        <v>-50707.188800000004</v>
      </c>
      <c r="AJ29" s="212">
        <f t="shared" si="12"/>
        <v>-54415.505100000009</v>
      </c>
      <c r="AK29" s="212">
        <f t="shared" si="12"/>
        <v>-58205.126700000052</v>
      </c>
      <c r="AL29" s="212">
        <f t="shared" si="12"/>
        <v>-62105.52959999998</v>
      </c>
      <c r="AM29" s="212">
        <f t="shared" si="12"/>
        <v>-65474.906699999963</v>
      </c>
      <c r="AN29" s="212">
        <f t="shared" si="12"/>
        <v>-68906.100799999957</v>
      </c>
      <c r="AO29" s="212">
        <f t="shared" si="12"/>
        <v>-72254.592200000043</v>
      </c>
      <c r="AP29" s="212">
        <f t="shared" si="12"/>
        <v>-75904.741700000042</v>
      </c>
      <c r="AQ29" s="212">
        <f t="shared" si="12"/>
        <v>-79836.147199999919</v>
      </c>
      <c r="AR29" s="212">
        <f t="shared" si="12"/>
        <v>-83540.068899999984</v>
      </c>
      <c r="AS29" s="212">
        <f t="shared" si="12"/>
        <v>-86846.089199999959</v>
      </c>
      <c r="AT29" s="212">
        <f t="shared" si="12"/>
        <v>-89918.66240000003</v>
      </c>
      <c r="AU29" s="212">
        <f t="shared" si="12"/>
        <v>-184469.17128000004</v>
      </c>
      <c r="AV29" s="268"/>
    </row>
    <row r="30" spans="1:49" x14ac:dyDescent="0.25">
      <c r="B30" s="258" t="s">
        <v>471</v>
      </c>
      <c r="C30" s="212">
        <f t="shared" ref="C30:AU31" si="13">C8-C19</f>
        <v>0</v>
      </c>
      <c r="D30" s="212">
        <f t="shared" si="13"/>
        <v>0</v>
      </c>
      <c r="E30" s="212">
        <f t="shared" si="13"/>
        <v>0</v>
      </c>
      <c r="F30" s="212">
        <f t="shared" si="13"/>
        <v>0</v>
      </c>
      <c r="G30" s="212">
        <f t="shared" si="13"/>
        <v>0</v>
      </c>
      <c r="H30" s="212">
        <f t="shared" si="13"/>
        <v>0</v>
      </c>
      <c r="I30" s="212">
        <f t="shared" si="13"/>
        <v>0</v>
      </c>
      <c r="J30" s="212">
        <f t="shared" si="13"/>
        <v>0</v>
      </c>
      <c r="K30" s="212">
        <f t="shared" si="13"/>
        <v>0</v>
      </c>
      <c r="L30" s="212">
        <f t="shared" si="13"/>
        <v>0</v>
      </c>
      <c r="M30" s="212">
        <f t="shared" si="13"/>
        <v>0</v>
      </c>
      <c r="N30" s="212">
        <f t="shared" si="13"/>
        <v>0</v>
      </c>
      <c r="O30" s="212">
        <f t="shared" si="13"/>
        <v>0</v>
      </c>
      <c r="P30" s="212">
        <f t="shared" si="13"/>
        <v>0</v>
      </c>
      <c r="Q30" s="212">
        <f t="shared" si="13"/>
        <v>0</v>
      </c>
      <c r="R30" s="212">
        <f t="shared" si="13"/>
        <v>0</v>
      </c>
      <c r="S30" s="212">
        <f t="shared" si="13"/>
        <v>0</v>
      </c>
      <c r="T30" s="212">
        <f t="shared" si="13"/>
        <v>63.506099999998696</v>
      </c>
      <c r="U30" s="212">
        <f t="shared" si="13"/>
        <v>-6923.6680000000633</v>
      </c>
      <c r="V30" s="212">
        <f t="shared" si="13"/>
        <v>-14696.828899999964</v>
      </c>
      <c r="W30" s="212">
        <f t="shared" si="13"/>
        <v>-20607.559099999955</v>
      </c>
      <c r="X30" s="212">
        <f t="shared" si="13"/>
        <v>-27269.815999999992</v>
      </c>
      <c r="Y30" s="212">
        <f t="shared" si="13"/>
        <v>-34770.313900000066</v>
      </c>
      <c r="Z30" s="212">
        <f t="shared" si="13"/>
        <v>-43002.015200000023</v>
      </c>
      <c r="AA30" s="212">
        <f t="shared" si="13"/>
        <v>-51731.943300000043</v>
      </c>
      <c r="AB30" s="212">
        <f t="shared" si="13"/>
        <v>-58758.664299999946</v>
      </c>
      <c r="AC30" s="212">
        <f t="shared" si="13"/>
        <v>-66453.155600000056</v>
      </c>
      <c r="AD30" s="212">
        <f t="shared" si="13"/>
        <v>-74027.686899999972</v>
      </c>
      <c r="AE30" s="212">
        <f t="shared" si="13"/>
        <v>-81472.861799999955</v>
      </c>
      <c r="AF30" s="212">
        <f t="shared" si="13"/>
        <v>-89709.616000000038</v>
      </c>
      <c r="AG30" s="212">
        <f t="shared" si="13"/>
        <v>-96948.429800000042</v>
      </c>
      <c r="AH30" s="212">
        <f t="shared" si="13"/>
        <v>-104032.95350000006</v>
      </c>
      <c r="AI30" s="212">
        <f t="shared" si="13"/>
        <v>-111172.8284</v>
      </c>
      <c r="AJ30" s="212">
        <f t="shared" si="13"/>
        <v>-118186.82709999999</v>
      </c>
      <c r="AK30" s="212">
        <f t="shared" si="13"/>
        <v>-125287.02430000005</v>
      </c>
      <c r="AL30" s="212">
        <f t="shared" si="13"/>
        <v>-132526.3578</v>
      </c>
      <c r="AM30" s="212">
        <f t="shared" si="13"/>
        <v>-139330.66339999996</v>
      </c>
      <c r="AN30" s="212">
        <f t="shared" si="13"/>
        <v>-146115.41859999998</v>
      </c>
      <c r="AO30" s="212">
        <f t="shared" si="13"/>
        <v>-152835.98620000004</v>
      </c>
      <c r="AP30" s="212">
        <f t="shared" si="13"/>
        <v>-160012.16960000002</v>
      </c>
      <c r="AQ30" s="212">
        <f t="shared" si="13"/>
        <v>-167440.32419999992</v>
      </c>
      <c r="AR30" s="212">
        <f t="shared" si="13"/>
        <v>-174611.86239999998</v>
      </c>
      <c r="AS30" s="212">
        <f t="shared" si="13"/>
        <v>-181486.49069999997</v>
      </c>
      <c r="AT30" s="212">
        <f t="shared" si="13"/>
        <v>-188215.12730000005</v>
      </c>
      <c r="AU30" s="212">
        <f t="shared" si="13"/>
        <v>-195694.51180000004</v>
      </c>
      <c r="AV30" s="268"/>
    </row>
    <row r="31" spans="1:49" x14ac:dyDescent="0.25">
      <c r="B31" s="261" t="s">
        <v>472</v>
      </c>
      <c r="C31" s="263">
        <f t="shared" si="13"/>
        <v>0</v>
      </c>
      <c r="D31" s="263">
        <f t="shared" si="13"/>
        <v>0</v>
      </c>
      <c r="E31" s="263">
        <f t="shared" si="13"/>
        <v>0</v>
      </c>
      <c r="F31" s="263">
        <f t="shared" si="13"/>
        <v>0</v>
      </c>
      <c r="G31" s="263">
        <f t="shared" si="13"/>
        <v>0</v>
      </c>
      <c r="H31" s="263">
        <f t="shared" si="13"/>
        <v>0</v>
      </c>
      <c r="I31" s="263">
        <f t="shared" si="13"/>
        <v>0</v>
      </c>
      <c r="J31" s="263">
        <f t="shared" si="13"/>
        <v>0</v>
      </c>
      <c r="K31" s="263">
        <f t="shared" si="13"/>
        <v>0</v>
      </c>
      <c r="L31" s="263">
        <f t="shared" si="13"/>
        <v>0</v>
      </c>
      <c r="M31" s="263">
        <f t="shared" si="13"/>
        <v>0</v>
      </c>
      <c r="N31" s="263">
        <f t="shared" si="13"/>
        <v>0</v>
      </c>
      <c r="O31" s="263">
        <f t="shared" si="13"/>
        <v>0</v>
      </c>
      <c r="P31" s="263">
        <f t="shared" si="13"/>
        <v>0</v>
      </c>
      <c r="Q31" s="263">
        <f t="shared" si="13"/>
        <v>0</v>
      </c>
      <c r="R31" s="263">
        <f t="shared" si="13"/>
        <v>0</v>
      </c>
      <c r="S31" s="263">
        <f t="shared" si="13"/>
        <v>0</v>
      </c>
      <c r="T31" s="263">
        <f t="shared" si="13"/>
        <v>11.443800000008196</v>
      </c>
      <c r="U31" s="263">
        <f t="shared" si="13"/>
        <v>8308.5356000000029</v>
      </c>
      <c r="V31" s="263">
        <f t="shared" si="13"/>
        <v>17319.074099999998</v>
      </c>
      <c r="W31" s="263">
        <f t="shared" si="13"/>
        <v>20171.517999999982</v>
      </c>
      <c r="X31" s="263">
        <f t="shared" si="13"/>
        <v>23466.046300000016</v>
      </c>
      <c r="Y31" s="263">
        <f t="shared" si="13"/>
        <v>26857.695999999996</v>
      </c>
      <c r="Z31" s="263">
        <f t="shared" si="13"/>
        <v>30497.764200000005</v>
      </c>
      <c r="AA31" s="263">
        <f t="shared" si="13"/>
        <v>6625.3524400000024</v>
      </c>
      <c r="AB31" s="263">
        <f t="shared" si="13"/>
        <v>37009.676899999991</v>
      </c>
      <c r="AC31" s="263">
        <f t="shared" si="13"/>
        <v>40785.314299999998</v>
      </c>
      <c r="AD31" s="263">
        <f t="shared" si="13"/>
        <v>44168.428699999989</v>
      </c>
      <c r="AE31" s="263">
        <f t="shared" si="13"/>
        <v>47385.248800000001</v>
      </c>
      <c r="AF31" s="263">
        <f t="shared" si="13"/>
        <v>51274.090299999982</v>
      </c>
      <c r="AG31" s="263">
        <f t="shared" si="13"/>
        <v>54163.262400000007</v>
      </c>
      <c r="AH31" s="263">
        <f t="shared" si="13"/>
        <v>57298.690399999992</v>
      </c>
      <c r="AI31" s="263">
        <f t="shared" si="13"/>
        <v>60465.639599999995</v>
      </c>
      <c r="AJ31" s="263">
        <f t="shared" si="13"/>
        <v>63771.321999999986</v>
      </c>
      <c r="AK31" s="263">
        <f t="shared" si="13"/>
        <v>67081.897599999997</v>
      </c>
      <c r="AL31" s="263">
        <f t="shared" si="13"/>
        <v>70420.828200000018</v>
      </c>
      <c r="AM31" s="263">
        <f t="shared" si="13"/>
        <v>73855.756699999998</v>
      </c>
      <c r="AN31" s="263">
        <f t="shared" si="13"/>
        <v>77209.317800000019</v>
      </c>
      <c r="AO31" s="263">
        <f t="shared" si="13"/>
        <v>80581.394</v>
      </c>
      <c r="AP31" s="263">
        <f t="shared" si="13"/>
        <v>84107.427899999981</v>
      </c>
      <c r="AQ31" s="263">
        <f t="shared" si="13"/>
        <v>87604.176999999996</v>
      </c>
      <c r="AR31" s="263">
        <f t="shared" si="13"/>
        <v>91071.7935</v>
      </c>
      <c r="AS31" s="263">
        <f t="shared" si="13"/>
        <v>94640.401500000007</v>
      </c>
      <c r="AT31" s="263">
        <f t="shared" si="13"/>
        <v>98296.464900000021</v>
      </c>
      <c r="AU31" s="263">
        <f t="shared" si="13"/>
        <v>11225.340520000005</v>
      </c>
      <c r="AV31" s="268"/>
    </row>
    <row r="32" spans="1:49" x14ac:dyDescent="0.25">
      <c r="B32" s="249" t="s">
        <v>473</v>
      </c>
      <c r="C32" s="251">
        <f t="shared" ref="C32:E32" si="14">SUM(C27,C30)</f>
        <v>0</v>
      </c>
      <c r="D32" s="251">
        <f t="shared" si="14"/>
        <v>0</v>
      </c>
      <c r="E32" s="251">
        <f t="shared" si="14"/>
        <v>0</v>
      </c>
      <c r="F32" s="251">
        <f>SUM(F27,F30)</f>
        <v>0</v>
      </c>
      <c r="G32" s="251">
        <f t="shared" ref="G32:AU32" si="15">SUM(G27,G30)</f>
        <v>0</v>
      </c>
      <c r="H32" s="251">
        <f t="shared" si="15"/>
        <v>0</v>
      </c>
      <c r="I32" s="251">
        <f t="shared" si="15"/>
        <v>0</v>
      </c>
      <c r="J32" s="251">
        <f t="shared" si="15"/>
        <v>0</v>
      </c>
      <c r="K32" s="251">
        <f t="shared" si="15"/>
        <v>0</v>
      </c>
      <c r="L32" s="251">
        <f t="shared" si="15"/>
        <v>0</v>
      </c>
      <c r="M32" s="251">
        <f t="shared" si="15"/>
        <v>0</v>
      </c>
      <c r="N32" s="251">
        <f t="shared" si="15"/>
        <v>0</v>
      </c>
      <c r="O32" s="251">
        <f t="shared" si="15"/>
        <v>0</v>
      </c>
      <c r="P32" s="251">
        <f t="shared" si="15"/>
        <v>0</v>
      </c>
      <c r="Q32" s="251">
        <f t="shared" si="15"/>
        <v>0</v>
      </c>
      <c r="R32" s="251">
        <f t="shared" si="15"/>
        <v>0</v>
      </c>
      <c r="S32" s="251">
        <f t="shared" si="15"/>
        <v>0</v>
      </c>
      <c r="T32" s="251">
        <f t="shared" si="15"/>
        <v>50.802299999981187</v>
      </c>
      <c r="U32" s="251">
        <f t="shared" si="15"/>
        <v>-13746.37340000004</v>
      </c>
      <c r="V32" s="251">
        <f t="shared" si="15"/>
        <v>-29583.357399999921</v>
      </c>
      <c r="W32" s="251">
        <f t="shared" si="15"/>
        <v>-35478.376799999969</v>
      </c>
      <c r="X32" s="251">
        <f t="shared" si="15"/>
        <v>-43766.996899999969</v>
      </c>
      <c r="Y32" s="251">
        <f t="shared" si="15"/>
        <v>-53925.341600000073</v>
      </c>
      <c r="Z32" s="251">
        <f t="shared" si="15"/>
        <v>-66003.721900000004</v>
      </c>
      <c r="AA32" s="251">
        <f t="shared" si="15"/>
        <v>-79357.056600000011</v>
      </c>
      <c r="AB32" s="251">
        <f t="shared" si="15"/>
        <v>-89169.569899999973</v>
      </c>
      <c r="AC32" s="251">
        <f t="shared" si="15"/>
        <v>-102538.23580000008</v>
      </c>
      <c r="AD32" s="251">
        <f t="shared" si="15"/>
        <v>-114549.87979999997</v>
      </c>
      <c r="AE32" s="251">
        <f t="shared" si="15"/>
        <v>-125865.82619999998</v>
      </c>
      <c r="AF32" s="251">
        <f t="shared" si="15"/>
        <v>-140266.86680000002</v>
      </c>
      <c r="AG32" s="251">
        <f t="shared" si="15"/>
        <v>-150957.91270000007</v>
      </c>
      <c r="AH32" s="251">
        <f t="shared" si="15"/>
        <v>-161561.94040000008</v>
      </c>
      <c r="AI32" s="251">
        <f t="shared" si="15"/>
        <v>-172073.30959999998</v>
      </c>
      <c r="AJ32" s="251">
        <f t="shared" si="15"/>
        <v>-182473.31340000001</v>
      </c>
      <c r="AK32" s="251">
        <f t="shared" si="15"/>
        <v>-192873.23810000002</v>
      </c>
      <c r="AL32" s="251">
        <f t="shared" si="15"/>
        <v>-203689.63350000003</v>
      </c>
      <c r="AM32" s="251">
        <f t="shared" si="15"/>
        <v>-213842.19369999995</v>
      </c>
      <c r="AN32" s="251">
        <f t="shared" si="15"/>
        <v>-223672.58859999999</v>
      </c>
      <c r="AO32" s="251">
        <f t="shared" si="15"/>
        <v>-233368.94000000003</v>
      </c>
      <c r="AP32" s="251">
        <f t="shared" si="15"/>
        <v>-245230.73740000004</v>
      </c>
      <c r="AQ32" s="251">
        <f t="shared" si="15"/>
        <v>-256995.30749999994</v>
      </c>
      <c r="AR32" s="251">
        <f t="shared" si="15"/>
        <v>-268116.64079999999</v>
      </c>
      <c r="AS32" s="251">
        <f t="shared" si="15"/>
        <v>-278791.4031</v>
      </c>
      <c r="AT32" s="251">
        <f t="shared" si="15"/>
        <v>-289158.83600000007</v>
      </c>
      <c r="AU32" s="251">
        <f t="shared" si="15"/>
        <v>-299606.91000000003</v>
      </c>
      <c r="AV32" s="268"/>
    </row>
    <row r="36" spans="1:50" s="244" customFormat="1" ht="45" customHeight="1" x14ac:dyDescent="0.25">
      <c r="A36" s="239" t="str">
        <f>[5]Résultats!B1</f>
        <v>SNBC3</v>
      </c>
      <c r="B36" s="240" t="s">
        <v>497</v>
      </c>
      <c r="C36" s="241">
        <v>2006</v>
      </c>
      <c r="D36" s="242">
        <v>2007</v>
      </c>
      <c r="E36" s="242">
        <v>2008</v>
      </c>
      <c r="F36" s="242">
        <v>2009</v>
      </c>
      <c r="G36" s="242">
        <v>2010</v>
      </c>
      <c r="H36" s="242">
        <v>2011</v>
      </c>
      <c r="I36" s="242">
        <v>2012</v>
      </c>
      <c r="J36" s="242">
        <v>2013</v>
      </c>
      <c r="K36" s="242">
        <v>2014</v>
      </c>
      <c r="L36" s="242">
        <v>2015</v>
      </c>
      <c r="M36" s="242">
        <v>2016</v>
      </c>
      <c r="N36" s="242">
        <v>2017</v>
      </c>
      <c r="O36" s="242">
        <v>2018</v>
      </c>
      <c r="P36" s="242">
        <v>2019</v>
      </c>
      <c r="Q36" s="242">
        <v>2020</v>
      </c>
      <c r="R36" s="242">
        <v>2021</v>
      </c>
      <c r="S36" s="242">
        <v>2022</v>
      </c>
      <c r="T36" s="242">
        <v>2023</v>
      </c>
      <c r="U36" s="242">
        <v>2024</v>
      </c>
      <c r="V36" s="242">
        <v>2025</v>
      </c>
      <c r="W36" s="242">
        <v>2026</v>
      </c>
      <c r="X36" s="242">
        <v>2027</v>
      </c>
      <c r="Y36" s="242">
        <v>2028</v>
      </c>
      <c r="Z36" s="242">
        <v>2029</v>
      </c>
      <c r="AA36" s="242">
        <v>2030</v>
      </c>
      <c r="AB36" s="242">
        <v>2031</v>
      </c>
      <c r="AC36" s="242">
        <v>2032</v>
      </c>
      <c r="AD36" s="242">
        <v>2033</v>
      </c>
      <c r="AE36" s="242">
        <v>2034</v>
      </c>
      <c r="AF36" s="242">
        <v>2035</v>
      </c>
      <c r="AG36" s="242">
        <v>2036</v>
      </c>
      <c r="AH36" s="242">
        <v>2037</v>
      </c>
      <c r="AI36" s="242">
        <v>2038</v>
      </c>
      <c r="AJ36" s="242">
        <v>2039</v>
      </c>
      <c r="AK36" s="242">
        <v>2040</v>
      </c>
      <c r="AL36" s="242">
        <v>2041</v>
      </c>
      <c r="AM36" s="242">
        <v>2042</v>
      </c>
      <c r="AN36" s="242">
        <v>2043</v>
      </c>
      <c r="AO36" s="242">
        <v>2044</v>
      </c>
      <c r="AP36" s="242">
        <v>2045</v>
      </c>
      <c r="AQ36" s="242">
        <v>2046</v>
      </c>
      <c r="AR36" s="242">
        <v>2047</v>
      </c>
      <c r="AS36" s="242">
        <v>2048</v>
      </c>
      <c r="AT36" s="242">
        <v>2049</v>
      </c>
      <c r="AU36" s="243">
        <v>2050</v>
      </c>
      <c r="AW36" s="242" t="s">
        <v>498</v>
      </c>
      <c r="AX36" s="242" t="s">
        <v>499</v>
      </c>
    </row>
    <row r="37" spans="1:50" x14ac:dyDescent="0.25">
      <c r="B37" s="245" t="s">
        <v>500</v>
      </c>
      <c r="C37" s="246">
        <f t="shared" ref="C37:AU37" si="16">C38+C39+C42</f>
        <v>1</v>
      </c>
      <c r="D37" s="247">
        <f t="shared" si="16"/>
        <v>1</v>
      </c>
      <c r="E37" s="247">
        <f t="shared" si="16"/>
        <v>1</v>
      </c>
      <c r="F37" s="247">
        <f t="shared" si="16"/>
        <v>1</v>
      </c>
      <c r="G37" s="247">
        <f t="shared" si="16"/>
        <v>0.99999999999999989</v>
      </c>
      <c r="H37" s="247">
        <f t="shared" si="16"/>
        <v>0.99999999999999978</v>
      </c>
      <c r="I37" s="247">
        <f t="shared" si="16"/>
        <v>1</v>
      </c>
      <c r="J37" s="247">
        <f t="shared" si="16"/>
        <v>0.99999999999999989</v>
      </c>
      <c r="K37" s="247">
        <f t="shared" si="16"/>
        <v>1</v>
      </c>
      <c r="L37" s="247">
        <f t="shared" si="16"/>
        <v>0.99999999999999978</v>
      </c>
      <c r="M37" s="247">
        <f t="shared" si="16"/>
        <v>1</v>
      </c>
      <c r="N37" s="247">
        <f t="shared" si="16"/>
        <v>1</v>
      </c>
      <c r="O37" s="247">
        <f t="shared" si="16"/>
        <v>0.99999999999999989</v>
      </c>
      <c r="P37" s="247">
        <f t="shared" si="16"/>
        <v>1</v>
      </c>
      <c r="Q37" s="247">
        <f t="shared" si="16"/>
        <v>1.0000000000000002</v>
      </c>
      <c r="R37" s="247">
        <f t="shared" si="16"/>
        <v>1</v>
      </c>
      <c r="S37" s="247">
        <f t="shared" si="16"/>
        <v>1</v>
      </c>
      <c r="T37" s="247">
        <f t="shared" si="16"/>
        <v>0.99999999999999989</v>
      </c>
      <c r="U37" s="247">
        <f t="shared" si="16"/>
        <v>1</v>
      </c>
      <c r="V37" s="247">
        <f t="shared" si="16"/>
        <v>1</v>
      </c>
      <c r="W37" s="247">
        <f t="shared" si="16"/>
        <v>0.99999999999999978</v>
      </c>
      <c r="X37" s="247">
        <f t="shared" si="16"/>
        <v>1</v>
      </c>
      <c r="Y37" s="247">
        <f t="shared" si="16"/>
        <v>1</v>
      </c>
      <c r="Z37" s="247">
        <f t="shared" si="16"/>
        <v>1</v>
      </c>
      <c r="AA37" s="247">
        <f t="shared" si="16"/>
        <v>1</v>
      </c>
      <c r="AB37" s="247">
        <f t="shared" si="16"/>
        <v>1</v>
      </c>
      <c r="AC37" s="247">
        <f t="shared" si="16"/>
        <v>0.99999999999999989</v>
      </c>
      <c r="AD37" s="247">
        <f t="shared" si="16"/>
        <v>0.99999999999999989</v>
      </c>
      <c r="AE37" s="247">
        <f t="shared" si="16"/>
        <v>1</v>
      </c>
      <c r="AF37" s="247">
        <f t="shared" si="16"/>
        <v>1</v>
      </c>
      <c r="AG37" s="247">
        <f t="shared" si="16"/>
        <v>1</v>
      </c>
      <c r="AH37" s="247">
        <f t="shared" si="16"/>
        <v>1.0000000000000002</v>
      </c>
      <c r="AI37" s="247">
        <f t="shared" si="16"/>
        <v>1</v>
      </c>
      <c r="AJ37" s="247">
        <f t="shared" si="16"/>
        <v>1</v>
      </c>
      <c r="AK37" s="247">
        <f t="shared" si="16"/>
        <v>0.99999999999999978</v>
      </c>
      <c r="AL37" s="247">
        <f t="shared" si="16"/>
        <v>1</v>
      </c>
      <c r="AM37" s="247">
        <f t="shared" si="16"/>
        <v>1.0000000000000002</v>
      </c>
      <c r="AN37" s="247">
        <f t="shared" si="16"/>
        <v>0.99999999999999989</v>
      </c>
      <c r="AO37" s="247">
        <f t="shared" si="16"/>
        <v>1</v>
      </c>
      <c r="AP37" s="247">
        <f t="shared" si="16"/>
        <v>0.99999999999999978</v>
      </c>
      <c r="AQ37" s="247">
        <f t="shared" si="16"/>
        <v>1</v>
      </c>
      <c r="AR37" s="247">
        <f t="shared" si="16"/>
        <v>1</v>
      </c>
      <c r="AS37" s="247">
        <f t="shared" si="16"/>
        <v>0.99999999999999989</v>
      </c>
      <c r="AT37" s="247">
        <f t="shared" si="16"/>
        <v>1.0000000000000002</v>
      </c>
      <c r="AU37" s="248">
        <f t="shared" si="16"/>
        <v>1.0000000000000002</v>
      </c>
    </row>
    <row r="38" spans="1:50" x14ac:dyDescent="0.25">
      <c r="B38" s="249" t="s">
        <v>466</v>
      </c>
      <c r="C38" s="300"/>
      <c r="D38" s="251"/>
      <c r="E38" s="251"/>
      <c r="F38" s="251"/>
      <c r="G38" s="251"/>
      <c r="H38" s="251"/>
      <c r="I38" s="251"/>
      <c r="J38" s="251"/>
      <c r="K38" s="251"/>
      <c r="L38" s="251"/>
      <c r="M38" s="251"/>
      <c r="N38" s="251"/>
      <c r="O38" s="251"/>
      <c r="P38" s="251"/>
      <c r="Q38" s="251"/>
      <c r="R38" s="251"/>
      <c r="S38" s="251"/>
      <c r="T38" s="251"/>
      <c r="U38" s="251"/>
      <c r="V38" s="251"/>
      <c r="W38" s="251"/>
      <c r="X38" s="251"/>
      <c r="Y38" s="251"/>
      <c r="Z38" s="251"/>
      <c r="AA38" s="251"/>
      <c r="AB38" s="251"/>
      <c r="AC38" s="251"/>
      <c r="AD38" s="251"/>
      <c r="AE38" s="251"/>
      <c r="AF38" s="251"/>
      <c r="AG38" s="251"/>
      <c r="AH38" s="251"/>
      <c r="AI38" s="251"/>
      <c r="AJ38" s="251"/>
      <c r="AK38" s="251"/>
      <c r="AL38" s="251"/>
      <c r="AM38" s="251"/>
      <c r="AN38" s="251"/>
      <c r="AO38" s="251"/>
      <c r="AP38" s="251"/>
      <c r="AQ38" s="251"/>
      <c r="AR38" s="251"/>
      <c r="AS38" s="251"/>
      <c r="AT38" s="251"/>
      <c r="AU38" s="252"/>
      <c r="AV38" s="253"/>
      <c r="AW38" s="253"/>
    </row>
    <row r="39" spans="1:50" x14ac:dyDescent="0.25">
      <c r="B39" s="254" t="s">
        <v>467</v>
      </c>
      <c r="C39" s="301">
        <f>C4/(C$2-C$3)</f>
        <v>0.29999999998794452</v>
      </c>
      <c r="D39" s="301">
        <f t="shared" ref="D39:AU45" si="17">D4/(D$2-D$3)</f>
        <v>0.30880476107885435</v>
      </c>
      <c r="E39" s="301">
        <f t="shared" si="17"/>
        <v>0.31693332368771776</v>
      </c>
      <c r="F39" s="301">
        <f t="shared" si="17"/>
        <v>0.3249190112142693</v>
      </c>
      <c r="G39" s="301">
        <f t="shared" si="17"/>
        <v>0.33162768863899506</v>
      </c>
      <c r="H39" s="301">
        <f t="shared" si="17"/>
        <v>0.34081162399608628</v>
      </c>
      <c r="I39" s="301">
        <f t="shared" si="17"/>
        <v>0.35210102789145276</v>
      </c>
      <c r="J39" s="301">
        <f t="shared" si="17"/>
        <v>0.36136249488931493</v>
      </c>
      <c r="K39" s="301">
        <f t="shared" si="17"/>
        <v>0.36991781979153815</v>
      </c>
      <c r="L39" s="301">
        <f t="shared" si="17"/>
        <v>0.3790901154165453</v>
      </c>
      <c r="M39" s="301">
        <f t="shared" si="17"/>
        <v>0.37737916363334995</v>
      </c>
      <c r="N39" s="301">
        <f t="shared" si="17"/>
        <v>0.37518504912989242</v>
      </c>
      <c r="O39" s="301">
        <f t="shared" si="17"/>
        <v>0.37506184513923391</v>
      </c>
      <c r="P39" s="301">
        <f t="shared" si="17"/>
        <v>0.37445410921086819</v>
      </c>
      <c r="Q39" s="301">
        <f t="shared" si="17"/>
        <v>0.37528202979404274</v>
      </c>
      <c r="R39" s="301">
        <f t="shared" si="17"/>
        <v>0.28995257181602341</v>
      </c>
      <c r="S39" s="301">
        <f t="shared" si="17"/>
        <v>0.2893377604774004</v>
      </c>
      <c r="T39" s="301">
        <f t="shared" si="17"/>
        <v>0.28843548947686815</v>
      </c>
      <c r="U39" s="301">
        <f t="shared" si="17"/>
        <v>0.28468582810657217</v>
      </c>
      <c r="V39" s="301">
        <f t="shared" si="17"/>
        <v>0.28036967315908229</v>
      </c>
      <c r="W39" s="301">
        <f t="shared" si="17"/>
        <v>0.28119813958147288</v>
      </c>
      <c r="X39" s="301">
        <f t="shared" si="17"/>
        <v>0.28143376706979384</v>
      </c>
      <c r="Y39" s="301">
        <f t="shared" si="17"/>
        <v>0.28105859551852397</v>
      </c>
      <c r="Z39" s="301">
        <f t="shared" si="17"/>
        <v>0.28012769404790083</v>
      </c>
      <c r="AA39" s="301">
        <f t="shared" si="17"/>
        <v>0.39491645798117875</v>
      </c>
      <c r="AB39" s="301">
        <f t="shared" si="17"/>
        <v>0.27834273835599876</v>
      </c>
      <c r="AC39" s="301">
        <f t="shared" si="17"/>
        <v>0.27761816700208286</v>
      </c>
      <c r="AD39" s="301">
        <f t="shared" si="17"/>
        <v>0.27700394837171638</v>
      </c>
      <c r="AE39" s="301">
        <f t="shared" si="17"/>
        <v>0.27645905856416414</v>
      </c>
      <c r="AF39" s="301">
        <f t="shared" si="17"/>
        <v>0.27601106511698703</v>
      </c>
      <c r="AG39" s="301">
        <f t="shared" si="17"/>
        <v>0.27491668397240893</v>
      </c>
      <c r="AH39" s="301">
        <f t="shared" si="17"/>
        <v>0.27402014038974937</v>
      </c>
      <c r="AI39" s="301">
        <f t="shared" si="17"/>
        <v>0.27338316682286568</v>
      </c>
      <c r="AJ39" s="301">
        <f t="shared" si="17"/>
        <v>0.27276076083584511</v>
      </c>
      <c r="AK39" s="301">
        <f t="shared" si="17"/>
        <v>0.27225254983843161</v>
      </c>
      <c r="AL39" s="301">
        <f t="shared" si="17"/>
        <v>0.27175305533514349</v>
      </c>
      <c r="AM39" s="301">
        <f t="shared" si="17"/>
        <v>0.2711441581102349</v>
      </c>
      <c r="AN39" s="301">
        <f t="shared" si="17"/>
        <v>0.2706176046059301</v>
      </c>
      <c r="AO39" s="301">
        <f t="shared" si="17"/>
        <v>0.27006955721770354</v>
      </c>
      <c r="AP39" s="301">
        <f t="shared" si="17"/>
        <v>0.26852699398738239</v>
      </c>
      <c r="AQ39" s="301">
        <f t="shared" si="17"/>
        <v>0.26732268182295466</v>
      </c>
      <c r="AR39" s="301">
        <f t="shared" si="17"/>
        <v>0.26620812509923131</v>
      </c>
      <c r="AS39" s="301">
        <f t="shared" si="17"/>
        <v>0.2650659329731464</v>
      </c>
      <c r="AT39" s="301">
        <f t="shared" si="17"/>
        <v>0.26393703510360317</v>
      </c>
      <c r="AU39" s="302">
        <f t="shared" si="17"/>
        <v>0.44886274379023089</v>
      </c>
      <c r="AV39" s="253"/>
      <c r="AW39" s="303">
        <f t="shared" ref="AW39:AW44" si="18">AA39-P39</f>
        <v>2.0462348770310557E-2</v>
      </c>
      <c r="AX39" s="303">
        <f t="shared" ref="AX39:AX44" si="19">AU39-P39</f>
        <v>7.4408634579362698E-2</v>
      </c>
    </row>
    <row r="40" spans="1:50" x14ac:dyDescent="0.25">
      <c r="B40" s="258" t="s">
        <v>468</v>
      </c>
      <c r="C40" s="304">
        <f>C5/(C$2-C$3)</f>
        <v>0.1970599631421219</v>
      </c>
      <c r="D40" s="304">
        <f t="shared" si="17"/>
        <v>0.20118896468053005</v>
      </c>
      <c r="E40" s="304">
        <f t="shared" si="17"/>
        <v>0.20626577785268271</v>
      </c>
      <c r="F40" s="304">
        <f t="shared" si="17"/>
        <v>0.20883742029377822</v>
      </c>
      <c r="G40" s="304">
        <f t="shared" si="17"/>
        <v>0.21223358610660006</v>
      </c>
      <c r="H40" s="304">
        <f t="shared" si="17"/>
        <v>0.21435626692907869</v>
      </c>
      <c r="I40" s="304">
        <f t="shared" si="17"/>
        <v>0.22153427098953204</v>
      </c>
      <c r="J40" s="304">
        <f t="shared" si="17"/>
        <v>0.22773436625311891</v>
      </c>
      <c r="K40" s="304">
        <f t="shared" si="17"/>
        <v>0.23220653270681654</v>
      </c>
      <c r="L40" s="304">
        <f t="shared" si="17"/>
        <v>0.24210297172078904</v>
      </c>
      <c r="M40" s="304">
        <f t="shared" si="17"/>
        <v>0.24325979747802956</v>
      </c>
      <c r="N40" s="304">
        <f t="shared" si="17"/>
        <v>0.24055065298559483</v>
      </c>
      <c r="O40" s="304">
        <f t="shared" si="17"/>
        <v>0.23727009282810252</v>
      </c>
      <c r="P40" s="304">
        <f t="shared" si="17"/>
        <v>0.23821065249329193</v>
      </c>
      <c r="Q40" s="304">
        <f t="shared" si="17"/>
        <v>0.23955912032651716</v>
      </c>
      <c r="R40" s="304">
        <f t="shared" si="17"/>
        <v>0.24228950183923087</v>
      </c>
      <c r="S40" s="304">
        <f t="shared" si="17"/>
        <v>0.24146938104591997</v>
      </c>
      <c r="T40" s="304">
        <f t="shared" si="17"/>
        <v>0.24029642456770511</v>
      </c>
      <c r="U40" s="304">
        <f t="shared" si="17"/>
        <v>0.23472850769242801</v>
      </c>
      <c r="V40" s="304">
        <f t="shared" si="17"/>
        <v>0.22851120151443219</v>
      </c>
      <c r="W40" s="304">
        <f t="shared" si="17"/>
        <v>0.22869167187824127</v>
      </c>
      <c r="X40" s="304">
        <f t="shared" si="17"/>
        <v>0.22815640961125286</v>
      </c>
      <c r="Y40" s="304">
        <f t="shared" si="17"/>
        <v>0.22687923594611314</v>
      </c>
      <c r="Z40" s="304">
        <f t="shared" si="17"/>
        <v>0.22492952155270643</v>
      </c>
      <c r="AA40" s="304">
        <f t="shared" si="17"/>
        <v>0.2225997603816437</v>
      </c>
      <c r="AB40" s="304">
        <f t="shared" si="17"/>
        <v>0.22149645723942771</v>
      </c>
      <c r="AC40" s="304">
        <f t="shared" si="17"/>
        <v>0.2201887605496026</v>
      </c>
      <c r="AD40" s="304">
        <f t="shared" si="17"/>
        <v>0.21904092044924939</v>
      </c>
      <c r="AE40" s="304">
        <f t="shared" si="17"/>
        <v>0.21799004588263171</v>
      </c>
      <c r="AF40" s="304">
        <f t="shared" si="17"/>
        <v>0.21707094718050729</v>
      </c>
      <c r="AG40" s="304">
        <f t="shared" si="17"/>
        <v>0.21531183917657606</v>
      </c>
      <c r="AH40" s="304">
        <f t="shared" si="17"/>
        <v>0.2138150696983086</v>
      </c>
      <c r="AI40" s="304">
        <f t="shared" si="17"/>
        <v>0.21265974790622047</v>
      </c>
      <c r="AJ40" s="304">
        <f t="shared" si="17"/>
        <v>0.21153741459140832</v>
      </c>
      <c r="AK40" s="304">
        <f t="shared" si="17"/>
        <v>0.21057582466448321</v>
      </c>
      <c r="AL40" s="304">
        <f t="shared" si="17"/>
        <v>0.20961285687303516</v>
      </c>
      <c r="AM40" s="304">
        <f t="shared" si="17"/>
        <v>0.20851661794118481</v>
      </c>
      <c r="AN40" s="304">
        <f t="shared" si="17"/>
        <v>0.20753433017040562</v>
      </c>
      <c r="AO40" s="304">
        <f t="shared" si="17"/>
        <v>0.20653701922272169</v>
      </c>
      <c r="AP40" s="304">
        <f t="shared" si="17"/>
        <v>0.2042809759847552</v>
      </c>
      <c r="AQ40" s="304">
        <f t="shared" si="17"/>
        <v>0.20249091450043818</v>
      </c>
      <c r="AR40" s="304">
        <f t="shared" si="17"/>
        <v>0.20081661972293136</v>
      </c>
      <c r="AS40" s="304">
        <f t="shared" si="17"/>
        <v>0.19911236186089101</v>
      </c>
      <c r="AT40" s="304">
        <f t="shared" si="17"/>
        <v>0.19744479515442162</v>
      </c>
      <c r="AU40" s="305">
        <f t="shared" si="17"/>
        <v>0.19641619489049675</v>
      </c>
      <c r="AW40" s="303">
        <f t="shared" si="18"/>
        <v>-1.5610892111648234E-2</v>
      </c>
      <c r="AX40" s="303">
        <f t="shared" si="19"/>
        <v>-4.1794457602795182E-2</v>
      </c>
    </row>
    <row r="41" spans="1:50" x14ac:dyDescent="0.25">
      <c r="B41" s="261" t="s">
        <v>469</v>
      </c>
      <c r="C41" s="306">
        <f t="shared" ref="C41:R45" si="20">C6/(C$2-C$3)</f>
        <v>5.686325534544661E-2</v>
      </c>
      <c r="D41" s="306">
        <f t="shared" si="20"/>
        <v>5.5941649812703539E-2</v>
      </c>
      <c r="E41" s="306">
        <f t="shared" si="20"/>
        <v>5.4686044920995401E-2</v>
      </c>
      <c r="F41" s="306">
        <f t="shared" si="20"/>
        <v>5.4138250973545396E-2</v>
      </c>
      <c r="G41" s="306">
        <f t="shared" si="20"/>
        <v>5.3482117908994917E-2</v>
      </c>
      <c r="H41" s="306">
        <f t="shared" si="20"/>
        <v>5.2868058329317263E-2</v>
      </c>
      <c r="I41" s="306">
        <f t="shared" si="20"/>
        <v>5.1191153829085144E-2</v>
      </c>
      <c r="J41" s="306">
        <f t="shared" si="20"/>
        <v>4.9970677179197398E-2</v>
      </c>
      <c r="K41" s="306">
        <f t="shared" si="20"/>
        <v>4.915407795171689E-2</v>
      </c>
      <c r="L41" s="306">
        <f t="shared" si="20"/>
        <v>4.7525307952691546E-2</v>
      </c>
      <c r="M41" s="306">
        <f t="shared" si="20"/>
        <v>4.7527610023264798E-2</v>
      </c>
      <c r="N41" s="306">
        <f t="shared" si="20"/>
        <v>4.8070964348134938E-2</v>
      </c>
      <c r="O41" s="306">
        <f t="shared" si="20"/>
        <v>4.8489515828722032E-2</v>
      </c>
      <c r="P41" s="306">
        <f t="shared" si="20"/>
        <v>4.8342891455653125E-2</v>
      </c>
      <c r="Q41" s="306">
        <f t="shared" si="20"/>
        <v>0.13572290946752555</v>
      </c>
      <c r="R41" s="306">
        <f t="shared" si="20"/>
        <v>4.7663069976792538E-2</v>
      </c>
      <c r="S41" s="306">
        <f t="shared" si="17"/>
        <v>4.7868379431480451E-2</v>
      </c>
      <c r="T41" s="306">
        <f t="shared" si="17"/>
        <v>4.8139064909163053E-2</v>
      </c>
      <c r="U41" s="306">
        <f t="shared" si="17"/>
        <v>4.9957320414144121E-2</v>
      </c>
      <c r="V41" s="306">
        <f t="shared" si="17"/>
        <v>5.1858471644650107E-2</v>
      </c>
      <c r="W41" s="306">
        <f t="shared" si="17"/>
        <v>5.2506467703231627E-2</v>
      </c>
      <c r="X41" s="306">
        <f t="shared" si="17"/>
        <v>5.3277357458541001E-2</v>
      </c>
      <c r="Y41" s="306">
        <f t="shared" si="17"/>
        <v>5.4179359572410823E-2</v>
      </c>
      <c r="Z41" s="306">
        <f t="shared" si="17"/>
        <v>5.5198172495194417E-2</v>
      </c>
      <c r="AA41" s="306">
        <f t="shared" si="17"/>
        <v>0.17231669759953508</v>
      </c>
      <c r="AB41" s="306">
        <f t="shared" si="17"/>
        <v>5.6846281116571105E-2</v>
      </c>
      <c r="AC41" s="306">
        <f t="shared" si="17"/>
        <v>5.742940645248025E-2</v>
      </c>
      <c r="AD41" s="306">
        <f t="shared" si="17"/>
        <v>5.7963027922466985E-2</v>
      </c>
      <c r="AE41" s="306">
        <f t="shared" si="17"/>
        <v>5.846901268153247E-2</v>
      </c>
      <c r="AF41" s="306">
        <f t="shared" si="17"/>
        <v>5.8940117936479762E-2</v>
      </c>
      <c r="AG41" s="306">
        <f t="shared" si="17"/>
        <v>5.9604844795832876E-2</v>
      </c>
      <c r="AH41" s="306">
        <f t="shared" si="17"/>
        <v>6.020507069144073E-2</v>
      </c>
      <c r="AI41" s="306">
        <f t="shared" si="17"/>
        <v>6.0723418916645198E-2</v>
      </c>
      <c r="AJ41" s="306">
        <f t="shared" si="17"/>
        <v>6.1223346244436774E-2</v>
      </c>
      <c r="AK41" s="306">
        <f t="shared" si="17"/>
        <v>6.1676725173948399E-2</v>
      </c>
      <c r="AL41" s="306">
        <f t="shared" si="17"/>
        <v>6.2140198462108318E-2</v>
      </c>
      <c r="AM41" s="306">
        <f t="shared" si="17"/>
        <v>6.262754016905013E-2</v>
      </c>
      <c r="AN41" s="306">
        <f t="shared" si="17"/>
        <v>6.3083274435524514E-2</v>
      </c>
      <c r="AO41" s="306">
        <f t="shared" si="17"/>
        <v>6.3532537994981819E-2</v>
      </c>
      <c r="AP41" s="306">
        <f t="shared" si="17"/>
        <v>6.4246018002627178E-2</v>
      </c>
      <c r="AQ41" s="306">
        <f t="shared" si="17"/>
        <v>6.4831767322516456E-2</v>
      </c>
      <c r="AR41" s="306">
        <f t="shared" si="17"/>
        <v>6.5391505376299952E-2</v>
      </c>
      <c r="AS41" s="306">
        <f t="shared" si="17"/>
        <v>6.5953571112255402E-2</v>
      </c>
      <c r="AT41" s="306">
        <f t="shared" si="17"/>
        <v>6.6492239949181534E-2</v>
      </c>
      <c r="AU41" s="307">
        <f t="shared" si="17"/>
        <v>0.25244654889973411</v>
      </c>
      <c r="AV41" s="253"/>
      <c r="AW41" s="303">
        <f t="shared" si="18"/>
        <v>0.12397380614388195</v>
      </c>
      <c r="AX41" s="303">
        <f t="shared" si="19"/>
        <v>0.20410365744408099</v>
      </c>
    </row>
    <row r="42" spans="1:50" x14ac:dyDescent="0.25">
      <c r="B42" s="258" t="s">
        <v>470</v>
      </c>
      <c r="C42" s="304">
        <f t="shared" si="20"/>
        <v>0.70000000001205542</v>
      </c>
      <c r="D42" s="304">
        <f t="shared" si="17"/>
        <v>0.69119523892114576</v>
      </c>
      <c r="E42" s="304">
        <f t="shared" si="17"/>
        <v>0.68306667631228224</v>
      </c>
      <c r="F42" s="304">
        <f t="shared" si="17"/>
        <v>0.67508098878573075</v>
      </c>
      <c r="G42" s="304">
        <f t="shared" si="17"/>
        <v>0.66837231136100483</v>
      </c>
      <c r="H42" s="304">
        <f t="shared" si="17"/>
        <v>0.65918837600391356</v>
      </c>
      <c r="I42" s="304">
        <f t="shared" si="17"/>
        <v>0.64789897210854719</v>
      </c>
      <c r="J42" s="304">
        <f t="shared" si="17"/>
        <v>0.63863750511068496</v>
      </c>
      <c r="K42" s="304">
        <f t="shared" si="17"/>
        <v>0.63008218020846185</v>
      </c>
      <c r="L42" s="304">
        <f t="shared" si="17"/>
        <v>0.62090988458345453</v>
      </c>
      <c r="M42" s="304">
        <f t="shared" si="17"/>
        <v>0.62262083636665</v>
      </c>
      <c r="N42" s="304">
        <f t="shared" si="17"/>
        <v>0.62481495087010763</v>
      </c>
      <c r="O42" s="304">
        <f t="shared" si="17"/>
        <v>0.62493815486076598</v>
      </c>
      <c r="P42" s="304">
        <f t="shared" si="17"/>
        <v>0.62554589078913181</v>
      </c>
      <c r="Q42" s="304">
        <f t="shared" si="17"/>
        <v>0.62471797020595743</v>
      </c>
      <c r="R42" s="304">
        <f t="shared" si="17"/>
        <v>0.71004742818397659</v>
      </c>
      <c r="S42" s="304">
        <f t="shared" si="17"/>
        <v>0.71066223952259966</v>
      </c>
      <c r="T42" s="304">
        <f t="shared" si="17"/>
        <v>0.71156451052313174</v>
      </c>
      <c r="U42" s="304">
        <f t="shared" si="17"/>
        <v>0.71531417189342783</v>
      </c>
      <c r="V42" s="304">
        <f t="shared" si="17"/>
        <v>0.71963032684091766</v>
      </c>
      <c r="W42" s="304">
        <f t="shared" si="17"/>
        <v>0.71880186041852689</v>
      </c>
      <c r="X42" s="304">
        <f t="shared" si="17"/>
        <v>0.71856623293020616</v>
      </c>
      <c r="Y42" s="304">
        <f t="shared" si="17"/>
        <v>0.71894140448147603</v>
      </c>
      <c r="Z42" s="304">
        <f t="shared" si="17"/>
        <v>0.71987230595209917</v>
      </c>
      <c r="AA42" s="304">
        <f t="shared" si="17"/>
        <v>0.6050835420188212</v>
      </c>
      <c r="AB42" s="304">
        <f t="shared" si="17"/>
        <v>0.72165726164400135</v>
      </c>
      <c r="AC42" s="304">
        <f t="shared" si="17"/>
        <v>0.72238183299791703</v>
      </c>
      <c r="AD42" s="304">
        <f t="shared" si="17"/>
        <v>0.72299605162828351</v>
      </c>
      <c r="AE42" s="304">
        <f t="shared" si="17"/>
        <v>0.7235409414358358</v>
      </c>
      <c r="AF42" s="304">
        <f t="shared" si="17"/>
        <v>0.72398893488301308</v>
      </c>
      <c r="AG42" s="304">
        <f t="shared" si="17"/>
        <v>0.72508331602759113</v>
      </c>
      <c r="AH42" s="304">
        <f t="shared" si="17"/>
        <v>0.7259798596102508</v>
      </c>
      <c r="AI42" s="304">
        <f t="shared" si="17"/>
        <v>0.72661683317713444</v>
      </c>
      <c r="AJ42" s="304">
        <f t="shared" si="17"/>
        <v>0.72723923916415489</v>
      </c>
      <c r="AK42" s="304">
        <f t="shared" si="17"/>
        <v>0.72774745016156817</v>
      </c>
      <c r="AL42" s="304">
        <f t="shared" si="17"/>
        <v>0.72824694466485651</v>
      </c>
      <c r="AM42" s="304">
        <f t="shared" si="17"/>
        <v>0.72885584188976527</v>
      </c>
      <c r="AN42" s="304">
        <f t="shared" si="17"/>
        <v>0.72938239539406979</v>
      </c>
      <c r="AO42" s="304">
        <f t="shared" si="17"/>
        <v>0.72993044278229657</v>
      </c>
      <c r="AP42" s="304">
        <f t="shared" si="17"/>
        <v>0.73147300601261744</v>
      </c>
      <c r="AQ42" s="304">
        <f t="shared" si="17"/>
        <v>0.73267731817704529</v>
      </c>
      <c r="AR42" s="304">
        <f t="shared" si="17"/>
        <v>0.73379187490076869</v>
      </c>
      <c r="AS42" s="304">
        <f t="shared" si="17"/>
        <v>0.73493406702685349</v>
      </c>
      <c r="AT42" s="304">
        <f t="shared" si="17"/>
        <v>0.736062964896397</v>
      </c>
      <c r="AU42" s="305">
        <f t="shared" si="17"/>
        <v>0.55113725620976928</v>
      </c>
      <c r="AW42" s="303">
        <f t="shared" si="18"/>
        <v>-2.0462348770310612E-2</v>
      </c>
      <c r="AX42" s="303">
        <f t="shared" si="19"/>
        <v>-7.4408634579362531E-2</v>
      </c>
    </row>
    <row r="43" spans="1:50" x14ac:dyDescent="0.25">
      <c r="B43" s="258" t="s">
        <v>471</v>
      </c>
      <c r="C43" s="304">
        <f t="shared" si="20"/>
        <v>0.64313674466660875</v>
      </c>
      <c r="D43" s="304">
        <f t="shared" si="17"/>
        <v>0.63525400295332002</v>
      </c>
      <c r="E43" s="304">
        <f t="shared" si="17"/>
        <v>0.6283845829086141</v>
      </c>
      <c r="F43" s="304">
        <f t="shared" si="17"/>
        <v>0.62094672725516353</v>
      </c>
      <c r="G43" s="304">
        <f t="shared" si="17"/>
        <v>0.61489428501552179</v>
      </c>
      <c r="H43" s="304">
        <f t="shared" si="17"/>
        <v>0.60632450317929232</v>
      </c>
      <c r="I43" s="304">
        <f t="shared" si="17"/>
        <v>0.59671822343030467</v>
      </c>
      <c r="J43" s="304">
        <f t="shared" si="17"/>
        <v>0.58867967145922917</v>
      </c>
      <c r="K43" s="304">
        <f t="shared" si="17"/>
        <v>0.5809410125735236</v>
      </c>
      <c r="L43" s="304">
        <f t="shared" si="17"/>
        <v>0.57340676014629233</v>
      </c>
      <c r="M43" s="304">
        <f t="shared" si="17"/>
        <v>0.57511565940162368</v>
      </c>
      <c r="N43" s="304">
        <f t="shared" si="17"/>
        <v>0.57676809334671486</v>
      </c>
      <c r="O43" s="304">
        <f t="shared" si="17"/>
        <v>0.57647462469207378</v>
      </c>
      <c r="P43" s="304">
        <f t="shared" si="17"/>
        <v>0.57722943083885359</v>
      </c>
      <c r="Q43" s="304">
        <f t="shared" si="17"/>
        <v>0.57664742139670877</v>
      </c>
      <c r="R43" s="304">
        <f t="shared" si="17"/>
        <v>0.57540004175461534</v>
      </c>
      <c r="S43" s="304">
        <f t="shared" si="17"/>
        <v>0.57546631142830884</v>
      </c>
      <c r="T43" s="304">
        <f t="shared" si="17"/>
        <v>0.57564438580487387</v>
      </c>
      <c r="U43" s="304">
        <f t="shared" si="17"/>
        <v>0.57146012144607905</v>
      </c>
      <c r="V43" s="304">
        <f t="shared" si="17"/>
        <v>0.56711206303416939</v>
      </c>
      <c r="W43" s="304">
        <f t="shared" si="17"/>
        <v>0.56319312847757086</v>
      </c>
      <c r="X43" s="304">
        <f t="shared" si="17"/>
        <v>0.55941183814123663</v>
      </c>
      <c r="Y43" s="304">
        <f t="shared" si="17"/>
        <v>0.55578809210344438</v>
      </c>
      <c r="Z43" s="304">
        <f t="shared" si="17"/>
        <v>0.55226626610921214</v>
      </c>
      <c r="AA43" s="304">
        <f t="shared" si="17"/>
        <v>0.54879726717613053</v>
      </c>
      <c r="AB43" s="304">
        <f t="shared" si="17"/>
        <v>0.54578338139417171</v>
      </c>
      <c r="AC43" s="304">
        <f t="shared" si="17"/>
        <v>0.54276489867794742</v>
      </c>
      <c r="AD43" s="304">
        <f t="shared" si="17"/>
        <v>0.53964050924388041</v>
      </c>
      <c r="AE43" s="304">
        <f t="shared" si="17"/>
        <v>0.53646692417422015</v>
      </c>
      <c r="AF43" s="304">
        <f t="shared" si="17"/>
        <v>0.53323334340327699</v>
      </c>
      <c r="AG43" s="304">
        <f t="shared" si="17"/>
        <v>0.53031619673320096</v>
      </c>
      <c r="AH43" s="304">
        <f t="shared" si="17"/>
        <v>0.52727508233096898</v>
      </c>
      <c r="AI43" s="304">
        <f t="shared" si="17"/>
        <v>0.52408435287466293</v>
      </c>
      <c r="AJ43" s="304">
        <f t="shared" si="17"/>
        <v>0.52085382629752408</v>
      </c>
      <c r="AK43" s="304">
        <f t="shared" si="17"/>
        <v>0.51752989046330111</v>
      </c>
      <c r="AL43" s="304">
        <f t="shared" si="17"/>
        <v>0.51419695573562896</v>
      </c>
      <c r="AM43" s="304">
        <f t="shared" si="17"/>
        <v>0.51090696362073773</v>
      </c>
      <c r="AN43" s="304">
        <f t="shared" si="17"/>
        <v>0.50755606187965696</v>
      </c>
      <c r="AO43" s="304">
        <f t="shared" si="17"/>
        <v>0.50418911075161688</v>
      </c>
      <c r="AP43" s="304">
        <f t="shared" si="17"/>
        <v>0.50124467484162161</v>
      </c>
      <c r="AQ43" s="304">
        <f t="shared" si="17"/>
        <v>0.49803629892063128</v>
      </c>
      <c r="AR43" s="304">
        <f t="shared" si="17"/>
        <v>0.49478709615282435</v>
      </c>
      <c r="AS43" s="304">
        <f t="shared" si="17"/>
        <v>0.49153631989103186</v>
      </c>
      <c r="AT43" s="304">
        <f t="shared" si="17"/>
        <v>0.48823098108493196</v>
      </c>
      <c r="AU43" s="305">
        <f t="shared" si="17"/>
        <v>0.48437153208350742</v>
      </c>
      <c r="AW43" s="303">
        <f t="shared" si="18"/>
        <v>-2.8432163662723053E-2</v>
      </c>
      <c r="AX43" s="303">
        <f t="shared" si="19"/>
        <v>-9.2857898755346169E-2</v>
      </c>
    </row>
    <row r="44" spans="1:50" x14ac:dyDescent="0.25">
      <c r="B44" s="261" t="s">
        <v>472</v>
      </c>
      <c r="C44" s="306">
        <f t="shared" si="20"/>
        <v>0.10294003683376719</v>
      </c>
      <c r="D44" s="306">
        <f t="shared" si="17"/>
        <v>0.10763567339291973</v>
      </c>
      <c r="E44" s="306">
        <f t="shared" si="17"/>
        <v>0.11068827981304334</v>
      </c>
      <c r="F44" s="306">
        <f t="shared" si="17"/>
        <v>0.11615027998965617</v>
      </c>
      <c r="G44" s="306">
        <f t="shared" si="17"/>
        <v>0.11946974396864705</v>
      </c>
      <c r="H44" s="306">
        <f t="shared" si="17"/>
        <v>0.12662481400131115</v>
      </c>
      <c r="I44" s="306">
        <f t="shared" si="17"/>
        <v>0.1307418635459302</v>
      </c>
      <c r="J44" s="306">
        <f t="shared" si="17"/>
        <v>0.13380866380496909</v>
      </c>
      <c r="K44" s="306">
        <f t="shared" si="17"/>
        <v>0.13790101993139345</v>
      </c>
      <c r="L44" s="306">
        <f t="shared" si="17"/>
        <v>0.13727615548048841</v>
      </c>
      <c r="M44" s="306">
        <f t="shared" si="17"/>
        <v>0.13443575032969884</v>
      </c>
      <c r="N44" s="306">
        <f t="shared" si="17"/>
        <v>0.13495874556690698</v>
      </c>
      <c r="O44" s="306">
        <f t="shared" si="17"/>
        <v>0.1381763062044811</v>
      </c>
      <c r="P44" s="306">
        <f t="shared" si="17"/>
        <v>0.13663738724692864</v>
      </c>
      <c r="Q44" s="306">
        <f t="shared" si="17"/>
        <v>4.80705488092487E-2</v>
      </c>
      <c r="R44" s="306">
        <f t="shared" si="17"/>
        <v>0.13464738642936122</v>
      </c>
      <c r="S44" s="306">
        <f t="shared" si="17"/>
        <v>0.13519592809429082</v>
      </c>
      <c r="T44" s="306">
        <f t="shared" si="17"/>
        <v>0.13592012471825793</v>
      </c>
      <c r="U44" s="306">
        <f t="shared" si="17"/>
        <v>0.14385405044734884</v>
      </c>
      <c r="V44" s="306">
        <f t="shared" si="17"/>
        <v>0.15251826380674835</v>
      </c>
      <c r="W44" s="306">
        <f t="shared" si="17"/>
        <v>0.15560873194095604</v>
      </c>
      <c r="X44" s="306">
        <f t="shared" si="17"/>
        <v>0.15915439478896962</v>
      </c>
      <c r="Y44" s="306">
        <f t="shared" si="17"/>
        <v>0.16315331237803171</v>
      </c>
      <c r="Z44" s="306">
        <f t="shared" si="17"/>
        <v>0.16760603984288697</v>
      </c>
      <c r="AA44" s="306">
        <f t="shared" si="17"/>
        <v>5.6286274842690658E-2</v>
      </c>
      <c r="AB44" s="306">
        <f t="shared" si="17"/>
        <v>0.17587388024982956</v>
      </c>
      <c r="AC44" s="306">
        <f t="shared" si="17"/>
        <v>0.17961693431996967</v>
      </c>
      <c r="AD44" s="306">
        <f t="shared" si="17"/>
        <v>0.18335554238440299</v>
      </c>
      <c r="AE44" s="306">
        <f t="shared" si="17"/>
        <v>0.1870740172616156</v>
      </c>
      <c r="AF44" s="306">
        <f t="shared" si="17"/>
        <v>0.19075559147973609</v>
      </c>
      <c r="AG44" s="306">
        <f t="shared" si="17"/>
        <v>0.19476711929439014</v>
      </c>
      <c r="AH44" s="306">
        <f t="shared" si="17"/>
        <v>0.19870477727928185</v>
      </c>
      <c r="AI44" s="306">
        <f t="shared" si="17"/>
        <v>0.20253248030247148</v>
      </c>
      <c r="AJ44" s="306">
        <f t="shared" si="17"/>
        <v>0.20638541286663079</v>
      </c>
      <c r="AK44" s="306">
        <f t="shared" si="17"/>
        <v>0.21021755969826711</v>
      </c>
      <c r="AL44" s="306">
        <f t="shared" si="17"/>
        <v>0.21404998892922755</v>
      </c>
      <c r="AM44" s="306">
        <f t="shared" si="17"/>
        <v>0.21794887826902745</v>
      </c>
      <c r="AN44" s="306">
        <f t="shared" si="17"/>
        <v>0.22182633351441283</v>
      </c>
      <c r="AO44" s="306">
        <f t="shared" si="17"/>
        <v>0.2257413320306797</v>
      </c>
      <c r="AP44" s="306">
        <f t="shared" si="17"/>
        <v>0.23022833117099592</v>
      </c>
      <c r="AQ44" s="306">
        <f t="shared" si="17"/>
        <v>0.23464101925641401</v>
      </c>
      <c r="AR44" s="306">
        <f t="shared" si="17"/>
        <v>0.23900477874794424</v>
      </c>
      <c r="AS44" s="306">
        <f t="shared" si="17"/>
        <v>0.24339774713582168</v>
      </c>
      <c r="AT44" s="306">
        <f t="shared" si="17"/>
        <v>0.24783198381146501</v>
      </c>
      <c r="AU44" s="307">
        <f t="shared" si="17"/>
        <v>6.6765724126261805E-2</v>
      </c>
      <c r="AW44" s="303">
        <f t="shared" si="18"/>
        <v>-8.0351112404237979E-2</v>
      </c>
      <c r="AX44" s="303">
        <f t="shared" si="19"/>
        <v>-6.9871663120666838E-2</v>
      </c>
    </row>
    <row r="45" spans="1:50" x14ac:dyDescent="0.25">
      <c r="B45" s="249" t="s">
        <v>473</v>
      </c>
      <c r="C45" s="308">
        <f t="shared" si="20"/>
        <v>0.84019670780873068</v>
      </c>
      <c r="D45" s="308">
        <f t="shared" si="17"/>
        <v>0.83644296763384995</v>
      </c>
      <c r="E45" s="308">
        <f t="shared" si="17"/>
        <v>0.83465036076129684</v>
      </c>
      <c r="F45" s="308">
        <f t="shared" si="17"/>
        <v>0.8297841475489417</v>
      </c>
      <c r="G45" s="308">
        <f t="shared" si="17"/>
        <v>0.82712787112212183</v>
      </c>
      <c r="H45" s="308">
        <f t="shared" si="17"/>
        <v>0.82068077010837104</v>
      </c>
      <c r="I45" s="308">
        <f t="shared" si="17"/>
        <v>0.81825249441983672</v>
      </c>
      <c r="J45" s="308">
        <f t="shared" ref="J45:AU45" si="21">J10/(J$2-J$3)</f>
        <v>0.81641403771234811</v>
      </c>
      <c r="K45" s="308">
        <f t="shared" si="21"/>
        <v>0.81314754528034017</v>
      </c>
      <c r="L45" s="308">
        <f t="shared" si="21"/>
        <v>0.81550973186708142</v>
      </c>
      <c r="M45" s="308">
        <f t="shared" si="21"/>
        <v>0.8183754568796533</v>
      </c>
      <c r="N45" s="308">
        <f t="shared" si="21"/>
        <v>0.81731874633230961</v>
      </c>
      <c r="O45" s="308">
        <f t="shared" si="21"/>
        <v>0.8137447175201763</v>
      </c>
      <c r="P45" s="308">
        <f t="shared" si="21"/>
        <v>0.81544008333214557</v>
      </c>
      <c r="Q45" s="308">
        <f t="shared" si="21"/>
        <v>0.81620654172322593</v>
      </c>
      <c r="R45" s="308">
        <f t="shared" si="21"/>
        <v>0.81768954359384616</v>
      </c>
      <c r="S45" s="308">
        <f t="shared" si="21"/>
        <v>0.81693569247422881</v>
      </c>
      <c r="T45" s="308">
        <f t="shared" si="21"/>
        <v>0.81594081037257893</v>
      </c>
      <c r="U45" s="308">
        <f t="shared" si="21"/>
        <v>0.80618862913850697</v>
      </c>
      <c r="V45" s="308">
        <f t="shared" si="21"/>
        <v>0.79562326454860155</v>
      </c>
      <c r="W45" s="308">
        <f t="shared" si="21"/>
        <v>0.7918848003558121</v>
      </c>
      <c r="X45" s="308">
        <f t="shared" si="21"/>
        <v>0.78756824775248946</v>
      </c>
      <c r="Y45" s="308">
        <f t="shared" si="21"/>
        <v>0.78266732804955752</v>
      </c>
      <c r="Z45" s="308">
        <f t="shared" si="21"/>
        <v>0.77719578766191855</v>
      </c>
      <c r="AA45" s="308">
        <f t="shared" si="21"/>
        <v>0.77139702755777428</v>
      </c>
      <c r="AB45" s="308">
        <f t="shared" si="21"/>
        <v>0.7672798386335995</v>
      </c>
      <c r="AC45" s="308">
        <f t="shared" si="21"/>
        <v>0.76295365922754999</v>
      </c>
      <c r="AD45" s="308">
        <f t="shared" si="21"/>
        <v>0.75868142969312979</v>
      </c>
      <c r="AE45" s="308">
        <f t="shared" si="21"/>
        <v>0.75445697005685186</v>
      </c>
      <c r="AF45" s="308">
        <f t="shared" si="21"/>
        <v>0.75030429058378434</v>
      </c>
      <c r="AG45" s="308">
        <f t="shared" si="21"/>
        <v>0.745628035909777</v>
      </c>
      <c r="AH45" s="308">
        <f t="shared" si="21"/>
        <v>0.74109015202927753</v>
      </c>
      <c r="AI45" s="308">
        <f t="shared" si="21"/>
        <v>0.73674410078088337</v>
      </c>
      <c r="AJ45" s="308">
        <f t="shared" si="21"/>
        <v>0.73239124088893237</v>
      </c>
      <c r="AK45" s="308">
        <f t="shared" si="21"/>
        <v>0.72810571512778433</v>
      </c>
      <c r="AL45" s="308">
        <f t="shared" si="21"/>
        <v>0.72380981260866406</v>
      </c>
      <c r="AM45" s="308">
        <f t="shared" si="21"/>
        <v>0.71942358156192254</v>
      </c>
      <c r="AN45" s="308">
        <f t="shared" si="21"/>
        <v>0.71509039205006264</v>
      </c>
      <c r="AO45" s="308">
        <f t="shared" si="21"/>
        <v>0.71072612997433859</v>
      </c>
      <c r="AP45" s="308">
        <f t="shared" si="21"/>
        <v>0.70552565082637675</v>
      </c>
      <c r="AQ45" s="308">
        <f t="shared" si="21"/>
        <v>0.70052721342106949</v>
      </c>
      <c r="AR45" s="308">
        <f t="shared" si="21"/>
        <v>0.69560371587575565</v>
      </c>
      <c r="AS45" s="308">
        <f t="shared" si="21"/>
        <v>0.69064868175192284</v>
      </c>
      <c r="AT45" s="308">
        <f t="shared" si="21"/>
        <v>0.68567577623935361</v>
      </c>
      <c r="AU45" s="309">
        <f t="shared" si="21"/>
        <v>0.68078772697400425</v>
      </c>
      <c r="AW45" s="310">
        <f>AA45-P45</f>
        <v>-4.4043055774371287E-2</v>
      </c>
      <c r="AX45" s="310">
        <f>AU45-P45</f>
        <v>-0.13465235635814132</v>
      </c>
    </row>
    <row r="46" spans="1:50" x14ac:dyDescent="0.25">
      <c r="C46" s="265"/>
      <c r="D46" s="265"/>
      <c r="E46" s="265"/>
      <c r="F46" s="265"/>
      <c r="G46" s="265"/>
      <c r="H46" s="265"/>
      <c r="I46" s="265"/>
      <c r="J46" s="265"/>
      <c r="K46" s="265"/>
      <c r="L46" s="265"/>
      <c r="M46" s="265"/>
      <c r="N46" s="265"/>
      <c r="O46" s="265"/>
      <c r="P46" s="265"/>
      <c r="Q46" s="265"/>
      <c r="R46" s="265"/>
      <c r="S46" s="265"/>
      <c r="T46" s="265"/>
      <c r="U46" s="265"/>
      <c r="V46" s="265"/>
      <c r="W46" s="265"/>
      <c r="X46" s="265"/>
      <c r="Y46" s="265"/>
      <c r="Z46" s="265"/>
      <c r="AA46" s="265"/>
      <c r="AB46" s="265"/>
      <c r="AC46" s="265"/>
      <c r="AD46" s="265"/>
      <c r="AE46" s="265"/>
      <c r="AF46" s="265"/>
      <c r="AG46" s="265"/>
      <c r="AH46" s="265"/>
      <c r="AI46" s="265"/>
      <c r="AJ46" s="265"/>
      <c r="AK46" s="265"/>
      <c r="AL46" s="265"/>
      <c r="AM46" s="265"/>
      <c r="AN46" s="265"/>
      <c r="AO46" s="265"/>
      <c r="AP46" s="265"/>
      <c r="AQ46" s="265"/>
      <c r="AR46" s="265"/>
      <c r="AS46" s="265"/>
      <c r="AT46" s="265"/>
      <c r="AU46" s="265"/>
    </row>
    <row r="47" spans="1:50" s="244" customFormat="1" ht="45" customHeight="1" x14ac:dyDescent="0.25">
      <c r="A47" s="239" t="s">
        <v>474</v>
      </c>
      <c r="B47" s="240" t="s">
        <v>497</v>
      </c>
      <c r="C47" s="242">
        <v>2006</v>
      </c>
      <c r="D47" s="242">
        <v>2007</v>
      </c>
      <c r="E47" s="242">
        <v>2008</v>
      </c>
      <c r="F47" s="242">
        <v>2009</v>
      </c>
      <c r="G47" s="242">
        <v>2010</v>
      </c>
      <c r="H47" s="242">
        <v>2011</v>
      </c>
      <c r="I47" s="242">
        <v>2012</v>
      </c>
      <c r="J47" s="242">
        <v>2013</v>
      </c>
      <c r="K47" s="242">
        <v>2014</v>
      </c>
      <c r="L47" s="242">
        <v>2015</v>
      </c>
      <c r="M47" s="242">
        <v>2016</v>
      </c>
      <c r="N47" s="242">
        <v>2017</v>
      </c>
      <c r="O47" s="242">
        <v>2018</v>
      </c>
      <c r="P47" s="242">
        <v>2019</v>
      </c>
      <c r="Q47" s="242">
        <v>2020</v>
      </c>
      <c r="R47" s="242">
        <v>2021</v>
      </c>
      <c r="S47" s="242">
        <v>2022</v>
      </c>
      <c r="T47" s="242">
        <v>2023</v>
      </c>
      <c r="U47" s="242">
        <v>2024</v>
      </c>
      <c r="V47" s="242">
        <v>2025</v>
      </c>
      <c r="W47" s="242">
        <v>2026</v>
      </c>
      <c r="X47" s="242">
        <v>2027</v>
      </c>
      <c r="Y47" s="242">
        <v>2028</v>
      </c>
      <c r="Z47" s="242">
        <v>2029</v>
      </c>
      <c r="AA47" s="242">
        <v>2030</v>
      </c>
      <c r="AB47" s="242">
        <v>2031</v>
      </c>
      <c r="AC47" s="242">
        <v>2032</v>
      </c>
      <c r="AD47" s="242">
        <v>2033</v>
      </c>
      <c r="AE47" s="242">
        <v>2034</v>
      </c>
      <c r="AF47" s="242">
        <v>2035</v>
      </c>
      <c r="AG47" s="242">
        <v>2036</v>
      </c>
      <c r="AH47" s="242">
        <v>2037</v>
      </c>
      <c r="AI47" s="242">
        <v>2038</v>
      </c>
      <c r="AJ47" s="242">
        <v>2039</v>
      </c>
      <c r="AK47" s="242">
        <v>2040</v>
      </c>
      <c r="AL47" s="242">
        <v>2041</v>
      </c>
      <c r="AM47" s="242">
        <v>2042</v>
      </c>
      <c r="AN47" s="242">
        <v>2043</v>
      </c>
      <c r="AO47" s="242">
        <v>2044</v>
      </c>
      <c r="AP47" s="242">
        <v>2045</v>
      </c>
      <c r="AQ47" s="242">
        <v>2046</v>
      </c>
      <c r="AR47" s="242">
        <v>2047</v>
      </c>
      <c r="AS47" s="242">
        <v>2048</v>
      </c>
      <c r="AT47" s="242">
        <v>2049</v>
      </c>
      <c r="AU47" s="243">
        <v>2050</v>
      </c>
      <c r="AW47" s="242" t="s">
        <v>498</v>
      </c>
      <c r="AX47" s="242" t="s">
        <v>499</v>
      </c>
    </row>
    <row r="48" spans="1:50" x14ac:dyDescent="0.25">
      <c r="B48" s="245" t="s">
        <v>1</v>
      </c>
      <c r="C48" s="246">
        <f t="shared" ref="C48:AU48" si="22">C49+C50+C53</f>
        <v>1</v>
      </c>
      <c r="D48" s="247">
        <f t="shared" si="22"/>
        <v>1</v>
      </c>
      <c r="E48" s="247">
        <f t="shared" si="22"/>
        <v>1</v>
      </c>
      <c r="F48" s="247">
        <f t="shared" si="22"/>
        <v>1</v>
      </c>
      <c r="G48" s="247">
        <f t="shared" si="22"/>
        <v>0.99999999999999989</v>
      </c>
      <c r="H48" s="247">
        <f t="shared" si="22"/>
        <v>0.99999999999999978</v>
      </c>
      <c r="I48" s="247">
        <f t="shared" si="22"/>
        <v>1</v>
      </c>
      <c r="J48" s="247">
        <f t="shared" si="22"/>
        <v>0.99999999999999989</v>
      </c>
      <c r="K48" s="247">
        <f t="shared" si="22"/>
        <v>1</v>
      </c>
      <c r="L48" s="247">
        <f t="shared" si="22"/>
        <v>0.99999999999999978</v>
      </c>
      <c r="M48" s="247">
        <f t="shared" si="22"/>
        <v>1</v>
      </c>
      <c r="N48" s="247">
        <f t="shared" si="22"/>
        <v>1</v>
      </c>
      <c r="O48" s="247">
        <f t="shared" si="22"/>
        <v>0.99999999999999989</v>
      </c>
      <c r="P48" s="247">
        <f t="shared" si="22"/>
        <v>1</v>
      </c>
      <c r="Q48" s="247">
        <f t="shared" si="22"/>
        <v>0.99957211309382177</v>
      </c>
      <c r="R48" s="247">
        <f t="shared" si="22"/>
        <v>1.0013772135528505</v>
      </c>
      <c r="S48" s="247">
        <f t="shared" si="22"/>
        <v>1.0019530848212457</v>
      </c>
      <c r="T48" s="247">
        <f t="shared" si="22"/>
        <v>1.0024663422136744</v>
      </c>
      <c r="U48" s="247">
        <f t="shared" si="22"/>
        <v>1.0062578562771811</v>
      </c>
      <c r="V48" s="247">
        <f t="shared" si="22"/>
        <v>1.0111673364317082</v>
      </c>
      <c r="W48" s="247">
        <f t="shared" si="22"/>
        <v>1.0139839804997532</v>
      </c>
      <c r="X48" s="247">
        <f t="shared" si="22"/>
        <v>1.0184315155624062</v>
      </c>
      <c r="Y48" s="247">
        <f t="shared" si="22"/>
        <v>1.0244643129577908</v>
      </c>
      <c r="Z48" s="247">
        <f t="shared" si="22"/>
        <v>1.03200306112658</v>
      </c>
      <c r="AA48" s="247">
        <f t="shared" si="22"/>
        <v>1.0406712003454965</v>
      </c>
      <c r="AB48" s="247">
        <f t="shared" si="22"/>
        <v>1.0475111277904046</v>
      </c>
      <c r="AC48" s="247">
        <f t="shared" si="22"/>
        <v>1.0563994257789997</v>
      </c>
      <c r="AD48" s="247">
        <f t="shared" si="22"/>
        <v>1.0646639932415911</v>
      </c>
      <c r="AE48" s="247">
        <f t="shared" si="22"/>
        <v>1.0725753235256283</v>
      </c>
      <c r="AF48" s="247">
        <f t="shared" si="22"/>
        <v>1.0825172797152502</v>
      </c>
      <c r="AG48" s="247">
        <f t="shared" si="22"/>
        <v>1.0903506275642112</v>
      </c>
      <c r="AH48" s="247">
        <f t="shared" si="22"/>
        <v>1.0978289367012164</v>
      </c>
      <c r="AI48" s="247">
        <f t="shared" si="22"/>
        <v>1.1052467767070906</v>
      </c>
      <c r="AJ48" s="247">
        <f t="shared" si="22"/>
        <v>1.112423728481905</v>
      </c>
      <c r="AK48" s="247">
        <f t="shared" si="22"/>
        <v>1.119665285460002</v>
      </c>
      <c r="AL48" s="247">
        <f t="shared" si="22"/>
        <v>1.1272877995448374</v>
      </c>
      <c r="AM48" s="247">
        <f t="shared" si="22"/>
        <v>1.1341669805732582</v>
      </c>
      <c r="AN48" s="247">
        <f t="shared" si="22"/>
        <v>1.1408912451292619</v>
      </c>
      <c r="AO48" s="247">
        <f t="shared" si="22"/>
        <v>1.1475059550291229</v>
      </c>
      <c r="AP48" s="247">
        <f t="shared" si="22"/>
        <v>1.1561293712464946</v>
      </c>
      <c r="AQ48" s="247">
        <f t="shared" si="22"/>
        <v>1.1648533187368786</v>
      </c>
      <c r="AR48" s="247">
        <f t="shared" si="22"/>
        <v>1.1730147855573729</v>
      </c>
      <c r="AS48" s="247">
        <f t="shared" si="22"/>
        <v>1.1806161481555062</v>
      </c>
      <c r="AT48" s="247">
        <f t="shared" si="22"/>
        <v>1.1878464028540061</v>
      </c>
      <c r="AU48" s="248">
        <f t="shared" si="22"/>
        <v>1.1954911074649817</v>
      </c>
    </row>
    <row r="49" spans="1:50" x14ac:dyDescent="0.25">
      <c r="B49" s="249" t="s">
        <v>466</v>
      </c>
      <c r="C49" s="300"/>
      <c r="D49" s="251"/>
      <c r="E49" s="251"/>
      <c r="F49" s="251"/>
      <c r="G49" s="251"/>
      <c r="H49" s="251"/>
      <c r="I49" s="251"/>
      <c r="J49" s="251"/>
      <c r="K49" s="251"/>
      <c r="L49" s="251"/>
      <c r="M49" s="251"/>
      <c r="N49" s="251"/>
      <c r="O49" s="251"/>
      <c r="P49" s="251"/>
      <c r="Q49" s="251"/>
      <c r="R49" s="251"/>
      <c r="S49" s="251"/>
      <c r="T49" s="251"/>
      <c r="U49" s="251"/>
      <c r="V49" s="251"/>
      <c r="W49" s="251"/>
      <c r="X49" s="251"/>
      <c r="Y49" s="251"/>
      <c r="Z49" s="251"/>
      <c r="AA49" s="251"/>
      <c r="AB49" s="251"/>
      <c r="AC49" s="251"/>
      <c r="AD49" s="251"/>
      <c r="AE49" s="251"/>
      <c r="AF49" s="251"/>
      <c r="AG49" s="251"/>
      <c r="AH49" s="251"/>
      <c r="AI49" s="251"/>
      <c r="AJ49" s="251"/>
      <c r="AK49" s="251"/>
      <c r="AL49" s="251"/>
      <c r="AM49" s="251"/>
      <c r="AN49" s="251"/>
      <c r="AO49" s="251"/>
      <c r="AP49" s="251"/>
      <c r="AQ49" s="251"/>
      <c r="AR49" s="251"/>
      <c r="AS49" s="251"/>
      <c r="AT49" s="251"/>
      <c r="AU49" s="252"/>
      <c r="AW49" s="253"/>
    </row>
    <row r="50" spans="1:50" x14ac:dyDescent="0.25">
      <c r="B50" s="254" t="s">
        <v>467</v>
      </c>
      <c r="C50" s="301">
        <f>C15/(C$2-C$3)</f>
        <v>0.29999999998794452</v>
      </c>
      <c r="D50" s="301">
        <f t="shared" ref="D50:AU51" si="23">D15/(D$2-D$3)</f>
        <v>0.30880476107885435</v>
      </c>
      <c r="E50" s="301">
        <f t="shared" si="23"/>
        <v>0.31693332368771776</v>
      </c>
      <c r="F50" s="301">
        <f t="shared" si="23"/>
        <v>0.3249190112142693</v>
      </c>
      <c r="G50" s="301">
        <f t="shared" si="23"/>
        <v>0.33162768863899506</v>
      </c>
      <c r="H50" s="301">
        <f t="shared" si="23"/>
        <v>0.34081162399608628</v>
      </c>
      <c r="I50" s="301">
        <f t="shared" si="23"/>
        <v>0.35210102789145276</v>
      </c>
      <c r="J50" s="301">
        <f t="shared" si="23"/>
        <v>0.36136249488931493</v>
      </c>
      <c r="K50" s="301">
        <f t="shared" si="23"/>
        <v>0.36991781979153815</v>
      </c>
      <c r="L50" s="301">
        <f t="shared" si="23"/>
        <v>0.3790901154165453</v>
      </c>
      <c r="M50" s="301">
        <f t="shared" si="23"/>
        <v>0.37737916363334995</v>
      </c>
      <c r="N50" s="301">
        <f t="shared" si="23"/>
        <v>0.37518504912989242</v>
      </c>
      <c r="O50" s="301">
        <f t="shared" si="23"/>
        <v>0.37506184513923391</v>
      </c>
      <c r="P50" s="301">
        <f t="shared" si="23"/>
        <v>0.37445410921086819</v>
      </c>
      <c r="Q50" s="301">
        <f t="shared" si="23"/>
        <v>0.37488101733128315</v>
      </c>
      <c r="R50" s="301">
        <f t="shared" si="23"/>
        <v>0.37651796546766719</v>
      </c>
      <c r="S50" s="301">
        <f t="shared" si="23"/>
        <v>0.3762442849500332</v>
      </c>
      <c r="T50" s="301">
        <f t="shared" si="23"/>
        <v>0.37579269498937196</v>
      </c>
      <c r="U50" s="301">
        <f t="shared" si="23"/>
        <v>0.37688020164840774</v>
      </c>
      <c r="V50" s="301">
        <f t="shared" si="23"/>
        <v>0.37850449250597201</v>
      </c>
      <c r="W50" s="301">
        <f t="shared" si="23"/>
        <v>0.37929480885521988</v>
      </c>
      <c r="X50" s="301">
        <f t="shared" si="23"/>
        <v>0.38084316862418394</v>
      </c>
      <c r="Y50" s="301">
        <f t="shared" si="23"/>
        <v>0.38289824368214409</v>
      </c>
      <c r="Z50" s="301">
        <f t="shared" si="23"/>
        <v>0.38554286268770627</v>
      </c>
      <c r="AA50" s="301">
        <f t="shared" si="23"/>
        <v>0.3886534557309908</v>
      </c>
      <c r="AB50" s="301">
        <f t="shared" si="23"/>
        <v>0.39109510994811503</v>
      </c>
      <c r="AC50" s="301">
        <f t="shared" si="23"/>
        <v>0.39517772816684937</v>
      </c>
      <c r="AD50" s="301">
        <f t="shared" si="23"/>
        <v>0.39868374519101912</v>
      </c>
      <c r="AE50" s="301">
        <f t="shared" si="23"/>
        <v>0.4019186535160677</v>
      </c>
      <c r="AF50" s="301">
        <f t="shared" si="23"/>
        <v>0.40669280109989875</v>
      </c>
      <c r="AG50" s="301">
        <f t="shared" si="23"/>
        <v>0.40944633501625083</v>
      </c>
      <c r="AH50" s="301">
        <f t="shared" si="23"/>
        <v>0.41223064315335867</v>
      </c>
      <c r="AI50" s="301">
        <f t="shared" si="23"/>
        <v>0.41508538201653694</v>
      </c>
      <c r="AJ50" s="301">
        <f t="shared" si="23"/>
        <v>0.41788612797412872</v>
      </c>
      <c r="AK50" s="301">
        <f t="shared" si="23"/>
        <v>0.42074386540282982</v>
      </c>
      <c r="AL50" s="301">
        <f t="shared" si="23"/>
        <v>0.42382706227597594</v>
      </c>
      <c r="AM50" s="301">
        <f t="shared" si="23"/>
        <v>0.42654789606343763</v>
      </c>
      <c r="AN50" s="301">
        <f t="shared" si="23"/>
        <v>0.42915847914764588</v>
      </c>
      <c r="AO50" s="301">
        <f t="shared" si="23"/>
        <v>0.43170950351821841</v>
      </c>
      <c r="AP50" s="301">
        <f t="shared" si="23"/>
        <v>0.4350048727652614</v>
      </c>
      <c r="AQ50" s="301">
        <f t="shared" si="23"/>
        <v>0.43840326863988316</v>
      </c>
      <c r="AR50" s="301">
        <f t="shared" si="23"/>
        <v>0.44154178360269769</v>
      </c>
      <c r="AS50" s="301">
        <f t="shared" si="23"/>
        <v>0.44444831813654329</v>
      </c>
      <c r="AT50" s="301">
        <f t="shared" si="23"/>
        <v>0.44720138098966133</v>
      </c>
      <c r="AU50" s="302">
        <f t="shared" si="23"/>
        <v>0.4500910490541295</v>
      </c>
      <c r="AW50" s="303">
        <f t="shared" ref="AW50:AW55" si="24">AA50-P50</f>
        <v>1.4199346520122613E-2</v>
      </c>
      <c r="AX50" s="303">
        <f t="shared" ref="AX50:AX55" si="25">AU50-P50</f>
        <v>7.5636939843261308E-2</v>
      </c>
    </row>
    <row r="51" spans="1:50" x14ac:dyDescent="0.25">
      <c r="B51" s="258" t="s">
        <v>468</v>
      </c>
      <c r="C51" s="304">
        <f>C16/(C$2-C$3)</f>
        <v>0.1970599631421219</v>
      </c>
      <c r="D51" s="304">
        <f t="shared" si="23"/>
        <v>0.20118896468053005</v>
      </c>
      <c r="E51" s="304">
        <f t="shared" si="23"/>
        <v>0.20626577785268271</v>
      </c>
      <c r="F51" s="304">
        <f t="shared" si="23"/>
        <v>0.20883742029377822</v>
      </c>
      <c r="G51" s="304">
        <f t="shared" si="23"/>
        <v>0.21223358610660006</v>
      </c>
      <c r="H51" s="304">
        <f t="shared" si="23"/>
        <v>0.21435626692907869</v>
      </c>
      <c r="I51" s="304">
        <f t="shared" si="23"/>
        <v>0.22153427098953204</v>
      </c>
      <c r="J51" s="304">
        <f t="shared" si="23"/>
        <v>0.22773436625311891</v>
      </c>
      <c r="K51" s="304">
        <f t="shared" si="23"/>
        <v>0.23220653270681654</v>
      </c>
      <c r="L51" s="304">
        <f t="shared" si="23"/>
        <v>0.24210297172078904</v>
      </c>
      <c r="M51" s="304">
        <f t="shared" si="23"/>
        <v>0.24325979747802956</v>
      </c>
      <c r="N51" s="304">
        <f t="shared" si="23"/>
        <v>0.24055065298559483</v>
      </c>
      <c r="O51" s="304">
        <f t="shared" si="23"/>
        <v>0.23727009282810252</v>
      </c>
      <c r="P51" s="304">
        <f t="shared" si="23"/>
        <v>0.23821065249329193</v>
      </c>
      <c r="Q51" s="304">
        <f t="shared" si="23"/>
        <v>0.23955912032651716</v>
      </c>
      <c r="R51" s="304">
        <f t="shared" si="23"/>
        <v>0.24228950183923087</v>
      </c>
      <c r="S51" s="304">
        <f t="shared" si="23"/>
        <v>0.24146938104591997</v>
      </c>
      <c r="T51" s="304">
        <f t="shared" si="23"/>
        <v>0.24030730437273973</v>
      </c>
      <c r="U51" s="304">
        <f t="shared" si="23"/>
        <v>0.24058395799860832</v>
      </c>
      <c r="V51" s="304">
        <f t="shared" si="23"/>
        <v>0.2413350535062212</v>
      </c>
      <c r="W51" s="304">
        <f t="shared" si="23"/>
        <v>0.24152561772652628</v>
      </c>
      <c r="X51" s="304">
        <f t="shared" si="23"/>
        <v>0.24244267213350143</v>
      </c>
      <c r="Y51" s="304">
        <f t="shared" si="23"/>
        <v>0.24353831529614201</v>
      </c>
      <c r="Z51" s="304">
        <f t="shared" si="23"/>
        <v>0.24504112827793928</v>
      </c>
      <c r="AA51" s="304">
        <f t="shared" si="23"/>
        <v>0.24690516266061693</v>
      </c>
      <c r="AB51" s="304">
        <f t="shared" si="23"/>
        <v>0.24836579159476072</v>
      </c>
      <c r="AC51" s="304">
        <f t="shared" si="23"/>
        <v>0.25220309602930502</v>
      </c>
      <c r="AD51" s="304">
        <f t="shared" si="23"/>
        <v>0.25513804725612632</v>
      </c>
      <c r="AE51" s="304">
        <f t="shared" si="23"/>
        <v>0.25768700499492675</v>
      </c>
      <c r="AF51" s="304">
        <f t="shared" si="23"/>
        <v>0.26244252887931302</v>
      </c>
      <c r="AG51" s="304">
        <f t="shared" si="23"/>
        <v>0.26398528069321264</v>
      </c>
      <c r="AH51" s="304">
        <f t="shared" si="23"/>
        <v>0.26582510000120341</v>
      </c>
      <c r="AI51" s="304">
        <f t="shared" si="23"/>
        <v>0.26787232588770993</v>
      </c>
      <c r="AJ51" s="304">
        <f t="shared" si="23"/>
        <v>0.26995844835533067</v>
      </c>
      <c r="AK51" s="304">
        <f t="shared" si="23"/>
        <v>0.272138945135316</v>
      </c>
      <c r="AL51" s="304">
        <f t="shared" si="23"/>
        <v>0.27459052812948703</v>
      </c>
      <c r="AM51" s="304">
        <f t="shared" si="23"/>
        <v>0.27668678368072391</v>
      </c>
      <c r="AN51" s="304">
        <f t="shared" si="23"/>
        <v>0.27862638806763823</v>
      </c>
      <c r="AO51" s="304">
        <f t="shared" si="23"/>
        <v>0.28049367870868863</v>
      </c>
      <c r="AP51" s="304">
        <f t="shared" si="23"/>
        <v>0.28282509806950368</v>
      </c>
      <c r="AQ51" s="304">
        <f t="shared" si="23"/>
        <v>0.2853266336207575</v>
      </c>
      <c r="AR51" s="304">
        <f t="shared" si="23"/>
        <v>0.28757795719617857</v>
      </c>
      <c r="AS51" s="304">
        <f t="shared" si="23"/>
        <v>0.28964365941257691</v>
      </c>
      <c r="AT51" s="304">
        <f t="shared" si="23"/>
        <v>0.29158723225383948</v>
      </c>
      <c r="AU51" s="305">
        <f t="shared" si="23"/>
        <v>0.29359004052102244</v>
      </c>
      <c r="AW51" s="303">
        <f t="shared" si="24"/>
        <v>8.6945101673250036E-3</v>
      </c>
      <c r="AX51" s="303">
        <f t="shared" si="25"/>
        <v>5.5379388027730514E-2</v>
      </c>
    </row>
    <row r="52" spans="1:50" x14ac:dyDescent="0.25">
      <c r="B52" s="261" t="s">
        <v>469</v>
      </c>
      <c r="C52" s="306">
        <f t="shared" ref="C52:AU56" si="26">C17/(C$2-C$3)</f>
        <v>5.686325534544661E-2</v>
      </c>
      <c r="D52" s="306">
        <f t="shared" si="26"/>
        <v>5.5941649812703539E-2</v>
      </c>
      <c r="E52" s="306">
        <f t="shared" si="26"/>
        <v>5.4686044920995401E-2</v>
      </c>
      <c r="F52" s="306">
        <f t="shared" si="26"/>
        <v>5.4138250973545396E-2</v>
      </c>
      <c r="G52" s="306">
        <f t="shared" si="26"/>
        <v>5.3482117908994917E-2</v>
      </c>
      <c r="H52" s="306">
        <f t="shared" si="26"/>
        <v>5.2868058329317263E-2</v>
      </c>
      <c r="I52" s="306">
        <f t="shared" si="26"/>
        <v>5.1191153829085144E-2</v>
      </c>
      <c r="J52" s="306">
        <f t="shared" si="26"/>
        <v>4.9970677179197398E-2</v>
      </c>
      <c r="K52" s="306">
        <f t="shared" si="26"/>
        <v>4.915407795171689E-2</v>
      </c>
      <c r="L52" s="306">
        <f t="shared" si="26"/>
        <v>4.7525307952691546E-2</v>
      </c>
      <c r="M52" s="306">
        <f t="shared" si="26"/>
        <v>4.7527610023264798E-2</v>
      </c>
      <c r="N52" s="306">
        <f t="shared" si="26"/>
        <v>4.8070964348134938E-2</v>
      </c>
      <c r="O52" s="306">
        <f t="shared" si="26"/>
        <v>4.8489515828722032E-2</v>
      </c>
      <c r="P52" s="306">
        <f t="shared" si="26"/>
        <v>4.8342891455653125E-2</v>
      </c>
      <c r="Q52" s="306">
        <f t="shared" si="26"/>
        <v>0.13572290946752555</v>
      </c>
      <c r="R52" s="306">
        <f t="shared" si="26"/>
        <v>4.7663069976792538E-2</v>
      </c>
      <c r="S52" s="306">
        <f t="shared" si="26"/>
        <v>4.7868379431480451E-2</v>
      </c>
      <c r="T52" s="306">
        <f t="shared" si="26"/>
        <v>4.8130400597543026E-2</v>
      </c>
      <c r="U52" s="306">
        <f t="shared" si="26"/>
        <v>4.8431849566897403E-2</v>
      </c>
      <c r="V52" s="306">
        <f t="shared" si="26"/>
        <v>4.8748245438065302E-2</v>
      </c>
      <c r="W52" s="306">
        <f t="shared" si="26"/>
        <v>4.8974544567539254E-2</v>
      </c>
      <c r="X52" s="306">
        <f t="shared" si="26"/>
        <v>4.9219809088570342E-2</v>
      </c>
      <c r="Y52" s="306">
        <f t="shared" si="26"/>
        <v>4.9577176851989938E-2</v>
      </c>
      <c r="Z52" s="306">
        <f t="shared" si="26"/>
        <v>4.9998239552273178E-2</v>
      </c>
      <c r="AA52" s="306">
        <f t="shared" si="26"/>
        <v>0.1421904015535238</v>
      </c>
      <c r="AB52" s="306">
        <f t="shared" si="26"/>
        <v>5.0821888889522111E-2</v>
      </c>
      <c r="AC52" s="306">
        <f t="shared" si="26"/>
        <v>5.0946073488242212E-2</v>
      </c>
      <c r="AD52" s="306">
        <f t="shared" si="26"/>
        <v>5.117458134524068E-2</v>
      </c>
      <c r="AE52" s="306">
        <f t="shared" si="26"/>
        <v>5.1439643494724158E-2</v>
      </c>
      <c r="AF52" s="306">
        <f t="shared" si="26"/>
        <v>5.1498298285993345E-2</v>
      </c>
      <c r="AG52" s="306">
        <f t="shared" si="26"/>
        <v>5.1935713199395182E-2</v>
      </c>
      <c r="AH52" s="306">
        <f t="shared" si="26"/>
        <v>5.2288800187068239E-2</v>
      </c>
      <c r="AI52" s="306">
        <f t="shared" si="26"/>
        <v>5.2600766139473405E-2</v>
      </c>
      <c r="AJ52" s="306">
        <f t="shared" si="26"/>
        <v>5.2884616402383712E-2</v>
      </c>
      <c r="AK52" s="306">
        <f t="shared" si="26"/>
        <v>5.3157640061227848E-2</v>
      </c>
      <c r="AL52" s="306">
        <f t="shared" si="26"/>
        <v>5.3417592293344501E-2</v>
      </c>
      <c r="AM52" s="306">
        <f t="shared" si="26"/>
        <v>5.3673730753861219E-2</v>
      </c>
      <c r="AN52" s="306">
        <f t="shared" si="26"/>
        <v>5.3943505892775183E-2</v>
      </c>
      <c r="AO52" s="306">
        <f t="shared" si="26"/>
        <v>5.4216122487197232E-2</v>
      </c>
      <c r="AP52" s="306">
        <f t="shared" si="26"/>
        <v>5.4588433111723893E-2</v>
      </c>
      <c r="AQ52" s="306">
        <f t="shared" si="26"/>
        <v>5.4940020766898398E-2</v>
      </c>
      <c r="AR52" s="306">
        <f t="shared" si="26"/>
        <v>5.5284747596351616E-2</v>
      </c>
      <c r="AS52" s="306">
        <f t="shared" si="26"/>
        <v>5.5611519834698253E-2</v>
      </c>
      <c r="AT52" s="306">
        <f t="shared" si="26"/>
        <v>5.5926332807295837E-2</v>
      </c>
      <c r="AU52" s="307">
        <f t="shared" si="26"/>
        <v>0.15704887308403082</v>
      </c>
      <c r="AW52" s="303">
        <f t="shared" si="24"/>
        <v>9.3847510097870679E-2</v>
      </c>
      <c r="AX52" s="303">
        <f t="shared" si="25"/>
        <v>0.10870598162837769</v>
      </c>
    </row>
    <row r="53" spans="1:50" x14ac:dyDescent="0.25">
      <c r="B53" s="258" t="s">
        <v>470</v>
      </c>
      <c r="C53" s="304">
        <f t="shared" si="26"/>
        <v>0.70000000001205542</v>
      </c>
      <c r="D53" s="304">
        <f t="shared" si="26"/>
        <v>0.69119523892114576</v>
      </c>
      <c r="E53" s="304">
        <f t="shared" si="26"/>
        <v>0.68306667631228224</v>
      </c>
      <c r="F53" s="304">
        <f t="shared" si="26"/>
        <v>0.67508098878573075</v>
      </c>
      <c r="G53" s="304">
        <f t="shared" si="26"/>
        <v>0.66837231136100483</v>
      </c>
      <c r="H53" s="304">
        <f t="shared" si="26"/>
        <v>0.65918837600391356</v>
      </c>
      <c r="I53" s="304">
        <f t="shared" si="26"/>
        <v>0.64789897210854719</v>
      </c>
      <c r="J53" s="304">
        <f t="shared" si="26"/>
        <v>0.63863750511068496</v>
      </c>
      <c r="K53" s="304">
        <f t="shared" si="26"/>
        <v>0.63008218020846185</v>
      </c>
      <c r="L53" s="304">
        <f t="shared" si="26"/>
        <v>0.62090988458345453</v>
      </c>
      <c r="M53" s="304">
        <f t="shared" si="26"/>
        <v>0.62262083636665</v>
      </c>
      <c r="N53" s="304">
        <f t="shared" si="26"/>
        <v>0.62481495087010763</v>
      </c>
      <c r="O53" s="304">
        <f t="shared" si="26"/>
        <v>0.62493815486076598</v>
      </c>
      <c r="P53" s="304">
        <f t="shared" si="26"/>
        <v>0.62554589078913181</v>
      </c>
      <c r="Q53" s="304">
        <f t="shared" si="26"/>
        <v>0.62469109576253856</v>
      </c>
      <c r="R53" s="304">
        <f t="shared" si="26"/>
        <v>0.62485924808518323</v>
      </c>
      <c r="S53" s="304">
        <f t="shared" si="26"/>
        <v>0.62570879987121242</v>
      </c>
      <c r="T53" s="304">
        <f t="shared" si="26"/>
        <v>0.62667364722430241</v>
      </c>
      <c r="U53" s="304">
        <f t="shared" si="26"/>
        <v>0.62937765462877338</v>
      </c>
      <c r="V53" s="304">
        <f t="shared" si="26"/>
        <v>0.63266284392573624</v>
      </c>
      <c r="W53" s="304">
        <f t="shared" si="26"/>
        <v>0.63468917164453331</v>
      </c>
      <c r="X53" s="304">
        <f t="shared" si="26"/>
        <v>0.63758834693822231</v>
      </c>
      <c r="Y53" s="304">
        <f t="shared" si="26"/>
        <v>0.64156606927564663</v>
      </c>
      <c r="Z53" s="304">
        <f t="shared" si="26"/>
        <v>0.6464601984388737</v>
      </c>
      <c r="AA53" s="304">
        <f t="shared" si="26"/>
        <v>0.65201774461450568</v>
      </c>
      <c r="AB53" s="304">
        <f t="shared" si="26"/>
        <v>0.65641601784228953</v>
      </c>
      <c r="AC53" s="304">
        <f t="shared" si="26"/>
        <v>0.66122169761215033</v>
      </c>
      <c r="AD53" s="304">
        <f t="shared" si="26"/>
        <v>0.66598024805057188</v>
      </c>
      <c r="AE53" s="304">
        <f t="shared" si="26"/>
        <v>0.67065667000956064</v>
      </c>
      <c r="AF53" s="304">
        <f t="shared" si="26"/>
        <v>0.67582447861535144</v>
      </c>
      <c r="AG53" s="304">
        <f t="shared" si="26"/>
        <v>0.68090429254796037</v>
      </c>
      <c r="AH53" s="304">
        <f t="shared" si="26"/>
        <v>0.68559829354785762</v>
      </c>
      <c r="AI53" s="304">
        <f t="shared" si="26"/>
        <v>0.69016139469055371</v>
      </c>
      <c r="AJ53" s="304">
        <f t="shared" si="26"/>
        <v>0.69453760050777624</v>
      </c>
      <c r="AK53" s="304">
        <f t="shared" si="26"/>
        <v>0.69892142005717217</v>
      </c>
      <c r="AL53" s="304">
        <f t="shared" si="26"/>
        <v>0.70346073726886149</v>
      </c>
      <c r="AM53" s="304">
        <f t="shared" si="26"/>
        <v>0.70761908450982058</v>
      </c>
      <c r="AN53" s="304">
        <f t="shared" si="26"/>
        <v>0.71173276598161594</v>
      </c>
      <c r="AO53" s="304">
        <f t="shared" si="26"/>
        <v>0.71579645151090454</v>
      </c>
      <c r="AP53" s="304">
        <f t="shared" si="26"/>
        <v>0.72112449848123328</v>
      </c>
      <c r="AQ53" s="304">
        <f t="shared" si="26"/>
        <v>0.72645005009699548</v>
      </c>
      <c r="AR53" s="304">
        <f t="shared" si="26"/>
        <v>0.73147300195467524</v>
      </c>
      <c r="AS53" s="304">
        <f t="shared" si="26"/>
        <v>0.7361678300189628</v>
      </c>
      <c r="AT53" s="304">
        <f t="shared" si="26"/>
        <v>0.74064502186434478</v>
      </c>
      <c r="AU53" s="305">
        <f t="shared" si="26"/>
        <v>0.74540005841085211</v>
      </c>
      <c r="AW53" s="303">
        <f t="shared" si="24"/>
        <v>2.647185382537387E-2</v>
      </c>
      <c r="AX53" s="303">
        <f t="shared" si="25"/>
        <v>0.1198541676217203</v>
      </c>
    </row>
    <row r="54" spans="1:50" x14ac:dyDescent="0.25">
      <c r="B54" s="258" t="s">
        <v>471</v>
      </c>
      <c r="C54" s="304">
        <f t="shared" si="26"/>
        <v>0.64313674466660875</v>
      </c>
      <c r="D54" s="304">
        <f t="shared" si="26"/>
        <v>0.63525400295332002</v>
      </c>
      <c r="E54" s="304">
        <f t="shared" si="26"/>
        <v>0.6283845829086141</v>
      </c>
      <c r="F54" s="304">
        <f t="shared" si="26"/>
        <v>0.62094672725516353</v>
      </c>
      <c r="G54" s="304">
        <f t="shared" si="26"/>
        <v>0.61489428501552179</v>
      </c>
      <c r="H54" s="304">
        <f t="shared" si="26"/>
        <v>0.60632450317929232</v>
      </c>
      <c r="I54" s="304">
        <f t="shared" si="26"/>
        <v>0.59671822343030467</v>
      </c>
      <c r="J54" s="304">
        <f t="shared" si="26"/>
        <v>0.58867967145922917</v>
      </c>
      <c r="K54" s="304">
        <f t="shared" si="26"/>
        <v>0.5809410125735236</v>
      </c>
      <c r="L54" s="304">
        <f t="shared" si="26"/>
        <v>0.57340676014629233</v>
      </c>
      <c r="M54" s="304">
        <f t="shared" si="26"/>
        <v>0.57511565940162368</v>
      </c>
      <c r="N54" s="304">
        <f t="shared" si="26"/>
        <v>0.57676809334671486</v>
      </c>
      <c r="O54" s="304">
        <f t="shared" si="26"/>
        <v>0.57647462469207378</v>
      </c>
      <c r="P54" s="304">
        <f t="shared" si="26"/>
        <v>0.57722943083885359</v>
      </c>
      <c r="Q54" s="304">
        <f t="shared" si="26"/>
        <v>0.57664742139670877</v>
      </c>
      <c r="R54" s="304">
        <f t="shared" si="26"/>
        <v>0.57540004175461534</v>
      </c>
      <c r="S54" s="304">
        <f t="shared" si="26"/>
        <v>0.57546631142830884</v>
      </c>
      <c r="T54" s="304">
        <f t="shared" si="26"/>
        <v>0.57558999782753573</v>
      </c>
      <c r="U54" s="304">
        <f t="shared" si="26"/>
        <v>0.57740222088224857</v>
      </c>
      <c r="V54" s="304">
        <f t="shared" si="26"/>
        <v>0.57977250019131099</v>
      </c>
      <c r="W54" s="304">
        <f t="shared" si="26"/>
        <v>0.58097804810271902</v>
      </c>
      <c r="X54" s="304">
        <f t="shared" si="26"/>
        <v>0.58302700928295659</v>
      </c>
      <c r="Y54" s="304">
        <f t="shared" si="26"/>
        <v>0.58602774653555523</v>
      </c>
      <c r="Z54" s="304">
        <f t="shared" si="26"/>
        <v>0.58986519863080999</v>
      </c>
      <c r="AA54" s="304">
        <f t="shared" si="26"/>
        <v>0.59431258068543436</v>
      </c>
      <c r="AB54" s="304">
        <f t="shared" si="26"/>
        <v>0.59769917167400699</v>
      </c>
      <c r="AC54" s="304">
        <f t="shared" si="26"/>
        <v>0.60172149806118125</v>
      </c>
      <c r="AD54" s="304">
        <f t="shared" si="26"/>
        <v>0.60558429485892507</v>
      </c>
      <c r="AE54" s="304">
        <f t="shared" si="26"/>
        <v>0.60932137098463102</v>
      </c>
      <c r="AF54" s="304">
        <f t="shared" si="26"/>
        <v>0.61374142299831103</v>
      </c>
      <c r="AG54" s="304">
        <f t="shared" si="26"/>
        <v>0.6176862931426973</v>
      </c>
      <c r="AH54" s="304">
        <f t="shared" si="26"/>
        <v>0.62132779133208382</v>
      </c>
      <c r="AI54" s="304">
        <f t="shared" si="26"/>
        <v>0.62487400734881748</v>
      </c>
      <c r="AJ54" s="304">
        <f t="shared" si="26"/>
        <v>0.62825737273244486</v>
      </c>
      <c r="AK54" s="304">
        <f t="shared" si="26"/>
        <v>0.63165168745044142</v>
      </c>
      <c r="AL54" s="304">
        <f t="shared" si="26"/>
        <v>0.63520395021752163</v>
      </c>
      <c r="AM54" s="304">
        <f t="shared" si="26"/>
        <v>0.63837977726898909</v>
      </c>
      <c r="AN54" s="304">
        <f t="shared" si="26"/>
        <v>0.64149140014418593</v>
      </c>
      <c r="AO54" s="304">
        <f t="shared" si="26"/>
        <v>0.64454456097720336</v>
      </c>
      <c r="AP54" s="304">
        <f t="shared" si="26"/>
        <v>0.64872445194376482</v>
      </c>
      <c r="AQ54" s="304">
        <f t="shared" si="26"/>
        <v>0.65291366200810108</v>
      </c>
      <c r="AR54" s="304">
        <f t="shared" si="26"/>
        <v>0.65680618201933449</v>
      </c>
      <c r="AS54" s="304">
        <f t="shared" si="26"/>
        <v>0.66038912583809295</v>
      </c>
      <c r="AT54" s="304">
        <f t="shared" si="26"/>
        <v>0.66376476135903806</v>
      </c>
      <c r="AU54" s="305">
        <f t="shared" si="26"/>
        <v>0.66737556826977174</v>
      </c>
      <c r="AW54" s="303">
        <f t="shared" si="24"/>
        <v>1.708314984658077E-2</v>
      </c>
      <c r="AX54" s="303">
        <f t="shared" si="25"/>
        <v>9.014613743091815E-2</v>
      </c>
    </row>
    <row r="55" spans="1:50" x14ac:dyDescent="0.25">
      <c r="B55" s="261" t="s">
        <v>472</v>
      </c>
      <c r="C55" s="306">
        <f t="shared" si="26"/>
        <v>0.10294003683376719</v>
      </c>
      <c r="D55" s="306">
        <f t="shared" si="26"/>
        <v>0.10763567339291973</v>
      </c>
      <c r="E55" s="306">
        <f t="shared" si="26"/>
        <v>0.11068827981304334</v>
      </c>
      <c r="F55" s="306">
        <f t="shared" si="26"/>
        <v>0.11615027998965617</v>
      </c>
      <c r="G55" s="306">
        <f t="shared" si="26"/>
        <v>0.11946974396864705</v>
      </c>
      <c r="H55" s="306">
        <f t="shared" si="26"/>
        <v>0.12662481400131115</v>
      </c>
      <c r="I55" s="306">
        <f t="shared" si="26"/>
        <v>0.1307418635459302</v>
      </c>
      <c r="J55" s="306">
        <f t="shared" si="26"/>
        <v>0.13380866380496909</v>
      </c>
      <c r="K55" s="306">
        <f t="shared" si="26"/>
        <v>0.13790101993139345</v>
      </c>
      <c r="L55" s="306">
        <f t="shared" si="26"/>
        <v>0.13727615548048841</v>
      </c>
      <c r="M55" s="306">
        <f t="shared" si="26"/>
        <v>0.13443575032969884</v>
      </c>
      <c r="N55" s="306">
        <f t="shared" si="26"/>
        <v>0.13495874556690698</v>
      </c>
      <c r="O55" s="306">
        <f t="shared" si="26"/>
        <v>0.1381763062044811</v>
      </c>
      <c r="P55" s="306">
        <f t="shared" si="26"/>
        <v>0.13663738724692864</v>
      </c>
      <c r="Q55" s="306">
        <f t="shared" si="26"/>
        <v>4.80705488092487E-2</v>
      </c>
      <c r="R55" s="306">
        <f t="shared" si="26"/>
        <v>0.13464738642936122</v>
      </c>
      <c r="S55" s="306">
        <f t="shared" si="26"/>
        <v>0.13519592809429082</v>
      </c>
      <c r="T55" s="306">
        <f t="shared" si="26"/>
        <v>0.13591032400407357</v>
      </c>
      <c r="U55" s="306">
        <f t="shared" si="26"/>
        <v>0.13672341612112832</v>
      </c>
      <c r="V55" s="306">
        <f t="shared" si="26"/>
        <v>0.13759891958937576</v>
      </c>
      <c r="W55" s="306">
        <f t="shared" si="26"/>
        <v>0.13820012839861651</v>
      </c>
      <c r="X55" s="306">
        <f t="shared" si="26"/>
        <v>0.13883321992684272</v>
      </c>
      <c r="Y55" s="306">
        <f t="shared" si="26"/>
        <v>0.13979524180614983</v>
      </c>
      <c r="Z55" s="306">
        <f t="shared" si="26"/>
        <v>0.14094023423163266</v>
      </c>
      <c r="AA55" s="306">
        <f t="shared" si="26"/>
        <v>5.0457091282593652E-2</v>
      </c>
      <c r="AB55" s="306">
        <f t="shared" si="26"/>
        <v>0.14317424952890345</v>
      </c>
      <c r="AC55" s="306">
        <f t="shared" si="26"/>
        <v>0.14343259643271999</v>
      </c>
      <c r="AD55" s="306">
        <f t="shared" si="26"/>
        <v>0.14401035256264477</v>
      </c>
      <c r="AE55" s="306">
        <f t="shared" si="26"/>
        <v>0.14470130551408636</v>
      </c>
      <c r="AF55" s="306">
        <f t="shared" si="26"/>
        <v>0.14474069667698319</v>
      </c>
      <c r="AG55" s="306">
        <f t="shared" si="26"/>
        <v>0.14595509142036214</v>
      </c>
      <c r="AH55" s="306">
        <f t="shared" si="26"/>
        <v>0.14690295032897646</v>
      </c>
      <c r="AI55" s="306">
        <f t="shared" si="26"/>
        <v>0.14771413115590287</v>
      </c>
      <c r="AJ55" s="306">
        <f t="shared" si="26"/>
        <v>0.14843254018439866</v>
      </c>
      <c r="AK55" s="306">
        <f t="shared" si="26"/>
        <v>0.14911381218576969</v>
      </c>
      <c r="AL55" s="306">
        <f t="shared" si="26"/>
        <v>0.14975023067081628</v>
      </c>
      <c r="AM55" s="306">
        <f t="shared" si="26"/>
        <v>0.15037867598238785</v>
      </c>
      <c r="AN55" s="306">
        <f t="shared" si="26"/>
        <v>0.15105313109813806</v>
      </c>
      <c r="AO55" s="306">
        <f t="shared" si="26"/>
        <v>0.15174018795538882</v>
      </c>
      <c r="AP55" s="306">
        <f t="shared" si="26"/>
        <v>0.15270832284703792</v>
      </c>
      <c r="AQ55" s="306">
        <f t="shared" si="26"/>
        <v>0.15360973844617307</v>
      </c>
      <c r="AR55" s="306">
        <f t="shared" si="26"/>
        <v>0.15450096252214823</v>
      </c>
      <c r="AS55" s="306">
        <f t="shared" si="26"/>
        <v>0.15534547785894678</v>
      </c>
      <c r="AT55" s="306">
        <f t="shared" si="26"/>
        <v>0.15615842749855549</v>
      </c>
      <c r="AU55" s="307">
        <f t="shared" si="26"/>
        <v>5.6268328957486201E-2</v>
      </c>
      <c r="AW55" s="303">
        <f t="shared" si="24"/>
        <v>-8.6180295964334991E-2</v>
      </c>
      <c r="AX55" s="303">
        <f t="shared" si="25"/>
        <v>-8.0369058289442435E-2</v>
      </c>
    </row>
    <row r="56" spans="1:50" x14ac:dyDescent="0.25">
      <c r="B56" s="249" t="s">
        <v>473</v>
      </c>
      <c r="C56" s="308">
        <f t="shared" si="26"/>
        <v>0.84019670780873068</v>
      </c>
      <c r="D56" s="308">
        <f t="shared" si="26"/>
        <v>0.83644296763384995</v>
      </c>
      <c r="E56" s="308">
        <f t="shared" si="26"/>
        <v>0.83465036076129684</v>
      </c>
      <c r="F56" s="308">
        <f t="shared" si="26"/>
        <v>0.8297841475489417</v>
      </c>
      <c r="G56" s="308">
        <f t="shared" si="26"/>
        <v>0.82712787112212183</v>
      </c>
      <c r="H56" s="308">
        <f t="shared" si="26"/>
        <v>0.82068077010837104</v>
      </c>
      <c r="I56" s="308">
        <f t="shared" si="26"/>
        <v>0.81825249441983672</v>
      </c>
      <c r="J56" s="308">
        <f t="shared" si="26"/>
        <v>0.81641403771234811</v>
      </c>
      <c r="K56" s="308">
        <f t="shared" si="26"/>
        <v>0.81314754528034017</v>
      </c>
      <c r="L56" s="308">
        <f t="shared" si="26"/>
        <v>0.81550973186708142</v>
      </c>
      <c r="M56" s="308">
        <f t="shared" si="26"/>
        <v>0.8183754568796533</v>
      </c>
      <c r="N56" s="308">
        <f t="shared" si="26"/>
        <v>0.81731874633230961</v>
      </c>
      <c r="O56" s="308">
        <f t="shared" si="26"/>
        <v>0.8137447175201763</v>
      </c>
      <c r="P56" s="308">
        <f t="shared" si="26"/>
        <v>0.81544008333214557</v>
      </c>
      <c r="Q56" s="308">
        <f t="shared" si="26"/>
        <v>0.81620654172322593</v>
      </c>
      <c r="R56" s="308">
        <f t="shared" si="26"/>
        <v>0.81768954359384616</v>
      </c>
      <c r="S56" s="308">
        <f t="shared" si="26"/>
        <v>0.81693569247422881</v>
      </c>
      <c r="T56" s="308">
        <f t="shared" si="26"/>
        <v>0.81589730220027556</v>
      </c>
      <c r="U56" s="308">
        <f t="shared" si="26"/>
        <v>0.8179861788808569</v>
      </c>
      <c r="V56" s="308">
        <f t="shared" si="26"/>
        <v>0.82110755369753208</v>
      </c>
      <c r="W56" s="308">
        <f t="shared" si="26"/>
        <v>0.82250366582924528</v>
      </c>
      <c r="X56" s="308">
        <f t="shared" si="26"/>
        <v>0.82546968141645793</v>
      </c>
      <c r="Y56" s="308">
        <f t="shared" si="26"/>
        <v>0.82956606183169723</v>
      </c>
      <c r="Z56" s="308">
        <f t="shared" si="26"/>
        <v>0.83490632690874922</v>
      </c>
      <c r="AA56" s="308">
        <f t="shared" si="26"/>
        <v>0.84121774334605126</v>
      </c>
      <c r="AB56" s="308">
        <f t="shared" si="26"/>
        <v>0.84606496326876768</v>
      </c>
      <c r="AC56" s="308">
        <f t="shared" si="26"/>
        <v>0.85392459409048627</v>
      </c>
      <c r="AD56" s="308">
        <f t="shared" si="26"/>
        <v>0.86072234211505139</v>
      </c>
      <c r="AE56" s="308">
        <f t="shared" si="26"/>
        <v>0.86700837597955771</v>
      </c>
      <c r="AF56" s="308">
        <f t="shared" si="26"/>
        <v>0.8761839518776241</v>
      </c>
      <c r="AG56" s="308">
        <f t="shared" si="26"/>
        <v>0.88167157383590988</v>
      </c>
      <c r="AH56" s="308">
        <f t="shared" si="26"/>
        <v>0.88715289133328723</v>
      </c>
      <c r="AI56" s="308">
        <f t="shared" si="26"/>
        <v>0.89274633323652741</v>
      </c>
      <c r="AJ56" s="308">
        <f t="shared" si="26"/>
        <v>0.89821582108777553</v>
      </c>
      <c r="AK56" s="308">
        <f t="shared" si="26"/>
        <v>0.90379063258575743</v>
      </c>
      <c r="AL56" s="308">
        <f t="shared" si="26"/>
        <v>0.90979447834700855</v>
      </c>
      <c r="AM56" s="308">
        <f t="shared" si="26"/>
        <v>0.91506656094971295</v>
      </c>
      <c r="AN56" s="308">
        <f t="shared" si="26"/>
        <v>0.92011778821182422</v>
      </c>
      <c r="AO56" s="308">
        <f t="shared" si="26"/>
        <v>0.92503823968589194</v>
      </c>
      <c r="AP56" s="308">
        <f t="shared" si="26"/>
        <v>0.93154955001326856</v>
      </c>
      <c r="AQ56" s="308">
        <f t="shared" si="26"/>
        <v>0.93824029562885869</v>
      </c>
      <c r="AR56" s="308">
        <f t="shared" si="26"/>
        <v>0.94438413921551301</v>
      </c>
      <c r="AS56" s="308">
        <f t="shared" si="26"/>
        <v>0.95003278525066981</v>
      </c>
      <c r="AT56" s="308">
        <f t="shared" si="26"/>
        <v>0.95535199361287748</v>
      </c>
      <c r="AU56" s="309">
        <f t="shared" si="26"/>
        <v>0.96096560879079418</v>
      </c>
      <c r="AW56" s="310">
        <f>AA56-P56</f>
        <v>2.577766001390569E-2</v>
      </c>
      <c r="AX56" s="310">
        <f>AU56-P56</f>
        <v>0.14552552545864861</v>
      </c>
    </row>
    <row r="57" spans="1:50" x14ac:dyDescent="0.25">
      <c r="C57" s="212"/>
      <c r="D57" s="212"/>
      <c r="E57" s="212"/>
      <c r="F57" s="212"/>
      <c r="G57" s="212"/>
      <c r="H57" s="212"/>
      <c r="I57" s="212"/>
      <c r="J57" s="212"/>
      <c r="K57" s="212"/>
      <c r="L57" s="212"/>
      <c r="M57" s="212"/>
      <c r="N57" s="212"/>
      <c r="O57" s="212"/>
      <c r="P57" s="212"/>
      <c r="Q57" s="212"/>
      <c r="R57" s="212"/>
      <c r="S57" s="212"/>
      <c r="T57" s="212"/>
      <c r="U57" s="212"/>
      <c r="V57" s="212"/>
      <c r="W57" s="212"/>
      <c r="X57" s="212"/>
      <c r="Y57" s="212"/>
      <c r="Z57" s="212"/>
      <c r="AA57" s="212"/>
      <c r="AB57" s="212"/>
      <c r="AC57" s="212"/>
      <c r="AD57" s="212"/>
      <c r="AE57" s="212"/>
      <c r="AF57" s="212"/>
      <c r="AG57" s="212"/>
      <c r="AH57" s="212"/>
      <c r="AI57" s="212"/>
      <c r="AJ57" s="212"/>
      <c r="AK57" s="212"/>
      <c r="AL57" s="212"/>
      <c r="AM57" s="212"/>
      <c r="AN57" s="212"/>
      <c r="AO57" s="212"/>
      <c r="AP57" s="212"/>
      <c r="AQ57" s="212"/>
      <c r="AR57" s="212"/>
      <c r="AS57" s="212"/>
      <c r="AT57" s="212"/>
      <c r="AU57" s="212"/>
      <c r="AW57" s="253"/>
    </row>
    <row r="58" spans="1:50" s="244" customFormat="1" ht="45" customHeight="1" x14ac:dyDescent="0.25">
      <c r="A58" s="239" t="str">
        <f>"Ecarts "&amp;[5]Résultats!B1&amp;"  - TEND"</f>
        <v>Ecarts SNBC3  - TEND</v>
      </c>
      <c r="B58" s="266" t="s">
        <v>501</v>
      </c>
      <c r="C58" s="242">
        <v>2006</v>
      </c>
      <c r="D58" s="242">
        <v>2007</v>
      </c>
      <c r="E58" s="242">
        <v>2008</v>
      </c>
      <c r="F58" s="242">
        <v>2009</v>
      </c>
      <c r="G58" s="242">
        <v>2010</v>
      </c>
      <c r="H58" s="242">
        <v>2011</v>
      </c>
      <c r="I58" s="242">
        <v>2012</v>
      </c>
      <c r="J58" s="242">
        <v>2013</v>
      </c>
      <c r="K58" s="242">
        <v>2014</v>
      </c>
      <c r="L58" s="242">
        <v>2015</v>
      </c>
      <c r="M58" s="242">
        <v>2016</v>
      </c>
      <c r="N58" s="242">
        <v>2017</v>
      </c>
      <c r="O58" s="242">
        <v>2018</v>
      </c>
      <c r="P58" s="242">
        <v>2019</v>
      </c>
      <c r="Q58" s="242">
        <v>2020</v>
      </c>
      <c r="R58" s="242">
        <v>2021</v>
      </c>
      <c r="S58" s="242">
        <v>2022</v>
      </c>
      <c r="T58" s="242">
        <v>2023</v>
      </c>
      <c r="U58" s="242">
        <v>2024</v>
      </c>
      <c r="V58" s="242">
        <v>2025</v>
      </c>
      <c r="W58" s="242">
        <v>2026</v>
      </c>
      <c r="X58" s="242">
        <v>2027</v>
      </c>
      <c r="Y58" s="242">
        <v>2028</v>
      </c>
      <c r="Z58" s="242">
        <v>2029</v>
      </c>
      <c r="AA58" s="242">
        <v>2030</v>
      </c>
      <c r="AB58" s="242">
        <v>2031</v>
      </c>
      <c r="AC58" s="242">
        <v>2032</v>
      </c>
      <c r="AD58" s="242">
        <v>2033</v>
      </c>
      <c r="AE58" s="242">
        <v>2034</v>
      </c>
      <c r="AF58" s="242">
        <v>2035</v>
      </c>
      <c r="AG58" s="242">
        <v>2036</v>
      </c>
      <c r="AH58" s="242">
        <v>2037</v>
      </c>
      <c r="AI58" s="242">
        <v>2038</v>
      </c>
      <c r="AJ58" s="242">
        <v>2039</v>
      </c>
      <c r="AK58" s="242">
        <v>2040</v>
      </c>
      <c r="AL58" s="242">
        <v>2041</v>
      </c>
      <c r="AM58" s="242">
        <v>2042</v>
      </c>
      <c r="AN58" s="242">
        <v>2043</v>
      </c>
      <c r="AO58" s="242">
        <v>2044</v>
      </c>
      <c r="AP58" s="242">
        <v>2045</v>
      </c>
      <c r="AQ58" s="242">
        <v>2046</v>
      </c>
      <c r="AR58" s="242">
        <v>2047</v>
      </c>
      <c r="AS58" s="242">
        <v>2048</v>
      </c>
      <c r="AT58" s="242">
        <v>2049</v>
      </c>
      <c r="AU58" s="243">
        <v>2050</v>
      </c>
      <c r="AV58" s="267"/>
    </row>
    <row r="59" spans="1:50" x14ac:dyDescent="0.25">
      <c r="B59" s="245" t="s">
        <v>1</v>
      </c>
      <c r="C59" s="311"/>
      <c r="D59" s="311"/>
      <c r="E59" s="311"/>
      <c r="F59" s="311"/>
      <c r="G59" s="311"/>
      <c r="H59" s="311"/>
      <c r="I59" s="311"/>
      <c r="J59" s="311"/>
      <c r="K59" s="311"/>
      <c r="L59" s="311"/>
      <c r="M59" s="311"/>
      <c r="N59" s="311"/>
      <c r="O59" s="311"/>
      <c r="P59" s="311"/>
      <c r="Q59" s="311"/>
      <c r="R59" s="311"/>
      <c r="S59" s="311"/>
      <c r="T59" s="311"/>
      <c r="U59" s="311"/>
      <c r="V59" s="311"/>
      <c r="W59" s="311"/>
      <c r="X59" s="311"/>
      <c r="Y59" s="311"/>
      <c r="Z59" s="311"/>
      <c r="AA59" s="311"/>
      <c r="AB59" s="311"/>
      <c r="AC59" s="311"/>
      <c r="AD59" s="311"/>
      <c r="AE59" s="311"/>
      <c r="AF59" s="311"/>
      <c r="AG59" s="311"/>
      <c r="AH59" s="311"/>
      <c r="AI59" s="311"/>
      <c r="AJ59" s="311"/>
      <c r="AK59" s="311"/>
      <c r="AL59" s="311"/>
      <c r="AM59" s="311"/>
      <c r="AN59" s="311"/>
      <c r="AO59" s="311"/>
      <c r="AP59" s="311"/>
      <c r="AQ59" s="311"/>
      <c r="AR59" s="311"/>
      <c r="AS59" s="311"/>
      <c r="AT59" s="311"/>
      <c r="AU59" s="311"/>
      <c r="AV59" s="268"/>
    </row>
    <row r="60" spans="1:50" x14ac:dyDescent="0.25">
      <c r="B60" s="249" t="s">
        <v>466</v>
      </c>
      <c r="C60" s="308"/>
      <c r="D60" s="308"/>
      <c r="E60" s="308"/>
      <c r="F60" s="308"/>
      <c r="G60" s="308"/>
      <c r="H60" s="308"/>
      <c r="I60" s="308"/>
      <c r="J60" s="308"/>
      <c r="K60" s="308"/>
      <c r="L60" s="308"/>
      <c r="M60" s="308"/>
      <c r="N60" s="308"/>
      <c r="O60" s="308"/>
      <c r="P60" s="308"/>
      <c r="Q60" s="308"/>
      <c r="R60" s="308"/>
      <c r="S60" s="308"/>
      <c r="T60" s="308"/>
      <c r="U60" s="308"/>
      <c r="V60" s="308"/>
      <c r="W60" s="308"/>
      <c r="X60" s="308"/>
      <c r="Y60" s="308"/>
      <c r="Z60" s="308"/>
      <c r="AA60" s="308"/>
      <c r="AB60" s="308"/>
      <c r="AC60" s="308"/>
      <c r="AD60" s="308"/>
      <c r="AE60" s="308"/>
      <c r="AF60" s="308"/>
      <c r="AG60" s="308"/>
      <c r="AH60" s="308"/>
      <c r="AI60" s="308"/>
      <c r="AJ60" s="308"/>
      <c r="AK60" s="308"/>
      <c r="AL60" s="308"/>
      <c r="AM60" s="308"/>
      <c r="AN60" s="308"/>
      <c r="AO60" s="308"/>
      <c r="AP60" s="308"/>
      <c r="AQ60" s="308"/>
      <c r="AR60" s="308"/>
      <c r="AS60" s="308"/>
      <c r="AT60" s="308"/>
      <c r="AU60" s="308"/>
      <c r="AV60" s="268"/>
    </row>
    <row r="61" spans="1:50" x14ac:dyDescent="0.25">
      <c r="B61" s="254" t="s">
        <v>467</v>
      </c>
      <c r="C61" s="301">
        <f t="shared" ref="C61:AU66" si="27">C39-C50</f>
        <v>0</v>
      </c>
      <c r="D61" s="301">
        <f t="shared" si="27"/>
        <v>0</v>
      </c>
      <c r="E61" s="301">
        <f t="shared" si="27"/>
        <v>0</v>
      </c>
      <c r="F61" s="301">
        <f t="shared" si="27"/>
        <v>0</v>
      </c>
      <c r="G61" s="301">
        <f t="shared" si="27"/>
        <v>0</v>
      </c>
      <c r="H61" s="301">
        <f t="shared" si="27"/>
        <v>0</v>
      </c>
      <c r="I61" s="301">
        <f t="shared" si="27"/>
        <v>0</v>
      </c>
      <c r="J61" s="301">
        <f t="shared" si="27"/>
        <v>0</v>
      </c>
      <c r="K61" s="301">
        <f t="shared" si="27"/>
        <v>0</v>
      </c>
      <c r="L61" s="301">
        <f t="shared" si="27"/>
        <v>0</v>
      </c>
      <c r="M61" s="301">
        <f t="shared" si="27"/>
        <v>0</v>
      </c>
      <c r="N61" s="301">
        <f t="shared" si="27"/>
        <v>0</v>
      </c>
      <c r="O61" s="301">
        <f t="shared" si="27"/>
        <v>0</v>
      </c>
      <c r="P61" s="301">
        <f t="shared" si="27"/>
        <v>0</v>
      </c>
      <c r="Q61" s="301">
        <f t="shared" si="27"/>
        <v>4.010124627595868E-4</v>
      </c>
      <c r="R61" s="301">
        <f t="shared" si="27"/>
        <v>-8.6565393651643785E-2</v>
      </c>
      <c r="S61" s="301">
        <f t="shared" si="27"/>
        <v>-8.6906524472632807E-2</v>
      </c>
      <c r="T61" s="301">
        <f t="shared" si="27"/>
        <v>-8.735720551250381E-2</v>
      </c>
      <c r="U61" s="301">
        <f t="shared" si="27"/>
        <v>-9.2194373541835573E-2</v>
      </c>
      <c r="V61" s="301">
        <f t="shared" si="27"/>
        <v>-9.8134819346889723E-2</v>
      </c>
      <c r="W61" s="301">
        <f t="shared" si="27"/>
        <v>-9.8096669273746995E-2</v>
      </c>
      <c r="X61" s="301">
        <f t="shared" si="27"/>
        <v>-9.9409401554390098E-2</v>
      </c>
      <c r="Y61" s="301">
        <f t="shared" si="27"/>
        <v>-0.10183964816362012</v>
      </c>
      <c r="Z61" s="301">
        <f t="shared" si="27"/>
        <v>-0.10541516863980543</v>
      </c>
      <c r="AA61" s="301">
        <f t="shared" si="27"/>
        <v>6.2630022501879434E-3</v>
      </c>
      <c r="AB61" s="301">
        <f t="shared" si="27"/>
        <v>-0.11275237159211626</v>
      </c>
      <c r="AC61" s="301">
        <f t="shared" si="27"/>
        <v>-0.11755956116476651</v>
      </c>
      <c r="AD61" s="301">
        <f t="shared" si="27"/>
        <v>-0.12167979681930274</v>
      </c>
      <c r="AE61" s="301">
        <f t="shared" si="27"/>
        <v>-0.12545959495190356</v>
      </c>
      <c r="AF61" s="301">
        <f t="shared" si="27"/>
        <v>-0.13068173598291172</v>
      </c>
      <c r="AG61" s="301">
        <f t="shared" si="27"/>
        <v>-0.1345296510438419</v>
      </c>
      <c r="AH61" s="301">
        <f t="shared" si="27"/>
        <v>-0.1382105027636093</v>
      </c>
      <c r="AI61" s="301">
        <f t="shared" si="27"/>
        <v>-0.14170221519367127</v>
      </c>
      <c r="AJ61" s="301">
        <f t="shared" si="27"/>
        <v>-0.14512536713828361</v>
      </c>
      <c r="AK61" s="301">
        <f t="shared" si="27"/>
        <v>-0.14849131556439821</v>
      </c>
      <c r="AL61" s="301">
        <f t="shared" si="27"/>
        <v>-0.15207400694083245</v>
      </c>
      <c r="AM61" s="301">
        <f t="shared" si="27"/>
        <v>-0.15540373795320273</v>
      </c>
      <c r="AN61" s="301">
        <f t="shared" si="27"/>
        <v>-0.15854087454171578</v>
      </c>
      <c r="AO61" s="301">
        <f t="shared" si="27"/>
        <v>-0.16163994630051487</v>
      </c>
      <c r="AP61" s="301">
        <f t="shared" si="27"/>
        <v>-0.16647787877787901</v>
      </c>
      <c r="AQ61" s="301">
        <f t="shared" si="27"/>
        <v>-0.1710805868169285</v>
      </c>
      <c r="AR61" s="301">
        <f t="shared" si="27"/>
        <v>-0.17533365850346638</v>
      </c>
      <c r="AS61" s="301">
        <f t="shared" si="27"/>
        <v>-0.17938238516339688</v>
      </c>
      <c r="AT61" s="301">
        <f t="shared" si="27"/>
        <v>-0.18326434588605817</v>
      </c>
      <c r="AU61" s="302">
        <f t="shared" si="27"/>
        <v>-1.2283052638986103E-3</v>
      </c>
      <c r="AV61" s="268"/>
    </row>
    <row r="62" spans="1:50" x14ac:dyDescent="0.25">
      <c r="B62" s="258" t="s">
        <v>468</v>
      </c>
      <c r="C62" s="304">
        <f t="shared" si="27"/>
        <v>0</v>
      </c>
      <c r="D62" s="304">
        <f t="shared" si="27"/>
        <v>0</v>
      </c>
      <c r="E62" s="304">
        <f t="shared" si="27"/>
        <v>0</v>
      </c>
      <c r="F62" s="304">
        <f t="shared" si="27"/>
        <v>0</v>
      </c>
      <c r="G62" s="304">
        <f t="shared" si="27"/>
        <v>0</v>
      </c>
      <c r="H62" s="304">
        <f t="shared" si="27"/>
        <v>0</v>
      </c>
      <c r="I62" s="304">
        <f t="shared" si="27"/>
        <v>0</v>
      </c>
      <c r="J62" s="304">
        <f t="shared" si="27"/>
        <v>0</v>
      </c>
      <c r="K62" s="304">
        <f t="shared" si="27"/>
        <v>0</v>
      </c>
      <c r="L62" s="304">
        <f t="shared" si="27"/>
        <v>0</v>
      </c>
      <c r="M62" s="304">
        <f t="shared" si="27"/>
        <v>0</v>
      </c>
      <c r="N62" s="304">
        <f t="shared" si="27"/>
        <v>0</v>
      </c>
      <c r="O62" s="304">
        <f t="shared" si="27"/>
        <v>0</v>
      </c>
      <c r="P62" s="304">
        <f t="shared" si="27"/>
        <v>0</v>
      </c>
      <c r="Q62" s="304">
        <f t="shared" si="27"/>
        <v>0</v>
      </c>
      <c r="R62" s="304">
        <f t="shared" si="27"/>
        <v>0</v>
      </c>
      <c r="S62" s="304">
        <f t="shared" si="27"/>
        <v>0</v>
      </c>
      <c r="T62" s="304">
        <f t="shared" si="27"/>
        <v>-1.0879805034613721E-5</v>
      </c>
      <c r="U62" s="304">
        <f t="shared" si="27"/>
        <v>-5.8554503061803154E-3</v>
      </c>
      <c r="V62" s="304">
        <f t="shared" si="27"/>
        <v>-1.2823851991789009E-2</v>
      </c>
      <c r="W62" s="304">
        <f t="shared" si="27"/>
        <v>-1.2833945848285011E-2</v>
      </c>
      <c r="X62" s="304">
        <f t="shared" si="27"/>
        <v>-1.4286262522248572E-2</v>
      </c>
      <c r="Y62" s="304">
        <f t="shared" si="27"/>
        <v>-1.665907935002886E-2</v>
      </c>
      <c r="Z62" s="304">
        <f t="shared" si="27"/>
        <v>-2.011160672523285E-2</v>
      </c>
      <c r="AA62" s="304">
        <f t="shared" si="27"/>
        <v>-2.4305402278973237E-2</v>
      </c>
      <c r="AB62" s="304">
        <f t="shared" si="27"/>
        <v>-2.6869334355333008E-2</v>
      </c>
      <c r="AC62" s="304">
        <f t="shared" si="27"/>
        <v>-3.2014335479702422E-2</v>
      </c>
      <c r="AD62" s="304">
        <f t="shared" si="27"/>
        <v>-3.6097126806876934E-2</v>
      </c>
      <c r="AE62" s="304">
        <f t="shared" si="27"/>
        <v>-3.9696959112295038E-2</v>
      </c>
      <c r="AF62" s="304">
        <f t="shared" si="27"/>
        <v>-4.537158169880573E-2</v>
      </c>
      <c r="AG62" s="304">
        <f t="shared" si="27"/>
        <v>-4.8673441516636579E-2</v>
      </c>
      <c r="AH62" s="304">
        <f t="shared" si="27"/>
        <v>-5.2010030302894805E-2</v>
      </c>
      <c r="AI62" s="304">
        <f t="shared" si="27"/>
        <v>-5.5212577981489458E-2</v>
      </c>
      <c r="AJ62" s="304">
        <f t="shared" si="27"/>
        <v>-5.8421033763922353E-2</v>
      </c>
      <c r="AK62" s="304">
        <f t="shared" si="27"/>
        <v>-6.1563120470832788E-2</v>
      </c>
      <c r="AL62" s="304">
        <f t="shared" si="27"/>
        <v>-6.4977671256451874E-2</v>
      </c>
      <c r="AM62" s="304">
        <f t="shared" si="27"/>
        <v>-6.8170165739539101E-2</v>
      </c>
      <c r="AN62" s="304">
        <f t="shared" si="27"/>
        <v>-7.1092057897232608E-2</v>
      </c>
      <c r="AO62" s="304">
        <f t="shared" si="27"/>
        <v>-7.3956659485966941E-2</v>
      </c>
      <c r="AP62" s="304">
        <f t="shared" si="27"/>
        <v>-7.854412208474848E-2</v>
      </c>
      <c r="AQ62" s="304">
        <f t="shared" si="27"/>
        <v>-8.2835719120319312E-2</v>
      </c>
      <c r="AR62" s="304">
        <f t="shared" si="27"/>
        <v>-8.6761337473247213E-2</v>
      </c>
      <c r="AS62" s="304">
        <f t="shared" si="27"/>
        <v>-9.0531297551685902E-2</v>
      </c>
      <c r="AT62" s="304">
        <f t="shared" si="27"/>
        <v>-9.4142437099417858E-2</v>
      </c>
      <c r="AU62" s="305">
        <f t="shared" si="27"/>
        <v>-9.7173845630525696E-2</v>
      </c>
      <c r="AV62" s="268"/>
    </row>
    <row r="63" spans="1:50" x14ac:dyDescent="0.25">
      <c r="B63" s="261" t="s">
        <v>469</v>
      </c>
      <c r="C63" s="306">
        <f t="shared" si="27"/>
        <v>0</v>
      </c>
      <c r="D63" s="306">
        <f t="shared" si="27"/>
        <v>0</v>
      </c>
      <c r="E63" s="306">
        <f t="shared" si="27"/>
        <v>0</v>
      </c>
      <c r="F63" s="306">
        <f t="shared" si="27"/>
        <v>0</v>
      </c>
      <c r="G63" s="306">
        <f t="shared" si="27"/>
        <v>0</v>
      </c>
      <c r="H63" s="306">
        <f t="shared" si="27"/>
        <v>0</v>
      </c>
      <c r="I63" s="306">
        <f t="shared" si="27"/>
        <v>0</v>
      </c>
      <c r="J63" s="306">
        <f t="shared" si="27"/>
        <v>0</v>
      </c>
      <c r="K63" s="306">
        <f t="shared" si="27"/>
        <v>0</v>
      </c>
      <c r="L63" s="306">
        <f t="shared" si="27"/>
        <v>0</v>
      </c>
      <c r="M63" s="306">
        <f t="shared" si="27"/>
        <v>0</v>
      </c>
      <c r="N63" s="306">
        <f t="shared" si="27"/>
        <v>0</v>
      </c>
      <c r="O63" s="306">
        <f t="shared" si="27"/>
        <v>0</v>
      </c>
      <c r="P63" s="306">
        <f t="shared" si="27"/>
        <v>0</v>
      </c>
      <c r="Q63" s="306">
        <f t="shared" si="27"/>
        <v>0</v>
      </c>
      <c r="R63" s="306">
        <f t="shared" si="27"/>
        <v>0</v>
      </c>
      <c r="S63" s="306">
        <f t="shared" si="27"/>
        <v>0</v>
      </c>
      <c r="T63" s="306">
        <f t="shared" si="27"/>
        <v>8.6643116200268988E-6</v>
      </c>
      <c r="U63" s="306">
        <f t="shared" si="27"/>
        <v>1.5254708472467182E-3</v>
      </c>
      <c r="V63" s="306">
        <f t="shared" si="27"/>
        <v>3.1102262065848055E-3</v>
      </c>
      <c r="W63" s="306">
        <f t="shared" si="27"/>
        <v>3.5319231356923733E-3</v>
      </c>
      <c r="X63" s="306">
        <f t="shared" si="27"/>
        <v>4.0575483699706594E-3</v>
      </c>
      <c r="Y63" s="306">
        <f t="shared" si="27"/>
        <v>4.6021827204208859E-3</v>
      </c>
      <c r="Z63" s="306">
        <f t="shared" si="27"/>
        <v>5.1999329429212385E-3</v>
      </c>
      <c r="AA63" s="306">
        <f t="shared" si="27"/>
        <v>3.0126296046011275E-2</v>
      </c>
      <c r="AB63" s="306">
        <f t="shared" si="27"/>
        <v>6.0243922270489941E-3</v>
      </c>
      <c r="AC63" s="306">
        <f t="shared" si="27"/>
        <v>6.483332964238038E-3</v>
      </c>
      <c r="AD63" s="306">
        <f t="shared" si="27"/>
        <v>6.788446577226305E-3</v>
      </c>
      <c r="AE63" s="306">
        <f t="shared" si="27"/>
        <v>7.0293691868083125E-3</v>
      </c>
      <c r="AF63" s="306">
        <f t="shared" si="27"/>
        <v>7.441819650486417E-3</v>
      </c>
      <c r="AG63" s="306">
        <f t="shared" si="27"/>
        <v>7.6691315964376935E-3</v>
      </c>
      <c r="AH63" s="306">
        <f t="shared" si="27"/>
        <v>7.9162705043724912E-3</v>
      </c>
      <c r="AI63" s="306">
        <f t="shared" si="27"/>
        <v>8.1226527771717932E-3</v>
      </c>
      <c r="AJ63" s="306">
        <f t="shared" si="27"/>
        <v>8.3387298420530623E-3</v>
      </c>
      <c r="AK63" s="306">
        <f t="shared" si="27"/>
        <v>8.5190851127205508E-3</v>
      </c>
      <c r="AL63" s="306">
        <f t="shared" si="27"/>
        <v>8.7226061687638162E-3</v>
      </c>
      <c r="AM63" s="306">
        <f t="shared" si="27"/>
        <v>8.9538094151889111E-3</v>
      </c>
      <c r="AN63" s="306">
        <f t="shared" si="27"/>
        <v>9.1397685427493311E-3</v>
      </c>
      <c r="AO63" s="306">
        <f t="shared" si="27"/>
        <v>9.3164155077845867E-3</v>
      </c>
      <c r="AP63" s="306">
        <f t="shared" si="27"/>
        <v>9.6575848909032855E-3</v>
      </c>
      <c r="AQ63" s="306">
        <f t="shared" si="27"/>
        <v>9.8917465556180584E-3</v>
      </c>
      <c r="AR63" s="306">
        <f t="shared" si="27"/>
        <v>1.0106757779948336E-2</v>
      </c>
      <c r="AS63" s="306">
        <f t="shared" si="27"/>
        <v>1.0342051277557149E-2</v>
      </c>
      <c r="AT63" s="306">
        <f t="shared" si="27"/>
        <v>1.0565907141885697E-2</v>
      </c>
      <c r="AU63" s="307">
        <f t="shared" si="27"/>
        <v>9.5397675815703298E-2</v>
      </c>
      <c r="AV63" s="268"/>
    </row>
    <row r="64" spans="1:50" x14ac:dyDescent="0.25">
      <c r="B64" s="258" t="s">
        <v>470</v>
      </c>
      <c r="C64" s="304">
        <f t="shared" si="27"/>
        <v>0</v>
      </c>
      <c r="D64" s="304">
        <f t="shared" si="27"/>
        <v>0</v>
      </c>
      <c r="E64" s="304">
        <f t="shared" si="27"/>
        <v>0</v>
      </c>
      <c r="F64" s="304">
        <f t="shared" si="27"/>
        <v>0</v>
      </c>
      <c r="G64" s="304">
        <f t="shared" si="27"/>
        <v>0</v>
      </c>
      <c r="H64" s="304">
        <f t="shared" si="27"/>
        <v>0</v>
      </c>
      <c r="I64" s="304">
        <f t="shared" si="27"/>
        <v>0</v>
      </c>
      <c r="J64" s="304">
        <f t="shared" si="27"/>
        <v>0</v>
      </c>
      <c r="K64" s="304">
        <f t="shared" si="27"/>
        <v>0</v>
      </c>
      <c r="L64" s="304">
        <f t="shared" si="27"/>
        <v>0</v>
      </c>
      <c r="M64" s="304">
        <f t="shared" si="27"/>
        <v>0</v>
      </c>
      <c r="N64" s="304">
        <f t="shared" si="27"/>
        <v>0</v>
      </c>
      <c r="O64" s="304">
        <f t="shared" si="27"/>
        <v>0</v>
      </c>
      <c r="P64" s="304">
        <f t="shared" si="27"/>
        <v>0</v>
      </c>
      <c r="Q64" s="304">
        <f t="shared" si="27"/>
        <v>2.6874443418867244E-5</v>
      </c>
      <c r="R64" s="304">
        <f t="shared" si="27"/>
        <v>8.5188180098793365E-2</v>
      </c>
      <c r="S64" s="304">
        <f t="shared" si="27"/>
        <v>8.4953439651387241E-2</v>
      </c>
      <c r="T64" s="304">
        <f t="shared" si="27"/>
        <v>8.4890863298829333E-2</v>
      </c>
      <c r="U64" s="304">
        <f t="shared" si="27"/>
        <v>8.5936517264654455E-2</v>
      </c>
      <c r="V64" s="304">
        <f t="shared" si="27"/>
        <v>8.6967482915181415E-2</v>
      </c>
      <c r="W64" s="304">
        <f t="shared" si="27"/>
        <v>8.4112688773993582E-2</v>
      </c>
      <c r="X64" s="304">
        <f t="shared" si="27"/>
        <v>8.0977885991983856E-2</v>
      </c>
      <c r="Y64" s="304">
        <f t="shared" si="27"/>
        <v>7.7375335205829399E-2</v>
      </c>
      <c r="Z64" s="304">
        <f t="shared" si="27"/>
        <v>7.3412107513225466E-2</v>
      </c>
      <c r="AA64" s="304">
        <f t="shared" si="27"/>
        <v>-4.6934202595684482E-2</v>
      </c>
      <c r="AB64" s="304">
        <f t="shared" si="27"/>
        <v>6.5241243801711812E-2</v>
      </c>
      <c r="AC64" s="304">
        <f t="shared" si="27"/>
        <v>6.1160135385766701E-2</v>
      </c>
      <c r="AD64" s="304">
        <f t="shared" si="27"/>
        <v>5.7015803577711632E-2</v>
      </c>
      <c r="AE64" s="304">
        <f t="shared" si="27"/>
        <v>5.2884271426275165E-2</v>
      </c>
      <c r="AF64" s="304">
        <f t="shared" si="27"/>
        <v>4.8164456267661637E-2</v>
      </c>
      <c r="AG64" s="304">
        <f t="shared" si="27"/>
        <v>4.4179023479630763E-2</v>
      </c>
      <c r="AH64" s="304">
        <f t="shared" si="27"/>
        <v>4.0381566062393182E-2</v>
      </c>
      <c r="AI64" s="304">
        <f t="shared" si="27"/>
        <v>3.6455438486580727E-2</v>
      </c>
      <c r="AJ64" s="304">
        <f t="shared" si="27"/>
        <v>3.2701638656378651E-2</v>
      </c>
      <c r="AK64" s="304">
        <f t="shared" si="27"/>
        <v>2.8826030104395994E-2</v>
      </c>
      <c r="AL64" s="304">
        <f t="shared" si="27"/>
        <v>2.4786207395995019E-2</v>
      </c>
      <c r="AM64" s="304">
        <f t="shared" si="27"/>
        <v>2.1236757379944682E-2</v>
      </c>
      <c r="AN64" s="304">
        <f t="shared" si="27"/>
        <v>1.7649629412453849E-2</v>
      </c>
      <c r="AO64" s="304">
        <f t="shared" si="27"/>
        <v>1.4133991271392032E-2</v>
      </c>
      <c r="AP64" s="304">
        <f t="shared" si="27"/>
        <v>1.0348507531384166E-2</v>
      </c>
      <c r="AQ64" s="304">
        <f t="shared" si="27"/>
        <v>6.2272680800498081E-3</v>
      </c>
      <c r="AR64" s="304">
        <f t="shared" si="27"/>
        <v>2.3188729460934532E-3</v>
      </c>
      <c r="AS64" s="304">
        <f t="shared" si="27"/>
        <v>-1.2337629921093107E-3</v>
      </c>
      <c r="AT64" s="304">
        <f t="shared" si="27"/>
        <v>-4.5820569679477785E-3</v>
      </c>
      <c r="AU64" s="305">
        <f t="shared" si="27"/>
        <v>-0.19426280220108283</v>
      </c>
      <c r="AV64" s="268"/>
    </row>
    <row r="65" spans="2:48" x14ac:dyDescent="0.25">
      <c r="B65" s="258" t="s">
        <v>471</v>
      </c>
      <c r="C65" s="304">
        <f t="shared" si="27"/>
        <v>0</v>
      </c>
      <c r="D65" s="304">
        <f t="shared" si="27"/>
        <v>0</v>
      </c>
      <c r="E65" s="304">
        <f t="shared" si="27"/>
        <v>0</v>
      </c>
      <c r="F65" s="304">
        <f t="shared" si="27"/>
        <v>0</v>
      </c>
      <c r="G65" s="304">
        <f t="shared" si="27"/>
        <v>0</v>
      </c>
      <c r="H65" s="304">
        <f t="shared" si="27"/>
        <v>0</v>
      </c>
      <c r="I65" s="304">
        <f t="shared" si="27"/>
        <v>0</v>
      </c>
      <c r="J65" s="304">
        <f t="shared" si="27"/>
        <v>0</v>
      </c>
      <c r="K65" s="304">
        <f t="shared" si="27"/>
        <v>0</v>
      </c>
      <c r="L65" s="304">
        <f t="shared" si="27"/>
        <v>0</v>
      </c>
      <c r="M65" s="304">
        <f t="shared" si="27"/>
        <v>0</v>
      </c>
      <c r="N65" s="304">
        <f t="shared" si="27"/>
        <v>0</v>
      </c>
      <c r="O65" s="304">
        <f t="shared" si="27"/>
        <v>0</v>
      </c>
      <c r="P65" s="304">
        <f t="shared" si="27"/>
        <v>0</v>
      </c>
      <c r="Q65" s="304">
        <f t="shared" si="27"/>
        <v>0</v>
      </c>
      <c r="R65" s="304">
        <f t="shared" si="27"/>
        <v>0</v>
      </c>
      <c r="S65" s="304">
        <f t="shared" si="27"/>
        <v>0</v>
      </c>
      <c r="T65" s="304">
        <f t="shared" si="27"/>
        <v>5.4387977338143934E-5</v>
      </c>
      <c r="U65" s="304">
        <f t="shared" si="27"/>
        <v>-5.9420994361695234E-3</v>
      </c>
      <c r="V65" s="304">
        <f t="shared" si="27"/>
        <v>-1.2660437157141602E-2</v>
      </c>
      <c r="W65" s="304">
        <f t="shared" si="27"/>
        <v>-1.7784919625148166E-2</v>
      </c>
      <c r="X65" s="304">
        <f t="shared" si="27"/>
        <v>-2.3615171141719959E-2</v>
      </c>
      <c r="Y65" s="304">
        <f t="shared" si="27"/>
        <v>-3.0239654432110852E-2</v>
      </c>
      <c r="Z65" s="304">
        <f t="shared" si="27"/>
        <v>-3.759893252159785E-2</v>
      </c>
      <c r="AA65" s="304">
        <f t="shared" si="27"/>
        <v>-4.5515313509303823E-2</v>
      </c>
      <c r="AB65" s="304">
        <f t="shared" si="27"/>
        <v>-5.1915790279835283E-2</v>
      </c>
      <c r="AC65" s="304">
        <f t="shared" si="27"/>
        <v>-5.8956599383233832E-2</v>
      </c>
      <c r="AD65" s="304">
        <f t="shared" si="27"/>
        <v>-6.5943785615044659E-2</v>
      </c>
      <c r="AE65" s="304">
        <f t="shared" si="27"/>
        <v>-7.2854446810410867E-2</v>
      </c>
      <c r="AF65" s="304">
        <f t="shared" si="27"/>
        <v>-8.0508079595034032E-2</v>
      </c>
      <c r="AG65" s="304">
        <f t="shared" si="27"/>
        <v>-8.7370096409496334E-2</v>
      </c>
      <c r="AH65" s="304">
        <f t="shared" si="27"/>
        <v>-9.4052709001114843E-2</v>
      </c>
      <c r="AI65" s="304">
        <f t="shared" si="27"/>
        <v>-0.10078965447415456</v>
      </c>
      <c r="AJ65" s="304">
        <f t="shared" si="27"/>
        <v>-0.10740354643492078</v>
      </c>
      <c r="AK65" s="304">
        <f t="shared" si="27"/>
        <v>-0.11412179698714031</v>
      </c>
      <c r="AL65" s="304">
        <f t="shared" si="27"/>
        <v>-0.12100699448189267</v>
      </c>
      <c r="AM65" s="304">
        <f t="shared" si="27"/>
        <v>-0.12747281364825136</v>
      </c>
      <c r="AN65" s="304">
        <f t="shared" si="27"/>
        <v>-0.13393533826452897</v>
      </c>
      <c r="AO65" s="304">
        <f t="shared" si="27"/>
        <v>-0.14035545022558649</v>
      </c>
      <c r="AP65" s="304">
        <f t="shared" si="27"/>
        <v>-0.14747977710214322</v>
      </c>
      <c r="AQ65" s="304">
        <f t="shared" si="27"/>
        <v>-0.1548773630874698</v>
      </c>
      <c r="AR65" s="304">
        <f t="shared" si="27"/>
        <v>-0.16201908586651015</v>
      </c>
      <c r="AS65" s="304">
        <f t="shared" si="27"/>
        <v>-0.16885280594706109</v>
      </c>
      <c r="AT65" s="304">
        <f t="shared" si="27"/>
        <v>-0.1755337802741061</v>
      </c>
      <c r="AU65" s="305">
        <f t="shared" si="27"/>
        <v>-0.18300403618626432</v>
      </c>
      <c r="AV65" s="268"/>
    </row>
    <row r="66" spans="2:48" x14ac:dyDescent="0.25">
      <c r="B66" s="261" t="s">
        <v>472</v>
      </c>
      <c r="C66" s="306">
        <f t="shared" si="27"/>
        <v>0</v>
      </c>
      <c r="D66" s="306">
        <f t="shared" si="27"/>
        <v>0</v>
      </c>
      <c r="E66" s="306">
        <f t="shared" si="27"/>
        <v>0</v>
      </c>
      <c r="F66" s="306">
        <f t="shared" si="27"/>
        <v>0</v>
      </c>
      <c r="G66" s="306">
        <f t="shared" si="27"/>
        <v>0</v>
      </c>
      <c r="H66" s="306">
        <f t="shared" si="27"/>
        <v>0</v>
      </c>
      <c r="I66" s="306">
        <f t="shared" si="27"/>
        <v>0</v>
      </c>
      <c r="J66" s="306">
        <f t="shared" si="27"/>
        <v>0</v>
      </c>
      <c r="K66" s="306">
        <f t="shared" si="27"/>
        <v>0</v>
      </c>
      <c r="L66" s="306">
        <f t="shared" si="27"/>
        <v>0</v>
      </c>
      <c r="M66" s="306">
        <f t="shared" si="27"/>
        <v>0</v>
      </c>
      <c r="N66" s="306">
        <f t="shared" si="27"/>
        <v>0</v>
      </c>
      <c r="O66" s="306">
        <f t="shared" si="27"/>
        <v>0</v>
      </c>
      <c r="P66" s="306">
        <f t="shared" si="27"/>
        <v>0</v>
      </c>
      <c r="Q66" s="306">
        <f t="shared" si="27"/>
        <v>0</v>
      </c>
      <c r="R66" s="306">
        <f t="shared" si="27"/>
        <v>0</v>
      </c>
      <c r="S66" s="306">
        <f t="shared" si="27"/>
        <v>0</v>
      </c>
      <c r="T66" s="306">
        <f t="shared" si="27"/>
        <v>9.8007141843547974E-6</v>
      </c>
      <c r="U66" s="306">
        <f t="shared" si="27"/>
        <v>7.1306343262205196E-3</v>
      </c>
      <c r="V66" s="306">
        <f t="shared" si="27"/>
        <v>1.4919344217372593E-2</v>
      </c>
      <c r="W66" s="306">
        <f t="shared" si="27"/>
        <v>1.7408603542339529E-2</v>
      </c>
      <c r="X66" s="306">
        <f t="shared" si="27"/>
        <v>2.0321174862126895E-2</v>
      </c>
      <c r="Y66" s="306">
        <f t="shared" si="27"/>
        <v>2.3358070571881884E-2</v>
      </c>
      <c r="Z66" s="306">
        <f t="shared" si="27"/>
        <v>2.6665805611254312E-2</v>
      </c>
      <c r="AA66" s="306">
        <f t="shared" si="27"/>
        <v>5.8291835600970052E-3</v>
      </c>
      <c r="AB66" s="306">
        <f t="shared" si="27"/>
        <v>3.2699630720926104E-2</v>
      </c>
      <c r="AC66" s="306">
        <f t="shared" si="27"/>
        <v>3.6184337887249673E-2</v>
      </c>
      <c r="AD66" s="306">
        <f t="shared" si="27"/>
        <v>3.934518982175822E-2</v>
      </c>
      <c r="AE66" s="306">
        <f t="shared" si="27"/>
        <v>4.237271174752924E-2</v>
      </c>
      <c r="AF66" s="306">
        <f t="shared" si="27"/>
        <v>4.6014894802752893E-2</v>
      </c>
      <c r="AG66" s="306">
        <f t="shared" ref="AG66:AU66" si="28">AG44-AG55</f>
        <v>4.8812027874027997E-2</v>
      </c>
      <c r="AH66" s="306">
        <f t="shared" si="28"/>
        <v>5.1801826950305385E-2</v>
      </c>
      <c r="AI66" s="306">
        <f t="shared" si="28"/>
        <v>5.4818349146568607E-2</v>
      </c>
      <c r="AJ66" s="306">
        <f t="shared" si="28"/>
        <v>5.7952872682232121E-2</v>
      </c>
      <c r="AK66" s="306">
        <f t="shared" si="28"/>
        <v>6.1103747512497419E-2</v>
      </c>
      <c r="AL66" s="306">
        <f t="shared" si="28"/>
        <v>6.4299758258411277E-2</v>
      </c>
      <c r="AM66" s="306">
        <f t="shared" si="28"/>
        <v>6.7570202286639597E-2</v>
      </c>
      <c r="AN66" s="306">
        <f t="shared" si="28"/>
        <v>7.0773202416274772E-2</v>
      </c>
      <c r="AO66" s="306">
        <f t="shared" si="28"/>
        <v>7.4001144075290876E-2</v>
      </c>
      <c r="AP66" s="306">
        <f t="shared" si="28"/>
        <v>7.7520008323958001E-2</v>
      </c>
      <c r="AQ66" s="306">
        <f t="shared" si="28"/>
        <v>8.1031280810240941E-2</v>
      </c>
      <c r="AR66" s="306">
        <f t="shared" si="28"/>
        <v>8.4503816225796002E-2</v>
      </c>
      <c r="AS66" s="306">
        <f t="shared" si="28"/>
        <v>8.80522692768749E-2</v>
      </c>
      <c r="AT66" s="306">
        <f t="shared" si="28"/>
        <v>9.1673556312909521E-2</v>
      </c>
      <c r="AU66" s="307">
        <f t="shared" si="28"/>
        <v>1.0497395168775604E-2</v>
      </c>
      <c r="AV66" s="268"/>
    </row>
    <row r="67" spans="2:48" x14ac:dyDescent="0.25">
      <c r="B67" s="249" t="s">
        <v>473</v>
      </c>
      <c r="C67" s="308">
        <f t="shared" ref="C67:AU67" si="29">C45-C56</f>
        <v>0</v>
      </c>
      <c r="D67" s="308">
        <f t="shared" si="29"/>
        <v>0</v>
      </c>
      <c r="E67" s="308">
        <f t="shared" si="29"/>
        <v>0</v>
      </c>
      <c r="F67" s="308">
        <f t="shared" si="29"/>
        <v>0</v>
      </c>
      <c r="G67" s="308">
        <f t="shared" si="29"/>
        <v>0</v>
      </c>
      <c r="H67" s="308">
        <f t="shared" si="29"/>
        <v>0</v>
      </c>
      <c r="I67" s="308">
        <f t="shared" si="29"/>
        <v>0</v>
      </c>
      <c r="J67" s="308">
        <f t="shared" si="29"/>
        <v>0</v>
      </c>
      <c r="K67" s="308">
        <f t="shared" si="29"/>
        <v>0</v>
      </c>
      <c r="L67" s="308">
        <f t="shared" si="29"/>
        <v>0</v>
      </c>
      <c r="M67" s="308">
        <f t="shared" si="29"/>
        <v>0</v>
      </c>
      <c r="N67" s="308">
        <f t="shared" si="29"/>
        <v>0</v>
      </c>
      <c r="O67" s="308">
        <f t="shared" si="29"/>
        <v>0</v>
      </c>
      <c r="P67" s="308">
        <f t="shared" si="29"/>
        <v>0</v>
      </c>
      <c r="Q67" s="308">
        <f t="shared" si="29"/>
        <v>0</v>
      </c>
      <c r="R67" s="308">
        <f t="shared" si="29"/>
        <v>0</v>
      </c>
      <c r="S67" s="308">
        <f t="shared" si="29"/>
        <v>0</v>
      </c>
      <c r="T67" s="308">
        <f t="shared" si="29"/>
        <v>4.3508172303363679E-5</v>
      </c>
      <c r="U67" s="308">
        <f t="shared" si="29"/>
        <v>-1.1797549742349922E-2</v>
      </c>
      <c r="V67" s="308">
        <f t="shared" si="29"/>
        <v>-2.5484289148930528E-2</v>
      </c>
      <c r="W67" s="308">
        <f t="shared" si="29"/>
        <v>-3.0618865473433177E-2</v>
      </c>
      <c r="X67" s="308">
        <f t="shared" si="29"/>
        <v>-3.7901433663968476E-2</v>
      </c>
      <c r="Y67" s="308">
        <f t="shared" si="29"/>
        <v>-4.6898733782139712E-2</v>
      </c>
      <c r="Z67" s="308">
        <f t="shared" si="29"/>
        <v>-5.7710539246830672E-2</v>
      </c>
      <c r="AA67" s="308">
        <f t="shared" si="29"/>
        <v>-6.9820715788276977E-2</v>
      </c>
      <c r="AB67" s="308">
        <f t="shared" si="29"/>
        <v>-7.878512463516818E-2</v>
      </c>
      <c r="AC67" s="308">
        <f t="shared" si="29"/>
        <v>-9.0970934862936281E-2</v>
      </c>
      <c r="AD67" s="308">
        <f t="shared" si="29"/>
        <v>-0.10204091242192159</v>
      </c>
      <c r="AE67" s="308">
        <f t="shared" si="29"/>
        <v>-0.11255140592270585</v>
      </c>
      <c r="AF67" s="308">
        <f t="shared" si="29"/>
        <v>-0.12587966129383976</v>
      </c>
      <c r="AG67" s="308">
        <f t="shared" si="29"/>
        <v>-0.13604353792613288</v>
      </c>
      <c r="AH67" s="308">
        <f t="shared" si="29"/>
        <v>-0.1460627393040097</v>
      </c>
      <c r="AI67" s="308">
        <f t="shared" si="29"/>
        <v>-0.15600223245564404</v>
      </c>
      <c r="AJ67" s="308">
        <f t="shared" si="29"/>
        <v>-0.16582458019884316</v>
      </c>
      <c r="AK67" s="308">
        <f t="shared" si="29"/>
        <v>-0.1756849174579731</v>
      </c>
      <c r="AL67" s="308">
        <f t="shared" si="29"/>
        <v>-0.18598466573834449</v>
      </c>
      <c r="AM67" s="308">
        <f t="shared" si="29"/>
        <v>-0.19564297938779041</v>
      </c>
      <c r="AN67" s="308">
        <f t="shared" si="29"/>
        <v>-0.20502739616176158</v>
      </c>
      <c r="AO67" s="308">
        <f t="shared" si="29"/>
        <v>-0.21431210971155334</v>
      </c>
      <c r="AP67" s="308">
        <f t="shared" si="29"/>
        <v>-0.22602389918689181</v>
      </c>
      <c r="AQ67" s="308">
        <f t="shared" si="29"/>
        <v>-0.23771308220778919</v>
      </c>
      <c r="AR67" s="308">
        <f t="shared" si="29"/>
        <v>-0.24878042333975736</v>
      </c>
      <c r="AS67" s="308">
        <f t="shared" si="29"/>
        <v>-0.25938410349874697</v>
      </c>
      <c r="AT67" s="308">
        <f t="shared" si="29"/>
        <v>-0.26967621737352387</v>
      </c>
      <c r="AU67" s="309">
        <f t="shared" si="29"/>
        <v>-0.28017788181678993</v>
      </c>
      <c r="AV67" s="268"/>
    </row>
  </sheetData>
  <pageMargins left="0.7" right="0.7" top="0.75" bottom="0.75" header="0.3" footer="0.3"/>
  <pageSetup paperSize="9" scale="1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1"/>
  <dimension ref="A1:CU300"/>
  <sheetViews>
    <sheetView workbookViewId="0">
      <pane xSplit="2" ySplit="1" topLeftCell="C2" activePane="bottomRight" state="frozen"/>
      <selection pane="topRight" activeCell="B1" sqref="B1"/>
      <selection pane="bottomLeft" activeCell="A2" sqref="A2"/>
      <selection pane="bottomRight" activeCell="B2" sqref="B2:AW300"/>
    </sheetView>
  </sheetViews>
  <sheetFormatPr baseColWidth="10" defaultColWidth="11.42578125" defaultRowHeight="15" x14ac:dyDescent="0.25"/>
  <cols>
    <col min="1" max="1" width="39.28515625" customWidth="1"/>
    <col min="2" max="2" width="65.42578125" customWidth="1"/>
    <col min="47" max="49" width="11.7109375" customWidth="1"/>
    <col min="50" max="50" width="21.85546875" customWidth="1"/>
    <col min="51" max="52" width="11.7109375" customWidth="1"/>
  </cols>
  <sheetData>
    <row r="1" spans="1:49" ht="51.75" thickBot="1" x14ac:dyDescent="0.3">
      <c r="A1" s="234" t="s">
        <v>484</v>
      </c>
      <c r="B1" s="269" t="s">
        <v>492</v>
      </c>
      <c r="C1" s="235">
        <v>2</v>
      </c>
      <c r="D1" s="235">
        <f>C1+1</f>
        <v>3</v>
      </c>
      <c r="E1" s="235">
        <f t="shared" ref="E1:AW1" si="0">D1+1</f>
        <v>4</v>
      </c>
      <c r="F1" s="235">
        <f t="shared" si="0"/>
        <v>5</v>
      </c>
      <c r="G1" s="235">
        <f t="shared" si="0"/>
        <v>6</v>
      </c>
      <c r="H1" s="235">
        <f t="shared" si="0"/>
        <v>7</v>
      </c>
      <c r="I1" s="235">
        <f t="shared" si="0"/>
        <v>8</v>
      </c>
      <c r="J1" s="235">
        <f t="shared" si="0"/>
        <v>9</v>
      </c>
      <c r="K1" s="235">
        <f t="shared" si="0"/>
        <v>10</v>
      </c>
      <c r="L1" s="235">
        <f t="shared" si="0"/>
        <v>11</v>
      </c>
      <c r="M1" s="235">
        <f t="shared" si="0"/>
        <v>12</v>
      </c>
      <c r="N1" s="235">
        <f t="shared" si="0"/>
        <v>13</v>
      </c>
      <c r="O1" s="235">
        <f t="shared" si="0"/>
        <v>14</v>
      </c>
      <c r="P1" s="235">
        <f t="shared" si="0"/>
        <v>15</v>
      </c>
      <c r="Q1" s="235">
        <f t="shared" si="0"/>
        <v>16</v>
      </c>
      <c r="R1" s="235">
        <f t="shared" si="0"/>
        <v>17</v>
      </c>
      <c r="S1" s="235">
        <f t="shared" si="0"/>
        <v>18</v>
      </c>
      <c r="T1" s="235">
        <f t="shared" si="0"/>
        <v>19</v>
      </c>
      <c r="U1" s="235">
        <f t="shared" si="0"/>
        <v>20</v>
      </c>
      <c r="V1" s="235">
        <f t="shared" si="0"/>
        <v>21</v>
      </c>
      <c r="W1" s="235">
        <f t="shared" si="0"/>
        <v>22</v>
      </c>
      <c r="X1" s="235">
        <f t="shared" si="0"/>
        <v>23</v>
      </c>
      <c r="Y1" s="235">
        <f t="shared" si="0"/>
        <v>24</v>
      </c>
      <c r="Z1" s="235">
        <f t="shared" si="0"/>
        <v>25</v>
      </c>
      <c r="AA1" s="235">
        <f t="shared" si="0"/>
        <v>26</v>
      </c>
      <c r="AB1" s="235">
        <f t="shared" si="0"/>
        <v>27</v>
      </c>
      <c r="AC1" s="235">
        <f t="shared" si="0"/>
        <v>28</v>
      </c>
      <c r="AD1" s="235">
        <f t="shared" si="0"/>
        <v>29</v>
      </c>
      <c r="AE1" s="235">
        <f t="shared" si="0"/>
        <v>30</v>
      </c>
      <c r="AF1" s="235">
        <f t="shared" si="0"/>
        <v>31</v>
      </c>
      <c r="AG1" s="235">
        <f t="shared" si="0"/>
        <v>32</v>
      </c>
      <c r="AH1" s="235">
        <f t="shared" si="0"/>
        <v>33</v>
      </c>
      <c r="AI1" s="235">
        <f t="shared" si="0"/>
        <v>34</v>
      </c>
      <c r="AJ1" s="235">
        <f t="shared" si="0"/>
        <v>35</v>
      </c>
      <c r="AK1" s="235">
        <f t="shared" si="0"/>
        <v>36</v>
      </c>
      <c r="AL1" s="235">
        <f t="shared" si="0"/>
        <v>37</v>
      </c>
      <c r="AM1" s="235">
        <f t="shared" si="0"/>
        <v>38</v>
      </c>
      <c r="AN1" s="235">
        <f t="shared" si="0"/>
        <v>39</v>
      </c>
      <c r="AO1" s="235">
        <f t="shared" si="0"/>
        <v>40</v>
      </c>
      <c r="AP1" s="235">
        <f t="shared" si="0"/>
        <v>41</v>
      </c>
      <c r="AQ1" s="235">
        <f t="shared" si="0"/>
        <v>42</v>
      </c>
      <c r="AR1" s="235">
        <f t="shared" si="0"/>
        <v>43</v>
      </c>
      <c r="AS1" s="235">
        <f t="shared" si="0"/>
        <v>44</v>
      </c>
      <c r="AT1" s="235">
        <f t="shared" si="0"/>
        <v>45</v>
      </c>
      <c r="AU1" s="235">
        <f t="shared" si="0"/>
        <v>46</v>
      </c>
      <c r="AV1" s="235">
        <f t="shared" si="0"/>
        <v>47</v>
      </c>
      <c r="AW1" s="235">
        <f t="shared" si="0"/>
        <v>48</v>
      </c>
    </row>
    <row r="2" spans="1:49" x14ac:dyDescent="0.25">
      <c r="B2" s="193"/>
      <c r="C2" s="16">
        <v>2004</v>
      </c>
      <c r="D2" s="16">
        <v>2005</v>
      </c>
      <c r="E2" s="16">
        <v>2006</v>
      </c>
      <c r="F2" s="22">
        <v>2007</v>
      </c>
      <c r="G2">
        <v>2008</v>
      </c>
      <c r="H2">
        <v>2009</v>
      </c>
      <c r="I2">
        <v>2010</v>
      </c>
      <c r="J2">
        <v>2011</v>
      </c>
      <c r="K2">
        <v>2012</v>
      </c>
      <c r="L2">
        <v>2013</v>
      </c>
      <c r="M2">
        <v>2014</v>
      </c>
      <c r="N2">
        <v>2015</v>
      </c>
      <c r="O2">
        <v>2016</v>
      </c>
      <c r="P2">
        <v>2017</v>
      </c>
      <c r="Q2">
        <v>2018</v>
      </c>
      <c r="R2">
        <v>2019</v>
      </c>
      <c r="S2">
        <v>2020</v>
      </c>
      <c r="T2">
        <v>2021</v>
      </c>
      <c r="U2">
        <v>2022</v>
      </c>
      <c r="V2">
        <v>2023</v>
      </c>
      <c r="W2">
        <v>2024</v>
      </c>
      <c r="X2">
        <v>2025</v>
      </c>
      <c r="Y2">
        <v>2026</v>
      </c>
      <c r="Z2">
        <v>2027</v>
      </c>
      <c r="AA2">
        <v>2028</v>
      </c>
      <c r="AB2">
        <v>2029</v>
      </c>
      <c r="AC2">
        <v>2030</v>
      </c>
      <c r="AD2">
        <v>2031</v>
      </c>
      <c r="AE2">
        <v>2032</v>
      </c>
      <c r="AF2">
        <v>2033</v>
      </c>
      <c r="AG2">
        <v>2034</v>
      </c>
      <c r="AH2">
        <v>2035</v>
      </c>
      <c r="AI2">
        <v>2036</v>
      </c>
      <c r="AJ2">
        <v>2037</v>
      </c>
      <c r="AK2">
        <v>2038</v>
      </c>
      <c r="AL2">
        <v>2039</v>
      </c>
      <c r="AM2">
        <v>2040</v>
      </c>
      <c r="AN2">
        <v>2041</v>
      </c>
      <c r="AO2">
        <v>2042</v>
      </c>
      <c r="AP2">
        <v>2043</v>
      </c>
      <c r="AQ2">
        <v>2044</v>
      </c>
      <c r="AR2">
        <v>2045</v>
      </c>
      <c r="AS2">
        <v>2046</v>
      </c>
      <c r="AT2">
        <v>2047</v>
      </c>
      <c r="AU2">
        <v>2048</v>
      </c>
      <c r="AV2">
        <v>2049</v>
      </c>
      <c r="AW2">
        <v>2050</v>
      </c>
    </row>
    <row r="3" spans="1:49" x14ac:dyDescent="0.25">
      <c r="B3" s="13" t="s">
        <v>103</v>
      </c>
      <c r="C3">
        <v>78.155731330970795</v>
      </c>
      <c r="D3" s="39">
        <v>79.410546877677106</v>
      </c>
      <c r="E3" s="39">
        <v>80.671195490000002</v>
      </c>
      <c r="F3" s="39">
        <v>81.259447370000004</v>
      </c>
      <c r="G3">
        <v>78.379689830000004</v>
      </c>
      <c r="H3">
        <v>76.363288389999994</v>
      </c>
      <c r="I3">
        <v>75.153558779999997</v>
      </c>
      <c r="J3">
        <v>73.687271440000004</v>
      </c>
      <c r="K3">
        <v>71.878835969999997</v>
      </c>
      <c r="L3">
        <v>70.603637489999997</v>
      </c>
      <c r="M3">
        <v>70.650702859999996</v>
      </c>
      <c r="N3">
        <v>71.350403459999995</v>
      </c>
      <c r="O3">
        <v>69.844380139999998</v>
      </c>
      <c r="P3">
        <v>68.247549960000001</v>
      </c>
      <c r="Q3">
        <v>65.991406040000001</v>
      </c>
      <c r="R3">
        <v>64.78089885</v>
      </c>
      <c r="S3">
        <v>63.291786889999997</v>
      </c>
      <c r="T3">
        <v>62.987699429999999</v>
      </c>
      <c r="U3">
        <v>62.352679330000001</v>
      </c>
      <c r="V3">
        <v>61.472514240000002</v>
      </c>
      <c r="W3">
        <v>59.274977360000001</v>
      </c>
      <c r="X3">
        <v>56.867825369999998</v>
      </c>
      <c r="Y3">
        <v>54.733362390000003</v>
      </c>
      <c r="Z3">
        <v>52.735888869999997</v>
      </c>
      <c r="AA3">
        <v>50.816073129999999</v>
      </c>
      <c r="AB3">
        <v>48.808867380000002</v>
      </c>
      <c r="AC3">
        <v>46.813992589999998</v>
      </c>
      <c r="AD3">
        <v>44.799263760000002</v>
      </c>
      <c r="AE3">
        <v>42.847643769999998</v>
      </c>
      <c r="AF3">
        <v>40.932561149999998</v>
      </c>
      <c r="AG3">
        <v>39.08200385</v>
      </c>
      <c r="AH3">
        <v>37.288088299999998</v>
      </c>
      <c r="AI3">
        <v>35.480491409999999</v>
      </c>
      <c r="AJ3">
        <v>33.750038709999998</v>
      </c>
      <c r="AK3">
        <v>32.051709109999997</v>
      </c>
      <c r="AL3">
        <v>30.495845880000001</v>
      </c>
      <c r="AM3">
        <v>28.962306900000002</v>
      </c>
      <c r="AN3">
        <v>27.621386780000002</v>
      </c>
      <c r="AO3">
        <v>26.34444852</v>
      </c>
      <c r="AP3">
        <v>25.07175131</v>
      </c>
      <c r="AQ3">
        <v>23.85114446</v>
      </c>
      <c r="AR3">
        <v>22.644861150000001</v>
      </c>
      <c r="AS3">
        <v>21.766433249999999</v>
      </c>
      <c r="AT3">
        <v>20.92782974</v>
      </c>
      <c r="AU3">
        <v>20.12884197</v>
      </c>
      <c r="AV3">
        <v>19.364435690000001</v>
      </c>
      <c r="AW3">
        <v>18.637907179999999</v>
      </c>
    </row>
    <row r="4" spans="1:49" x14ac:dyDescent="0.25">
      <c r="B4" s="13" t="s">
        <v>104</v>
      </c>
      <c r="C4">
        <v>77.477678819662401</v>
      </c>
      <c r="D4" s="39">
        <v>78.721608013977402</v>
      </c>
      <c r="E4" s="39">
        <v>80.003730169999997</v>
      </c>
      <c r="F4" s="39">
        <v>80.256301410000006</v>
      </c>
      <c r="G4">
        <v>77.094314490000002</v>
      </c>
      <c r="H4">
        <v>74.802646969999998</v>
      </c>
      <c r="I4">
        <v>73.315437149999994</v>
      </c>
      <c r="J4">
        <v>71.589921579999995</v>
      </c>
      <c r="K4">
        <v>69.546292089999994</v>
      </c>
      <c r="L4">
        <v>68.032049549999996</v>
      </c>
      <c r="M4">
        <v>67.797940060000002</v>
      </c>
      <c r="N4">
        <v>68.188318140000007</v>
      </c>
      <c r="O4">
        <v>66.699230589999999</v>
      </c>
      <c r="P4">
        <v>65.122545049999999</v>
      </c>
      <c r="Q4">
        <v>62.9163724</v>
      </c>
      <c r="R4">
        <v>61.706361110000003</v>
      </c>
      <c r="S4">
        <v>60.229460510000003</v>
      </c>
      <c r="T4">
        <v>59.779411899999999</v>
      </c>
      <c r="U4">
        <v>59.022844569999997</v>
      </c>
      <c r="V4">
        <v>58.042808960000002</v>
      </c>
      <c r="W4">
        <v>55.60018084</v>
      </c>
      <c r="X4">
        <v>52.966426290000001</v>
      </c>
      <c r="Y4">
        <v>50.819866359999999</v>
      </c>
      <c r="Z4">
        <v>48.798650989999999</v>
      </c>
      <c r="AA4">
        <v>46.846460880000002</v>
      </c>
      <c r="AB4">
        <v>44.813827570000001</v>
      </c>
      <c r="AC4">
        <v>42.78920737</v>
      </c>
      <c r="AD4">
        <v>40.142566719999998</v>
      </c>
      <c r="AE4">
        <v>37.543728950000002</v>
      </c>
      <c r="AF4">
        <v>34.964596530000001</v>
      </c>
      <c r="AG4">
        <v>32.434881679999997</v>
      </c>
      <c r="AH4">
        <v>29.92943837</v>
      </c>
      <c r="AI4">
        <v>27.300803439999999</v>
      </c>
      <c r="AJ4">
        <v>24.69378476</v>
      </c>
      <c r="AK4">
        <v>22.05957338</v>
      </c>
      <c r="AL4">
        <v>19.496983820000001</v>
      </c>
      <c r="AM4">
        <v>16.85322317</v>
      </c>
      <c r="AN4">
        <v>15.288677249999999</v>
      </c>
      <c r="AO4">
        <v>13.725466920000001</v>
      </c>
      <c r="AP4">
        <v>12.11999801</v>
      </c>
      <c r="AQ4">
        <v>10.481473599999999</v>
      </c>
      <c r="AR4">
        <v>8.7715817830000002</v>
      </c>
      <c r="AS4">
        <v>8.2524600130000003</v>
      </c>
      <c r="AT4">
        <v>7.7425528459999997</v>
      </c>
      <c r="AU4">
        <v>7.2395322020000004</v>
      </c>
      <c r="AV4">
        <v>6.7388076269999999</v>
      </c>
      <c r="AW4">
        <v>6.2380452809999998</v>
      </c>
    </row>
    <row r="5" spans="1:49" x14ac:dyDescent="0.25">
      <c r="B5" s="13" t="s">
        <v>105</v>
      </c>
      <c r="C5">
        <v>0.67805251130835598</v>
      </c>
      <c r="D5" s="39">
        <v>0.68893886369971102</v>
      </c>
      <c r="E5">
        <v>0.66746531460000003</v>
      </c>
      <c r="F5">
        <v>1.0031459579999999</v>
      </c>
      <c r="G5">
        <v>1.285375334</v>
      </c>
      <c r="H5">
        <v>1.560641422</v>
      </c>
      <c r="I5">
        <v>1.8381216220000001</v>
      </c>
      <c r="J5">
        <v>2.0973498660000001</v>
      </c>
      <c r="K5">
        <v>2.3325438809999999</v>
      </c>
      <c r="L5">
        <v>2.5715879410000002</v>
      </c>
      <c r="M5">
        <v>2.8527627999999998</v>
      </c>
      <c r="N5">
        <v>3.1620853210000002</v>
      </c>
      <c r="O5">
        <v>3.145149558</v>
      </c>
      <c r="P5">
        <v>3.125004906</v>
      </c>
      <c r="Q5">
        <v>3.0750336389999999</v>
      </c>
      <c r="R5">
        <v>3.074537732</v>
      </c>
      <c r="S5">
        <v>3.0623263839999999</v>
      </c>
      <c r="T5">
        <v>3.2082875300000002</v>
      </c>
      <c r="U5">
        <v>3.329834768</v>
      </c>
      <c r="V5">
        <v>3.4297052859999999</v>
      </c>
      <c r="W5">
        <v>3.674796519</v>
      </c>
      <c r="X5">
        <v>3.9013990820000002</v>
      </c>
      <c r="Y5">
        <v>3.913496023</v>
      </c>
      <c r="Z5">
        <v>3.9372378750000001</v>
      </c>
      <c r="AA5">
        <v>3.9696122530000002</v>
      </c>
      <c r="AB5">
        <v>3.9950398109999998</v>
      </c>
      <c r="AC5">
        <v>4.0247852249999996</v>
      </c>
      <c r="AD5">
        <v>4.6566970430000003</v>
      </c>
      <c r="AE5">
        <v>5.303914818</v>
      </c>
      <c r="AF5">
        <v>5.9679646259999997</v>
      </c>
      <c r="AG5">
        <v>6.6471221680000001</v>
      </c>
      <c r="AH5">
        <v>7.3586499290000003</v>
      </c>
      <c r="AI5">
        <v>8.1796879679999996</v>
      </c>
      <c r="AJ5">
        <v>9.0562539510000004</v>
      </c>
      <c r="AK5">
        <v>9.9921357270000009</v>
      </c>
      <c r="AL5">
        <v>10.99886205</v>
      </c>
      <c r="AM5">
        <v>12.10908373</v>
      </c>
      <c r="AN5">
        <v>12.33270954</v>
      </c>
      <c r="AO5">
        <v>12.6189816</v>
      </c>
      <c r="AP5">
        <v>12.9517533</v>
      </c>
      <c r="AQ5">
        <v>13.369670859999999</v>
      </c>
      <c r="AR5">
        <v>13.873279370000001</v>
      </c>
      <c r="AS5">
        <v>13.51397324</v>
      </c>
      <c r="AT5">
        <v>13.185276890000001</v>
      </c>
      <c r="AU5">
        <v>12.889309770000001</v>
      </c>
      <c r="AV5">
        <v>12.62562806</v>
      </c>
      <c r="AW5">
        <v>12.399861899999999</v>
      </c>
    </row>
    <row r="6" spans="1:49" x14ac:dyDescent="0.25">
      <c r="B6" s="13" t="s">
        <v>106</v>
      </c>
      <c r="C6">
        <v>28.634797354551999</v>
      </c>
      <c r="D6" s="39">
        <v>29.094538288267</v>
      </c>
      <c r="E6" s="39">
        <v>29.720948459999999</v>
      </c>
      <c r="F6" s="39">
        <v>30.546009600000001</v>
      </c>
      <c r="G6" s="39">
        <v>31.213907599999999</v>
      </c>
      <c r="H6" s="39">
        <v>29.015633709999999</v>
      </c>
      <c r="I6" s="39">
        <v>30.10262462</v>
      </c>
      <c r="J6" s="39">
        <v>31.121265319999999</v>
      </c>
      <c r="K6" s="39">
        <v>31.45401489</v>
      </c>
      <c r="L6" s="39">
        <v>31.290213489999999</v>
      </c>
      <c r="M6">
        <v>31.114837359999999</v>
      </c>
      <c r="N6">
        <v>30.517317890000001</v>
      </c>
      <c r="O6">
        <v>28.795563170000001</v>
      </c>
      <c r="P6">
        <v>28.286111940000001</v>
      </c>
      <c r="Q6">
        <v>28.21865596</v>
      </c>
      <c r="R6">
        <v>27.262972059999999</v>
      </c>
      <c r="S6">
        <v>26.304458520000001</v>
      </c>
      <c r="T6">
        <v>26.226882060000001</v>
      </c>
      <c r="U6">
        <v>26.142681549999999</v>
      </c>
      <c r="V6">
        <v>25.81031247</v>
      </c>
      <c r="W6">
        <v>26.732353620000001</v>
      </c>
      <c r="X6">
        <v>27.163484740000001</v>
      </c>
      <c r="Y6">
        <v>26.84219989</v>
      </c>
      <c r="Z6">
        <v>26.47116196</v>
      </c>
      <c r="AA6">
        <v>26.0921223</v>
      </c>
      <c r="AB6">
        <v>25.88133929</v>
      </c>
      <c r="AC6">
        <v>25.716003329999999</v>
      </c>
      <c r="AD6">
        <v>24.965294539999999</v>
      </c>
      <c r="AE6">
        <v>24.225983830000001</v>
      </c>
      <c r="AF6">
        <v>23.503437890000001</v>
      </c>
      <c r="AG6">
        <v>22.70264044</v>
      </c>
      <c r="AH6">
        <v>21.911572360000001</v>
      </c>
      <c r="AI6">
        <v>21.635053070000001</v>
      </c>
      <c r="AJ6">
        <v>21.345803719999999</v>
      </c>
      <c r="AK6">
        <v>21.052467149999998</v>
      </c>
      <c r="AL6">
        <v>20.867051979999999</v>
      </c>
      <c r="AM6">
        <v>20.653624919999999</v>
      </c>
      <c r="AN6">
        <v>19.859441579999999</v>
      </c>
      <c r="AO6">
        <v>19.088204579999999</v>
      </c>
      <c r="AP6">
        <v>18.310197049999999</v>
      </c>
      <c r="AQ6">
        <v>17.541379389999999</v>
      </c>
      <c r="AR6">
        <v>16.777428069999999</v>
      </c>
      <c r="AS6">
        <v>16.049222919999998</v>
      </c>
      <c r="AT6">
        <v>15.33511255</v>
      </c>
      <c r="AU6">
        <v>14.627767649999999</v>
      </c>
      <c r="AV6">
        <v>13.92420663</v>
      </c>
      <c r="AW6">
        <v>13.226772309999999</v>
      </c>
    </row>
    <row r="7" spans="1:49" x14ac:dyDescent="0.25">
      <c r="B7" s="13" t="s">
        <v>107</v>
      </c>
      <c r="C7">
        <v>0.36749349586970598</v>
      </c>
      <c r="D7">
        <v>0.37339372281503302</v>
      </c>
      <c r="E7">
        <v>0.3814329508</v>
      </c>
      <c r="F7">
        <v>0.37142179040000001</v>
      </c>
      <c r="G7">
        <v>0.35959892729999998</v>
      </c>
      <c r="H7">
        <v>0.31670845619999999</v>
      </c>
      <c r="I7">
        <v>0.31130730680000002</v>
      </c>
      <c r="J7">
        <v>0.30492957570000001</v>
      </c>
      <c r="K7">
        <v>0.29199522090000002</v>
      </c>
      <c r="L7">
        <v>0.27521083870000002</v>
      </c>
      <c r="M7">
        <v>0.25928768769999999</v>
      </c>
      <c r="N7">
        <v>0.24094508589999999</v>
      </c>
      <c r="O7">
        <v>0.2092675682</v>
      </c>
      <c r="P7">
        <v>0.18639376969999999</v>
      </c>
      <c r="Q7">
        <v>0.16524535839999999</v>
      </c>
      <c r="R7">
        <v>0.13792466959999999</v>
      </c>
      <c r="S7">
        <v>0.1102298345</v>
      </c>
      <c r="T7">
        <v>0.14611644570000001</v>
      </c>
      <c r="U7">
        <v>0.1829158253</v>
      </c>
      <c r="V7">
        <v>0.21860047320000001</v>
      </c>
      <c r="W7">
        <v>0.15505607709999999</v>
      </c>
      <c r="X7">
        <v>9.2450230499999994E-2</v>
      </c>
      <c r="Y7">
        <v>7.0400931599999994E-2</v>
      </c>
      <c r="Z7">
        <v>4.8731346299999999E-2</v>
      </c>
      <c r="AA7">
        <v>2.7603551E-2</v>
      </c>
      <c r="AB7">
        <v>2.45983148E-2</v>
      </c>
      <c r="AC7">
        <v>2.1670744700000001E-2</v>
      </c>
      <c r="AD7">
        <v>2.1192866000000001E-2</v>
      </c>
      <c r="AE7">
        <v>2.07214875E-2</v>
      </c>
      <c r="AF7">
        <v>2.0261264599999999E-2</v>
      </c>
      <c r="AG7">
        <v>1.97160428E-2</v>
      </c>
      <c r="AH7">
        <v>1.9174319299999999E-2</v>
      </c>
      <c r="AI7">
        <v>1.5438855499999999E-2</v>
      </c>
      <c r="AJ7">
        <v>1.17565482E-2</v>
      </c>
      <c r="AK7">
        <v>8.1377754900000005E-3</v>
      </c>
      <c r="AL7">
        <v>8.7135656400000004E-3</v>
      </c>
      <c r="AM7">
        <v>9.2700468299999998E-3</v>
      </c>
      <c r="AN7">
        <v>8.8988323199999907E-3</v>
      </c>
      <c r="AO7">
        <v>8.5381693899999906E-3</v>
      </c>
      <c r="AP7" s="39">
        <v>8.1747608199999999E-3</v>
      </c>
      <c r="AQ7" s="39">
        <v>7.8157641400000005E-3</v>
      </c>
      <c r="AR7" s="39">
        <v>7.4592637500000003E-3</v>
      </c>
      <c r="AS7" s="39">
        <v>7.4052658099999997E-3</v>
      </c>
      <c r="AT7" s="39">
        <v>7.3537835900000003E-3</v>
      </c>
      <c r="AU7" s="39">
        <v>7.3014673100000003E-3</v>
      </c>
      <c r="AV7" s="39">
        <v>7.2466585599999999E-3</v>
      </c>
      <c r="AW7" s="39">
        <v>7.1902978500000001E-3</v>
      </c>
    </row>
    <row r="8" spans="1:49" x14ac:dyDescent="0.25">
      <c r="B8" t="s">
        <v>108</v>
      </c>
      <c r="C8">
        <v>1.4676116307532601</v>
      </c>
      <c r="D8" s="39">
        <v>1.4911746101974399</v>
      </c>
      <c r="E8" s="39">
        <v>1.5232798439999999</v>
      </c>
      <c r="F8" s="39">
        <v>1.567843538</v>
      </c>
      <c r="G8" s="39">
        <v>1.6044551520000001</v>
      </c>
      <c r="H8" s="39">
        <v>1.493628897</v>
      </c>
      <c r="I8" s="39">
        <v>1.551837404</v>
      </c>
      <c r="J8" s="39">
        <v>1.6066833899999999</v>
      </c>
      <c r="K8" s="39">
        <v>1.626223945</v>
      </c>
      <c r="L8" s="39">
        <v>1.620108106</v>
      </c>
      <c r="M8">
        <v>1.6133708630000001</v>
      </c>
      <c r="N8">
        <v>1.584689722</v>
      </c>
      <c r="O8">
        <v>1.6746472210000001</v>
      </c>
      <c r="P8">
        <v>1.8351726370000001</v>
      </c>
      <c r="Q8">
        <v>2.0361493479999999</v>
      </c>
      <c r="R8">
        <v>2.182665021</v>
      </c>
      <c r="S8">
        <v>2.3325231629999998</v>
      </c>
      <c r="T8">
        <v>2.2481714039999998</v>
      </c>
      <c r="U8">
        <v>2.1612200619999999</v>
      </c>
      <c r="V8">
        <v>2.0524225760000001</v>
      </c>
      <c r="W8">
        <v>2.255133845</v>
      </c>
      <c r="X8">
        <v>2.409566667</v>
      </c>
      <c r="Y8">
        <v>2.320650364</v>
      </c>
      <c r="Z8">
        <v>2.2289035830000001</v>
      </c>
      <c r="AA8">
        <v>2.138087515</v>
      </c>
      <c r="AB8">
        <v>2.064117032</v>
      </c>
      <c r="AC8">
        <v>1.994473583</v>
      </c>
      <c r="AD8">
        <v>1.868503314</v>
      </c>
      <c r="AE8">
        <v>1.7447763780000001</v>
      </c>
      <c r="AF8">
        <v>1.623650883</v>
      </c>
      <c r="AG8">
        <v>1.5048766579999999</v>
      </c>
      <c r="AH8">
        <v>1.388912447</v>
      </c>
      <c r="AI8">
        <v>1.1281411779999999</v>
      </c>
      <c r="AJ8">
        <v>0.87103978950000005</v>
      </c>
      <c r="AK8">
        <v>0.61835211970000004</v>
      </c>
      <c r="AL8">
        <v>0.38434537600000002</v>
      </c>
      <c r="AM8">
        <v>0.15250976769999999</v>
      </c>
      <c r="AN8">
        <v>0.1619792125</v>
      </c>
      <c r="AO8">
        <v>0.17135576020000001</v>
      </c>
      <c r="AP8">
        <v>0.18037767269999999</v>
      </c>
      <c r="AQ8">
        <v>0.1891690764</v>
      </c>
      <c r="AR8">
        <v>0.19767213789999999</v>
      </c>
      <c r="AS8">
        <v>0.2040497496</v>
      </c>
      <c r="AT8">
        <v>0.21038545610000001</v>
      </c>
      <c r="AU8">
        <v>0.21658784959999999</v>
      </c>
      <c r="AV8">
        <v>0.22260334779999999</v>
      </c>
      <c r="AW8">
        <v>0.22845394929999999</v>
      </c>
    </row>
    <row r="9" spans="1:49" x14ac:dyDescent="0.25">
      <c r="B9" t="s">
        <v>109</v>
      </c>
      <c r="C9">
        <v>1.4643633957556199</v>
      </c>
      <c r="D9">
        <v>1.4878742237362399</v>
      </c>
      <c r="E9">
        <v>1.5199084</v>
      </c>
      <c r="F9">
        <v>1.4384208780000001</v>
      </c>
      <c r="G9">
        <v>1.353494135</v>
      </c>
      <c r="H9">
        <v>1.15855603</v>
      </c>
      <c r="I9">
        <v>1.106792196</v>
      </c>
      <c r="J9">
        <v>1.0536484079999999</v>
      </c>
      <c r="K9">
        <v>0.98059867270000001</v>
      </c>
      <c r="L9">
        <v>0.89825673709999998</v>
      </c>
      <c r="M9">
        <v>0.82250062349999997</v>
      </c>
      <c r="N9">
        <v>0.74283405560000004</v>
      </c>
      <c r="O9">
        <v>0.62242682650000003</v>
      </c>
      <c r="P9">
        <v>0.52819568640000003</v>
      </c>
      <c r="Q9">
        <v>0.43706477420000001</v>
      </c>
      <c r="R9">
        <v>0.32796201530000002</v>
      </c>
      <c r="S9">
        <v>0.21726326670000001</v>
      </c>
      <c r="T9">
        <v>0.20928154860000001</v>
      </c>
      <c r="U9">
        <v>0.20105445159999999</v>
      </c>
      <c r="V9">
        <v>0.19079274930000001</v>
      </c>
      <c r="W9">
        <v>0.1218509401</v>
      </c>
      <c r="X9">
        <v>5.4691130499999997E-2</v>
      </c>
      <c r="Y9">
        <v>4.2065206100000002E-2</v>
      </c>
      <c r="Z9">
        <v>2.9652962200000001E-2</v>
      </c>
      <c r="AA9">
        <v>1.7549880699999999E-2</v>
      </c>
      <c r="AB9">
        <v>1.74268528E-2</v>
      </c>
      <c r="AC9">
        <v>1.7334193899999999E-2</v>
      </c>
      <c r="AD9">
        <v>1.4300853400000001E-2</v>
      </c>
      <c r="AE9">
        <v>1.1325905799999999E-2</v>
      </c>
      <c r="AF9">
        <v>8.41080032E-3</v>
      </c>
      <c r="AG9">
        <v>8.2729631499999998E-3</v>
      </c>
      <c r="AH9">
        <v>8.13359661E-3</v>
      </c>
      <c r="AI9">
        <v>8.0647295599999905E-3</v>
      </c>
      <c r="AJ9">
        <v>7.9905154400000001E-3</v>
      </c>
      <c r="AK9">
        <v>7.9141352700000007E-3</v>
      </c>
      <c r="AL9">
        <v>7.8734790499999999E-3</v>
      </c>
      <c r="AM9">
        <v>7.8219120099999994E-3</v>
      </c>
      <c r="AN9">
        <v>7.7508495600000001E-3</v>
      </c>
      <c r="AO9">
        <v>7.6845473600000002E-3</v>
      </c>
      <c r="AP9">
        <v>7.61111735E-3</v>
      </c>
      <c r="AQ9">
        <v>7.5366979799999997E-3</v>
      </c>
      <c r="AR9">
        <v>7.4592637500000003E-3</v>
      </c>
      <c r="AS9">
        <v>7.4052658099999997E-3</v>
      </c>
      <c r="AT9">
        <v>7.3537835900000003E-3</v>
      </c>
      <c r="AU9">
        <v>7.3014673100000003E-3</v>
      </c>
      <c r="AV9">
        <v>7.2466585599999999E-3</v>
      </c>
      <c r="AW9">
        <v>7.1902978500000001E-3</v>
      </c>
    </row>
    <row r="10" spans="1:49" x14ac:dyDescent="0.25">
      <c r="B10" t="s">
        <v>110</v>
      </c>
      <c r="C10">
        <v>0.29584764130791702</v>
      </c>
      <c r="D10" s="39">
        <v>0.300597570883747</v>
      </c>
      <c r="E10" s="39">
        <v>0.30706948579999999</v>
      </c>
      <c r="F10">
        <v>0.65518195349999997</v>
      </c>
      <c r="G10">
        <v>0.98995792029999996</v>
      </c>
      <c r="H10">
        <v>1.191548635</v>
      </c>
      <c r="I10">
        <v>1.487190338</v>
      </c>
      <c r="J10">
        <v>1.761242618</v>
      </c>
      <c r="K10">
        <v>1.964058691</v>
      </c>
      <c r="L10">
        <v>2.086822089</v>
      </c>
      <c r="M10">
        <v>2.1467110690000002</v>
      </c>
      <c r="N10">
        <v>2.1018461610000001</v>
      </c>
      <c r="O10">
        <v>2.237474883</v>
      </c>
      <c r="P10">
        <v>2.467393752</v>
      </c>
      <c r="Q10">
        <v>2.7525566829999999</v>
      </c>
      <c r="R10">
        <v>2.9647271229999999</v>
      </c>
      <c r="S10">
        <v>3.181648209</v>
      </c>
      <c r="T10">
        <v>3.3721893810000001</v>
      </c>
      <c r="U10">
        <v>3.5671219820000002</v>
      </c>
      <c r="V10">
        <v>3.731624611</v>
      </c>
      <c r="W10">
        <v>3.9542890430000002</v>
      </c>
      <c r="X10">
        <v>4.0995961210000003</v>
      </c>
      <c r="Y10">
        <v>4.3377042049999996</v>
      </c>
      <c r="Z10">
        <v>4.5607944869999999</v>
      </c>
      <c r="AA10">
        <v>4.7748950020000001</v>
      </c>
      <c r="AB10">
        <v>5.0049773899999996</v>
      </c>
      <c r="AC10">
        <v>5.240519752</v>
      </c>
      <c r="AD10">
        <v>5.836804613</v>
      </c>
      <c r="AE10">
        <v>6.4203783960000003</v>
      </c>
      <c r="AF10">
        <v>6.9929775320000003</v>
      </c>
      <c r="AG10">
        <v>7.4729013999999996</v>
      </c>
      <c r="AH10">
        <v>7.9315229220000001</v>
      </c>
      <c r="AI10">
        <v>8.4535123480000003</v>
      </c>
      <c r="AJ10">
        <v>8.9594445559999905</v>
      </c>
      <c r="AK10">
        <v>9.4519468280000005</v>
      </c>
      <c r="AL10">
        <v>9.9522097069999997</v>
      </c>
      <c r="AM10">
        <v>10.43225273</v>
      </c>
      <c r="AN10">
        <v>10.96952574</v>
      </c>
      <c r="AO10">
        <v>11.50233424</v>
      </c>
      <c r="AP10">
        <v>12.01307914</v>
      </c>
      <c r="AQ10">
        <v>12.51020596</v>
      </c>
      <c r="AR10">
        <v>12.98994534</v>
      </c>
      <c r="AS10">
        <v>13.49194866</v>
      </c>
      <c r="AT10">
        <v>13.99004551</v>
      </c>
      <c r="AU10">
        <v>14.478201070000001</v>
      </c>
      <c r="AV10">
        <v>14.95279193</v>
      </c>
      <c r="AW10">
        <v>15.41523263</v>
      </c>
    </row>
    <row r="11" spans="1:49" x14ac:dyDescent="0.25">
      <c r="B11" t="s">
        <v>111</v>
      </c>
      <c r="C11">
        <v>6.65657192942814E-2</v>
      </c>
      <c r="D11" s="39">
        <v>6.7634453448843099E-2</v>
      </c>
      <c r="E11" s="39">
        <v>6.9090634299999995E-2</v>
      </c>
      <c r="F11" s="39">
        <v>9.4469997799999997E-2</v>
      </c>
      <c r="G11" s="39">
        <v>0.12843117840000001</v>
      </c>
      <c r="H11" s="39">
        <v>0.15883173980000001</v>
      </c>
      <c r="I11">
        <v>0.21922622319999999</v>
      </c>
      <c r="J11">
        <v>0.30152844699999998</v>
      </c>
      <c r="K11">
        <v>0.40544321659999999</v>
      </c>
      <c r="L11">
        <v>0.53659346959999998</v>
      </c>
      <c r="M11">
        <v>0.70988385300000001</v>
      </c>
      <c r="N11">
        <v>0.92629438210000004</v>
      </c>
      <c r="O11">
        <v>0.98606665500000001</v>
      </c>
      <c r="P11">
        <v>1.08739308</v>
      </c>
      <c r="Q11">
        <v>1.2130658459999999</v>
      </c>
      <c r="R11">
        <v>1.3065704469999999</v>
      </c>
      <c r="S11">
        <v>1.4021686820000001</v>
      </c>
      <c r="T11">
        <v>1.465715772</v>
      </c>
      <c r="U11">
        <v>1.5306676779999999</v>
      </c>
      <c r="V11">
        <v>1.582251115</v>
      </c>
      <c r="W11">
        <v>1.81043211</v>
      </c>
      <c r="X11">
        <v>1.9962585020000001</v>
      </c>
      <c r="Y11">
        <v>2.3378783439999999</v>
      </c>
      <c r="Z11">
        <v>2.6662726669999999</v>
      </c>
      <c r="AA11">
        <v>2.9841616329999998</v>
      </c>
      <c r="AB11">
        <v>3.3037573130000002</v>
      </c>
      <c r="AC11">
        <v>3.6248958299999998</v>
      </c>
      <c r="AD11">
        <v>3.9593567919999999</v>
      </c>
      <c r="AE11">
        <v>4.2865903300000001</v>
      </c>
      <c r="AF11">
        <v>4.607730632</v>
      </c>
      <c r="AG11">
        <v>4.8687223150000003</v>
      </c>
      <c r="AH11">
        <v>5.1175386559999998</v>
      </c>
      <c r="AI11">
        <v>5.3284519250000004</v>
      </c>
      <c r="AJ11">
        <v>5.5313216479999996</v>
      </c>
      <c r="AK11">
        <v>5.7279444159999997</v>
      </c>
      <c r="AL11">
        <v>5.9369573999999998</v>
      </c>
      <c r="AM11">
        <v>6.1349502710000001</v>
      </c>
      <c r="AN11">
        <v>6.3703753360000004</v>
      </c>
      <c r="AO11">
        <v>6.6045527059999998</v>
      </c>
      <c r="AP11">
        <v>6.8273549579999999</v>
      </c>
      <c r="AQ11">
        <v>7.0437157590000004</v>
      </c>
      <c r="AR11">
        <v>7.2515545030000004</v>
      </c>
      <c r="AS11">
        <v>7.4103878119999997</v>
      </c>
      <c r="AT11">
        <v>7.5687284310000003</v>
      </c>
      <c r="AU11">
        <v>7.7232484719999999</v>
      </c>
      <c r="AV11">
        <v>7.872074971</v>
      </c>
      <c r="AW11">
        <v>8.0160430890000001</v>
      </c>
    </row>
    <row r="12" spans="1:49" x14ac:dyDescent="0.25">
      <c r="B12" t="s">
        <v>112</v>
      </c>
      <c r="C12">
        <v>3.32767453113023</v>
      </c>
      <c r="D12" s="39">
        <v>3.3811014220943498</v>
      </c>
      <c r="E12">
        <v>3.4538970899999999</v>
      </c>
      <c r="F12" s="39">
        <v>3.4247623890000001</v>
      </c>
      <c r="G12" s="39">
        <v>3.3763956689999999</v>
      </c>
      <c r="H12" s="39">
        <v>3.0280740179999999</v>
      </c>
      <c r="I12">
        <v>3.0308749779999999</v>
      </c>
      <c r="J12">
        <v>3.0230834670000002</v>
      </c>
      <c r="K12">
        <v>2.9478013449999998</v>
      </c>
      <c r="L12">
        <v>2.8291754679999999</v>
      </c>
      <c r="M12" s="39">
        <v>2.7142392430000002</v>
      </c>
      <c r="N12">
        <v>2.5683616960000002</v>
      </c>
      <c r="O12">
        <v>2.7340939070000001</v>
      </c>
      <c r="P12">
        <v>3.0150444479999998</v>
      </c>
      <c r="Q12">
        <v>3.363500755</v>
      </c>
      <c r="R12">
        <v>3.622763511</v>
      </c>
      <c r="S12">
        <v>3.8878313449999999</v>
      </c>
      <c r="T12">
        <v>4.1012618429999996</v>
      </c>
      <c r="U12">
        <v>4.3195545339999999</v>
      </c>
      <c r="V12">
        <v>4.5007032269999998</v>
      </c>
      <c r="W12">
        <v>4.4723309330000003</v>
      </c>
      <c r="X12">
        <v>4.371865659</v>
      </c>
      <c r="Y12">
        <v>4.3293960699999996</v>
      </c>
      <c r="Z12">
        <v>4.2786768110000004</v>
      </c>
      <c r="AA12">
        <v>4.2264188010000003</v>
      </c>
      <c r="AB12">
        <v>4.1991833559999998</v>
      </c>
      <c r="AC12">
        <v>4.1792360009999996</v>
      </c>
      <c r="AD12">
        <v>4.1832105249999998</v>
      </c>
      <c r="AE12">
        <v>4.18650974</v>
      </c>
      <c r="AF12">
        <v>4.1901138820000003</v>
      </c>
      <c r="AG12">
        <v>4.1437255779999997</v>
      </c>
      <c r="AH12">
        <v>4.0958247170000002</v>
      </c>
      <c r="AI12">
        <v>4.0309539430000001</v>
      </c>
      <c r="AJ12">
        <v>3.9639462170000002</v>
      </c>
      <c r="AK12">
        <v>3.8964277250000001</v>
      </c>
      <c r="AL12">
        <v>3.8525307390000001</v>
      </c>
      <c r="AM12">
        <v>3.8035747529999999</v>
      </c>
      <c r="AN12">
        <v>3.7895022520000001</v>
      </c>
      <c r="AO12">
        <v>3.7773940929999998</v>
      </c>
      <c r="AP12">
        <v>3.7614129350000001</v>
      </c>
      <c r="AQ12">
        <v>3.7445521180000001</v>
      </c>
      <c r="AR12">
        <v>3.7257920819999999</v>
      </c>
      <c r="AS12">
        <v>3.6900901020000001</v>
      </c>
      <c r="AT12">
        <v>3.655766077</v>
      </c>
      <c r="AU12">
        <v>3.6211498</v>
      </c>
      <c r="AV12">
        <v>3.5854236820000001</v>
      </c>
      <c r="AW12">
        <v>3.5490607779999999</v>
      </c>
    </row>
    <row r="13" spans="1:49" x14ac:dyDescent="0.25">
      <c r="B13" t="s">
        <v>113</v>
      </c>
      <c r="C13">
        <v>0.21556468620722</v>
      </c>
      <c r="D13" s="39">
        <v>0.21902564697065</v>
      </c>
      <c r="E13" s="39">
        <v>0.223741305</v>
      </c>
      <c r="F13" s="39">
        <v>0.25776168570000002</v>
      </c>
      <c r="G13" s="39">
        <v>0.29525169309999999</v>
      </c>
      <c r="H13" s="39">
        <v>0.30764984010000002</v>
      </c>
      <c r="I13" s="39">
        <v>0.35777449189999999</v>
      </c>
      <c r="J13" s="39">
        <v>0.4146127315</v>
      </c>
      <c r="K13" s="39">
        <v>0.46972302900000001</v>
      </c>
      <c r="L13" s="39">
        <v>0.52378694319999997</v>
      </c>
      <c r="M13">
        <v>0.58384027989999998</v>
      </c>
      <c r="N13">
        <v>0.64187913350000003</v>
      </c>
      <c r="O13">
        <v>0.58875423540000005</v>
      </c>
      <c r="P13">
        <v>0.56041000340000002</v>
      </c>
      <c r="Q13">
        <v>0.53971248930000004</v>
      </c>
      <c r="R13">
        <v>0.50111871060000002</v>
      </c>
      <c r="S13">
        <v>0.46213642789999998</v>
      </c>
      <c r="T13">
        <v>0.49022901769999999</v>
      </c>
      <c r="U13">
        <v>0.51897027939999996</v>
      </c>
      <c r="V13">
        <v>0.54329070850000005</v>
      </c>
      <c r="W13">
        <v>0.6370210047</v>
      </c>
      <c r="X13">
        <v>0.71510963819999995</v>
      </c>
      <c r="Y13">
        <v>0.69225871260000005</v>
      </c>
      <c r="Z13">
        <v>0.66847507370000003</v>
      </c>
      <c r="AA13">
        <v>0.64487159309999997</v>
      </c>
      <c r="AB13">
        <v>0.625333307</v>
      </c>
      <c r="AC13">
        <v>0.60707062570000003</v>
      </c>
      <c r="AD13">
        <v>0.62823344049999996</v>
      </c>
      <c r="AE13">
        <v>0.64888511910000002</v>
      </c>
      <c r="AF13">
        <v>0.66918570980000003</v>
      </c>
      <c r="AG13">
        <v>0.68298348819999999</v>
      </c>
      <c r="AH13">
        <v>0.69582522020000004</v>
      </c>
      <c r="AI13">
        <v>0.72700647480000002</v>
      </c>
      <c r="AJ13">
        <v>0.75704798009999996</v>
      </c>
      <c r="AK13">
        <v>0.78619199880000001</v>
      </c>
      <c r="AL13">
        <v>0.81714772179999995</v>
      </c>
      <c r="AM13">
        <v>0.84656117129999997</v>
      </c>
      <c r="AN13">
        <v>0.846701814</v>
      </c>
      <c r="AO13">
        <v>0.84722366869999999</v>
      </c>
      <c r="AP13">
        <v>0.84681848989999997</v>
      </c>
      <c r="AQ13">
        <v>0.84615384329999999</v>
      </c>
      <c r="AR13">
        <v>0.84499727650000001</v>
      </c>
      <c r="AS13">
        <v>0.84641896930000005</v>
      </c>
      <c r="AT13">
        <v>0.84802082619999997</v>
      </c>
      <c r="AU13">
        <v>0.84942083390000001</v>
      </c>
      <c r="AV13">
        <v>0.85042182259999999</v>
      </c>
      <c r="AW13">
        <v>0.85112751259999997</v>
      </c>
    </row>
    <row r="14" spans="1:49" x14ac:dyDescent="0.25">
      <c r="B14" t="s">
        <v>114</v>
      </c>
      <c r="C14">
        <v>35.839918454870201</v>
      </c>
      <c r="D14" s="39">
        <v>36.415339938413297</v>
      </c>
      <c r="E14">
        <v>37.19936817</v>
      </c>
      <c r="F14">
        <v>38.355871839999999</v>
      </c>
      <c r="G14">
        <v>39.32149227</v>
      </c>
      <c r="H14">
        <v>36.670631329999999</v>
      </c>
      <c r="I14">
        <v>38.16762756</v>
      </c>
      <c r="J14">
        <v>39.586993960000001</v>
      </c>
      <c r="K14">
        <v>40.139859010000002</v>
      </c>
      <c r="L14">
        <v>40.060167139999997</v>
      </c>
      <c r="M14">
        <v>39.964670980000001</v>
      </c>
      <c r="N14">
        <v>39.324168120000003</v>
      </c>
      <c r="O14">
        <v>37.848294469999999</v>
      </c>
      <c r="P14">
        <v>37.966115309999999</v>
      </c>
      <c r="Q14">
        <v>38.725951209999998</v>
      </c>
      <c r="R14">
        <v>38.306703560000003</v>
      </c>
      <c r="S14">
        <v>37.898259449999998</v>
      </c>
      <c r="T14">
        <v>38.259847469999997</v>
      </c>
      <c r="U14">
        <v>38.624186360000003</v>
      </c>
      <c r="V14">
        <v>38.629997930000002</v>
      </c>
      <c r="W14">
        <v>40.138467579999997</v>
      </c>
      <c r="X14">
        <v>40.90302269</v>
      </c>
      <c r="Y14">
        <v>40.972553720000001</v>
      </c>
      <c r="Z14">
        <v>40.952668889999998</v>
      </c>
      <c r="AA14">
        <v>40.90571027</v>
      </c>
      <c r="AB14">
        <v>41.120732850000003</v>
      </c>
      <c r="AC14">
        <v>41.401204059999998</v>
      </c>
      <c r="AD14">
        <v>41.476896940000003</v>
      </c>
      <c r="AE14">
        <v>41.545171189999998</v>
      </c>
      <c r="AF14">
        <v>41.615768590000002</v>
      </c>
      <c r="AG14">
        <v>41.403838880000002</v>
      </c>
      <c r="AH14">
        <v>41.168504239999997</v>
      </c>
      <c r="AI14">
        <v>41.326622530000002</v>
      </c>
      <c r="AJ14">
        <v>41.44835097</v>
      </c>
      <c r="AK14">
        <v>41.54938215</v>
      </c>
      <c r="AL14">
        <v>41.826829959999998</v>
      </c>
      <c r="AM14">
        <v>42.040565569999998</v>
      </c>
      <c r="AN14">
        <v>42.014175610000002</v>
      </c>
      <c r="AO14">
        <v>42.007287759999997</v>
      </c>
      <c r="AP14">
        <v>41.955026119999999</v>
      </c>
      <c r="AQ14">
        <v>41.890528609999997</v>
      </c>
      <c r="AR14">
        <v>41.802307939999999</v>
      </c>
      <c r="AS14">
        <v>41.706928750000003</v>
      </c>
      <c r="AT14">
        <v>41.622766419999998</v>
      </c>
      <c r="AU14">
        <v>41.530978609999998</v>
      </c>
      <c r="AV14">
        <v>41.422015700000003</v>
      </c>
      <c r="AW14">
        <v>41.301070869999997</v>
      </c>
    </row>
    <row r="15" spans="1:49" x14ac:dyDescent="0.25">
      <c r="B15" t="s">
        <v>115</v>
      </c>
      <c r="C15">
        <v>36.006525643363197</v>
      </c>
      <c r="D15" s="39">
        <v>36.584622059208101</v>
      </c>
      <c r="E15" s="39">
        <v>37.372061879999997</v>
      </c>
      <c r="F15" s="39">
        <v>38.574510330000003</v>
      </c>
      <c r="G15" s="39">
        <v>38.442073530000002</v>
      </c>
      <c r="H15" s="39">
        <v>37.704926450000002</v>
      </c>
      <c r="I15" s="39">
        <v>39.459604400000003</v>
      </c>
      <c r="J15" s="39">
        <v>40.292224220000001</v>
      </c>
      <c r="K15" s="39">
        <v>39.654875349999998</v>
      </c>
      <c r="L15" s="39">
        <v>39.807951369999998</v>
      </c>
      <c r="M15">
        <v>40.965915780000003</v>
      </c>
      <c r="N15">
        <v>42.930192089999998</v>
      </c>
      <c r="O15">
        <v>44.212135140000001</v>
      </c>
      <c r="P15" s="39">
        <v>44.502639189999996</v>
      </c>
      <c r="Q15">
        <v>42.70800491</v>
      </c>
      <c r="R15">
        <v>41.569491630000002</v>
      </c>
      <c r="S15">
        <v>40.886772630000003</v>
      </c>
      <c r="T15">
        <v>40.660344899999998</v>
      </c>
      <c r="U15">
        <v>40.506073800000003</v>
      </c>
      <c r="V15">
        <v>41.090187710000002</v>
      </c>
      <c r="W15">
        <v>40.456145169999999</v>
      </c>
      <c r="X15">
        <v>39.720198009999997</v>
      </c>
      <c r="Y15">
        <v>39.083952840000002</v>
      </c>
      <c r="Z15">
        <v>38.615052919999997</v>
      </c>
      <c r="AA15">
        <v>38.117543359999999</v>
      </c>
      <c r="AB15">
        <v>37.047092990000003</v>
      </c>
      <c r="AC15">
        <v>35.970532820000003</v>
      </c>
      <c r="AD15">
        <v>35.594324610000001</v>
      </c>
      <c r="AE15">
        <v>35.25807193</v>
      </c>
      <c r="AF15">
        <v>34.973223369999999</v>
      </c>
      <c r="AG15">
        <v>34.597660699999999</v>
      </c>
      <c r="AH15">
        <v>34.238831019999999</v>
      </c>
      <c r="AI15">
        <v>34.016128879999997</v>
      </c>
      <c r="AJ15">
        <v>33.846580289999999</v>
      </c>
      <c r="AK15">
        <v>33.6955089</v>
      </c>
      <c r="AL15">
        <v>33.037561959999998</v>
      </c>
      <c r="AM15">
        <v>32.401009369999997</v>
      </c>
      <c r="AN15">
        <v>32.352870240000001</v>
      </c>
      <c r="AO15">
        <v>32.351393160000001</v>
      </c>
      <c r="AP15">
        <v>32.359852330000002</v>
      </c>
      <c r="AQ15">
        <v>32.415464980000003</v>
      </c>
      <c r="AR15">
        <v>32.510553489999999</v>
      </c>
      <c r="AS15">
        <v>32.071085850000003</v>
      </c>
      <c r="AT15">
        <v>31.645681960000001</v>
      </c>
      <c r="AU15">
        <v>31.232942999999999</v>
      </c>
      <c r="AV15">
        <v>30.830763189999999</v>
      </c>
      <c r="AW15">
        <v>30.445135960000002</v>
      </c>
    </row>
    <row r="16" spans="1:49" x14ac:dyDescent="0.25">
      <c r="B16" t="s">
        <v>116</v>
      </c>
      <c r="C16">
        <v>33.108335480742298</v>
      </c>
      <c r="D16">
        <v>33.639900516080203</v>
      </c>
      <c r="E16">
        <v>34.363958760000003</v>
      </c>
      <c r="F16">
        <v>34.406519299999999</v>
      </c>
      <c r="G16">
        <v>33.260694360000002</v>
      </c>
      <c r="H16">
        <v>31.645123340000001</v>
      </c>
      <c r="I16">
        <v>32.125182969999997</v>
      </c>
      <c r="J16">
        <v>31.819863569999999</v>
      </c>
      <c r="K16">
        <v>30.377907029999999</v>
      </c>
      <c r="L16">
        <v>29.58116514</v>
      </c>
      <c r="M16">
        <v>29.529242329999999</v>
      </c>
      <c r="N16">
        <v>30.01764769</v>
      </c>
      <c r="O16">
        <v>30.782689810000001</v>
      </c>
      <c r="P16">
        <v>30.853010789999999</v>
      </c>
      <c r="Q16">
        <v>29.482424479999999</v>
      </c>
      <c r="R16">
        <v>28.573677400000001</v>
      </c>
      <c r="S16">
        <v>27.983827789999999</v>
      </c>
      <c r="T16">
        <v>26.703577689999999</v>
      </c>
      <c r="U16">
        <v>25.454430800000001</v>
      </c>
      <c r="V16">
        <v>24.382255319999999</v>
      </c>
      <c r="W16">
        <v>23.901842850000001</v>
      </c>
      <c r="X16">
        <v>23.04853679</v>
      </c>
      <c r="Y16">
        <v>21.758382579999999</v>
      </c>
      <c r="Z16">
        <v>20.598458350000001</v>
      </c>
      <c r="AA16">
        <v>19.453226539999999</v>
      </c>
      <c r="AB16">
        <v>18.089432330000001</v>
      </c>
      <c r="AC16">
        <v>16.772693539999999</v>
      </c>
      <c r="AD16">
        <v>14.936549530000001</v>
      </c>
      <c r="AE16">
        <v>13.18352672</v>
      </c>
      <c r="AF16">
        <v>11.5110733</v>
      </c>
      <c r="AG16">
        <v>10.54714749</v>
      </c>
      <c r="AH16">
        <v>9.6222855890000005</v>
      </c>
      <c r="AI16">
        <v>8.7259598339999904</v>
      </c>
      <c r="AJ16">
        <v>7.871745089</v>
      </c>
      <c r="AK16">
        <v>7.0465868570000003</v>
      </c>
      <c r="AL16">
        <v>8.1201146299999998</v>
      </c>
      <c r="AM16">
        <v>9.1185077329999995</v>
      </c>
      <c r="AN16">
        <v>7.8289376290000003</v>
      </c>
      <c r="AO16">
        <v>6.5777711099999996</v>
      </c>
      <c r="AP16">
        <v>5.3507328540000003</v>
      </c>
      <c r="AQ16">
        <v>4.1515513610000001</v>
      </c>
      <c r="AR16">
        <v>2.9725518850000001</v>
      </c>
      <c r="AS16">
        <v>3.435279773</v>
      </c>
      <c r="AT16">
        <v>3.8759037410000001</v>
      </c>
      <c r="AU16">
        <v>4.295406067</v>
      </c>
      <c r="AV16">
        <v>4.6945015889999997</v>
      </c>
      <c r="AW16">
        <v>5.0754261989999998</v>
      </c>
    </row>
    <row r="17" spans="2:49" x14ac:dyDescent="0.25">
      <c r="B17" t="s">
        <v>117</v>
      </c>
      <c r="C17">
        <v>1.54983431156195</v>
      </c>
      <c r="D17">
        <v>1.57471740274219</v>
      </c>
      <c r="E17">
        <v>1.6086112930000001</v>
      </c>
      <c r="F17" s="39">
        <v>2.645540338</v>
      </c>
      <c r="G17" s="39">
        <v>3.5527501400000001</v>
      </c>
      <c r="H17" s="39">
        <v>4.3113839140000003</v>
      </c>
      <c r="I17">
        <v>5.2912877969999998</v>
      </c>
      <c r="J17">
        <v>6.0966236279999997</v>
      </c>
      <c r="K17">
        <v>6.5642731870000004</v>
      </c>
      <c r="L17">
        <v>7.0131119689999997</v>
      </c>
      <c r="M17">
        <v>7.4745659260000004</v>
      </c>
      <c r="N17">
        <v>7.8734087690000001</v>
      </c>
      <c r="O17">
        <v>8.2024200109999903</v>
      </c>
      <c r="P17">
        <v>8.3506645230000007</v>
      </c>
      <c r="Q17">
        <v>8.1042927030000005</v>
      </c>
      <c r="R17">
        <v>7.976060994</v>
      </c>
      <c r="S17">
        <v>7.9312811950000004</v>
      </c>
      <c r="T17">
        <v>8.0971548070000008</v>
      </c>
      <c r="U17">
        <v>8.2804340449999998</v>
      </c>
      <c r="V17">
        <v>8.8315488630000001</v>
      </c>
      <c r="W17">
        <v>8.3854940520000003</v>
      </c>
      <c r="X17">
        <v>8.1960579229999997</v>
      </c>
      <c r="Y17">
        <v>8.1129241309999998</v>
      </c>
      <c r="Z17">
        <v>8.0629486729999904</v>
      </c>
      <c r="AA17">
        <v>8.0088626709999904</v>
      </c>
      <c r="AB17">
        <v>7.8620954620000001</v>
      </c>
      <c r="AC17">
        <v>7.718038054</v>
      </c>
      <c r="AD17">
        <v>8.2000889190000006</v>
      </c>
      <c r="AE17">
        <v>8.6697419809999996</v>
      </c>
      <c r="AF17">
        <v>9.1312583069999995</v>
      </c>
      <c r="AG17">
        <v>9.1474761850000004</v>
      </c>
      <c r="AH17">
        <v>9.1652597500000006</v>
      </c>
      <c r="AI17">
        <v>9.2235343410000006</v>
      </c>
      <c r="AJ17">
        <v>9.2904731149999904</v>
      </c>
      <c r="AK17">
        <v>9.3589261080000004</v>
      </c>
      <c r="AL17">
        <v>8.0726663980000009</v>
      </c>
      <c r="AM17">
        <v>6.8676623929999998</v>
      </c>
      <c r="AN17">
        <v>7.462136933</v>
      </c>
      <c r="AO17">
        <v>8.0509864229999994</v>
      </c>
      <c r="AP17">
        <v>8.6307145910000003</v>
      </c>
      <c r="AQ17">
        <v>9.2094664500000007</v>
      </c>
      <c r="AR17">
        <v>9.7884140819999903</v>
      </c>
      <c r="AS17">
        <v>9.1025076830000007</v>
      </c>
      <c r="AT17">
        <v>8.4478375210000003</v>
      </c>
      <c r="AU17">
        <v>7.8226470260000003</v>
      </c>
      <c r="AV17">
        <v>7.2253054570000002</v>
      </c>
      <c r="AW17">
        <v>6.6551333990000003</v>
      </c>
    </row>
    <row r="18" spans="2:49" x14ac:dyDescent="0.25">
      <c r="B18" t="s">
        <v>118</v>
      </c>
      <c r="C18">
        <v>0.19372928894524399</v>
      </c>
      <c r="D18">
        <v>0.196839675342774</v>
      </c>
      <c r="E18">
        <v>0.20107641170000001</v>
      </c>
      <c r="F18">
        <v>0.19521040200000001</v>
      </c>
      <c r="G18">
        <v>0.1829775491</v>
      </c>
      <c r="H18">
        <v>0.16880199139999999</v>
      </c>
      <c r="I18">
        <v>0.1661577726</v>
      </c>
      <c r="J18">
        <v>0.1595796998</v>
      </c>
      <c r="K18">
        <v>0.14772073429999999</v>
      </c>
      <c r="L18">
        <v>0.13947718179999999</v>
      </c>
      <c r="M18">
        <v>0.13500332670000001</v>
      </c>
      <c r="N18">
        <v>0.1330678381</v>
      </c>
      <c r="O18">
        <v>0.20580874939999999</v>
      </c>
      <c r="P18">
        <v>0.27625535649999999</v>
      </c>
      <c r="Q18">
        <v>0.33130338349999999</v>
      </c>
      <c r="R18">
        <v>0.38677940389999999</v>
      </c>
      <c r="S18">
        <v>0.44356504749999998</v>
      </c>
      <c r="T18">
        <v>0.68700526340000001</v>
      </c>
      <c r="U18">
        <v>0.93522336719999999</v>
      </c>
      <c r="V18">
        <v>1.2212061089999999</v>
      </c>
      <c r="W18">
        <v>1.3032120330000001</v>
      </c>
      <c r="X18">
        <v>1.3872040729999999</v>
      </c>
      <c r="Y18">
        <v>1.786515345</v>
      </c>
      <c r="Z18">
        <v>2.1763291790000001</v>
      </c>
      <c r="AA18">
        <v>2.5490970229999999</v>
      </c>
      <c r="AB18">
        <v>2.805921863</v>
      </c>
      <c r="AC18">
        <v>3.038098406</v>
      </c>
      <c r="AD18">
        <v>3.5732545990000002</v>
      </c>
      <c r="AE18">
        <v>4.089297052</v>
      </c>
      <c r="AF18">
        <v>4.590351729</v>
      </c>
      <c r="AG18">
        <v>4.9544630319999996</v>
      </c>
      <c r="AH18">
        <v>5.3032604489999997</v>
      </c>
      <c r="AI18">
        <v>5.7537961759999998</v>
      </c>
      <c r="AJ18">
        <v>6.1978460330000003</v>
      </c>
      <c r="AK18">
        <v>6.6309114129999998</v>
      </c>
      <c r="AL18">
        <v>6.719480914</v>
      </c>
      <c r="AM18">
        <v>6.7968093329999997</v>
      </c>
      <c r="AN18">
        <v>7.1400539959999998</v>
      </c>
      <c r="AO18">
        <v>7.4882642270000002</v>
      </c>
      <c r="AP18">
        <v>7.8333391929999996</v>
      </c>
      <c r="AQ18">
        <v>8.1867604570000001</v>
      </c>
      <c r="AR18">
        <v>8.5483298100000003</v>
      </c>
      <c r="AS18" s="39">
        <v>8.699474554</v>
      </c>
      <c r="AT18">
        <v>8.8412950109999997</v>
      </c>
      <c r="AU18">
        <v>8.9740679629999995</v>
      </c>
      <c r="AV18">
        <v>9.0977198730000008</v>
      </c>
      <c r="AW18">
        <v>9.2150301849999998</v>
      </c>
    </row>
    <row r="19" spans="2:49" x14ac:dyDescent="0.25">
      <c r="B19" t="s">
        <v>119</v>
      </c>
      <c r="C19">
        <v>0.57343869527792402</v>
      </c>
      <c r="D19" s="39">
        <v>0.58264543901461296</v>
      </c>
      <c r="E19" s="39">
        <v>0.5951861786</v>
      </c>
      <c r="F19">
        <v>0.5895984997</v>
      </c>
      <c r="G19">
        <v>0.56391405989999999</v>
      </c>
      <c r="H19">
        <v>0.53082868780000003</v>
      </c>
      <c r="I19">
        <v>0.53316199490000005</v>
      </c>
      <c r="J19">
        <v>0.52248986330000002</v>
      </c>
      <c r="K19">
        <v>0.49351844179999999</v>
      </c>
      <c r="L19">
        <v>0.47547402319999998</v>
      </c>
      <c r="M19">
        <v>0.46960185570000001</v>
      </c>
      <c r="N19">
        <v>0.4723023844</v>
      </c>
      <c r="O19">
        <v>0.71296872229999997</v>
      </c>
      <c r="P19">
        <v>0.94529344110000002</v>
      </c>
      <c r="Q19">
        <v>1.1252393510000001</v>
      </c>
      <c r="R19">
        <v>1.307113347</v>
      </c>
      <c r="S19">
        <v>1.493661913</v>
      </c>
      <c r="T19">
        <v>1.547620293</v>
      </c>
      <c r="U19">
        <v>1.6052257299999999</v>
      </c>
      <c r="V19">
        <v>1.7002153739999999</v>
      </c>
      <c r="W19">
        <v>1.428336077</v>
      </c>
      <c r="X19">
        <v>1.2169535869999999</v>
      </c>
      <c r="Y19">
        <v>1.2343695379999999</v>
      </c>
      <c r="Z19">
        <v>1.255586351</v>
      </c>
      <c r="AA19">
        <v>1.2746842119999999</v>
      </c>
      <c r="AB19">
        <v>1.2631864349999999</v>
      </c>
      <c r="AC19">
        <v>1.2501256030000001</v>
      </c>
      <c r="AD19">
        <v>1.2856634769999999</v>
      </c>
      <c r="AE19">
        <v>1.320720439</v>
      </c>
      <c r="AF19">
        <v>1.355907395</v>
      </c>
      <c r="AG19">
        <v>1.3400702959999999</v>
      </c>
      <c r="AH19">
        <v>1.3250065870000001</v>
      </c>
      <c r="AI19">
        <v>1.32919813</v>
      </c>
      <c r="AJ19">
        <v>1.3349766869999999</v>
      </c>
      <c r="AK19">
        <v>1.341101885</v>
      </c>
      <c r="AL19">
        <v>1.196301786</v>
      </c>
      <c r="AM19">
        <v>1.060097273</v>
      </c>
      <c r="AN19">
        <v>1.112018395</v>
      </c>
      <c r="AO19">
        <v>1.1643021200000001</v>
      </c>
      <c r="AP19">
        <v>1.2159835619999999</v>
      </c>
      <c r="AQ19">
        <v>1.2684763189999999</v>
      </c>
      <c r="AR19">
        <v>1.321765876</v>
      </c>
      <c r="AS19">
        <v>1.2406721519999999</v>
      </c>
      <c r="AT19">
        <v>1.1631042540000001</v>
      </c>
      <c r="AU19">
        <v>1.088864525</v>
      </c>
      <c r="AV19">
        <v>1.0177532949999999</v>
      </c>
      <c r="AW19">
        <v>0.94979532799999999</v>
      </c>
    </row>
    <row r="20" spans="2:49" x14ac:dyDescent="0.25">
      <c r="B20" t="s">
        <v>120</v>
      </c>
      <c r="C20">
        <v>0.19372928894524399</v>
      </c>
      <c r="D20" s="39">
        <v>0.196839675342774</v>
      </c>
      <c r="E20">
        <v>0.20107641170000001</v>
      </c>
      <c r="F20" s="39">
        <v>0.20706667030000001</v>
      </c>
      <c r="G20">
        <v>0.2058791157</v>
      </c>
      <c r="H20" s="39">
        <v>0.20146485619999999</v>
      </c>
      <c r="I20" s="39">
        <v>0.21035344950000001</v>
      </c>
      <c r="J20" s="39">
        <v>0.21429590109999999</v>
      </c>
      <c r="K20" s="39">
        <v>0.21041898549999999</v>
      </c>
      <c r="L20" s="39">
        <v>0.21074334659999999</v>
      </c>
      <c r="M20">
        <v>0.21637267939999999</v>
      </c>
      <c r="N20">
        <v>0.2262238026</v>
      </c>
      <c r="O20">
        <v>0.27041142470000001</v>
      </c>
      <c r="P20">
        <v>0.30979850869999997</v>
      </c>
      <c r="Q20">
        <v>0.33333396259999998</v>
      </c>
      <c r="R20">
        <v>0.35945283690000002</v>
      </c>
      <c r="S20">
        <v>0.38791739289999999</v>
      </c>
      <c r="T20">
        <v>0.45905963220000001</v>
      </c>
      <c r="U20">
        <v>0.53207721720000001</v>
      </c>
      <c r="V20">
        <v>0.63877437619999999</v>
      </c>
      <c r="W20">
        <v>0.60007964439999995</v>
      </c>
      <c r="X20">
        <v>0.59250059909999997</v>
      </c>
      <c r="Y20">
        <v>0.62901695349999998</v>
      </c>
      <c r="Z20">
        <v>0.66639198820000001</v>
      </c>
      <c r="AA20">
        <v>0.70194063770000004</v>
      </c>
      <c r="AB20">
        <v>0.72921042790000001</v>
      </c>
      <c r="AC20">
        <v>0.75385056429999997</v>
      </c>
      <c r="AD20">
        <v>0.87584927479999997</v>
      </c>
      <c r="AE20">
        <v>0.99366584020000004</v>
      </c>
      <c r="AF20">
        <v>1.1081334549999999</v>
      </c>
      <c r="AG20">
        <v>1.16571509</v>
      </c>
      <c r="AH20">
        <v>1.2210864450000001</v>
      </c>
      <c r="AI20">
        <v>1.245327903</v>
      </c>
      <c r="AJ20">
        <v>1.270330666</v>
      </c>
      <c r="AK20">
        <v>1.2950683519999999</v>
      </c>
      <c r="AL20">
        <v>1.1430571430000001</v>
      </c>
      <c r="AM20">
        <v>1.0002710880000001</v>
      </c>
      <c r="AN20">
        <v>1.0892649759999999</v>
      </c>
      <c r="AO20">
        <v>1.1777549380000001</v>
      </c>
      <c r="AP20">
        <v>1.2649908519999999</v>
      </c>
      <c r="AQ20">
        <v>1.3524733170000001</v>
      </c>
      <c r="AR20">
        <v>1.4403643349999999</v>
      </c>
      <c r="AS20">
        <v>1.3592013000000001</v>
      </c>
      <c r="AT20">
        <v>1.281575715</v>
      </c>
      <c r="AU20">
        <v>1.2072853450000001</v>
      </c>
      <c r="AV20">
        <v>1.136125659</v>
      </c>
      <c r="AW20">
        <v>1.0681326440000001</v>
      </c>
    </row>
    <row r="21" spans="2:49" x14ac:dyDescent="0.25">
      <c r="B21" t="s">
        <v>121</v>
      </c>
      <c r="C21">
        <v>0.38745857789048899</v>
      </c>
      <c r="D21" s="39">
        <v>0.39367935068554899</v>
      </c>
      <c r="E21" s="39">
        <v>0.40215282340000003</v>
      </c>
      <c r="F21" s="39">
        <v>0.53057511420000003</v>
      </c>
      <c r="G21" s="39">
        <v>0.67585829939999997</v>
      </c>
      <c r="H21">
        <v>0.84732366459999997</v>
      </c>
      <c r="I21">
        <v>1.133460412</v>
      </c>
      <c r="J21">
        <v>1.4793715519999999</v>
      </c>
      <c r="K21" s="39">
        <v>1.8610369760000001</v>
      </c>
      <c r="L21" s="39">
        <v>2.3879797109999998</v>
      </c>
      <c r="M21">
        <v>3.1411296630000001</v>
      </c>
      <c r="N21">
        <v>4.2075416099999998</v>
      </c>
      <c r="O21">
        <v>4.0378364250000001</v>
      </c>
      <c r="P21">
        <v>3.7676165620000002</v>
      </c>
      <c r="Q21">
        <v>3.3314110270000001</v>
      </c>
      <c r="R21">
        <v>2.966407652</v>
      </c>
      <c r="S21">
        <v>2.6465192900000001</v>
      </c>
      <c r="T21">
        <v>3.165927215</v>
      </c>
      <c r="U21">
        <v>3.6986826449999999</v>
      </c>
      <c r="V21">
        <v>4.3161876719999999</v>
      </c>
      <c r="W21">
        <v>4.8371805139999999</v>
      </c>
      <c r="X21">
        <v>5.2789450349999996</v>
      </c>
      <c r="Y21">
        <v>5.5627442990000002</v>
      </c>
      <c r="Z21">
        <v>5.8553383720000003</v>
      </c>
      <c r="AA21">
        <v>6.1297322699999999</v>
      </c>
      <c r="AB21">
        <v>6.2972464769999998</v>
      </c>
      <c r="AC21">
        <v>6.4377266569999998</v>
      </c>
      <c r="AD21">
        <v>6.7229188100000004</v>
      </c>
      <c r="AE21">
        <v>7.0011198940000003</v>
      </c>
      <c r="AF21">
        <v>7.2764991840000004</v>
      </c>
      <c r="AG21">
        <v>7.4427886169999997</v>
      </c>
      <c r="AH21">
        <v>7.6019322020000004</v>
      </c>
      <c r="AI21">
        <v>7.7383124959999998</v>
      </c>
      <c r="AJ21">
        <v>7.8812087030000004</v>
      </c>
      <c r="AK21">
        <v>8.0229142840000005</v>
      </c>
      <c r="AL21">
        <v>7.7859410889999996</v>
      </c>
      <c r="AM21">
        <v>7.5576615499999997</v>
      </c>
      <c r="AN21">
        <v>7.7204583089999996</v>
      </c>
      <c r="AO21">
        <v>7.8923143390000003</v>
      </c>
      <c r="AP21">
        <v>8.0640912809999996</v>
      </c>
      <c r="AQ21">
        <v>8.2467370800000008</v>
      </c>
      <c r="AR21">
        <v>8.4391275050000001</v>
      </c>
      <c r="AS21">
        <v>8.2339503890000003</v>
      </c>
      <c r="AT21">
        <v>8.0359657200000001</v>
      </c>
      <c r="AU21">
        <v>7.8446720790000004</v>
      </c>
      <c r="AV21">
        <v>7.6593573150000003</v>
      </c>
      <c r="AW21">
        <v>7.4816182070000004</v>
      </c>
    </row>
    <row r="22" spans="2:49" x14ac:dyDescent="0.25">
      <c r="B22" t="s">
        <v>122</v>
      </c>
      <c r="C22">
        <v>5.5705789795526002</v>
      </c>
      <c r="D22" s="39">
        <v>5.6600164269241402</v>
      </c>
      <c r="E22">
        <v>5.7508898210000003</v>
      </c>
      <c r="F22">
        <v>5.8033766030000002</v>
      </c>
      <c r="G22">
        <v>4.8438632970000004</v>
      </c>
      <c r="H22">
        <v>4.2423983029999999</v>
      </c>
      <c r="I22">
        <v>4.113720421</v>
      </c>
      <c r="J22">
        <v>3.9347963959999999</v>
      </c>
      <c r="K22">
        <v>3.8032346389999998</v>
      </c>
      <c r="L22">
        <v>4.0501238769999999</v>
      </c>
      <c r="M22">
        <v>4.1522313320000004</v>
      </c>
      <c r="N22">
        <v>4.2214297710000004</v>
      </c>
      <c r="O22">
        <v>3.3133953649999999</v>
      </c>
      <c r="P22">
        <v>2.794675877</v>
      </c>
      <c r="Q22">
        <v>2.4634599189999999</v>
      </c>
      <c r="R22">
        <v>2.2489715270000001</v>
      </c>
      <c r="S22">
        <v>2.0619886350000001</v>
      </c>
      <c r="T22">
        <v>2.0383166699999999</v>
      </c>
      <c r="U22">
        <v>2.0048984239999998</v>
      </c>
      <c r="V22">
        <v>1.7046678310000001</v>
      </c>
      <c r="W22">
        <v>1.317978573</v>
      </c>
      <c r="X22">
        <v>0.9619542485</v>
      </c>
      <c r="Y22">
        <v>0.72000583520000005</v>
      </c>
      <c r="Z22">
        <v>0.55713873039999995</v>
      </c>
      <c r="AA22">
        <v>0.44324080300000002</v>
      </c>
      <c r="AB22">
        <v>0.36088030929999998</v>
      </c>
      <c r="AC22">
        <v>0.30087888940000002</v>
      </c>
      <c r="AD22">
        <v>0.26641941279999998</v>
      </c>
      <c r="AE22">
        <v>0.24145158859999999</v>
      </c>
      <c r="AF22">
        <v>0.22147920809999999</v>
      </c>
      <c r="AG22">
        <v>0.2050270626</v>
      </c>
      <c r="AH22">
        <v>0.19125711279999999</v>
      </c>
      <c r="AI22">
        <v>0.18006111180000001</v>
      </c>
      <c r="AJ22">
        <v>0.17048768759999999</v>
      </c>
      <c r="AK22">
        <v>0.16219564349999999</v>
      </c>
      <c r="AL22">
        <v>0.15496398259999999</v>
      </c>
      <c r="AM22">
        <v>0.14842834420000001</v>
      </c>
      <c r="AN22">
        <v>0.1419325736</v>
      </c>
      <c r="AO22">
        <v>0.135990422</v>
      </c>
      <c r="AP22">
        <v>0.13026112000000001</v>
      </c>
      <c r="AQ22">
        <v>0.12499586579999999</v>
      </c>
      <c r="AR22">
        <v>0.1198993698</v>
      </c>
      <c r="AS22">
        <v>0.11553079450000001</v>
      </c>
      <c r="AT22">
        <v>0.1116093708</v>
      </c>
      <c r="AU22">
        <v>0.1079549844</v>
      </c>
      <c r="AV22">
        <v>0.10449801390000001</v>
      </c>
      <c r="AW22">
        <v>0.1012603856</v>
      </c>
    </row>
    <row r="23" spans="2:49" x14ac:dyDescent="0.25">
      <c r="B23" t="s">
        <v>123</v>
      </c>
      <c r="C23">
        <v>155.572754408756</v>
      </c>
      <c r="D23" s="39">
        <v>158.07052530222199</v>
      </c>
      <c r="E23" s="39">
        <v>160.99351540000001</v>
      </c>
      <c r="F23" s="39">
        <v>163.99320610000001</v>
      </c>
      <c r="G23">
        <v>160.98711890000001</v>
      </c>
      <c r="H23">
        <v>154.9812445</v>
      </c>
      <c r="I23">
        <v>156.89451120000001</v>
      </c>
      <c r="J23">
        <v>157.50128599999999</v>
      </c>
      <c r="K23">
        <v>155.47680500000001</v>
      </c>
      <c r="L23">
        <v>154.52187989999999</v>
      </c>
      <c r="M23">
        <v>155.733521</v>
      </c>
      <c r="N23">
        <v>157.82619339999999</v>
      </c>
      <c r="O23">
        <v>155.21820510000001</v>
      </c>
      <c r="P23">
        <v>153.5109803</v>
      </c>
      <c r="Q23">
        <v>149.8888221</v>
      </c>
      <c r="R23">
        <v>146.90606560000001</v>
      </c>
      <c r="S23">
        <v>144.13880760000001</v>
      </c>
      <c r="T23">
        <v>143.94620850000001</v>
      </c>
      <c r="U23">
        <v>143.48783789999999</v>
      </c>
      <c r="V23">
        <v>142.89736769999999</v>
      </c>
      <c r="W23">
        <v>141.18756870000001</v>
      </c>
      <c r="X23">
        <v>138.45300030000001</v>
      </c>
      <c r="Y23">
        <v>135.50987480000001</v>
      </c>
      <c r="Z23">
        <v>132.8607494</v>
      </c>
      <c r="AA23">
        <v>130.28256759999999</v>
      </c>
      <c r="AB23">
        <v>127.3375735</v>
      </c>
      <c r="AC23">
        <v>124.48660839999999</v>
      </c>
      <c r="AD23">
        <v>122.1369047</v>
      </c>
      <c r="AE23">
        <v>119.89233849999999</v>
      </c>
      <c r="AF23">
        <v>117.7430323</v>
      </c>
      <c r="AG23">
        <v>115.28853049999999</v>
      </c>
      <c r="AH23">
        <v>112.8866807</v>
      </c>
      <c r="AI23">
        <v>111.00330390000001</v>
      </c>
      <c r="AJ23">
        <v>109.2154577</v>
      </c>
      <c r="AK23">
        <v>107.4587958</v>
      </c>
      <c r="AL23">
        <v>105.5152018</v>
      </c>
      <c r="AM23">
        <v>103.55231019999999</v>
      </c>
      <c r="AN23">
        <v>102.1303652</v>
      </c>
      <c r="AO23">
        <v>100.8391199</v>
      </c>
      <c r="AP23">
        <v>99.516890889999999</v>
      </c>
      <c r="AQ23">
        <v>98.282133920000007</v>
      </c>
      <c r="AR23">
        <v>97.077621949999994</v>
      </c>
      <c r="AS23">
        <v>95.659978640000006</v>
      </c>
      <c r="AT23">
        <v>94.307887489999999</v>
      </c>
      <c r="AU23">
        <v>93.000718570000004</v>
      </c>
      <c r="AV23">
        <v>91.721712589999996</v>
      </c>
      <c r="AW23">
        <v>90.485374399999998</v>
      </c>
    </row>
    <row r="24" spans="2:49" x14ac:dyDescent="0.25">
      <c r="B24" t="s">
        <v>124</v>
      </c>
      <c r="C24">
        <v>2.7703288319169999</v>
      </c>
      <c r="D24">
        <v>2.8148073574016701</v>
      </c>
      <c r="E24">
        <v>2.86</v>
      </c>
      <c r="F24">
        <v>2.958798217</v>
      </c>
      <c r="G24">
        <v>2.852025415</v>
      </c>
      <c r="H24">
        <v>2.9735146659999998</v>
      </c>
      <c r="I24">
        <v>3.0850948690000002</v>
      </c>
      <c r="J24">
        <v>2.9576150889999999</v>
      </c>
      <c r="K24">
        <v>2.876738934</v>
      </c>
      <c r="L24">
        <v>2.8042691629999998</v>
      </c>
      <c r="M24">
        <v>2.9925541170000001</v>
      </c>
      <c r="N24">
        <v>3.159202896</v>
      </c>
      <c r="O24">
        <v>3.2386188499999999</v>
      </c>
      <c r="P24">
        <v>3.2649083110000001</v>
      </c>
      <c r="Q24">
        <v>3.0663534499999998</v>
      </c>
      <c r="R24">
        <v>3.059890555</v>
      </c>
      <c r="S24">
        <v>3.0744835269999999</v>
      </c>
      <c r="T24">
        <v>3.1061050790000002</v>
      </c>
      <c r="U24">
        <v>3.1298840299999999</v>
      </c>
      <c r="V24">
        <v>3.1930996330000001</v>
      </c>
      <c r="W24">
        <v>3.239561761</v>
      </c>
      <c r="X24">
        <v>3.2494077790000002</v>
      </c>
      <c r="Y24">
        <v>3.2834167079999999</v>
      </c>
      <c r="Z24">
        <v>3.3312288360000002</v>
      </c>
      <c r="AA24">
        <v>3.3843785230000001</v>
      </c>
      <c r="AB24">
        <v>3.4327238819999999</v>
      </c>
      <c r="AC24">
        <v>3.4755065699999999</v>
      </c>
      <c r="AD24">
        <v>3.5240732499999998</v>
      </c>
      <c r="AE24">
        <v>3.5776253900000001</v>
      </c>
      <c r="AF24">
        <v>3.6324604069999999</v>
      </c>
      <c r="AG24">
        <v>3.6868209420000002</v>
      </c>
      <c r="AH24">
        <v>3.7458422300000001</v>
      </c>
      <c r="AI24">
        <v>3.8115293509999999</v>
      </c>
      <c r="AJ24">
        <v>3.8831864070000002</v>
      </c>
      <c r="AK24">
        <v>3.953249236</v>
      </c>
      <c r="AL24">
        <v>4.0202110839999996</v>
      </c>
      <c r="AM24">
        <v>4.084167925</v>
      </c>
      <c r="AN24">
        <v>4.1569718059999996</v>
      </c>
      <c r="AO24">
        <v>4.2358043150000002</v>
      </c>
      <c r="AP24">
        <v>4.3097379379999996</v>
      </c>
      <c r="AQ24">
        <v>4.3839121670000001</v>
      </c>
      <c r="AR24">
        <v>4.4570113449999997</v>
      </c>
      <c r="AS24">
        <v>4.5173926460000002</v>
      </c>
      <c r="AT24">
        <v>4.5767494529999997</v>
      </c>
      <c r="AU24">
        <v>4.6386549309999996</v>
      </c>
      <c r="AV24">
        <v>4.7019372920000002</v>
      </c>
      <c r="AW24">
        <v>4.7666144709999996</v>
      </c>
    </row>
    <row r="25" spans="2:49" x14ac:dyDescent="0.25">
      <c r="B25" t="s">
        <v>125</v>
      </c>
      <c r="C25">
        <v>46.663857241186399</v>
      </c>
      <c r="D25">
        <v>47.413060563046002</v>
      </c>
      <c r="E25">
        <v>48.17429259</v>
      </c>
      <c r="F25">
        <v>49.14783971</v>
      </c>
      <c r="G25">
        <v>46.603076719999997</v>
      </c>
      <c r="H25">
        <v>42.483694569999997</v>
      </c>
      <c r="I25">
        <v>42.44975994</v>
      </c>
      <c r="J25">
        <v>42.925521459999999</v>
      </c>
      <c r="K25">
        <v>40.910545390000003</v>
      </c>
      <c r="L25">
        <v>40.488074570000002</v>
      </c>
      <c r="M25">
        <v>40.976276810000002</v>
      </c>
      <c r="N25">
        <v>41.783080290000001</v>
      </c>
      <c r="O25">
        <v>39.471948439999998</v>
      </c>
      <c r="P25">
        <v>37.739794539999998</v>
      </c>
      <c r="Q25">
        <v>35.571786520000003</v>
      </c>
      <c r="R25">
        <v>34.000951309999998</v>
      </c>
      <c r="S25">
        <v>32.684243100000003</v>
      </c>
      <c r="T25">
        <v>32.946760070000003</v>
      </c>
      <c r="U25">
        <v>32.927818680000001</v>
      </c>
      <c r="V25">
        <v>33.458008730000003</v>
      </c>
      <c r="W25">
        <v>31.825287280000001</v>
      </c>
      <c r="X25">
        <v>30.13046026</v>
      </c>
      <c r="Y25">
        <v>29.070940669999999</v>
      </c>
      <c r="Z25">
        <v>28.560742000000001</v>
      </c>
      <c r="AA25">
        <v>28.338808660000002</v>
      </c>
      <c r="AB25">
        <v>28.30548001</v>
      </c>
      <c r="AC25">
        <v>28.502559819999998</v>
      </c>
      <c r="AD25">
        <v>28.65840025</v>
      </c>
      <c r="AE25">
        <v>28.947361579999999</v>
      </c>
      <c r="AF25">
        <v>29.274615010000002</v>
      </c>
      <c r="AG25">
        <v>29.60961854</v>
      </c>
      <c r="AH25">
        <v>29.992010430000001</v>
      </c>
      <c r="AI25">
        <v>30.44522993</v>
      </c>
      <c r="AJ25">
        <v>30.904638859999999</v>
      </c>
      <c r="AK25">
        <v>31.366707009999999</v>
      </c>
      <c r="AL25">
        <v>31.814617569999999</v>
      </c>
      <c r="AM25">
        <v>32.24713912</v>
      </c>
      <c r="AN25">
        <v>32.738025139999998</v>
      </c>
      <c r="AO25">
        <v>33.25992471</v>
      </c>
      <c r="AP25">
        <v>33.75524145</v>
      </c>
      <c r="AQ25">
        <v>34.26935555</v>
      </c>
      <c r="AR25">
        <v>34.778151919999999</v>
      </c>
      <c r="AS25">
        <v>35.198372089999999</v>
      </c>
      <c r="AT25">
        <v>35.63619181</v>
      </c>
      <c r="AU25">
        <v>36.085236360000003</v>
      </c>
      <c r="AV25">
        <v>36.538483560000003</v>
      </c>
      <c r="AW25">
        <v>37.005626380000002</v>
      </c>
    </row>
    <row r="26" spans="2:49" x14ac:dyDescent="0.25">
      <c r="B26" t="s">
        <v>126</v>
      </c>
      <c r="C26">
        <v>39.525714811669303</v>
      </c>
      <c r="D26">
        <v>40.160312947925298</v>
      </c>
      <c r="E26">
        <v>40.805099759999997</v>
      </c>
      <c r="F26">
        <v>40.726441729999998</v>
      </c>
      <c r="G26">
        <v>40.377499350000001</v>
      </c>
      <c r="H26">
        <v>40.315173829999999</v>
      </c>
      <c r="I26">
        <v>40.393748799999997</v>
      </c>
      <c r="J26">
        <v>40.254343919999997</v>
      </c>
      <c r="K26">
        <v>39.882716860000002</v>
      </c>
      <c r="L26">
        <v>39.63885002</v>
      </c>
      <c r="M26">
        <v>39.557900779999997</v>
      </c>
      <c r="N26">
        <v>39.69134717</v>
      </c>
      <c r="O26">
        <v>40.052676929999997</v>
      </c>
      <c r="P26">
        <v>40.164665820000003</v>
      </c>
      <c r="Q26">
        <v>39.806866980000002</v>
      </c>
      <c r="R26">
        <v>39.42359115</v>
      </c>
      <c r="S26">
        <v>39.009487180000001</v>
      </c>
      <c r="T26">
        <v>38.438036930000003</v>
      </c>
      <c r="U26">
        <v>38.170984769999997</v>
      </c>
      <c r="V26">
        <v>38.027639309999998</v>
      </c>
      <c r="W26">
        <v>37.779484330000003</v>
      </c>
      <c r="X26">
        <v>37.368215890000002</v>
      </c>
      <c r="Y26">
        <v>36.878161149999997</v>
      </c>
      <c r="Z26">
        <v>36.336924500000002</v>
      </c>
      <c r="AA26">
        <v>35.788772889999997</v>
      </c>
      <c r="AB26">
        <v>35.112680429999998</v>
      </c>
      <c r="AC26">
        <v>34.448545430000003</v>
      </c>
      <c r="AD26">
        <v>33.902107039999997</v>
      </c>
      <c r="AE26">
        <v>33.372203949999999</v>
      </c>
      <c r="AF26">
        <v>32.882034699999998</v>
      </c>
      <c r="AG26">
        <v>32.390698499999999</v>
      </c>
      <c r="AH26">
        <v>31.919493849999999</v>
      </c>
      <c r="AI26">
        <v>31.502267880000002</v>
      </c>
      <c r="AJ26">
        <v>31.122365210000002</v>
      </c>
      <c r="AK26">
        <v>30.76611728</v>
      </c>
      <c r="AL26">
        <v>30.277427979999999</v>
      </c>
      <c r="AM26">
        <v>29.796313810000001</v>
      </c>
      <c r="AN26">
        <v>29.46522191</v>
      </c>
      <c r="AO26">
        <v>29.132672280000001</v>
      </c>
      <c r="AP26">
        <v>28.814899149999999</v>
      </c>
      <c r="AQ26">
        <v>28.522156039999999</v>
      </c>
      <c r="AR26">
        <v>28.252022709999999</v>
      </c>
      <c r="AS26">
        <v>27.857280299999999</v>
      </c>
      <c r="AT26">
        <v>27.469544079999999</v>
      </c>
      <c r="AU26">
        <v>27.07189554</v>
      </c>
      <c r="AV26">
        <v>26.66321851</v>
      </c>
      <c r="AW26">
        <v>26.25308106</v>
      </c>
    </row>
    <row r="27" spans="2:49" x14ac:dyDescent="0.25">
      <c r="B27" t="s">
        <v>127</v>
      </c>
      <c r="C27">
        <v>21.072806770403201</v>
      </c>
      <c r="D27">
        <v>21.411137499294501</v>
      </c>
      <c r="E27">
        <v>21.754900240000001</v>
      </c>
      <c r="F27">
        <v>23.110739779999999</v>
      </c>
      <c r="G27">
        <v>23.886571320000002</v>
      </c>
      <c r="H27">
        <v>23.450434829999999</v>
      </c>
      <c r="I27">
        <v>24.612693230000001</v>
      </c>
      <c r="J27">
        <v>25.45494734</v>
      </c>
      <c r="K27">
        <v>25.801530660000001</v>
      </c>
      <c r="L27">
        <v>26.258351059999999</v>
      </c>
      <c r="M27">
        <v>27.12233204</v>
      </c>
      <c r="N27">
        <v>28.36824786</v>
      </c>
      <c r="O27">
        <v>28.005651889999999</v>
      </c>
      <c r="P27">
        <v>27.604412119999999</v>
      </c>
      <c r="Q27">
        <v>26.85537236</v>
      </c>
      <c r="R27">
        <v>25.884729620000002</v>
      </c>
      <c r="S27">
        <v>25.078245729999999</v>
      </c>
      <c r="T27">
        <v>25.087614769999998</v>
      </c>
      <c r="U27">
        <v>25.060994900000001</v>
      </c>
      <c r="V27">
        <v>25.153682230000001</v>
      </c>
      <c r="W27">
        <v>26.556039439999999</v>
      </c>
      <c r="X27">
        <v>27.235796449999999</v>
      </c>
      <c r="Y27">
        <v>27.29120481</v>
      </c>
      <c r="Z27">
        <v>27.072635040000002</v>
      </c>
      <c r="AA27">
        <v>26.644915009999998</v>
      </c>
      <c r="AB27">
        <v>25.933437219999998</v>
      </c>
      <c r="AC27">
        <v>25.11560076</v>
      </c>
      <c r="AD27">
        <v>24.88198161</v>
      </c>
      <c r="AE27">
        <v>24.60818476</v>
      </c>
      <c r="AF27">
        <v>24.330720039999999</v>
      </c>
      <c r="AG27">
        <v>24.0243514</v>
      </c>
      <c r="AH27">
        <v>23.723786700000002</v>
      </c>
      <c r="AI27">
        <v>23.44691787</v>
      </c>
      <c r="AJ27">
        <v>23.170801619999999</v>
      </c>
      <c r="AK27">
        <v>22.894333249999999</v>
      </c>
      <c r="AL27">
        <v>22.505774639999998</v>
      </c>
      <c r="AM27">
        <v>22.11123315</v>
      </c>
      <c r="AN27">
        <v>21.846926660000001</v>
      </c>
      <c r="AO27">
        <v>21.601290349999999</v>
      </c>
      <c r="AP27">
        <v>21.35990907</v>
      </c>
      <c r="AQ27">
        <v>21.125523990000001</v>
      </c>
      <c r="AR27">
        <v>20.899229040000002</v>
      </c>
      <c r="AS27">
        <v>20.566863850000001</v>
      </c>
      <c r="AT27">
        <v>20.23074239</v>
      </c>
      <c r="AU27">
        <v>19.898755170000001</v>
      </c>
      <c r="AV27">
        <v>19.57128706</v>
      </c>
      <c r="AW27">
        <v>19.248564999999999</v>
      </c>
    </row>
    <row r="28" spans="2:49" x14ac:dyDescent="0.25">
      <c r="B28" t="s">
        <v>128</v>
      </c>
      <c r="C28">
        <v>23.690458989791001</v>
      </c>
      <c r="D28">
        <v>24.070816971768199</v>
      </c>
      <c r="E28">
        <v>24.457281720000001</v>
      </c>
      <c r="F28">
        <v>24.577122459999998</v>
      </c>
      <c r="G28">
        <v>24.648742169999998</v>
      </c>
      <c r="H28">
        <v>24.847096409999999</v>
      </c>
      <c r="I28">
        <v>24.996639770000002</v>
      </c>
      <c r="J28">
        <v>25.08992628</v>
      </c>
      <c r="K28">
        <v>24.969923699999999</v>
      </c>
      <c r="L28">
        <v>24.781205870000001</v>
      </c>
      <c r="M28">
        <v>24.602239480000001</v>
      </c>
      <c r="N28">
        <v>24.35493318</v>
      </c>
      <c r="O28">
        <v>24.177358640000001</v>
      </c>
      <c r="P28">
        <v>24.194344269999998</v>
      </c>
      <c r="Q28">
        <v>24.217989320000001</v>
      </c>
      <c r="R28">
        <v>24.24067514</v>
      </c>
      <c r="S28">
        <v>24.17973842</v>
      </c>
      <c r="T28">
        <v>23.996150969999999</v>
      </c>
      <c r="U28">
        <v>23.69776547</v>
      </c>
      <c r="V28">
        <v>23.355319980000001</v>
      </c>
      <c r="W28">
        <v>22.948884110000002</v>
      </c>
      <c r="X28">
        <v>22.494090750000002</v>
      </c>
      <c r="Y28">
        <v>21.97616064</v>
      </c>
      <c r="Z28">
        <v>21.403525439999999</v>
      </c>
      <c r="AA28">
        <v>20.774936570000001</v>
      </c>
      <c r="AB28">
        <v>20.086142290000002</v>
      </c>
      <c r="AC28">
        <v>19.347356120000001</v>
      </c>
      <c r="AD28">
        <v>18.580746269999999</v>
      </c>
      <c r="AE28">
        <v>17.804938270000001</v>
      </c>
      <c r="AF28">
        <v>17.037392050000001</v>
      </c>
      <c r="AG28">
        <v>16.292056819999999</v>
      </c>
      <c r="AH28">
        <v>15.577177239999999</v>
      </c>
      <c r="AI28">
        <v>14.89950694</v>
      </c>
      <c r="AJ28">
        <v>14.260988340000001</v>
      </c>
      <c r="AK28">
        <v>13.657855189999999</v>
      </c>
      <c r="AL28">
        <v>13.088411450000001</v>
      </c>
      <c r="AM28">
        <v>12.549558230000001</v>
      </c>
      <c r="AN28">
        <v>12.04160532</v>
      </c>
      <c r="AO28">
        <v>11.564091400000001</v>
      </c>
      <c r="AP28">
        <v>11.11406332</v>
      </c>
      <c r="AQ28">
        <v>10.68931484</v>
      </c>
      <c r="AR28">
        <v>10.252188289999999</v>
      </c>
      <c r="AS28">
        <v>9.8428986740000006</v>
      </c>
      <c r="AT28">
        <v>9.4596496109999997</v>
      </c>
      <c r="AU28">
        <v>9.1003717319999904</v>
      </c>
      <c r="AV28">
        <v>8.7628084289999997</v>
      </c>
      <c r="AW28">
        <v>8.4422795930000003</v>
      </c>
    </row>
    <row r="29" spans="2:49" x14ac:dyDescent="0.25">
      <c r="B29" t="s">
        <v>129</v>
      </c>
      <c r="C29">
        <v>22.212930412666701</v>
      </c>
      <c r="D29">
        <v>22.569566195417998</v>
      </c>
      <c r="E29">
        <v>22.941941050000001</v>
      </c>
      <c r="F29">
        <v>23.472264240000001</v>
      </c>
      <c r="G29">
        <v>22.619203939999998</v>
      </c>
      <c r="H29">
        <v>20.911330150000001</v>
      </c>
      <c r="I29">
        <v>21.35657453</v>
      </c>
      <c r="J29">
        <v>20.818931939999999</v>
      </c>
      <c r="K29">
        <v>21.035349419999999</v>
      </c>
      <c r="L29">
        <v>20.551129199999998</v>
      </c>
      <c r="M29">
        <v>20.482217729999999</v>
      </c>
      <c r="N29">
        <v>20.46938205</v>
      </c>
      <c r="O29">
        <v>20.271950360000002</v>
      </c>
      <c r="P29">
        <v>20.54285527</v>
      </c>
      <c r="Q29">
        <v>20.370453449999999</v>
      </c>
      <c r="R29">
        <v>20.296227779999999</v>
      </c>
      <c r="S29">
        <v>20.11260966</v>
      </c>
      <c r="T29">
        <v>20.37154065</v>
      </c>
      <c r="U29">
        <v>20.500390079999999</v>
      </c>
      <c r="V29">
        <v>20.836926770000002</v>
      </c>
      <c r="W29">
        <v>21.013111129999999</v>
      </c>
      <c r="X29">
        <v>21.10016182</v>
      </c>
      <c r="Y29">
        <v>21.054581670000001</v>
      </c>
      <c r="Z29">
        <v>21.074251069999999</v>
      </c>
      <c r="AA29">
        <v>21.111403169999999</v>
      </c>
      <c r="AB29">
        <v>21.050160099999999</v>
      </c>
      <c r="AC29">
        <v>20.989736959999998</v>
      </c>
      <c r="AD29">
        <v>20.790089170000002</v>
      </c>
      <c r="AE29">
        <v>20.586580819999998</v>
      </c>
      <c r="AF29">
        <v>20.38632471</v>
      </c>
      <c r="AG29">
        <v>20.186494979999999</v>
      </c>
      <c r="AH29">
        <v>20.007616819999999</v>
      </c>
      <c r="AI29">
        <v>19.827219750000001</v>
      </c>
      <c r="AJ29">
        <v>19.648279330000001</v>
      </c>
      <c r="AK29">
        <v>19.434937560000002</v>
      </c>
      <c r="AL29">
        <v>19.258092000000001</v>
      </c>
      <c r="AM29">
        <v>19.041132319999999</v>
      </c>
      <c r="AN29">
        <v>18.978229079999998</v>
      </c>
      <c r="AO29">
        <v>18.953611500000001</v>
      </c>
      <c r="AP29">
        <v>18.87315645</v>
      </c>
      <c r="AQ29">
        <v>18.795625579999999</v>
      </c>
      <c r="AR29">
        <v>18.725028200000001</v>
      </c>
      <c r="AS29">
        <v>18.752761469999999</v>
      </c>
      <c r="AT29">
        <v>18.794209240000001</v>
      </c>
      <c r="AU29">
        <v>18.84161623</v>
      </c>
      <c r="AV29">
        <v>18.888856659999998</v>
      </c>
      <c r="AW29">
        <v>18.93587939</v>
      </c>
    </row>
    <row r="30" spans="2:49" x14ac:dyDescent="0.25">
      <c r="B30" t="s">
        <v>130</v>
      </c>
      <c r="C30">
        <v>30998.430217312201</v>
      </c>
      <c r="D30">
        <v>31496.120041177499</v>
      </c>
      <c r="E30">
        <v>32001.800439999999</v>
      </c>
      <c r="F30">
        <v>32688.379000000001</v>
      </c>
      <c r="G30">
        <v>33314.794710000002</v>
      </c>
      <c r="H30">
        <v>34142.844949999999</v>
      </c>
      <c r="I30">
        <v>34863.837440000003</v>
      </c>
      <c r="J30">
        <v>35489.148800000003</v>
      </c>
      <c r="K30">
        <v>35731.31351</v>
      </c>
      <c r="L30">
        <v>35839.916219999999</v>
      </c>
      <c r="M30">
        <v>35948.063869999998</v>
      </c>
      <c r="N30">
        <v>35911.307350000003</v>
      </c>
      <c r="O30">
        <v>35978.501450000003</v>
      </c>
      <c r="P30">
        <v>36321.204380000003</v>
      </c>
      <c r="Q30">
        <v>36708.886160000002</v>
      </c>
      <c r="R30">
        <v>37113.743849999999</v>
      </c>
      <c r="S30">
        <v>37424.567750000002</v>
      </c>
      <c r="T30">
        <v>37524.066039999998</v>
      </c>
      <c r="U30">
        <v>37519.450830000002</v>
      </c>
      <c r="V30">
        <v>37485.429020000003</v>
      </c>
      <c r="W30">
        <v>37329.956899999997</v>
      </c>
      <c r="X30">
        <v>37080.500119999997</v>
      </c>
      <c r="Y30">
        <v>36714.0069</v>
      </c>
      <c r="Z30">
        <v>36274.392760000002</v>
      </c>
      <c r="AA30">
        <v>35789.356370000001</v>
      </c>
      <c r="AB30">
        <v>35253.540430000001</v>
      </c>
      <c r="AC30">
        <v>34682.527520000003</v>
      </c>
      <c r="AD30">
        <v>34090.323759999999</v>
      </c>
      <c r="AE30">
        <v>33503.832549999999</v>
      </c>
      <c r="AF30">
        <v>32930.057000000001</v>
      </c>
      <c r="AG30">
        <v>32374.559529999999</v>
      </c>
      <c r="AH30">
        <v>31837.927520000001</v>
      </c>
      <c r="AI30">
        <v>31359.099770000001</v>
      </c>
      <c r="AJ30">
        <v>30921.538329999999</v>
      </c>
      <c r="AK30">
        <v>30505.467270000001</v>
      </c>
      <c r="AL30">
        <v>30106.435829999999</v>
      </c>
      <c r="AM30">
        <v>29714.45048</v>
      </c>
      <c r="AN30">
        <v>29332.799169999998</v>
      </c>
      <c r="AO30">
        <v>28965.022239999998</v>
      </c>
      <c r="AP30">
        <v>28604.418409999998</v>
      </c>
      <c r="AQ30">
        <v>28247.906449999999</v>
      </c>
      <c r="AR30">
        <v>27823.219120000002</v>
      </c>
      <c r="AS30">
        <v>27427.590270000001</v>
      </c>
      <c r="AT30">
        <v>27049.891609999999</v>
      </c>
      <c r="AU30">
        <v>26687.180680000001</v>
      </c>
      <c r="AV30">
        <v>26334.977180000002</v>
      </c>
      <c r="AW30">
        <v>25975.33439</v>
      </c>
    </row>
    <row r="31" spans="2:49" x14ac:dyDescent="0.25">
      <c r="B31" t="s">
        <v>131</v>
      </c>
      <c r="C31">
        <v>17.998489648965599</v>
      </c>
      <c r="D31">
        <v>18.287461222056098</v>
      </c>
      <c r="E31">
        <v>18.581072330000001</v>
      </c>
      <c r="F31">
        <v>17.559113350000001</v>
      </c>
      <c r="G31">
        <v>38.364433179999999</v>
      </c>
      <c r="H31">
        <v>61.13115603</v>
      </c>
      <c r="I31">
        <v>84.450960309999999</v>
      </c>
      <c r="J31">
        <v>118.28215539999999</v>
      </c>
      <c r="K31">
        <v>150.3876387</v>
      </c>
      <c r="L31">
        <v>178.26326040000001</v>
      </c>
      <c r="M31">
        <v>204.4102522</v>
      </c>
      <c r="N31">
        <v>217.49754279999999</v>
      </c>
      <c r="O31">
        <v>226.53641769999999</v>
      </c>
      <c r="P31">
        <v>229.8555088</v>
      </c>
      <c r="Q31">
        <v>252.00593269999999</v>
      </c>
      <c r="R31">
        <v>278.41039799999999</v>
      </c>
      <c r="S31">
        <v>327.1216068</v>
      </c>
      <c r="T31">
        <v>367.15356850000001</v>
      </c>
      <c r="U31">
        <v>435.53459170000002</v>
      </c>
      <c r="V31">
        <v>516.99239379999995</v>
      </c>
      <c r="W31">
        <v>591.77153129999999</v>
      </c>
      <c r="X31">
        <v>660.28791309999997</v>
      </c>
      <c r="Y31">
        <v>718.29660609999996</v>
      </c>
      <c r="Z31">
        <v>764.00949930000002</v>
      </c>
      <c r="AA31">
        <v>794.61403110000003</v>
      </c>
      <c r="AB31">
        <v>809.37903310000002</v>
      </c>
      <c r="AC31">
        <v>808.43051160000005</v>
      </c>
      <c r="AD31">
        <v>792.92660420000004</v>
      </c>
      <c r="AE31">
        <v>766.39176520000001</v>
      </c>
      <c r="AF31">
        <v>732.68005049999999</v>
      </c>
      <c r="AG31">
        <v>695.26629049999997</v>
      </c>
      <c r="AH31">
        <v>656.64799340000002</v>
      </c>
      <c r="AI31">
        <v>618.4222704</v>
      </c>
      <c r="AJ31">
        <v>581.3849037</v>
      </c>
      <c r="AK31">
        <v>545.94177869999999</v>
      </c>
      <c r="AL31">
        <v>512.26957289999996</v>
      </c>
      <c r="AM31">
        <v>480.41086389999998</v>
      </c>
      <c r="AN31">
        <v>450.46631689999998</v>
      </c>
      <c r="AO31">
        <v>422.35379399999999</v>
      </c>
      <c r="AP31">
        <v>395.97791790000002</v>
      </c>
      <c r="AQ31">
        <v>371.24012040000002</v>
      </c>
      <c r="AR31">
        <v>346.49681370000002</v>
      </c>
      <c r="AS31">
        <v>323.40013540000001</v>
      </c>
      <c r="AT31">
        <v>301.84172009999997</v>
      </c>
      <c r="AU31">
        <v>281.7197539</v>
      </c>
      <c r="AV31">
        <v>262.93885260000002</v>
      </c>
      <c r="AW31">
        <v>245.40980519999999</v>
      </c>
    </row>
    <row r="32" spans="2:49" x14ac:dyDescent="0.25">
      <c r="B32" t="s">
        <v>132</v>
      </c>
      <c r="C32">
        <v>1571.8931047778699</v>
      </c>
      <c r="D32">
        <v>1597.13035701831</v>
      </c>
      <c r="E32">
        <v>1622.772802</v>
      </c>
      <c r="F32">
        <v>1968.489945</v>
      </c>
      <c r="G32">
        <v>2302.0459810000002</v>
      </c>
      <c r="H32">
        <v>2666.5956369999999</v>
      </c>
      <c r="I32">
        <v>2997.5563950000001</v>
      </c>
      <c r="J32">
        <v>3301.8068330000001</v>
      </c>
      <c r="K32">
        <v>3524.0265209999998</v>
      </c>
      <c r="L32">
        <v>3711.3985120000002</v>
      </c>
      <c r="M32">
        <v>3889.6754420000002</v>
      </c>
      <c r="N32">
        <v>4034.3502239999998</v>
      </c>
      <c r="O32">
        <v>4188.1517430000004</v>
      </c>
      <c r="P32">
        <v>4364.5513659999997</v>
      </c>
      <c r="Q32">
        <v>4546.8092809999998</v>
      </c>
      <c r="R32">
        <v>4725.322709</v>
      </c>
      <c r="S32">
        <v>4891.8303779999997</v>
      </c>
      <c r="T32">
        <v>5003.766482</v>
      </c>
      <c r="U32">
        <v>5111.3984810000002</v>
      </c>
      <c r="V32">
        <v>5210.0706989999999</v>
      </c>
      <c r="W32">
        <v>5271.5028510000002</v>
      </c>
      <c r="X32">
        <v>5301.0953630000004</v>
      </c>
      <c r="Y32">
        <v>5292.1232410000002</v>
      </c>
      <c r="Z32">
        <v>5244.8095949999997</v>
      </c>
      <c r="AA32">
        <v>5154.6718069999997</v>
      </c>
      <c r="AB32">
        <v>5019.7106320000003</v>
      </c>
      <c r="AC32">
        <v>4844.4716909999997</v>
      </c>
      <c r="AD32">
        <v>4637.2311799999998</v>
      </c>
      <c r="AE32">
        <v>4409.5575879999997</v>
      </c>
      <c r="AF32">
        <v>4172.351036</v>
      </c>
      <c r="AG32">
        <v>3934.6712040000002</v>
      </c>
      <c r="AH32">
        <v>3702.573206</v>
      </c>
      <c r="AI32">
        <v>3479.598324</v>
      </c>
      <c r="AJ32">
        <v>3267.2031590000001</v>
      </c>
      <c r="AK32">
        <v>3065.903476</v>
      </c>
      <c r="AL32">
        <v>2875.690376</v>
      </c>
      <c r="AM32">
        <v>2696.2648450000002</v>
      </c>
      <c r="AN32">
        <v>2527.8999359999998</v>
      </c>
      <c r="AO32">
        <v>2369.981706</v>
      </c>
      <c r="AP32">
        <v>2221.8952869999998</v>
      </c>
      <c r="AQ32">
        <v>2083.0453539999999</v>
      </c>
      <c r="AR32">
        <v>1944.1852060000001</v>
      </c>
      <c r="AS32">
        <v>1814.577638</v>
      </c>
      <c r="AT32">
        <v>1693.608174</v>
      </c>
      <c r="AU32">
        <v>1580.702145</v>
      </c>
      <c r="AV32">
        <v>1475.3225870000001</v>
      </c>
      <c r="AW32">
        <v>1376.9680350000001</v>
      </c>
    </row>
    <row r="33" spans="2:49" x14ac:dyDescent="0.25">
      <c r="B33" t="s">
        <v>133</v>
      </c>
      <c r="C33">
        <v>3720.5673609549599</v>
      </c>
      <c r="D33">
        <v>3780.3022733867101</v>
      </c>
      <c r="E33">
        <v>3840.9962489999998</v>
      </c>
      <c r="F33">
        <v>4321.1537740000003</v>
      </c>
      <c r="G33">
        <v>4766.3670229999998</v>
      </c>
      <c r="H33">
        <v>5255.7910039999997</v>
      </c>
      <c r="I33">
        <v>5699.1232069999996</v>
      </c>
      <c r="J33">
        <v>6100.9675880000004</v>
      </c>
      <c r="K33">
        <v>6380.6562169999997</v>
      </c>
      <c r="L33">
        <v>6609.8404440000004</v>
      </c>
      <c r="M33">
        <v>6826.6475280000004</v>
      </c>
      <c r="N33">
        <v>7002.195068</v>
      </c>
      <c r="O33">
        <v>7194.6940039999999</v>
      </c>
      <c r="P33">
        <v>7435.5783289999999</v>
      </c>
      <c r="Q33">
        <v>7677.6506330000002</v>
      </c>
      <c r="R33">
        <v>7913.1414679999998</v>
      </c>
      <c r="S33">
        <v>8116.0926630000004</v>
      </c>
      <c r="T33">
        <v>8244.7592139999997</v>
      </c>
      <c r="U33">
        <v>8344.8294249999999</v>
      </c>
      <c r="V33">
        <v>8422.2963639999998</v>
      </c>
      <c r="W33">
        <v>8447.28511599999</v>
      </c>
      <c r="X33">
        <v>8428.1290119999994</v>
      </c>
      <c r="Y33">
        <v>8355.3438609999994</v>
      </c>
      <c r="Z33">
        <v>8230.3371229999902</v>
      </c>
      <c r="AA33">
        <v>8047.6417410000004</v>
      </c>
      <c r="AB33">
        <v>7804.8989439999996</v>
      </c>
      <c r="AC33">
        <v>7508.9064090000002</v>
      </c>
      <c r="AD33">
        <v>7171.6411939999998</v>
      </c>
      <c r="AE33">
        <v>6809.3246609999997</v>
      </c>
      <c r="AF33">
        <v>6436.9467089999998</v>
      </c>
      <c r="AG33">
        <v>6066.8225540000003</v>
      </c>
      <c r="AH33">
        <v>5707.0752229999998</v>
      </c>
      <c r="AI33">
        <v>5362.3604869999999</v>
      </c>
      <c r="AJ33">
        <v>5034.4926349999996</v>
      </c>
      <c r="AK33">
        <v>4724.0175470000004</v>
      </c>
      <c r="AL33">
        <v>4430.7815979999996</v>
      </c>
      <c r="AM33">
        <v>4154.2495570000001</v>
      </c>
      <c r="AN33">
        <v>3894.8024260000002</v>
      </c>
      <c r="AO33">
        <v>3651.4730239999999</v>
      </c>
      <c r="AP33">
        <v>3423.30314</v>
      </c>
      <c r="AQ33">
        <v>3209.369886</v>
      </c>
      <c r="AR33">
        <v>2995.4235640000002</v>
      </c>
      <c r="AS33">
        <v>2795.734469</v>
      </c>
      <c r="AT33">
        <v>2609.3550420000001</v>
      </c>
      <c r="AU33">
        <v>2435.399457</v>
      </c>
      <c r="AV33">
        <v>2273.040191</v>
      </c>
      <c r="AW33">
        <v>2121.5045180000002</v>
      </c>
    </row>
    <row r="34" spans="2:49" x14ac:dyDescent="0.25">
      <c r="B34" t="s">
        <v>134</v>
      </c>
      <c r="C34">
        <v>5208.7853750706299</v>
      </c>
      <c r="D34">
        <v>5292.4141090967596</v>
      </c>
      <c r="E34">
        <v>5377.3855290000001</v>
      </c>
      <c r="F34">
        <v>5765.2026539999997</v>
      </c>
      <c r="G34">
        <v>6122.0173930000001</v>
      </c>
      <c r="H34">
        <v>6525.2175889999999</v>
      </c>
      <c r="I34">
        <v>6887.5292010000003</v>
      </c>
      <c r="J34">
        <v>7211.1798740000004</v>
      </c>
      <c r="K34">
        <v>7418.2341079999997</v>
      </c>
      <c r="L34">
        <v>7579.2856760000004</v>
      </c>
      <c r="M34">
        <v>7731.3436430000002</v>
      </c>
      <c r="N34">
        <v>7838.0557150000004</v>
      </c>
      <c r="O34">
        <v>7965.4013839999998</v>
      </c>
      <c r="P34">
        <v>8150.4062459999996</v>
      </c>
      <c r="Q34">
        <v>8332.06986399999</v>
      </c>
      <c r="R34">
        <v>8511.2276170000005</v>
      </c>
      <c r="S34">
        <v>8649.089473</v>
      </c>
      <c r="T34">
        <v>8731.7031889999998</v>
      </c>
      <c r="U34">
        <v>8774.9386599999998</v>
      </c>
      <c r="V34">
        <v>8792.1576050000003</v>
      </c>
      <c r="W34">
        <v>8761.7357190000002</v>
      </c>
      <c r="X34">
        <v>8691.7187489999997</v>
      </c>
      <c r="Y34">
        <v>8573.2235290000008</v>
      </c>
      <c r="Z34">
        <v>8408.0405719999999</v>
      </c>
      <c r="AA34">
        <v>8191.4269560000002</v>
      </c>
      <c r="AB34">
        <v>7921.3061809999999</v>
      </c>
      <c r="AC34">
        <v>7604.1934160000001</v>
      </c>
      <c r="AD34">
        <v>7251.4113889999999</v>
      </c>
      <c r="AE34">
        <v>6878.0052640000004</v>
      </c>
      <c r="AF34">
        <v>6497.729034</v>
      </c>
      <c r="AG34">
        <v>6121.8017170000003</v>
      </c>
      <c r="AH34">
        <v>5757.5543420000004</v>
      </c>
      <c r="AI34">
        <v>5409.1234629999999</v>
      </c>
      <c r="AJ34">
        <v>5078.0448720000004</v>
      </c>
      <c r="AK34">
        <v>4764.7018120000002</v>
      </c>
      <c r="AL34">
        <v>4468.8466500000004</v>
      </c>
      <c r="AM34">
        <v>4189.8910059999998</v>
      </c>
      <c r="AN34">
        <v>3928.1936559999999</v>
      </c>
      <c r="AO34">
        <v>3682.7658040000001</v>
      </c>
      <c r="AP34">
        <v>3452.6343120000001</v>
      </c>
      <c r="AQ34">
        <v>3236.864928</v>
      </c>
      <c r="AR34">
        <v>3021.0839999999998</v>
      </c>
      <c r="AS34">
        <v>2819.6833929999998</v>
      </c>
      <c r="AT34">
        <v>2631.7069590000001</v>
      </c>
      <c r="AU34">
        <v>2456.2610380000001</v>
      </c>
      <c r="AV34">
        <v>2292.5108949999999</v>
      </c>
      <c r="AW34">
        <v>2139.6771229999999</v>
      </c>
    </row>
    <row r="35" spans="2:49" x14ac:dyDescent="0.25">
      <c r="B35" t="s">
        <v>135</v>
      </c>
      <c r="C35">
        <v>13521.9613593495</v>
      </c>
      <c r="D35">
        <v>13739.0608227762</v>
      </c>
      <c r="E35" s="39">
        <v>13959.64589</v>
      </c>
      <c r="F35" s="39">
        <v>13634.829089999999</v>
      </c>
      <c r="G35" s="39">
        <v>13313.87227</v>
      </c>
      <c r="H35" s="39">
        <v>13048.25029</v>
      </c>
      <c r="I35">
        <v>12786.174639999999</v>
      </c>
      <c r="J35">
        <v>12523.653829999999</v>
      </c>
      <c r="K35" s="39">
        <v>12212.98057</v>
      </c>
      <c r="L35" s="39">
        <v>11902.49474</v>
      </c>
      <c r="M35" s="39">
        <v>11608.157020000001</v>
      </c>
      <c r="N35" s="39">
        <v>11298.060890000001</v>
      </c>
      <c r="O35" s="39">
        <v>11022.44973</v>
      </c>
      <c r="P35">
        <v>10830.139429999999</v>
      </c>
      <c r="Q35">
        <v>10644.51664</v>
      </c>
      <c r="R35">
        <v>10465.20918</v>
      </c>
      <c r="S35">
        <v>10256.255010000001</v>
      </c>
      <c r="T35">
        <v>10043.57142</v>
      </c>
      <c r="U35">
        <v>9767.5778470000005</v>
      </c>
      <c r="V35">
        <v>9470.0045420000006</v>
      </c>
      <c r="W35">
        <v>9163.1893139999902</v>
      </c>
      <c r="X35">
        <v>8850.9796979999901</v>
      </c>
      <c r="Y35">
        <v>8527.2465150000007</v>
      </c>
      <c r="Z35">
        <v>8193.1189049999903</v>
      </c>
      <c r="AA35">
        <v>7846.2015940000001</v>
      </c>
      <c r="AB35">
        <v>7485.1746940000003</v>
      </c>
      <c r="AC35">
        <v>7113.0962140000001</v>
      </c>
      <c r="AD35">
        <v>6735.4289070000004</v>
      </c>
      <c r="AE35">
        <v>6359.2553349999998</v>
      </c>
      <c r="AF35">
        <v>5990.825151</v>
      </c>
      <c r="AG35">
        <v>5635.0659990000004</v>
      </c>
      <c r="AH35">
        <v>5294.9794760000004</v>
      </c>
      <c r="AI35">
        <v>4972.0163259999999</v>
      </c>
      <c r="AJ35">
        <v>4666.391439</v>
      </c>
      <c r="AK35">
        <v>4377.7923199999996</v>
      </c>
      <c r="AL35">
        <v>4105.6313259999997</v>
      </c>
      <c r="AM35">
        <v>3849.1838699999998</v>
      </c>
      <c r="AN35">
        <v>3608.6852749999998</v>
      </c>
      <c r="AO35">
        <v>3383.1793560000001</v>
      </c>
      <c r="AP35">
        <v>3171.748646</v>
      </c>
      <c r="AQ35">
        <v>2973.5231079999999</v>
      </c>
      <c r="AR35">
        <v>2775.2924849999999</v>
      </c>
      <c r="AS35">
        <v>2590.2750839999999</v>
      </c>
      <c r="AT35">
        <v>2417.5911059999999</v>
      </c>
      <c r="AU35">
        <v>2256.4188680000002</v>
      </c>
      <c r="AV35">
        <v>2105.9911889999998</v>
      </c>
      <c r="AW35">
        <v>1965.591895</v>
      </c>
    </row>
    <row r="36" spans="2:49" x14ac:dyDescent="0.25">
      <c r="B36" t="s">
        <v>136</v>
      </c>
      <c r="C36">
        <v>4769.5635809194901</v>
      </c>
      <c r="D36" s="39">
        <v>4846.1404669702097</v>
      </c>
      <c r="E36">
        <v>4923.9468200000001</v>
      </c>
      <c r="F36">
        <v>4804.4688379999998</v>
      </c>
      <c r="G36">
        <v>4678.9146840000003</v>
      </c>
      <c r="H36">
        <v>4568.0983020000003</v>
      </c>
      <c r="I36">
        <v>4460.6387290000002</v>
      </c>
      <c r="J36">
        <v>4351.3788709999999</v>
      </c>
      <c r="K36">
        <v>4228.1876220000004</v>
      </c>
      <c r="L36">
        <v>4103.5536480000001</v>
      </c>
      <c r="M36">
        <v>3984.586303</v>
      </c>
      <c r="N36">
        <v>3858.8887589999999</v>
      </c>
      <c r="O36">
        <v>3744.7781230000001</v>
      </c>
      <c r="P36">
        <v>3667.6537199999998</v>
      </c>
      <c r="Q36">
        <v>3590.1242590000002</v>
      </c>
      <c r="R36">
        <v>3512.243817</v>
      </c>
      <c r="S36">
        <v>3417.2670509999998</v>
      </c>
      <c r="T36">
        <v>3299.0563769999999</v>
      </c>
      <c r="U36">
        <v>3154.3775690000002</v>
      </c>
      <c r="V36">
        <v>3002.4474049999999</v>
      </c>
      <c r="W36">
        <v>2854.8608119999999</v>
      </c>
      <c r="X36">
        <v>2712.1166199999998</v>
      </c>
      <c r="Y36">
        <v>2573.020023</v>
      </c>
      <c r="Z36">
        <v>2437.916502</v>
      </c>
      <c r="AA36">
        <v>2306.6302989999999</v>
      </c>
      <c r="AB36">
        <v>2178.9521759999998</v>
      </c>
      <c r="AC36">
        <v>2055.153452</v>
      </c>
      <c r="AD36">
        <v>1935.7356669999999</v>
      </c>
      <c r="AE36">
        <v>1821.2431349999999</v>
      </c>
      <c r="AF36">
        <v>1712.0527070000001</v>
      </c>
      <c r="AG36">
        <v>1608.383368</v>
      </c>
      <c r="AH36">
        <v>1510.2672439999999</v>
      </c>
      <c r="AI36">
        <v>1417.599886</v>
      </c>
      <c r="AJ36">
        <v>1330.1793990000001</v>
      </c>
      <c r="AK36">
        <v>1247.7708279999999</v>
      </c>
      <c r="AL36">
        <v>1170.1278400000001</v>
      </c>
      <c r="AM36">
        <v>1097.003778</v>
      </c>
      <c r="AN36">
        <v>1028.445226</v>
      </c>
      <c r="AO36">
        <v>964.16937380000002</v>
      </c>
      <c r="AP36">
        <v>903.909718</v>
      </c>
      <c r="AQ36">
        <v>847.41579720000004</v>
      </c>
      <c r="AR36">
        <v>790.92160139999999</v>
      </c>
      <c r="AS36">
        <v>738.19358629999999</v>
      </c>
      <c r="AT36">
        <v>688.98072439999999</v>
      </c>
      <c r="AU36">
        <v>643.04869710000003</v>
      </c>
      <c r="AV36">
        <v>600.1787941</v>
      </c>
      <c r="AW36">
        <v>560.16687920000004</v>
      </c>
    </row>
    <row r="37" spans="2:49" x14ac:dyDescent="0.25">
      <c r="B37" t="s">
        <v>137</v>
      </c>
      <c r="C37">
        <v>2185.3248924602099</v>
      </c>
      <c r="D37">
        <v>2220.4109904720199</v>
      </c>
      <c r="E37">
        <v>2256.0604069999999</v>
      </c>
      <c r="F37">
        <v>2172.1709679999999</v>
      </c>
      <c r="G37">
        <v>2084.9096749999999</v>
      </c>
      <c r="H37">
        <v>2003.1508080000001</v>
      </c>
      <c r="I37">
        <v>1924.982295</v>
      </c>
      <c r="J37">
        <v>1846.5021919999999</v>
      </c>
      <c r="K37">
        <v>1767.2411589999999</v>
      </c>
      <c r="L37">
        <v>1687.3592860000001</v>
      </c>
      <c r="M37">
        <v>1611.442912</v>
      </c>
      <c r="N37">
        <v>1541.457539</v>
      </c>
      <c r="O37">
        <v>1475.7242080000001</v>
      </c>
      <c r="P37">
        <v>1427.0595860000001</v>
      </c>
      <c r="Q37">
        <v>1376.813083</v>
      </c>
      <c r="R37">
        <v>1325.0216640000001</v>
      </c>
      <c r="S37">
        <v>1269.7991999999999</v>
      </c>
      <c r="T37">
        <v>1210.040894</v>
      </c>
      <c r="U37">
        <v>1142.8163999999999</v>
      </c>
      <c r="V37">
        <v>1075.5919060000001</v>
      </c>
      <c r="W37">
        <v>1012.321794</v>
      </c>
      <c r="X37">
        <v>952.77345270000001</v>
      </c>
      <c r="Y37">
        <v>896.50730399999998</v>
      </c>
      <c r="Z37">
        <v>843.35469699999999</v>
      </c>
      <c r="AA37">
        <v>793.15501270000004</v>
      </c>
      <c r="AB37">
        <v>745.7553107</v>
      </c>
      <c r="AC37">
        <v>701.00999209999998</v>
      </c>
      <c r="AD37">
        <v>658.78047449999997</v>
      </c>
      <c r="AE37">
        <v>618.93488130000003</v>
      </c>
      <c r="AF37">
        <v>581.34774270000003</v>
      </c>
      <c r="AG37">
        <v>545.89970960000005</v>
      </c>
      <c r="AH37">
        <v>512.47727840000005</v>
      </c>
      <c r="AI37">
        <v>480.9725277</v>
      </c>
      <c r="AJ37">
        <v>451.28286550000001</v>
      </c>
      <c r="AK37">
        <v>423.31078710000003</v>
      </c>
      <c r="AL37">
        <v>396.96364260000001</v>
      </c>
      <c r="AM37">
        <v>372.153415</v>
      </c>
      <c r="AN37">
        <v>348.89382649999999</v>
      </c>
      <c r="AO37">
        <v>327.08796239999998</v>
      </c>
      <c r="AP37">
        <v>306.6449647</v>
      </c>
      <c r="AQ37">
        <v>287.47965440000002</v>
      </c>
      <c r="AR37">
        <v>268.31434410000003</v>
      </c>
      <c r="AS37">
        <v>250.4267212</v>
      </c>
      <c r="AT37">
        <v>233.7316064</v>
      </c>
      <c r="AU37">
        <v>218.1494994</v>
      </c>
      <c r="AV37">
        <v>203.60619940000001</v>
      </c>
      <c r="AW37">
        <v>190.03245279999999</v>
      </c>
    </row>
    <row r="38" spans="2:49" x14ac:dyDescent="0.25">
      <c r="B38" t="s">
        <v>138</v>
      </c>
      <c r="C38">
        <v>6.9573204344700098E-3</v>
      </c>
      <c r="D38" s="39">
        <v>7.06902246445449E-3</v>
      </c>
      <c r="E38">
        <v>7.1825179100000001E-3</v>
      </c>
      <c r="F38">
        <v>1.1181000999999999E-2</v>
      </c>
      <c r="G38">
        <v>2.0421671400000001E-2</v>
      </c>
      <c r="H38">
        <v>5.4293276600000002E-2</v>
      </c>
      <c r="I38">
        <v>0.1056612894</v>
      </c>
      <c r="J38">
        <v>0.1807752983</v>
      </c>
      <c r="K38">
        <v>0.26778038510000002</v>
      </c>
      <c r="L38">
        <v>0.389148153</v>
      </c>
      <c r="M38">
        <v>0.59209260760000004</v>
      </c>
      <c r="N38">
        <v>0.86561175180000005</v>
      </c>
      <c r="O38">
        <v>1.2707631699999999</v>
      </c>
      <c r="P38">
        <v>1.393558267</v>
      </c>
      <c r="Q38">
        <v>1.676524052</v>
      </c>
      <c r="R38">
        <v>2.2615848490000001</v>
      </c>
      <c r="S38">
        <v>3.2860383689999999</v>
      </c>
      <c r="T38">
        <v>4.8607020820000004</v>
      </c>
      <c r="U38">
        <v>9.0541463150000006</v>
      </c>
      <c r="V38">
        <v>16.049755829999999</v>
      </c>
      <c r="W38">
        <v>24.43470606</v>
      </c>
      <c r="X38">
        <v>34.326942520000003</v>
      </c>
      <c r="Y38">
        <v>46.51826286</v>
      </c>
      <c r="Z38">
        <v>62.74275961</v>
      </c>
      <c r="AA38">
        <v>85.28620651</v>
      </c>
      <c r="AB38">
        <v>114.9967405</v>
      </c>
      <c r="AC38">
        <v>152.3440531</v>
      </c>
      <c r="AD38">
        <v>196.96858779999999</v>
      </c>
      <c r="AE38">
        <v>248.0876294</v>
      </c>
      <c r="AF38">
        <v>304.11913010000001</v>
      </c>
      <c r="AG38">
        <v>363.52501030000002</v>
      </c>
      <c r="AH38">
        <v>425.00607539999999</v>
      </c>
      <c r="AI38">
        <v>489.75332529999997</v>
      </c>
      <c r="AJ38">
        <v>556.70313429999999</v>
      </c>
      <c r="AK38">
        <v>624.68577119999998</v>
      </c>
      <c r="AL38">
        <v>693.29430579999996</v>
      </c>
      <c r="AM38">
        <v>761.8571134</v>
      </c>
      <c r="AN38">
        <v>829.5179961</v>
      </c>
      <c r="AO38">
        <v>896.42671029999997</v>
      </c>
      <c r="AP38">
        <v>962.18599759999995</v>
      </c>
      <c r="AQ38">
        <v>1026.649013</v>
      </c>
      <c r="AR38">
        <v>1101.4325699999999</v>
      </c>
      <c r="AS38">
        <v>1175.826624</v>
      </c>
      <c r="AT38">
        <v>1249.168917</v>
      </c>
      <c r="AU38">
        <v>1321.325732</v>
      </c>
      <c r="AV38">
        <v>1391.9928629999999</v>
      </c>
      <c r="AW38">
        <v>1459.5044720000001</v>
      </c>
    </row>
    <row r="39" spans="2:49" x14ac:dyDescent="0.25">
      <c r="B39" t="s">
        <v>139</v>
      </c>
      <c r="C39">
        <v>1.59483191497851E-2</v>
      </c>
      <c r="D39">
        <v>1.6204374572364899E-2</v>
      </c>
      <c r="E39">
        <v>1.6464540999999999E-2</v>
      </c>
      <c r="F39">
        <v>2.92104462E-2</v>
      </c>
      <c r="G39">
        <v>5.3714319099999998E-2</v>
      </c>
      <c r="H39">
        <v>0.10712908879999999</v>
      </c>
      <c r="I39">
        <v>0.18432658299999999</v>
      </c>
      <c r="J39">
        <v>0.29321085969999999</v>
      </c>
      <c r="K39">
        <v>0.42090723540000002</v>
      </c>
      <c r="L39">
        <v>0.59076524630000005</v>
      </c>
      <c r="M39">
        <v>0.8445657982</v>
      </c>
      <c r="N39">
        <v>1.169766546</v>
      </c>
      <c r="O39">
        <v>1.6367787250000001</v>
      </c>
      <c r="P39">
        <v>1.985260821</v>
      </c>
      <c r="Q39">
        <v>2.5286564579999999</v>
      </c>
      <c r="R39">
        <v>3.3808901759999999</v>
      </c>
      <c r="S39">
        <v>4.6250835989999999</v>
      </c>
      <c r="T39">
        <v>6.3003862320000001</v>
      </c>
      <c r="U39">
        <v>9.8674294929999995</v>
      </c>
      <c r="V39">
        <v>15.436078520000001</v>
      </c>
      <c r="W39">
        <v>21.996176630000001</v>
      </c>
      <c r="X39">
        <v>29.621698439999999</v>
      </c>
      <c r="Y39">
        <v>38.873016819999997</v>
      </c>
      <c r="Z39">
        <v>51.046606609999998</v>
      </c>
      <c r="AA39">
        <v>67.810078020000006</v>
      </c>
      <c r="AB39">
        <v>89.672163859999998</v>
      </c>
      <c r="AC39">
        <v>116.8484275</v>
      </c>
      <c r="AD39">
        <v>148.92708569999999</v>
      </c>
      <c r="AE39">
        <v>185.23019880000001</v>
      </c>
      <c r="AF39">
        <v>224.49309940000001</v>
      </c>
      <c r="AG39">
        <v>265.53084239999998</v>
      </c>
      <c r="AH39">
        <v>307.3647661</v>
      </c>
      <c r="AI39">
        <v>350.82302010000001</v>
      </c>
      <c r="AJ39">
        <v>395.08654610000002</v>
      </c>
      <c r="AK39">
        <v>439.28388819999998</v>
      </c>
      <c r="AL39">
        <v>483.12457330000001</v>
      </c>
      <c r="AM39">
        <v>526.13509120000003</v>
      </c>
      <c r="AN39">
        <v>567.88091770000005</v>
      </c>
      <c r="AO39">
        <v>608.49859579999998</v>
      </c>
      <c r="AP39">
        <v>647.72721869999998</v>
      </c>
      <c r="AQ39">
        <v>685.47232540000005</v>
      </c>
      <c r="AR39">
        <v>726.39794280000001</v>
      </c>
      <c r="AS39">
        <v>766.46144779999997</v>
      </c>
      <c r="AT39">
        <v>805.21363099999996</v>
      </c>
      <c r="AU39">
        <v>842.57690539999999</v>
      </c>
      <c r="AV39">
        <v>878.37181599999997</v>
      </c>
      <c r="AW39">
        <v>911.59564369999998</v>
      </c>
    </row>
    <row r="40" spans="2:49" x14ac:dyDescent="0.25">
      <c r="B40" t="s">
        <v>140</v>
      </c>
      <c r="C40">
        <v>6.5291776385026298E-2</v>
      </c>
      <c r="D40" s="39">
        <v>6.63400569741113E-2</v>
      </c>
      <c r="E40">
        <v>6.7405168000000001E-2</v>
      </c>
      <c r="F40">
        <v>0.1252421544</v>
      </c>
      <c r="G40">
        <v>0.23080234459999999</v>
      </c>
      <c r="H40">
        <v>0.41142545609999998</v>
      </c>
      <c r="I40">
        <v>0.66383793280000003</v>
      </c>
      <c r="J40">
        <v>1.010366418</v>
      </c>
      <c r="K40">
        <v>1.4206471709999999</v>
      </c>
      <c r="L40">
        <v>1.946315813</v>
      </c>
      <c r="M40">
        <v>2.6552337690000001</v>
      </c>
      <c r="N40">
        <v>3.5161818440000001</v>
      </c>
      <c r="O40">
        <v>4.7094022610000001</v>
      </c>
      <c r="P40">
        <v>6.2406762100000002</v>
      </c>
      <c r="Q40">
        <v>8.2989558540000008</v>
      </c>
      <c r="R40">
        <v>11.021182489999999</v>
      </c>
      <c r="S40">
        <v>14.39199661</v>
      </c>
      <c r="T40">
        <v>18.250196299999999</v>
      </c>
      <c r="U40">
        <v>23.68340851</v>
      </c>
      <c r="V40">
        <v>30.842977080000001</v>
      </c>
      <c r="W40">
        <v>38.890204990000001</v>
      </c>
      <c r="X40">
        <v>47.867158529999998</v>
      </c>
      <c r="Y40">
        <v>58.284336549999999</v>
      </c>
      <c r="Z40">
        <v>71.572391039999999</v>
      </c>
      <c r="AA40">
        <v>89.431025660000003</v>
      </c>
      <c r="AB40">
        <v>112.0320451</v>
      </c>
      <c r="AC40">
        <v>139.2160092</v>
      </c>
      <c r="AD40">
        <v>170.14004130000001</v>
      </c>
      <c r="AE40">
        <v>203.84319360000001</v>
      </c>
      <c r="AF40">
        <v>238.7792274</v>
      </c>
      <c r="AG40">
        <v>273.64096230000001</v>
      </c>
      <c r="AH40">
        <v>307.4336778</v>
      </c>
      <c r="AI40">
        <v>340.95725140000002</v>
      </c>
      <c r="AJ40">
        <v>373.3617792</v>
      </c>
      <c r="AK40">
        <v>403.82506489999997</v>
      </c>
      <c r="AL40">
        <v>432.16514289999998</v>
      </c>
      <c r="AM40">
        <v>458.04611069999999</v>
      </c>
      <c r="AN40">
        <v>481.5285566</v>
      </c>
      <c r="AO40">
        <v>502.85917110000003</v>
      </c>
      <c r="AP40">
        <v>521.90528789999996</v>
      </c>
      <c r="AQ40">
        <v>538.65993130000004</v>
      </c>
      <c r="AR40">
        <v>550.88069810000002</v>
      </c>
      <c r="AS40">
        <v>561.58069539999997</v>
      </c>
      <c r="AT40">
        <v>570.46664239999996</v>
      </c>
      <c r="AU40">
        <v>577.55035729999997</v>
      </c>
      <c r="AV40">
        <v>582.78799509999999</v>
      </c>
      <c r="AW40">
        <v>585.68430030000002</v>
      </c>
    </row>
    <row r="41" spans="2:49" x14ac:dyDescent="0.25">
      <c r="B41" t="s">
        <v>141</v>
      </c>
      <c r="C41">
        <v>1.5338215665531501</v>
      </c>
      <c r="D41">
        <v>1.55844756793281</v>
      </c>
      <c r="E41">
        <v>1.5834689479999999</v>
      </c>
      <c r="F41">
        <v>2.9576606559999998</v>
      </c>
      <c r="G41">
        <v>5.4517789270000003</v>
      </c>
      <c r="H41">
        <v>9.5927736190000008</v>
      </c>
      <c r="I41">
        <v>15.352162249999999</v>
      </c>
      <c r="J41">
        <v>23.228014999999999</v>
      </c>
      <c r="K41">
        <v>32.565928110000002</v>
      </c>
      <c r="L41">
        <v>44.463508169999997</v>
      </c>
      <c r="M41">
        <v>60.248992909999998</v>
      </c>
      <c r="N41">
        <v>79.245036529999894</v>
      </c>
      <c r="O41">
        <v>105.4072996</v>
      </c>
      <c r="P41">
        <v>141.65462729999999</v>
      </c>
      <c r="Q41">
        <v>189.5507107</v>
      </c>
      <c r="R41">
        <v>251.4524888</v>
      </c>
      <c r="S41">
        <v>326.12061419999998</v>
      </c>
      <c r="T41">
        <v>409.05441919999998</v>
      </c>
      <c r="U41">
        <v>515.06596349999995</v>
      </c>
      <c r="V41">
        <v>648.56321600000001</v>
      </c>
      <c r="W41">
        <v>796.83868410000002</v>
      </c>
      <c r="X41">
        <v>960.58913419999999</v>
      </c>
      <c r="Y41">
        <v>1148.655299</v>
      </c>
      <c r="Z41">
        <v>1387.1448519999999</v>
      </c>
      <c r="AA41">
        <v>1706.4555170000001</v>
      </c>
      <c r="AB41">
        <v>2108.4148500000001</v>
      </c>
      <c r="AC41">
        <v>2589.0616810000001</v>
      </c>
      <c r="AD41">
        <v>3132.3610480000002</v>
      </c>
      <c r="AE41">
        <v>3720.930918</v>
      </c>
      <c r="AF41">
        <v>4327.2320829999999</v>
      </c>
      <c r="AG41">
        <v>4928.6343310000002</v>
      </c>
      <c r="AH41">
        <v>5508.4518699999999</v>
      </c>
      <c r="AI41">
        <v>6081.720714</v>
      </c>
      <c r="AJ41">
        <v>6634.4577909999998</v>
      </c>
      <c r="AK41">
        <v>7153.4485249999998</v>
      </c>
      <c r="AL41">
        <v>7636.7462800000003</v>
      </c>
      <c r="AM41">
        <v>8079.736911</v>
      </c>
      <c r="AN41">
        <v>8484.1584440000006</v>
      </c>
      <c r="AO41">
        <v>8854.9069739999995</v>
      </c>
      <c r="AP41">
        <v>9190.3698330000007</v>
      </c>
      <c r="AQ41">
        <v>9491.0804549999903</v>
      </c>
      <c r="AR41">
        <v>9740.7286189999995</v>
      </c>
      <c r="AS41">
        <v>9971.5902810000007</v>
      </c>
      <c r="AT41">
        <v>10179.23215</v>
      </c>
      <c r="AU41">
        <v>10364.166670000001</v>
      </c>
      <c r="AV41">
        <v>10525.83086</v>
      </c>
      <c r="AW41">
        <v>10655.39111</v>
      </c>
    </row>
    <row r="42" spans="2:49" x14ac:dyDescent="0.25">
      <c r="B42" t="s">
        <v>142</v>
      </c>
      <c r="C42">
        <v>0.60453762790594801</v>
      </c>
      <c r="D42" s="39">
        <v>0.61424367506521405</v>
      </c>
      <c r="E42">
        <v>0.62410555599999995</v>
      </c>
      <c r="F42">
        <v>1.1669331190000001</v>
      </c>
      <c r="G42">
        <v>2.151079228</v>
      </c>
      <c r="H42">
        <v>3.7750460139999999</v>
      </c>
      <c r="I42">
        <v>6.0313897389999998</v>
      </c>
      <c r="J42">
        <v>9.1142587180000003</v>
      </c>
      <c r="K42">
        <v>12.77053802</v>
      </c>
      <c r="L42" s="39">
        <v>17.423364599999999</v>
      </c>
      <c r="M42" s="39">
        <v>23.573922769999999</v>
      </c>
      <c r="N42" s="39">
        <v>30.959526270000001</v>
      </c>
      <c r="O42" s="39">
        <v>41.115889979999999</v>
      </c>
      <c r="P42" s="39">
        <v>55.424876750000003</v>
      </c>
      <c r="Q42" s="39">
        <v>74.267079960000004</v>
      </c>
      <c r="R42">
        <v>98.500366889999995</v>
      </c>
      <c r="S42">
        <v>127.5586196</v>
      </c>
      <c r="T42">
        <v>159.59644170000001</v>
      </c>
      <c r="U42">
        <v>199.36576629999999</v>
      </c>
      <c r="V42">
        <v>248.5223483</v>
      </c>
      <c r="W42">
        <v>302.79251099999999</v>
      </c>
      <c r="X42">
        <v>362.3912881</v>
      </c>
      <c r="Y42">
        <v>430.40260410000002</v>
      </c>
      <c r="Z42">
        <v>516.25109889999999</v>
      </c>
      <c r="AA42">
        <v>630.77062109999997</v>
      </c>
      <c r="AB42">
        <v>774.24718410000003</v>
      </c>
      <c r="AC42">
        <v>944.87967360000005</v>
      </c>
      <c r="AD42">
        <v>1136.530213</v>
      </c>
      <c r="AE42">
        <v>1342.7517150000001</v>
      </c>
      <c r="AF42">
        <v>1553.5024350000001</v>
      </c>
      <c r="AG42">
        <v>1760.660832</v>
      </c>
      <c r="AH42">
        <v>1958.3330209999999</v>
      </c>
      <c r="AI42">
        <v>2151.8743639999998</v>
      </c>
      <c r="AJ42">
        <v>2336.3468210000001</v>
      </c>
      <c r="AK42">
        <v>2507.1735629999998</v>
      </c>
      <c r="AL42">
        <v>2663.8302050000002</v>
      </c>
      <c r="AM42">
        <v>2804.8767149999999</v>
      </c>
      <c r="AN42">
        <v>2931.4161340000001</v>
      </c>
      <c r="AO42">
        <v>3045.3186759999999</v>
      </c>
      <c r="AP42">
        <v>3146.1723109999998</v>
      </c>
      <c r="AQ42">
        <v>3234.2868790000002</v>
      </c>
      <c r="AR42">
        <v>3299.0280229999998</v>
      </c>
      <c r="AS42">
        <v>3356.9941450000001</v>
      </c>
      <c r="AT42">
        <v>3406.8044920000002</v>
      </c>
      <c r="AU42">
        <v>3448.7472240000002</v>
      </c>
      <c r="AV42">
        <v>3482.7652280000002</v>
      </c>
      <c r="AW42">
        <v>3506.184874</v>
      </c>
    </row>
    <row r="43" spans="2:49" x14ac:dyDescent="0.25">
      <c r="B43" t="s">
        <v>143</v>
      </c>
      <c r="C43">
        <v>8.2417488223721705E-3</v>
      </c>
      <c r="D43">
        <v>8.3740727655845504E-3</v>
      </c>
      <c r="E43">
        <v>8.5085212099999998E-3</v>
      </c>
      <c r="F43">
        <v>1.76052981E-2</v>
      </c>
      <c r="G43">
        <v>3.2593036999999998E-2</v>
      </c>
      <c r="H43">
        <v>4.3394411700000003E-2</v>
      </c>
      <c r="I43">
        <v>5.5218313599999999E-2</v>
      </c>
      <c r="J43">
        <v>6.7741049600000006E-2</v>
      </c>
      <c r="K43">
        <v>8.4129765800000006E-2</v>
      </c>
      <c r="L43">
        <v>9.7150903400000002E-2</v>
      </c>
      <c r="M43">
        <v>0.1195760699</v>
      </c>
      <c r="N43">
        <v>0.14698164620000001</v>
      </c>
      <c r="O43">
        <v>0.1853885015</v>
      </c>
      <c r="P43">
        <v>0.40072722910000003</v>
      </c>
      <c r="Q43">
        <v>0.59752195379999995</v>
      </c>
      <c r="R43">
        <v>0.69016332530000002</v>
      </c>
      <c r="S43">
        <v>0.78853820370000005</v>
      </c>
      <c r="T43">
        <v>0.90029368180000002</v>
      </c>
      <c r="U43">
        <v>1.046630792</v>
      </c>
      <c r="V43">
        <v>1.2352179400000001</v>
      </c>
      <c r="W43">
        <v>1.447437584</v>
      </c>
      <c r="X43">
        <v>1.684333222</v>
      </c>
      <c r="Y43">
        <v>1.9594139399999999</v>
      </c>
      <c r="Z43">
        <v>2.312663454</v>
      </c>
      <c r="AA43">
        <v>2.7907179800000002</v>
      </c>
      <c r="AB43">
        <v>3.396579537</v>
      </c>
      <c r="AC43">
        <v>4.124402495</v>
      </c>
      <c r="AD43">
        <v>4.9498546169999997</v>
      </c>
      <c r="AE43">
        <v>5.8464489559999997</v>
      </c>
      <c r="AF43">
        <v>6.7721133609999997</v>
      </c>
      <c r="AG43">
        <v>7.6922128589999996</v>
      </c>
      <c r="AH43">
        <v>8.581171028</v>
      </c>
      <c r="AI43">
        <v>9.4621353629999998</v>
      </c>
      <c r="AJ43">
        <v>10.31370295</v>
      </c>
      <c r="AK43">
        <v>11.115594979999999</v>
      </c>
      <c r="AL43">
        <v>11.86477812</v>
      </c>
      <c r="AM43">
        <v>12.55409901</v>
      </c>
      <c r="AN43">
        <v>13.18581481</v>
      </c>
      <c r="AO43">
        <v>13.767350110000001</v>
      </c>
      <c r="AP43">
        <v>14.296130379999999</v>
      </c>
      <c r="AQ43">
        <v>14.7729097</v>
      </c>
      <c r="AR43">
        <v>15.179953830000001</v>
      </c>
      <c r="AS43">
        <v>15.5594851</v>
      </c>
      <c r="AT43">
        <v>15.904567309999999</v>
      </c>
      <c r="AU43">
        <v>16.215895710000002</v>
      </c>
      <c r="AV43">
        <v>16.492467359999999</v>
      </c>
      <c r="AW43">
        <v>16.720222339999999</v>
      </c>
    </row>
    <row r="44" spans="2:49" x14ac:dyDescent="0.25">
      <c r="B44" t="s">
        <v>144</v>
      </c>
      <c r="C44">
        <v>0.101255771246286</v>
      </c>
      <c r="D44" s="39">
        <v>0.10288146540575301</v>
      </c>
      <c r="E44">
        <v>0.1045332606</v>
      </c>
      <c r="F44">
        <v>0.19678972210000001</v>
      </c>
      <c r="G44">
        <v>0.36286137390000001</v>
      </c>
      <c r="H44">
        <v>0.62609469470000001</v>
      </c>
      <c r="I44">
        <v>0.98941568469999996</v>
      </c>
      <c r="J44">
        <v>1.4830844190000001</v>
      </c>
      <c r="K44">
        <v>2.0697403529999998</v>
      </c>
      <c r="L44">
        <v>2.8103990570000001</v>
      </c>
      <c r="M44">
        <v>3.7663772770000001</v>
      </c>
      <c r="N44">
        <v>4.8985145130000003</v>
      </c>
      <c r="O44">
        <v>6.440316932</v>
      </c>
      <c r="P44">
        <v>8.8604649609999999</v>
      </c>
      <c r="Q44">
        <v>11.97701882</v>
      </c>
      <c r="R44">
        <v>15.860319069999999</v>
      </c>
      <c r="S44">
        <v>20.341486530000001</v>
      </c>
      <c r="T44">
        <v>25.052460709999998</v>
      </c>
      <c r="U44">
        <v>29.894510310000001</v>
      </c>
      <c r="V44">
        <v>35.218516139999998</v>
      </c>
      <c r="W44">
        <v>40.890045049999998</v>
      </c>
      <c r="X44">
        <v>46.91875709</v>
      </c>
      <c r="Y44">
        <v>53.552886540000003</v>
      </c>
      <c r="Z44">
        <v>61.735492409999999</v>
      </c>
      <c r="AA44">
        <v>72.470759319999999</v>
      </c>
      <c r="AB44">
        <v>85.603893650000003</v>
      </c>
      <c r="AC44">
        <v>100.7915873</v>
      </c>
      <c r="AD44">
        <v>117.29151210000001</v>
      </c>
      <c r="AE44">
        <v>134.42981589999999</v>
      </c>
      <c r="AF44">
        <v>151.226485</v>
      </c>
      <c r="AG44">
        <v>166.9644926</v>
      </c>
      <c r="AH44">
        <v>181.1821789</v>
      </c>
      <c r="AI44">
        <v>194.41567420000001</v>
      </c>
      <c r="AJ44">
        <v>206.2892793</v>
      </c>
      <c r="AK44">
        <v>216.49630930000001</v>
      </c>
      <c r="AL44">
        <v>225.0995408</v>
      </c>
      <c r="AM44">
        <v>232.08710640000001</v>
      </c>
      <c r="AN44">
        <v>237.7246442</v>
      </c>
      <c r="AO44">
        <v>242.2337416</v>
      </c>
      <c r="AP44">
        <v>245.64764289999999</v>
      </c>
      <c r="AQ44">
        <v>248.0460899</v>
      </c>
      <c r="AR44">
        <v>247.8532955</v>
      </c>
      <c r="AS44">
        <v>247.28656580000001</v>
      </c>
      <c r="AT44">
        <v>246.28588120000001</v>
      </c>
      <c r="AU44">
        <v>244.8984394</v>
      </c>
      <c r="AV44">
        <v>243.1472426</v>
      </c>
      <c r="AW44">
        <v>240.9030582</v>
      </c>
    </row>
    <row r="45" spans="2:49" x14ac:dyDescent="0.25">
      <c r="B45" t="s">
        <v>145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</row>
    <row r="46" spans="2:49" x14ac:dyDescent="0.25">
      <c r="B46" t="s">
        <v>146</v>
      </c>
      <c r="C46">
        <v>30996.0941631817</v>
      </c>
      <c r="D46">
        <v>31493.7464809423</v>
      </c>
      <c r="E46">
        <v>31999.388770000001</v>
      </c>
      <c r="F46">
        <v>32683.874380000001</v>
      </c>
      <c r="G46">
        <v>33306.491459999997</v>
      </c>
      <c r="H46">
        <v>34128.234790000002</v>
      </c>
      <c r="I46">
        <v>34840.455430000002</v>
      </c>
      <c r="J46">
        <v>35453.771339999999</v>
      </c>
      <c r="K46">
        <v>35681.713839999997</v>
      </c>
      <c r="L46">
        <v>35772.19556</v>
      </c>
      <c r="M46">
        <v>35856.263099999996</v>
      </c>
      <c r="N46">
        <v>35790.505729999997</v>
      </c>
      <c r="O46">
        <v>35817.735610000003</v>
      </c>
      <c r="P46">
        <v>36105.244180000002</v>
      </c>
      <c r="Q46">
        <v>36419.989690000002</v>
      </c>
      <c r="R46">
        <v>36730.576849999998</v>
      </c>
      <c r="S46">
        <v>36927.455379999999</v>
      </c>
      <c r="T46">
        <v>36900.051140000003</v>
      </c>
      <c r="U46">
        <v>36731.472970000003</v>
      </c>
      <c r="V46">
        <v>36489.560920000004</v>
      </c>
      <c r="W46">
        <v>36102.667139999998</v>
      </c>
      <c r="X46">
        <v>35597.100810000004</v>
      </c>
      <c r="Y46">
        <v>34935.761079999997</v>
      </c>
      <c r="Z46">
        <v>34121.586889999999</v>
      </c>
      <c r="AA46">
        <v>33134.341439999997</v>
      </c>
      <c r="AB46">
        <v>31965.17697</v>
      </c>
      <c r="AC46">
        <v>30635.261689999999</v>
      </c>
      <c r="AD46">
        <v>29183.155419999999</v>
      </c>
      <c r="AE46">
        <v>27662.712630000002</v>
      </c>
      <c r="AF46">
        <v>26123.932430000001</v>
      </c>
      <c r="AG46">
        <v>24607.91084</v>
      </c>
      <c r="AH46">
        <v>23141.57476</v>
      </c>
      <c r="AI46">
        <v>21740.093280000001</v>
      </c>
      <c r="AJ46">
        <v>20408.97927</v>
      </c>
      <c r="AK46">
        <v>19149.438549999999</v>
      </c>
      <c r="AL46">
        <v>17960.311010000001</v>
      </c>
      <c r="AM46" s="39">
        <v>16839.157329999998</v>
      </c>
      <c r="AN46" s="39">
        <v>15787.38666</v>
      </c>
      <c r="AO46" s="39">
        <v>14801.01102</v>
      </c>
      <c r="AP46" s="39">
        <v>13876.11399</v>
      </c>
      <c r="AQ46" s="39">
        <v>13008.93885</v>
      </c>
      <c r="AR46" s="39">
        <v>12141.718010000001</v>
      </c>
      <c r="AS46" s="39">
        <v>11332.29103</v>
      </c>
      <c r="AT46" s="39">
        <v>10576.815329999999</v>
      </c>
      <c r="AU46" s="39">
        <v>9871.69945799999</v>
      </c>
      <c r="AV46" s="39">
        <v>9213.58871</v>
      </c>
      <c r="AW46" s="39">
        <v>8599.3507079999999</v>
      </c>
    </row>
    <row r="47" spans="2:49" x14ac:dyDescent="0.25">
      <c r="B47" t="s">
        <v>147</v>
      </c>
      <c r="C47">
        <v>2.3360541304970401</v>
      </c>
      <c r="D47">
        <v>2.3735602351802898</v>
      </c>
      <c r="E47">
        <v>2.411668513</v>
      </c>
      <c r="F47" s="39">
        <v>4.5046223970000003</v>
      </c>
      <c r="G47" s="39">
        <v>8.3032509010000002</v>
      </c>
      <c r="H47">
        <v>14.61015656</v>
      </c>
      <c r="I47">
        <v>23.38201179</v>
      </c>
      <c r="J47">
        <v>35.37745176</v>
      </c>
      <c r="K47">
        <v>49.599671039999997</v>
      </c>
      <c r="L47">
        <v>67.720651939999996</v>
      </c>
      <c r="M47">
        <v>91.800761199999997</v>
      </c>
      <c r="N47">
        <v>120.8016191</v>
      </c>
      <c r="O47">
        <v>160.76583919999999</v>
      </c>
      <c r="P47" s="39">
        <v>215.96019150000001</v>
      </c>
      <c r="Q47" s="39">
        <v>288.89646779999998</v>
      </c>
      <c r="R47" s="39">
        <v>383.16699560000001</v>
      </c>
      <c r="S47" s="39">
        <v>497.1123771</v>
      </c>
      <c r="T47" s="39">
        <v>624.01489990000005</v>
      </c>
      <c r="U47" s="39">
        <v>787.97785520000002</v>
      </c>
      <c r="V47" s="39">
        <v>995.86810969999999</v>
      </c>
      <c r="W47" s="39">
        <v>1227.289765</v>
      </c>
      <c r="X47" s="39">
        <v>1483.399312</v>
      </c>
      <c r="Y47" s="39">
        <v>1778.2458200000001</v>
      </c>
      <c r="Z47" s="39">
        <v>2152.8058639999999</v>
      </c>
      <c r="AA47" s="39">
        <v>2655.0149249999999</v>
      </c>
      <c r="AB47" s="39">
        <v>3288.3634569999999</v>
      </c>
      <c r="AC47" s="39">
        <v>4047.2658339999998</v>
      </c>
      <c r="AD47" s="39">
        <v>4907.1683430000003</v>
      </c>
      <c r="AE47" s="39">
        <v>5841.1199200000001</v>
      </c>
      <c r="AF47" s="39">
        <v>6806.1245740000004</v>
      </c>
      <c r="AG47" s="39">
        <v>7766.6486839999998</v>
      </c>
      <c r="AH47" s="39">
        <v>8696.3527599999998</v>
      </c>
      <c r="AI47">
        <v>9619.0064849999999</v>
      </c>
      <c r="AJ47">
        <v>10512.55905</v>
      </c>
      <c r="AK47">
        <v>11356.02872</v>
      </c>
      <c r="AL47">
        <v>12146.124830000001</v>
      </c>
      <c r="AM47">
        <v>12875.29315</v>
      </c>
      <c r="AN47">
        <v>13545.41251</v>
      </c>
      <c r="AO47">
        <v>14164.01122</v>
      </c>
      <c r="AP47">
        <v>14728.30442</v>
      </c>
      <c r="AQ47">
        <v>15238.9676</v>
      </c>
      <c r="AR47">
        <v>15681.501099999999</v>
      </c>
      <c r="AS47">
        <v>16095.29924</v>
      </c>
      <c r="AT47">
        <v>16473.076280000001</v>
      </c>
      <c r="AU47">
        <v>16815.481220000001</v>
      </c>
      <c r="AV47">
        <v>17121.388470000002</v>
      </c>
      <c r="AW47">
        <v>17375.983680000001</v>
      </c>
    </row>
    <row r="48" spans="2:49" x14ac:dyDescent="0.25">
      <c r="B48" t="s">
        <v>148</v>
      </c>
      <c r="C48">
        <v>2.1906436884240502E-2</v>
      </c>
      <c r="D48">
        <v>2.2258151814254699E-2</v>
      </c>
      <c r="E48">
        <v>2.2615513600000001E-2</v>
      </c>
      <c r="F48" s="39">
        <v>2.180663E-2</v>
      </c>
      <c r="G48" s="39">
        <v>4.5645863199999998E-2</v>
      </c>
      <c r="H48">
        <v>7.1732066799999994E-2</v>
      </c>
      <c r="I48">
        <v>9.8409548299999997E-2</v>
      </c>
      <c r="J48">
        <v>0.1369360013</v>
      </c>
      <c r="K48" s="39">
        <v>0.1734307289</v>
      </c>
      <c r="L48" s="39">
        <v>0.2051117462</v>
      </c>
      <c r="M48" s="39">
        <v>0.2348306768</v>
      </c>
      <c r="N48" s="39">
        <v>0.24976126360000001</v>
      </c>
      <c r="O48" s="39">
        <v>0.26012711059999999</v>
      </c>
      <c r="P48" s="39">
        <v>0.26405339179999998</v>
      </c>
      <c r="Q48" s="39">
        <v>0.28926101430000001</v>
      </c>
      <c r="R48" s="39">
        <v>0.3192710728</v>
      </c>
      <c r="S48" s="39">
        <v>0.3744710986</v>
      </c>
      <c r="T48" s="39">
        <v>0.41981081190000002</v>
      </c>
      <c r="U48" s="39">
        <v>0.49717475459999999</v>
      </c>
      <c r="V48" s="39">
        <v>0.58930377359999997</v>
      </c>
      <c r="W48" s="39">
        <v>0.67385005279999999</v>
      </c>
      <c r="X48" s="39">
        <v>0.75128888309999997</v>
      </c>
      <c r="Y48" s="39">
        <v>0.81681764950000002</v>
      </c>
      <c r="Z48" s="39">
        <v>0.86841638200000004</v>
      </c>
      <c r="AA48" s="39">
        <v>0.90290298950000003</v>
      </c>
      <c r="AB48" s="39">
        <v>0.91944940460000002</v>
      </c>
      <c r="AC48" s="39">
        <v>0.91820253399999996</v>
      </c>
      <c r="AD48" s="39">
        <v>0.90047910799999997</v>
      </c>
      <c r="AE48" s="39">
        <v>0.87027259420000003</v>
      </c>
      <c r="AF48" s="39">
        <v>0.83194817300000001</v>
      </c>
      <c r="AG48" s="39">
        <v>0.78944073859999997</v>
      </c>
      <c r="AH48" s="39">
        <v>0.74557801000000001</v>
      </c>
      <c r="AI48" s="39">
        <v>0.70216793150000001</v>
      </c>
      <c r="AJ48" s="39">
        <v>0.66011102769999996</v>
      </c>
      <c r="AK48" s="39">
        <v>0.61986638039999997</v>
      </c>
      <c r="AL48" s="39">
        <v>0.58163358949999999</v>
      </c>
      <c r="AM48" s="39">
        <v>0.54546045970000001</v>
      </c>
      <c r="AN48">
        <v>0.51146099489999997</v>
      </c>
      <c r="AO48">
        <v>0.47954178240000001</v>
      </c>
      <c r="AP48">
        <v>0.44959445059999997</v>
      </c>
      <c r="AQ48">
        <v>0.42150704309999998</v>
      </c>
      <c r="AR48">
        <v>0.39341340089999999</v>
      </c>
      <c r="AS48">
        <v>0.36718935850000001</v>
      </c>
      <c r="AT48">
        <v>0.34271187089999999</v>
      </c>
      <c r="AU48">
        <v>0.31986533499999997</v>
      </c>
      <c r="AV48">
        <v>0.2985414495</v>
      </c>
      <c r="AW48">
        <v>0.27863892299999998</v>
      </c>
    </row>
    <row r="49" spans="2:99" x14ac:dyDescent="0.25">
      <c r="B49" t="s">
        <v>149</v>
      </c>
      <c r="C49">
        <v>2298.5980133353301</v>
      </c>
      <c r="D49">
        <v>2335.5027479420201</v>
      </c>
      <c r="E49">
        <v>2373</v>
      </c>
      <c r="F49" s="39">
        <v>2446.6775899999998</v>
      </c>
      <c r="G49" s="39">
        <v>2424.2765530000001</v>
      </c>
      <c r="H49">
        <v>2660.3639440000002</v>
      </c>
      <c r="I49">
        <v>2598.8489709999999</v>
      </c>
      <c r="J49">
        <v>2542.8224110000001</v>
      </c>
      <c r="K49" s="39">
        <v>2194.0678939999998</v>
      </c>
      <c r="L49" s="39">
        <v>2073.8249529999998</v>
      </c>
      <c r="M49" s="39">
        <v>2079.3430400000002</v>
      </c>
      <c r="N49" s="39">
        <v>1940.3869999999999</v>
      </c>
      <c r="O49" s="39">
        <v>2042.316</v>
      </c>
      <c r="P49" s="39">
        <v>2141.6280000000002</v>
      </c>
      <c r="Q49" s="39">
        <v>2203.7420000000002</v>
      </c>
      <c r="R49" s="39">
        <v>2240.3020000000001</v>
      </c>
      <c r="S49" s="39">
        <v>2166.5110979999999</v>
      </c>
      <c r="T49" s="39">
        <v>1970.7266749999999</v>
      </c>
      <c r="U49" s="39">
        <v>2080.0551220000002</v>
      </c>
      <c r="V49" s="39">
        <v>2173.0047159999999</v>
      </c>
      <c r="W49" s="39">
        <v>2049.5531139999998</v>
      </c>
      <c r="X49" s="39">
        <v>1946.4230359999999</v>
      </c>
      <c r="Y49" s="39">
        <v>1823.3000930000001</v>
      </c>
      <c r="Z49" s="39">
        <v>1737.1056349999999</v>
      </c>
      <c r="AA49" s="39">
        <v>1674.1536550000001</v>
      </c>
      <c r="AB49" s="39">
        <v>1602.9902179999999</v>
      </c>
      <c r="AC49" s="39">
        <v>1544.1995179999999</v>
      </c>
      <c r="AD49" s="39">
        <v>1497.105127</v>
      </c>
      <c r="AE49" s="39">
        <v>1475.4235329999999</v>
      </c>
      <c r="AF49" s="39">
        <v>1460.8701570000001</v>
      </c>
      <c r="AG49" s="39">
        <v>1452.432828</v>
      </c>
      <c r="AH49" s="39">
        <v>1445.483884</v>
      </c>
      <c r="AI49" s="39">
        <v>1478.4218900000001</v>
      </c>
      <c r="AJ49" s="39">
        <v>1498.1854559999999</v>
      </c>
      <c r="AK49" s="39">
        <v>1500.5532169999999</v>
      </c>
      <c r="AL49" s="39">
        <v>1499.649101</v>
      </c>
      <c r="AM49" s="39">
        <v>1489.6668890000001</v>
      </c>
      <c r="AN49">
        <v>1475.501843</v>
      </c>
      <c r="AO49">
        <v>1465.5230180000001</v>
      </c>
      <c r="AP49">
        <v>1449.710057</v>
      </c>
      <c r="AQ49">
        <v>1431.2641940000001</v>
      </c>
      <c r="AR49">
        <v>1458.506429</v>
      </c>
      <c r="AS49">
        <v>1459.252428</v>
      </c>
      <c r="AT49">
        <v>1450.80736</v>
      </c>
      <c r="AU49">
        <v>1440.6151729999999</v>
      </c>
      <c r="AV49">
        <v>1426.9418800000001</v>
      </c>
      <c r="AW49">
        <v>1396.0223550000001</v>
      </c>
    </row>
    <row r="50" spans="2:99" x14ac:dyDescent="0.25">
      <c r="B50" t="s">
        <v>150</v>
      </c>
      <c r="C50">
        <v>2297.4487143286601</v>
      </c>
      <c r="D50">
        <v>2334.33499656805</v>
      </c>
      <c r="E50">
        <v>2371.8135000000002</v>
      </c>
      <c r="F50" s="39">
        <v>2444.4519949999999</v>
      </c>
      <c r="G50" s="39">
        <v>2420.2301710000002</v>
      </c>
      <c r="H50">
        <v>2653.600359</v>
      </c>
      <c r="I50">
        <v>2589.273557</v>
      </c>
      <c r="J50">
        <v>2529.5409610000002</v>
      </c>
      <c r="K50" s="39">
        <v>2177.899915</v>
      </c>
      <c r="L50" s="39">
        <v>2052.9759899999999</v>
      </c>
      <c r="M50" s="39">
        <v>2051.5382949999998</v>
      </c>
      <c r="N50" s="39">
        <v>1906.3371</v>
      </c>
      <c r="O50" s="39">
        <v>1995.7076910000001</v>
      </c>
      <c r="P50" s="39">
        <v>2078.395356</v>
      </c>
      <c r="Q50" s="39">
        <v>2120.0077139999999</v>
      </c>
      <c r="R50" s="39">
        <v>2131.5866489999999</v>
      </c>
      <c r="S50" s="39">
        <v>2033.4073659999999</v>
      </c>
      <c r="T50" s="39">
        <v>1818.9685340000001</v>
      </c>
      <c r="U50" s="39">
        <v>1881.4246720000001</v>
      </c>
      <c r="V50" s="39">
        <v>1918.762823</v>
      </c>
      <c r="W50" s="39">
        <v>1759.5509810000001</v>
      </c>
      <c r="X50" s="39">
        <v>1618.119974</v>
      </c>
      <c r="Y50" s="39">
        <v>1440.8512639999999</v>
      </c>
      <c r="Z50" s="39">
        <v>1257.115996</v>
      </c>
      <c r="AA50" s="39">
        <v>1043.8013880000001</v>
      </c>
      <c r="AB50" s="39">
        <v>810.97545600000001</v>
      </c>
      <c r="AC50" s="39">
        <v>587.9953332</v>
      </c>
      <c r="AD50" s="39">
        <v>393.3914226</v>
      </c>
      <c r="AE50" s="39">
        <v>244.6674189</v>
      </c>
      <c r="AF50" s="39">
        <v>141.14162139999999</v>
      </c>
      <c r="AG50" s="39">
        <v>76.901121989999893</v>
      </c>
      <c r="AH50" s="39">
        <v>40.270705319999998</v>
      </c>
      <c r="AI50" s="39">
        <v>21.156315289999998</v>
      </c>
      <c r="AJ50" s="39">
        <v>10.86705456</v>
      </c>
      <c r="AK50" s="39">
        <v>5.4786534690000002</v>
      </c>
      <c r="AL50" s="39">
        <v>2.7462251960000001</v>
      </c>
      <c r="AM50" s="39">
        <v>1.3657657519999999</v>
      </c>
      <c r="AN50" s="39">
        <v>0.67666172430000004</v>
      </c>
      <c r="AO50" s="39">
        <v>0.33602486469999998</v>
      </c>
      <c r="AP50" s="39">
        <v>0.16615325380000001</v>
      </c>
      <c r="AQ50" s="39">
        <v>8.1987510700000002E-2</v>
      </c>
      <c r="AR50" s="39">
        <v>4.1756120200000003E-2</v>
      </c>
      <c r="AS50" s="39">
        <v>2.0879214300000001E-2</v>
      </c>
      <c r="AT50" s="39">
        <v>1.03743156E-2</v>
      </c>
      <c r="AU50" s="39">
        <v>5.1482622900000004E-3</v>
      </c>
      <c r="AV50">
        <v>2.54848079E-3</v>
      </c>
      <c r="AW50" s="39">
        <v>1.24603118E-3</v>
      </c>
    </row>
    <row r="51" spans="2:99" x14ac:dyDescent="0.25">
      <c r="B51" t="s">
        <v>151</v>
      </c>
      <c r="C51">
        <v>1.1492990066676601</v>
      </c>
      <c r="D51">
        <v>1.1677513739710099</v>
      </c>
      <c r="E51">
        <v>1.1865000000000001</v>
      </c>
      <c r="F51" s="39">
        <v>0</v>
      </c>
      <c r="G51" s="39">
        <v>21.771071070000001</v>
      </c>
      <c r="H51">
        <v>24.876766669999999</v>
      </c>
      <c r="I51">
        <v>26.682017859999998</v>
      </c>
      <c r="J51">
        <v>38.47599786</v>
      </c>
      <c r="K51" s="39">
        <v>38.611001909999999</v>
      </c>
      <c r="L51" s="39">
        <v>36.1469418</v>
      </c>
      <c r="M51" s="39">
        <v>35.951471159999997</v>
      </c>
      <c r="N51" s="39">
        <v>24.329854480000002</v>
      </c>
      <c r="O51" s="39">
        <v>21.001239680000001</v>
      </c>
      <c r="P51" s="39">
        <v>14.645912040000001</v>
      </c>
      <c r="Q51" s="39">
        <v>33.643199320000001</v>
      </c>
      <c r="R51" s="39">
        <v>39.004761940000002</v>
      </c>
      <c r="S51" s="39">
        <v>62.631728649999999</v>
      </c>
      <c r="T51" s="39">
        <v>56.388042130000002</v>
      </c>
      <c r="U51" s="39">
        <v>88.778443629999998</v>
      </c>
      <c r="V51" s="39">
        <v>107.077484</v>
      </c>
      <c r="W51" s="39">
        <v>105.1904548</v>
      </c>
      <c r="X51" s="39">
        <v>103.3264719</v>
      </c>
      <c r="Y51" s="39">
        <v>97.002073730000006</v>
      </c>
      <c r="Z51" s="39">
        <v>88.299648450000007</v>
      </c>
      <c r="AA51" s="39">
        <v>76.08128773</v>
      </c>
      <c r="AB51" s="39">
        <v>62.251896250000001</v>
      </c>
      <c r="AC51" s="39">
        <v>47.614220539999998</v>
      </c>
      <c r="AD51" s="39">
        <v>33.196725819999997</v>
      </c>
      <c r="AE51" s="39">
        <v>21.424431429999998</v>
      </c>
      <c r="AF51" s="39">
        <v>12.8302953</v>
      </c>
      <c r="AG51" s="39">
        <v>7.2618528470000001</v>
      </c>
      <c r="AH51" s="39">
        <v>3.9490268419999999</v>
      </c>
      <c r="AI51" s="39">
        <v>2.1419814920000002</v>
      </c>
      <c r="AJ51" s="39">
        <v>1.1368474959999999</v>
      </c>
      <c r="AK51" s="39">
        <v>0.59312933629999998</v>
      </c>
      <c r="AL51" s="39">
        <v>0.30757295439999999</v>
      </c>
      <c r="AM51" s="39">
        <v>0.15813930239999999</v>
      </c>
      <c r="AN51" s="39">
        <v>8.1132012200000006E-2</v>
      </c>
      <c r="AO51" s="39">
        <v>4.1621967099999997E-2</v>
      </c>
      <c r="AP51" s="39">
        <v>2.12359687E-2</v>
      </c>
      <c r="AQ51" s="39">
        <v>1.0822403499999999E-2</v>
      </c>
      <c r="AR51" s="39">
        <v>6.0346117200000002E-3</v>
      </c>
      <c r="AS51" s="39">
        <v>3.1093083700000001E-3</v>
      </c>
      <c r="AT51" s="39">
        <v>1.5937664299999999E-3</v>
      </c>
      <c r="AU51" s="39">
        <v>8.1513660700000001E-4</v>
      </c>
      <c r="AV51">
        <v>4.15592475E-4</v>
      </c>
      <c r="AW51" s="39">
        <v>2.0941052500000001E-4</v>
      </c>
    </row>
    <row r="52" spans="2:99" x14ac:dyDescent="0.25">
      <c r="B52" t="s">
        <v>152</v>
      </c>
      <c r="C52">
        <v>413.74764240035898</v>
      </c>
      <c r="D52">
        <v>420.39049462956399</v>
      </c>
      <c r="E52">
        <v>427.14</v>
      </c>
      <c r="F52" s="39">
        <v>434.9696477</v>
      </c>
      <c r="G52" s="39">
        <v>441.82298279999998</v>
      </c>
      <c r="H52">
        <v>491.16218509999999</v>
      </c>
      <c r="I52">
        <v>477.62351840000002</v>
      </c>
      <c r="J52">
        <v>469.11603980000001</v>
      </c>
      <c r="K52" s="39">
        <v>403.8190639</v>
      </c>
      <c r="L52" s="39">
        <v>381.19344899999999</v>
      </c>
      <c r="M52" s="39">
        <v>382.40384829999999</v>
      </c>
      <c r="N52" s="39">
        <v>358.60693179999998</v>
      </c>
      <c r="O52" s="39">
        <v>375.69078039999999</v>
      </c>
      <c r="P52" s="39">
        <v>385.80721060000002</v>
      </c>
      <c r="Q52" s="39">
        <v>400.48548290000002</v>
      </c>
      <c r="R52" s="39">
        <v>405.85389290000001</v>
      </c>
      <c r="S52" s="39">
        <v>402.77380390000002</v>
      </c>
      <c r="T52" s="39">
        <v>356.52762319999999</v>
      </c>
      <c r="U52" s="39">
        <v>385.61902559999999</v>
      </c>
      <c r="V52" s="39">
        <v>399.3427173</v>
      </c>
      <c r="W52" s="39">
        <v>367.90689880000002</v>
      </c>
      <c r="X52" s="39">
        <v>339.68091440000001</v>
      </c>
      <c r="Y52" s="39">
        <v>304.08469100000002</v>
      </c>
      <c r="Z52" s="39">
        <v>266.44860130000001</v>
      </c>
      <c r="AA52" s="39">
        <v>222.05325970000001</v>
      </c>
      <c r="AB52" s="39">
        <v>173.08694130000001</v>
      </c>
      <c r="AC52" s="39">
        <v>125.94369639999999</v>
      </c>
      <c r="AD52" s="39">
        <v>84.595132960000001</v>
      </c>
      <c r="AE52" s="39">
        <v>52.804100740000003</v>
      </c>
      <c r="AF52" s="39">
        <v>30.580345690000001</v>
      </c>
      <c r="AG52" s="39">
        <v>16.731816800000001</v>
      </c>
      <c r="AH52" s="39">
        <v>8.8002385299999997</v>
      </c>
      <c r="AI52" s="39">
        <v>4.6423236619999999</v>
      </c>
      <c r="AJ52" s="39">
        <v>2.394855143</v>
      </c>
      <c r="AK52" s="39">
        <v>1.2129091030000001</v>
      </c>
      <c r="AL52" s="39">
        <v>0.61076839819999995</v>
      </c>
      <c r="AM52" s="39">
        <v>0.3051170171</v>
      </c>
      <c r="AN52" s="39">
        <v>0.15164364189999999</v>
      </c>
      <c r="AO52" s="39">
        <v>7.5516743799999994E-2</v>
      </c>
      <c r="AP52" s="39">
        <v>3.74367954E-2</v>
      </c>
      <c r="AQ52" s="39">
        <v>1.85227146E-2</v>
      </c>
      <c r="AR52" s="39">
        <v>9.5421880300000008E-3</v>
      </c>
      <c r="AS52" s="39">
        <v>4.7791807599999996E-3</v>
      </c>
      <c r="AT52" s="39">
        <v>2.3786266200000001E-3</v>
      </c>
      <c r="AU52" s="39">
        <v>1.1820886E-3</v>
      </c>
      <c r="AV52">
        <v>5.8587563E-4</v>
      </c>
      <c r="AW52" s="39">
        <v>2.8679074499999999E-4</v>
      </c>
    </row>
    <row r="53" spans="2:99" x14ac:dyDescent="0.25">
      <c r="B53" t="s">
        <v>153</v>
      </c>
      <c r="C53">
        <v>652.80183578723302</v>
      </c>
      <c r="D53">
        <v>663.28278041553403</v>
      </c>
      <c r="E53">
        <v>673.93200000000002</v>
      </c>
      <c r="F53" s="39">
        <v>691.41231819999996</v>
      </c>
      <c r="G53" s="39">
        <v>682.87670639999999</v>
      </c>
      <c r="H53">
        <v>751.5741673</v>
      </c>
      <c r="I53">
        <v>732.4007087</v>
      </c>
      <c r="J53">
        <v>715.29615709999996</v>
      </c>
      <c r="K53" s="39">
        <v>615.24184690000004</v>
      </c>
      <c r="L53" s="39">
        <v>580.12031879999995</v>
      </c>
      <c r="M53" s="39">
        <v>580.34830869999996</v>
      </c>
      <c r="N53" s="39">
        <v>551.01315360000001</v>
      </c>
      <c r="O53" s="39">
        <v>577.61966470000004</v>
      </c>
      <c r="P53" s="39">
        <v>600.61902550000002</v>
      </c>
      <c r="Q53" s="39">
        <v>613.85121979999997</v>
      </c>
      <c r="R53" s="39">
        <v>619.37336749999997</v>
      </c>
      <c r="S53" s="39">
        <v>598.60826770000006</v>
      </c>
      <c r="T53" s="39">
        <v>534.47118450000005</v>
      </c>
      <c r="U53" s="39">
        <v>558.11238909999997</v>
      </c>
      <c r="V53" s="39">
        <v>568.33925810000005</v>
      </c>
      <c r="W53" s="39">
        <v>520.41795030000003</v>
      </c>
      <c r="X53" s="39">
        <v>477.74302089999998</v>
      </c>
      <c r="Y53" s="39">
        <v>424.93900289999999</v>
      </c>
      <c r="Z53" s="39">
        <v>370.36938020000002</v>
      </c>
      <c r="AA53" s="39">
        <v>307.20563759999999</v>
      </c>
      <c r="AB53" s="39">
        <v>238.19196819999999</v>
      </c>
      <c r="AC53" s="39">
        <v>172.3014014</v>
      </c>
      <c r="AD53" s="39">
        <v>115.07854469999999</v>
      </c>
      <c r="AE53" s="39">
        <v>71.452087140000003</v>
      </c>
      <c r="AF53" s="39">
        <v>41.143788960000002</v>
      </c>
      <c r="AG53" s="39">
        <v>22.372596049999999</v>
      </c>
      <c r="AH53" s="39">
        <v>11.69078451</v>
      </c>
      <c r="AI53" s="39">
        <v>6.1300520909999996</v>
      </c>
      <c r="AJ53" s="39">
        <v>3.1420540699999999</v>
      </c>
      <c r="AK53" s="39">
        <v>1.5802411350000001</v>
      </c>
      <c r="AL53" s="39">
        <v>0.79003960129999995</v>
      </c>
      <c r="AM53" s="39">
        <v>0.39180804320000001</v>
      </c>
      <c r="AN53" s="39">
        <v>0.19346656540000001</v>
      </c>
      <c r="AO53" s="39">
        <v>9.5749847200000002E-2</v>
      </c>
      <c r="AP53" s="39">
        <v>4.71803711E-2</v>
      </c>
      <c r="AQ53" s="39">
        <v>2.3192069199999998E-2</v>
      </c>
      <c r="AR53" s="39">
        <v>1.16706034E-2</v>
      </c>
      <c r="AS53" s="39">
        <v>5.8087132999999997E-3</v>
      </c>
      <c r="AT53" s="39">
        <v>2.87155392E-3</v>
      </c>
      <c r="AU53" s="39">
        <v>1.4175796599999999E-3</v>
      </c>
      <c r="AV53">
        <v>6.97940075E-4</v>
      </c>
      <c r="AW53" s="39">
        <v>3.3925606399999998E-4</v>
      </c>
    </row>
    <row r="54" spans="2:99" x14ac:dyDescent="0.25">
      <c r="B54" t="s">
        <v>154</v>
      </c>
      <c r="C54">
        <v>643.60744373389196</v>
      </c>
      <c r="D54">
        <v>653.94076942376603</v>
      </c>
      <c r="E54">
        <v>664.44</v>
      </c>
      <c r="F54" s="39">
        <v>683.57332910000002</v>
      </c>
      <c r="G54" s="39">
        <v>673.90088460000004</v>
      </c>
      <c r="H54">
        <v>739.91115219999995</v>
      </c>
      <c r="I54">
        <v>721.19857979999995</v>
      </c>
      <c r="J54">
        <v>702.46477900000002</v>
      </c>
      <c r="K54" s="39">
        <v>603.66912709999997</v>
      </c>
      <c r="L54" s="39">
        <v>569.05444369999998</v>
      </c>
      <c r="M54" s="39">
        <v>568.91867909999996</v>
      </c>
      <c r="N54" s="39">
        <v>531.93597209999996</v>
      </c>
      <c r="O54" s="39">
        <v>558.43873410000003</v>
      </c>
      <c r="P54" s="39">
        <v>583.27493070000003</v>
      </c>
      <c r="Q54" s="39">
        <v>589.18393079999998</v>
      </c>
      <c r="R54" s="39">
        <v>595.76124589999995</v>
      </c>
      <c r="S54" s="39">
        <v>563.4232366</v>
      </c>
      <c r="T54" s="39">
        <v>515.06818950000002</v>
      </c>
      <c r="U54" s="39">
        <v>528.33009270000002</v>
      </c>
      <c r="V54" s="39">
        <v>533.39180810000005</v>
      </c>
      <c r="W54" s="39">
        <v>486.76385499999998</v>
      </c>
      <c r="X54" s="39">
        <v>445.37924889999999</v>
      </c>
      <c r="Y54" s="39">
        <v>394.79525719999998</v>
      </c>
      <c r="Z54" s="39">
        <v>343.11092810000002</v>
      </c>
      <c r="AA54" s="39">
        <v>283.86498949999998</v>
      </c>
      <c r="AB54" s="39">
        <v>219.4067325</v>
      </c>
      <c r="AC54" s="39">
        <v>158.16560620000001</v>
      </c>
      <c r="AD54" s="39">
        <v>105.3019134</v>
      </c>
      <c r="AE54" s="39">
        <v>65.187305460000005</v>
      </c>
      <c r="AF54" s="39">
        <v>37.416397949999997</v>
      </c>
      <c r="AG54" s="39">
        <v>20.275672920000002</v>
      </c>
      <c r="AH54" s="39">
        <v>10.55681145</v>
      </c>
      <c r="AI54" s="39">
        <v>5.517133802</v>
      </c>
      <c r="AJ54" s="39">
        <v>2.8179187099999998</v>
      </c>
      <c r="AK54" s="39">
        <v>1.4117878720000001</v>
      </c>
      <c r="AL54" s="39">
        <v>0.7030419255</v>
      </c>
      <c r="AM54" s="39">
        <v>0.34727167060000003</v>
      </c>
      <c r="AN54" s="39">
        <v>0.1708377425</v>
      </c>
      <c r="AO54" s="39">
        <v>8.4251268300000001E-2</v>
      </c>
      <c r="AP54" s="39">
        <v>4.1370551499999998E-2</v>
      </c>
      <c r="AQ54" s="39">
        <v>2.0260967500000001E-2</v>
      </c>
      <c r="AR54" s="39">
        <v>1.00672443E-2</v>
      </c>
      <c r="AS54" s="39">
        <v>4.9929728400000001E-3</v>
      </c>
      <c r="AT54" s="39">
        <v>2.45897563E-3</v>
      </c>
      <c r="AU54" s="39">
        <v>1.20942221E-3</v>
      </c>
      <c r="AV54">
        <v>5.9328165499999996E-4</v>
      </c>
      <c r="AW54" s="39">
        <v>2.8728640599999999E-4</v>
      </c>
    </row>
    <row r="55" spans="2:99" x14ac:dyDescent="0.25">
      <c r="B55" t="s">
        <v>155</v>
      </c>
      <c r="C55">
        <v>413.74764240035898</v>
      </c>
      <c r="D55">
        <v>420.39049462956399</v>
      </c>
      <c r="E55">
        <v>427.14</v>
      </c>
      <c r="F55" s="39">
        <v>442.96372289999999</v>
      </c>
      <c r="G55" s="39">
        <v>428.95878279999999</v>
      </c>
      <c r="H55">
        <v>466.64099759999999</v>
      </c>
      <c r="I55">
        <v>455.57811659999999</v>
      </c>
      <c r="J55">
        <v>440.7187922</v>
      </c>
      <c r="K55" s="39">
        <v>378.1276987</v>
      </c>
      <c r="L55" s="39">
        <v>361.22810149999998</v>
      </c>
      <c r="M55" s="39">
        <v>360.29949620000002</v>
      </c>
      <c r="N55" s="39">
        <v>328.35249779999998</v>
      </c>
      <c r="O55" s="39">
        <v>345.78219200000001</v>
      </c>
      <c r="P55" s="39">
        <v>358.81218610000002</v>
      </c>
      <c r="Q55" s="39">
        <v>355.88417950000002</v>
      </c>
      <c r="R55" s="39">
        <v>352.91837520000001</v>
      </c>
      <c r="S55" s="39">
        <v>314.30628539999998</v>
      </c>
      <c r="T55" s="39">
        <v>300.1291617</v>
      </c>
      <c r="U55" s="39">
        <v>281.98261939999998</v>
      </c>
      <c r="V55" s="39">
        <v>276.99009719999998</v>
      </c>
      <c r="W55" s="39">
        <v>250.24386250000001</v>
      </c>
      <c r="X55" s="39">
        <v>226.8015202</v>
      </c>
      <c r="Y55" s="39">
        <v>198.962469</v>
      </c>
      <c r="Z55" s="39">
        <v>171.4403648</v>
      </c>
      <c r="AA55" s="39">
        <v>140.76833809999999</v>
      </c>
      <c r="AB55" s="39">
        <v>107.8696092</v>
      </c>
      <c r="AC55" s="39">
        <v>77.032002039999995</v>
      </c>
      <c r="AD55" s="39">
        <v>50.832465159999998</v>
      </c>
      <c r="AE55" s="39">
        <v>31.211240719999999</v>
      </c>
      <c r="AF55" s="39">
        <v>17.759411400000001</v>
      </c>
      <c r="AG55" s="39">
        <v>9.5350642190000006</v>
      </c>
      <c r="AH55" s="39">
        <v>4.9175175280000003</v>
      </c>
      <c r="AI55" s="39">
        <v>2.5478840260000002</v>
      </c>
      <c r="AJ55" s="39">
        <v>1.289700912</v>
      </c>
      <c r="AK55" s="39">
        <v>0.64001989690000005</v>
      </c>
      <c r="AL55" s="39">
        <v>0.31570632240000002</v>
      </c>
      <c r="AM55" s="39">
        <v>0.1545016665</v>
      </c>
      <c r="AN55" s="39">
        <v>7.5397246200000004E-2</v>
      </c>
      <c r="AO55" s="39">
        <v>3.6910709899999998E-2</v>
      </c>
      <c r="AP55" s="39">
        <v>1.7999545499999998E-2</v>
      </c>
      <c r="AQ55" s="39">
        <v>8.7527628800000007E-3</v>
      </c>
      <c r="AR55" s="39">
        <v>4.2508131400000003E-3</v>
      </c>
      <c r="AS55" s="39">
        <v>2.0972948300000001E-3</v>
      </c>
      <c r="AT55" s="39">
        <v>1.02753662E-3</v>
      </c>
      <c r="AU55" s="39">
        <v>5.0303070400000002E-4</v>
      </c>
      <c r="AV55">
        <v>2.45729063E-4</v>
      </c>
      <c r="AW55" s="39">
        <v>1.18521807E-4</v>
      </c>
    </row>
    <row r="56" spans="2:99" x14ac:dyDescent="0.25">
      <c r="B56" t="s">
        <v>156</v>
      </c>
      <c r="C56">
        <v>137.915880800119</v>
      </c>
      <c r="D56">
        <v>140.13016487652101</v>
      </c>
      <c r="E56">
        <v>142.38</v>
      </c>
      <c r="F56" s="39">
        <v>151.33909349999999</v>
      </c>
      <c r="G56" s="39">
        <v>138.69163209999999</v>
      </c>
      <c r="H56">
        <v>146.52392570000001</v>
      </c>
      <c r="I56">
        <v>143.7858334</v>
      </c>
      <c r="J56">
        <v>136.07527200000001</v>
      </c>
      <c r="K56" s="39">
        <v>116.1345893</v>
      </c>
      <c r="L56" s="39">
        <v>107.9163448</v>
      </c>
      <c r="M56" s="39">
        <v>106.7281054</v>
      </c>
      <c r="N56" s="39">
        <v>93.454703420000001</v>
      </c>
      <c r="O56" s="39">
        <v>98.12824569</v>
      </c>
      <c r="P56" s="39">
        <v>110.1145027</v>
      </c>
      <c r="Q56" s="39">
        <v>105.8532251</v>
      </c>
      <c r="R56" s="39">
        <v>101.6257706</v>
      </c>
      <c r="S56" s="39">
        <v>80.635424860000001</v>
      </c>
      <c r="T56" s="39">
        <v>52.652678829999999</v>
      </c>
      <c r="U56" s="39">
        <v>38.602101679999997</v>
      </c>
      <c r="V56" s="39">
        <v>33.621458310000001</v>
      </c>
      <c r="W56" s="39">
        <v>29.02795982</v>
      </c>
      <c r="X56" s="39">
        <v>25.188797229999999</v>
      </c>
      <c r="Y56" s="39">
        <v>21.067769810000001</v>
      </c>
      <c r="Z56" s="39">
        <v>17.44707305</v>
      </c>
      <c r="AA56" s="39">
        <v>13.82787514</v>
      </c>
      <c r="AB56" s="39">
        <v>10.16830854</v>
      </c>
      <c r="AC56" s="39">
        <v>6.9384066659999997</v>
      </c>
      <c r="AD56" s="39">
        <v>4.386640614</v>
      </c>
      <c r="AE56" s="39">
        <v>2.5882534239999999</v>
      </c>
      <c r="AF56" s="39">
        <v>1.4113821150000001</v>
      </c>
      <c r="AG56" s="39">
        <v>0.72411915930000004</v>
      </c>
      <c r="AH56" s="39">
        <v>0.35632645950000003</v>
      </c>
      <c r="AI56" s="39">
        <v>0.17694021600000001</v>
      </c>
      <c r="AJ56" s="39">
        <v>8.5678227999999995E-2</v>
      </c>
      <c r="AK56" s="39">
        <v>4.0566126600000002E-2</v>
      </c>
      <c r="AL56" s="39">
        <v>1.9095994299999999E-2</v>
      </c>
      <c r="AM56" s="39">
        <v>8.9280522500000004E-3</v>
      </c>
      <c r="AN56" s="39">
        <v>4.1845160899999997E-3</v>
      </c>
      <c r="AO56" s="39">
        <v>1.9743283499999999E-3</v>
      </c>
      <c r="AP56" s="39">
        <v>9.3002156899999995E-4</v>
      </c>
      <c r="AQ56" s="39">
        <v>4.3659309699999998E-4</v>
      </c>
      <c r="AR56" s="39">
        <v>1.90659545E-4</v>
      </c>
      <c r="AS56" s="39">
        <v>9.1744167500000003E-5</v>
      </c>
      <c r="AT56" s="39">
        <v>4.3856431899999998E-5</v>
      </c>
      <c r="AU56" s="39">
        <v>2.1004514299999998E-5</v>
      </c>
      <c r="AV56" s="39">
        <v>1.0061894299999999E-5</v>
      </c>
      <c r="AW56" s="39">
        <v>4.7656364999999996E-6</v>
      </c>
    </row>
    <row r="57" spans="2:99" x14ac:dyDescent="0.25">
      <c r="B57" t="s">
        <v>157</v>
      </c>
      <c r="C57">
        <v>34.478970200029899</v>
      </c>
      <c r="D57">
        <v>35.032541219130302</v>
      </c>
      <c r="E57">
        <v>35.594999999999999</v>
      </c>
      <c r="F57" s="39">
        <v>40.193883040000003</v>
      </c>
      <c r="G57" s="39">
        <v>32.208110660000003</v>
      </c>
      <c r="H57">
        <v>32.911164579999998</v>
      </c>
      <c r="I57">
        <v>32.004782050000003</v>
      </c>
      <c r="J57">
        <v>27.3939229</v>
      </c>
      <c r="K57" s="39">
        <v>22.296587379999998</v>
      </c>
      <c r="L57" s="39">
        <v>17.31639088</v>
      </c>
      <c r="M57" s="39">
        <v>16.888386529999998</v>
      </c>
      <c r="N57" s="39">
        <v>18.643987039999999</v>
      </c>
      <c r="O57" s="39">
        <v>19.046834230000002</v>
      </c>
      <c r="P57" s="39">
        <v>25.121588119999998</v>
      </c>
      <c r="Q57" s="39">
        <v>21.106476839999999</v>
      </c>
      <c r="R57" s="39">
        <v>17.049234670000001</v>
      </c>
      <c r="S57" s="39">
        <v>11.028619320000001</v>
      </c>
      <c r="T57" s="39">
        <v>3.7316537489999999</v>
      </c>
      <c r="U57" s="39">
        <v>0</v>
      </c>
      <c r="V57" s="39">
        <v>0</v>
      </c>
      <c r="W57" s="39">
        <v>0</v>
      </c>
      <c r="X57" s="39">
        <v>0</v>
      </c>
      <c r="Y57" s="39">
        <v>0</v>
      </c>
      <c r="Z57" s="39">
        <v>0</v>
      </c>
      <c r="AA57" s="39">
        <v>0</v>
      </c>
      <c r="AB57" s="39">
        <v>0</v>
      </c>
      <c r="AC57" s="39">
        <v>0</v>
      </c>
      <c r="AD57" s="39">
        <v>0</v>
      </c>
      <c r="AE57" s="39">
        <v>0</v>
      </c>
      <c r="AF57" s="39">
        <v>0</v>
      </c>
      <c r="AG57" s="39">
        <v>0</v>
      </c>
      <c r="AH57" s="39">
        <v>0</v>
      </c>
      <c r="AI57" s="39">
        <v>0</v>
      </c>
      <c r="AJ57" s="39">
        <v>0</v>
      </c>
      <c r="AK57" s="39">
        <v>0</v>
      </c>
      <c r="AL57" s="39">
        <v>0</v>
      </c>
      <c r="AM57" s="39">
        <v>0</v>
      </c>
      <c r="AN57" s="39">
        <v>0</v>
      </c>
      <c r="AO57" s="39">
        <v>0</v>
      </c>
      <c r="AP57" s="39">
        <v>0</v>
      </c>
      <c r="AQ57" s="39">
        <v>0</v>
      </c>
      <c r="AR57">
        <v>0</v>
      </c>
      <c r="AS57">
        <v>0</v>
      </c>
      <c r="AT57">
        <v>0</v>
      </c>
      <c r="AU57">
        <v>0</v>
      </c>
      <c r="AV57" s="39">
        <v>0</v>
      </c>
      <c r="AW57" s="39">
        <v>0</v>
      </c>
      <c r="CT57" s="39"/>
      <c r="CU57" s="39"/>
    </row>
    <row r="58" spans="2:99" x14ac:dyDescent="0.25">
      <c r="B58" t="s">
        <v>158</v>
      </c>
      <c r="C58">
        <v>1.1492990066676601</v>
      </c>
      <c r="D58">
        <v>1.1677513739710099</v>
      </c>
      <c r="E58">
        <v>1.1865000000000001</v>
      </c>
      <c r="F58" s="39">
        <v>2.2255956530000001</v>
      </c>
      <c r="G58" s="39">
        <v>4.0463827349999999</v>
      </c>
      <c r="H58">
        <v>6.7635844599999997</v>
      </c>
      <c r="I58">
        <v>9.5754138409999996</v>
      </c>
      <c r="J58">
        <v>13.281450619999999</v>
      </c>
      <c r="K58" s="39">
        <v>16.167979119999998</v>
      </c>
      <c r="L58" s="39">
        <v>20.84896281</v>
      </c>
      <c r="M58" s="39">
        <v>27.804745109999999</v>
      </c>
      <c r="N58" s="39">
        <v>34.049899770000003</v>
      </c>
      <c r="O58" s="39">
        <v>46.608309159999997</v>
      </c>
      <c r="P58" s="39">
        <v>63.23264425</v>
      </c>
      <c r="Q58" s="39">
        <v>83.734285819999997</v>
      </c>
      <c r="R58" s="39">
        <v>108.71535129999999</v>
      </c>
      <c r="S58" s="39">
        <v>133.1037312</v>
      </c>
      <c r="T58" s="39">
        <v>151.75814170000001</v>
      </c>
      <c r="U58" s="39">
        <v>198.63044970000001</v>
      </c>
      <c r="V58" s="39">
        <v>254.2418931</v>
      </c>
      <c r="W58" s="39">
        <v>290.0021327</v>
      </c>
      <c r="X58" s="39">
        <v>328.30306230000002</v>
      </c>
      <c r="Y58" s="39">
        <v>382.44882910000001</v>
      </c>
      <c r="Z58" s="39">
        <v>479.9896387</v>
      </c>
      <c r="AA58" s="39">
        <v>630.35226729999999</v>
      </c>
      <c r="AB58" s="39">
        <v>792.01476219999995</v>
      </c>
      <c r="AC58" s="39">
        <v>956.2041845</v>
      </c>
      <c r="AD58" s="39">
        <v>1103.713704</v>
      </c>
      <c r="AE58" s="39">
        <v>1230.756114</v>
      </c>
      <c r="AF58" s="39">
        <v>1319.7285360000001</v>
      </c>
      <c r="AG58" s="39">
        <v>1375.531706</v>
      </c>
      <c r="AH58" s="39">
        <v>1405.2131790000001</v>
      </c>
      <c r="AI58" s="39">
        <v>1457.2655749999999</v>
      </c>
      <c r="AJ58" s="39">
        <v>1487.3184020000001</v>
      </c>
      <c r="AK58" s="39">
        <v>1495.074564</v>
      </c>
      <c r="AL58" s="39">
        <v>1496.9028760000001</v>
      </c>
      <c r="AM58" s="39">
        <v>1488.301123</v>
      </c>
      <c r="AN58">
        <v>1474.825182</v>
      </c>
      <c r="AO58">
        <v>1465.186993</v>
      </c>
      <c r="AP58">
        <v>1449.5439040000001</v>
      </c>
      <c r="AQ58">
        <v>1431.1822070000001</v>
      </c>
      <c r="AR58">
        <v>1458.4646729999999</v>
      </c>
      <c r="AS58">
        <v>1459.2315490000001</v>
      </c>
      <c r="AT58">
        <v>1450.7969849999999</v>
      </c>
      <c r="AU58">
        <v>1440.610025</v>
      </c>
      <c r="AV58">
        <v>1426.939331</v>
      </c>
      <c r="AW58">
        <v>1396.021109</v>
      </c>
    </row>
    <row r="59" spans="2:99" x14ac:dyDescent="0.25">
      <c r="B59" t="s">
        <v>159</v>
      </c>
      <c r="C59">
        <v>3.4228836395600501E-3</v>
      </c>
      <c r="D59">
        <v>3.4778391435562701E-3</v>
      </c>
      <c r="E59">
        <v>3.5336769799999999E-3</v>
      </c>
      <c r="F59" s="39">
        <v>4.3935215499999996E-3</v>
      </c>
      <c r="G59" s="39">
        <v>9.8556254399999998E-3</v>
      </c>
      <c r="H59">
        <v>3.4994797199999997E-2</v>
      </c>
      <c r="I59">
        <v>5.4354143000000001E-2</v>
      </c>
      <c r="J59">
        <v>8.0925379800000002E-2</v>
      </c>
      <c r="K59" s="39">
        <v>9.69477282E-2</v>
      </c>
      <c r="L59" s="39">
        <v>0.13609568899999999</v>
      </c>
      <c r="M59" s="39">
        <v>0.22434760309999999</v>
      </c>
      <c r="N59" s="39">
        <v>0.30608423759999998</v>
      </c>
      <c r="O59" s="39">
        <v>0.4527600644</v>
      </c>
      <c r="P59" s="39">
        <v>0.18633325549999999</v>
      </c>
      <c r="Q59" s="39">
        <v>0.3526436986</v>
      </c>
      <c r="R59" s="39">
        <v>0.6688869999</v>
      </c>
      <c r="S59" s="39">
        <v>1.137532762</v>
      </c>
      <c r="T59" s="39">
        <v>1.738965632</v>
      </c>
      <c r="U59" s="39">
        <v>4.4634832370000002</v>
      </c>
      <c r="V59" s="39">
        <v>7.5282063609999996</v>
      </c>
      <c r="W59" s="39">
        <v>9.3290535139999999</v>
      </c>
      <c r="X59" s="39">
        <v>11.329572110000001</v>
      </c>
      <c r="Y59" s="39">
        <v>14.21850199</v>
      </c>
      <c r="Z59" s="39">
        <v>18.982496520000002</v>
      </c>
      <c r="AA59" s="39">
        <v>26.27813497</v>
      </c>
      <c r="AB59" s="39">
        <v>34.807319210000003</v>
      </c>
      <c r="AC59" s="39">
        <v>44.247117080000002</v>
      </c>
      <c r="AD59" s="39">
        <v>53.801887290000003</v>
      </c>
      <c r="AE59" s="39">
        <v>63.032464259999998</v>
      </c>
      <c r="AF59" s="39">
        <v>71.097551019999997</v>
      </c>
      <c r="AG59" s="39">
        <v>77.949729649999995</v>
      </c>
      <c r="AH59" s="39">
        <v>83.737698370000004</v>
      </c>
      <c r="AI59" s="39">
        <v>90.874672570000001</v>
      </c>
      <c r="AJ59" s="39">
        <v>97.181495740000003</v>
      </c>
      <c r="AK59" s="39">
        <v>102.4890295</v>
      </c>
      <c r="AL59" s="39">
        <v>107.4893917</v>
      </c>
      <c r="AM59" s="39">
        <v>111.8937018</v>
      </c>
      <c r="AN59">
        <v>115.2769523</v>
      </c>
      <c r="AO59">
        <v>118.7535889</v>
      </c>
      <c r="AP59">
        <v>121.7859567</v>
      </c>
      <c r="AQ59">
        <v>124.5996399</v>
      </c>
      <c r="AR59">
        <v>143.22682470000001</v>
      </c>
      <c r="AS59">
        <v>147.82289209999999</v>
      </c>
      <c r="AT59">
        <v>151.73073429999999</v>
      </c>
      <c r="AU59">
        <v>155.4347429</v>
      </c>
      <c r="AV59">
        <v>158.75551340000001</v>
      </c>
      <c r="AW59">
        <v>160.31113360000001</v>
      </c>
    </row>
    <row r="60" spans="2:99" x14ac:dyDescent="0.25">
      <c r="B60" t="s">
        <v>160</v>
      </c>
      <c r="C60">
        <v>7.8463024968376607E-3</v>
      </c>
      <c r="D60">
        <v>7.9722774213828399E-3</v>
      </c>
      <c r="E60">
        <v>8.10027491E-3</v>
      </c>
      <c r="F60" s="39">
        <v>1.36514549E-2</v>
      </c>
      <c r="G60" s="39">
        <v>2.6110447500000002E-2</v>
      </c>
      <c r="H60">
        <v>5.6369057200000003E-2</v>
      </c>
      <c r="I60">
        <v>8.3089594099999997E-2</v>
      </c>
      <c r="J60">
        <v>0.1190222388</v>
      </c>
      <c r="K60" s="39">
        <v>0.14382297299999999</v>
      </c>
      <c r="L60" s="39">
        <v>0.19300790879999999</v>
      </c>
      <c r="M60" s="39">
        <v>0.28629264049999997</v>
      </c>
      <c r="N60" s="39">
        <v>0.37165186620000001</v>
      </c>
      <c r="O60" s="39">
        <v>0.53134933949999996</v>
      </c>
      <c r="P60" s="39">
        <v>0.43032103170000002</v>
      </c>
      <c r="Q60" s="39">
        <v>0.64265867880000005</v>
      </c>
      <c r="R60" s="39">
        <v>0.97866654099999995</v>
      </c>
      <c r="S60" s="39">
        <v>1.4132379310000001</v>
      </c>
      <c r="T60" s="39">
        <v>1.9065568129999999</v>
      </c>
      <c r="U60" s="39">
        <v>3.9170647189999999</v>
      </c>
      <c r="V60" s="39">
        <v>6.1490860549999997</v>
      </c>
      <c r="W60" s="39">
        <v>7.4681027289999999</v>
      </c>
      <c r="X60" s="39">
        <v>8.9194145509999903</v>
      </c>
      <c r="Y60" s="39">
        <v>11.00063128</v>
      </c>
      <c r="Z60" s="39">
        <v>14.478314109999999</v>
      </c>
      <c r="AA60" s="39">
        <v>19.8019599</v>
      </c>
      <c r="AB60" s="39">
        <v>25.914480940000001</v>
      </c>
      <c r="AC60" s="39">
        <v>32.556593450000001</v>
      </c>
      <c r="AD60" s="39">
        <v>39.117720159999998</v>
      </c>
      <c r="AE60" s="39">
        <v>45.31079974</v>
      </c>
      <c r="AF60" s="39">
        <v>50.511698080000002</v>
      </c>
      <c r="AG60" s="39">
        <v>54.72634661</v>
      </c>
      <c r="AH60" s="39">
        <v>58.090913999999998</v>
      </c>
      <c r="AI60" s="39">
        <v>62.353628989999997</v>
      </c>
      <c r="AJ60" s="39">
        <v>65.919268020000004</v>
      </c>
      <c r="AK60" s="39">
        <v>68.686177540000003</v>
      </c>
      <c r="AL60" s="39">
        <v>71.182005989999894</v>
      </c>
      <c r="AM60" s="39">
        <v>73.205803680000002</v>
      </c>
      <c r="AN60">
        <v>74.629269699999995</v>
      </c>
      <c r="AO60">
        <v>76.110235459999998</v>
      </c>
      <c r="AP60">
        <v>77.259785199999996</v>
      </c>
      <c r="AQ60">
        <v>78.228057840000005</v>
      </c>
      <c r="AR60">
        <v>86.623772399999893</v>
      </c>
      <c r="AS60">
        <v>88.490034519999995</v>
      </c>
      <c r="AT60">
        <v>89.84961303</v>
      </c>
      <c r="AU60">
        <v>91.04418321</v>
      </c>
      <c r="AV60">
        <v>91.966704219999997</v>
      </c>
      <c r="AW60">
        <v>91.781948839999998</v>
      </c>
    </row>
    <row r="61" spans="2:99" x14ac:dyDescent="0.25">
      <c r="B61" t="s">
        <v>161</v>
      </c>
      <c r="C61">
        <v>3.2122446463563603E-2</v>
      </c>
      <c r="D61">
        <v>3.2638182731835802E-2</v>
      </c>
      <c r="E61">
        <v>3.31621993E-2</v>
      </c>
      <c r="F61" s="39">
        <v>6.1544270599999999E-2</v>
      </c>
      <c r="G61" s="39">
        <v>0.1124485087</v>
      </c>
      <c r="H61">
        <v>0.19331724049999999</v>
      </c>
      <c r="I61">
        <v>0.2750408768</v>
      </c>
      <c r="J61">
        <v>0.38303957150000001</v>
      </c>
      <c r="K61" s="39">
        <v>0.46585090550000002</v>
      </c>
      <c r="L61" s="39">
        <v>0.60380423699999997</v>
      </c>
      <c r="M61" s="39">
        <v>0.81596532519999998</v>
      </c>
      <c r="N61" s="39">
        <v>1.0069859329999999</v>
      </c>
      <c r="O61" s="39">
        <v>1.3866104189999999</v>
      </c>
      <c r="P61" s="39">
        <v>1.7667440619999999</v>
      </c>
      <c r="Q61" s="39">
        <v>2.3703134540000002</v>
      </c>
      <c r="R61" s="39">
        <v>3.1371744320000001</v>
      </c>
      <c r="S61" s="39">
        <v>3.9218732439999999</v>
      </c>
      <c r="T61" s="39">
        <v>4.5777995159999998</v>
      </c>
      <c r="U61" s="39">
        <v>6.447112003</v>
      </c>
      <c r="V61" s="39">
        <v>8.5527102470000003</v>
      </c>
      <c r="W61" s="39">
        <v>9.8615206870000005</v>
      </c>
      <c r="X61" s="39">
        <v>11.26461265</v>
      </c>
      <c r="Y61" s="39">
        <v>13.243978719999999</v>
      </c>
      <c r="Z61" s="39">
        <v>16.743647559999999</v>
      </c>
      <c r="AA61" s="39">
        <v>22.118895989999999</v>
      </c>
      <c r="AB61" s="39">
        <v>27.94550302</v>
      </c>
      <c r="AC61" s="39">
        <v>33.905886799999998</v>
      </c>
      <c r="AD61" s="39">
        <v>39.310538739999998</v>
      </c>
      <c r="AE61" s="39">
        <v>43.993880560000001</v>
      </c>
      <c r="AF61" s="39">
        <v>47.315175150000002</v>
      </c>
      <c r="AG61" s="39">
        <v>49.421443879999998</v>
      </c>
      <c r="AH61" s="39">
        <v>50.546243750000002</v>
      </c>
      <c r="AI61" s="39">
        <v>52.423184999999997</v>
      </c>
      <c r="AJ61" s="39">
        <v>53.45127171</v>
      </c>
      <c r="AK61" s="39">
        <v>53.605544690000002</v>
      </c>
      <c r="AL61" s="39">
        <v>53.474418200000002</v>
      </c>
      <c r="AM61" s="39">
        <v>52.891289200000003</v>
      </c>
      <c r="AN61">
        <v>52.110327830000003</v>
      </c>
      <c r="AO61">
        <v>51.426149260000003</v>
      </c>
      <c r="AP61">
        <v>50.474814979999998</v>
      </c>
      <c r="AQ61">
        <v>49.37372397</v>
      </c>
      <c r="AR61">
        <v>48.131428839999998</v>
      </c>
      <c r="AS61">
        <v>47.425377189999999</v>
      </c>
      <c r="AT61">
        <v>46.32466007</v>
      </c>
      <c r="AU61" s="39">
        <v>45.114824319999997</v>
      </c>
      <c r="AV61">
        <v>43.740994929999999</v>
      </c>
      <c r="AW61">
        <v>41.748838300000003</v>
      </c>
    </row>
    <row r="62" spans="2:99" x14ac:dyDescent="0.25">
      <c r="B62" t="s">
        <v>162</v>
      </c>
      <c r="C62">
        <v>0.75461419315223899</v>
      </c>
      <c r="D62">
        <v>0.76672976811017601</v>
      </c>
      <c r="E62">
        <v>0.77903986250000001</v>
      </c>
      <c r="F62" s="39">
        <v>1.4612825009999999</v>
      </c>
      <c r="G62" s="39">
        <v>2.6567896059999998</v>
      </c>
      <c r="H62">
        <v>4.4408425329999996</v>
      </c>
      <c r="I62">
        <v>6.2869911790000002</v>
      </c>
      <c r="J62">
        <v>8.7202216700000008</v>
      </c>
      <c r="K62" s="39">
        <v>10.61545394</v>
      </c>
      <c r="L62" s="39">
        <v>13.688706099999999</v>
      </c>
      <c r="M62" s="39">
        <v>18.23097769</v>
      </c>
      <c r="N62" s="39">
        <v>22.309738230000001</v>
      </c>
      <c r="O62" s="39">
        <v>30.52074013</v>
      </c>
      <c r="P62" s="39">
        <v>41.517692609999997</v>
      </c>
      <c r="Q62" s="39">
        <v>54.978814739999997</v>
      </c>
      <c r="R62" s="39">
        <v>71.379313710000005</v>
      </c>
      <c r="S62" s="39">
        <v>87.240749809999997</v>
      </c>
      <c r="T62" s="39">
        <v>99.239835709999994</v>
      </c>
      <c r="U62" s="39">
        <v>128.7367898</v>
      </c>
      <c r="V62" s="39">
        <v>163.79525039999999</v>
      </c>
      <c r="W62" s="39">
        <v>186.42624559999999</v>
      </c>
      <c r="X62" s="39">
        <v>210.62331380000001</v>
      </c>
      <c r="Y62" s="39">
        <v>244.7938695</v>
      </c>
      <c r="Z62" s="39">
        <v>306.59164620000001</v>
      </c>
      <c r="AA62" s="39">
        <v>401.87881060000001</v>
      </c>
      <c r="AB62" s="39">
        <v>503.93874690000001</v>
      </c>
      <c r="AC62" s="39">
        <v>607.15172159999997</v>
      </c>
      <c r="AD62" s="39">
        <v>699.2669386</v>
      </c>
      <c r="AE62" s="39">
        <v>778.02719130000003</v>
      </c>
      <c r="AF62" s="39">
        <v>832.26862989999995</v>
      </c>
      <c r="AG62" s="39">
        <v>865.25786270000003</v>
      </c>
      <c r="AH62" s="39">
        <v>881.57066090000001</v>
      </c>
      <c r="AI62" s="39">
        <v>911.90318079999997</v>
      </c>
      <c r="AJ62" s="39">
        <v>928.15193509999995</v>
      </c>
      <c r="AK62" s="39">
        <v>930.21745729999998</v>
      </c>
      <c r="AL62" s="39">
        <v>928.53313969999999</v>
      </c>
      <c r="AM62" s="39">
        <v>920.28727400000002</v>
      </c>
      <c r="AN62">
        <v>909.40508969999996</v>
      </c>
      <c r="AO62">
        <v>901.00843269999996</v>
      </c>
      <c r="AP62">
        <v>888.8945453</v>
      </c>
      <c r="AQ62">
        <v>875.10873600000002</v>
      </c>
      <c r="AR62">
        <v>882.38686099999995</v>
      </c>
      <c r="AS62">
        <v>880.24357010000006</v>
      </c>
      <c r="AT62">
        <v>872.41455380000002</v>
      </c>
      <c r="AU62">
        <v>863.54999239999995</v>
      </c>
      <c r="AV62">
        <v>852.60863659999995</v>
      </c>
      <c r="AW62">
        <v>831.28230889999998</v>
      </c>
    </row>
    <row r="63" spans="2:99" x14ac:dyDescent="0.25">
      <c r="B63" t="s">
        <v>163</v>
      </c>
      <c r="C63">
        <v>0.29742225840361802</v>
      </c>
      <c r="D63">
        <v>0.302197468966243</v>
      </c>
      <c r="E63">
        <v>0.30704934709999998</v>
      </c>
      <c r="F63" s="39">
        <v>0.57715336880000001</v>
      </c>
      <c r="G63" s="39">
        <v>1.0483274300000001</v>
      </c>
      <c r="H63">
        <v>1.742276143</v>
      </c>
      <c r="I63">
        <v>2.4639712560000002</v>
      </c>
      <c r="J63">
        <v>3.414595415</v>
      </c>
      <c r="K63" s="39">
        <v>4.1575635310000001</v>
      </c>
      <c r="L63" s="39">
        <v>5.3552061740000001</v>
      </c>
      <c r="M63" s="39">
        <v>7.1088432170000004</v>
      </c>
      <c r="N63" s="39">
        <v>8.6821692590000001</v>
      </c>
      <c r="O63" s="39">
        <v>11.859137649999999</v>
      </c>
      <c r="P63" s="39">
        <v>16.364781270000002</v>
      </c>
      <c r="Q63" s="39">
        <v>21.613447050000001</v>
      </c>
      <c r="R63" s="39">
        <v>27.94664092</v>
      </c>
      <c r="S63" s="39">
        <v>33.983271029999997</v>
      </c>
      <c r="T63" s="39">
        <v>38.415753129999999</v>
      </c>
      <c r="U63" s="39">
        <v>48.635793560000003</v>
      </c>
      <c r="V63" s="39">
        <v>60.883979969999999</v>
      </c>
      <c r="W63" s="39">
        <v>68.889124390000006</v>
      </c>
      <c r="X63" s="39">
        <v>77.410101310000002</v>
      </c>
      <c r="Y63" s="39">
        <v>89.412376280000004</v>
      </c>
      <c r="Z63" s="39">
        <v>111.3664358</v>
      </c>
      <c r="AA63" s="39">
        <v>145.24875420000001</v>
      </c>
      <c r="AB63" s="39">
        <v>181.17201840000001</v>
      </c>
      <c r="AC63" s="39">
        <v>217.0873205</v>
      </c>
      <c r="AD63" s="39">
        <v>248.57100199999999</v>
      </c>
      <c r="AE63" s="39">
        <v>274.96324870000001</v>
      </c>
      <c r="AF63" s="39">
        <v>292.29434659999998</v>
      </c>
      <c r="AG63" s="39">
        <v>301.88415500000002</v>
      </c>
      <c r="AH63" s="39">
        <v>305.46774979999998</v>
      </c>
      <c r="AI63" s="39">
        <v>313.93066800000003</v>
      </c>
      <c r="AJ63" s="39">
        <v>317.30420839999999</v>
      </c>
      <c r="AK63" s="39">
        <v>315.64162779999998</v>
      </c>
      <c r="AL63" s="39">
        <v>312.70478910000003</v>
      </c>
      <c r="AM63" s="39">
        <v>307.53589779999999</v>
      </c>
      <c r="AN63">
        <v>301.84421320000001</v>
      </c>
      <c r="AO63">
        <v>297.11605049999997</v>
      </c>
      <c r="AP63">
        <v>291.18605220000001</v>
      </c>
      <c r="AQ63">
        <v>284.750337</v>
      </c>
      <c r="AR63">
        <v>280.36026950000002</v>
      </c>
      <c r="AS63">
        <v>277.90132360000001</v>
      </c>
      <c r="AT63">
        <v>273.60995650000001</v>
      </c>
      <c r="AU63">
        <v>269.0630319</v>
      </c>
      <c r="AV63">
        <v>263.93448510000002</v>
      </c>
      <c r="AW63">
        <v>255.6039944</v>
      </c>
    </row>
    <row r="64" spans="2:99" x14ac:dyDescent="0.25">
      <c r="B64" t="s">
        <v>164</v>
      </c>
      <c r="C64">
        <v>4.0548006191711396E-3</v>
      </c>
      <c r="D64">
        <v>4.1199017546743504E-3</v>
      </c>
      <c r="E64">
        <v>4.1860481099999999E-3</v>
      </c>
      <c r="F64" s="39">
        <v>9.5647455199999905E-3</v>
      </c>
      <c r="G64" s="39">
        <v>1.59560303E-2</v>
      </c>
      <c r="H64">
        <v>1.2593991699999999E-2</v>
      </c>
      <c r="I64" s="39">
        <v>1.42105945E-2</v>
      </c>
      <c r="J64" s="39">
        <v>1.55597433E-2</v>
      </c>
      <c r="K64" s="39">
        <v>2.0114474E-2</v>
      </c>
      <c r="L64" s="39">
        <v>1.7648274700000001E-2</v>
      </c>
      <c r="M64" s="39">
        <v>2.7768466200000001E-2</v>
      </c>
      <c r="N64" s="39">
        <v>3.3982260200000003E-2</v>
      </c>
      <c r="O64" s="39">
        <v>4.64908458E-2</v>
      </c>
      <c r="P64" s="39">
        <v>0.2246081526</v>
      </c>
      <c r="Q64" s="39">
        <v>0.2168310862</v>
      </c>
      <c r="R64" s="39">
        <v>0.12251746920000001</v>
      </c>
      <c r="S64" s="39">
        <v>0.1328830446</v>
      </c>
      <c r="T64" s="39">
        <v>0.1511823883</v>
      </c>
      <c r="U64" s="39">
        <v>0.19635342629999999</v>
      </c>
      <c r="V64" s="39">
        <v>0.25015366490000002</v>
      </c>
      <c r="W64" s="39">
        <v>0.28487952230000002</v>
      </c>
      <c r="X64" s="39">
        <v>0.32203902540000001</v>
      </c>
      <c r="Y64" s="39">
        <v>0.37454921520000001</v>
      </c>
      <c r="Z64" s="39">
        <v>0.46942030089999998</v>
      </c>
      <c r="AA64" s="39">
        <v>0.61571306510000001</v>
      </c>
      <c r="AB64" s="39">
        <v>0.77263753209999997</v>
      </c>
      <c r="AC64" s="39">
        <v>0.93161772990000002</v>
      </c>
      <c r="AD64" s="39">
        <v>1.0739101040000001</v>
      </c>
      <c r="AE64" s="39">
        <v>1.1959807069999999</v>
      </c>
      <c r="AF64" s="39">
        <v>1.2807119119999999</v>
      </c>
      <c r="AG64" s="39">
        <v>1.3330332389999999</v>
      </c>
      <c r="AH64" s="39">
        <v>1.359909977</v>
      </c>
      <c r="AI64" s="39">
        <v>1.4084953410000001</v>
      </c>
      <c r="AJ64" s="39">
        <v>1.4356500210000001</v>
      </c>
      <c r="AK64" s="39">
        <v>1.4411711330000001</v>
      </c>
      <c r="AL64" s="39">
        <v>1.4410251540000001</v>
      </c>
      <c r="AM64" s="39">
        <v>1.430869521</v>
      </c>
      <c r="AN64">
        <v>1.416346989</v>
      </c>
      <c r="AO64">
        <v>1.4056487209999999</v>
      </c>
      <c r="AP64">
        <v>1.3892396520000001</v>
      </c>
      <c r="AQ64">
        <v>1.370287467</v>
      </c>
      <c r="AR64">
        <v>1.3919047760000001</v>
      </c>
      <c r="AS64">
        <v>1.3915281989999999</v>
      </c>
      <c r="AT64">
        <v>1.3823812170000001</v>
      </c>
      <c r="AU64">
        <v>1.3716328870000001</v>
      </c>
      <c r="AV64">
        <v>1.357631359</v>
      </c>
      <c r="AW64" s="39">
        <v>1.3272528079999999</v>
      </c>
      <c r="BV64" s="39"/>
    </row>
    <row r="65" spans="2:49" x14ac:dyDescent="0.25">
      <c r="B65" t="s">
        <v>165</v>
      </c>
      <c r="C65">
        <v>4.9816121892674002E-2</v>
      </c>
      <c r="D65">
        <v>5.0615935843142099E-2</v>
      </c>
      <c r="E65">
        <v>5.1428591099999997E-2</v>
      </c>
      <c r="F65" s="39">
        <v>9.8005790800000006E-2</v>
      </c>
      <c r="G65" s="39">
        <v>0.17689508649999999</v>
      </c>
      <c r="H65">
        <v>0.28319069629999999</v>
      </c>
      <c r="I65">
        <v>0.39775619820000002</v>
      </c>
      <c r="J65">
        <v>0.54808659719999997</v>
      </c>
      <c r="K65" s="39">
        <v>0.66822557699999996</v>
      </c>
      <c r="L65" s="39">
        <v>0.85449442320000002</v>
      </c>
      <c r="M65" s="39">
        <v>1.1105501680000001</v>
      </c>
      <c r="N65" s="39">
        <v>1.3392879870000001</v>
      </c>
      <c r="O65" s="39">
        <v>1.811220716</v>
      </c>
      <c r="P65" s="39">
        <v>2.7421638759999998</v>
      </c>
      <c r="Q65" s="39">
        <v>3.5595771049999998</v>
      </c>
      <c r="R65" s="39">
        <v>4.4821511970000003</v>
      </c>
      <c r="S65" s="39">
        <v>5.27418341</v>
      </c>
      <c r="T65" s="39">
        <v>5.7280485069999996</v>
      </c>
      <c r="U65" s="39">
        <v>6.2338529730000003</v>
      </c>
      <c r="V65" s="39">
        <v>7.0825064370000002</v>
      </c>
      <c r="W65" s="39">
        <v>7.7432063329999998</v>
      </c>
      <c r="X65" s="39">
        <v>8.4340088079999997</v>
      </c>
      <c r="Y65" s="39">
        <v>9.4049221880000005</v>
      </c>
      <c r="Z65" s="39">
        <v>11.35767819</v>
      </c>
      <c r="AA65" s="39">
        <v>14.4099986</v>
      </c>
      <c r="AB65" s="39">
        <v>17.464056200000002</v>
      </c>
      <c r="AC65" s="39">
        <v>20.323927260000001</v>
      </c>
      <c r="AD65" s="39">
        <v>22.57170717</v>
      </c>
      <c r="AE65" s="39">
        <v>24.232548529999999</v>
      </c>
      <c r="AF65" s="39">
        <v>24.96042306</v>
      </c>
      <c r="AG65" s="39">
        <v>24.95913474</v>
      </c>
      <c r="AH65" s="39">
        <v>24.44000218</v>
      </c>
      <c r="AI65" s="39">
        <v>24.371744</v>
      </c>
      <c r="AJ65" s="39">
        <v>23.87457264</v>
      </c>
      <c r="AK65" s="39">
        <v>22.993555529999998</v>
      </c>
      <c r="AL65" s="39">
        <v>22.078105610000001</v>
      </c>
      <c r="AM65" s="39">
        <v>21.056286830000001</v>
      </c>
      <c r="AN65">
        <v>20.142981949999999</v>
      </c>
      <c r="AO65">
        <v>19.36688771</v>
      </c>
      <c r="AP65">
        <v>18.553510129999999</v>
      </c>
      <c r="AQ65">
        <v>17.751424719999999</v>
      </c>
      <c r="AR65">
        <v>16.343611559999999</v>
      </c>
      <c r="AS65">
        <v>15.95682332</v>
      </c>
      <c r="AT65">
        <v>15.485086470000001</v>
      </c>
      <c r="AU65">
        <v>15.031616919999999</v>
      </c>
      <c r="AV65">
        <v>14.57536586</v>
      </c>
      <c r="AW65">
        <v>13.965631800000001</v>
      </c>
    </row>
    <row r="66" spans="2:49" x14ac:dyDescent="0.25">
      <c r="B66" t="s">
        <v>166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</row>
    <row r="67" spans="2:49" x14ac:dyDescent="0.25">
      <c r="B67" t="s">
        <v>167</v>
      </c>
      <c r="C67">
        <v>5.2121797950038999</v>
      </c>
      <c r="D67">
        <v>5.29586302754001</v>
      </c>
      <c r="E67">
        <v>5.3808898210000002</v>
      </c>
      <c r="F67">
        <v>5.4363923239999998</v>
      </c>
      <c r="G67">
        <v>4.4807745370000003</v>
      </c>
      <c r="H67">
        <v>3.8835953650000001</v>
      </c>
      <c r="I67">
        <v>3.7570852800000001</v>
      </c>
      <c r="J67">
        <v>3.5804196199999998</v>
      </c>
      <c r="K67">
        <v>3.4524347660000001</v>
      </c>
      <c r="L67">
        <v>3.7044209709999998</v>
      </c>
      <c r="M67">
        <v>3.8115639890000002</v>
      </c>
      <c r="N67">
        <v>3.884387239</v>
      </c>
      <c r="O67">
        <v>2.9770212169999999</v>
      </c>
      <c r="P67">
        <v>2.457861785</v>
      </c>
      <c r="Q67">
        <v>2.1273070679999999</v>
      </c>
      <c r="R67">
        <v>1.917491949</v>
      </c>
      <c r="S67">
        <v>1.736578629</v>
      </c>
      <c r="T67">
        <v>1.7207908240000001</v>
      </c>
      <c r="U67">
        <v>1.6954696490000001</v>
      </c>
      <c r="V67">
        <v>1.6903688079999999</v>
      </c>
      <c r="W67">
        <v>1.5474493229999999</v>
      </c>
      <c r="X67">
        <v>1.364353766</v>
      </c>
      <c r="Y67">
        <v>1.239816756</v>
      </c>
      <c r="Z67">
        <v>1.1496453600000001</v>
      </c>
      <c r="AA67">
        <v>1.07697194</v>
      </c>
      <c r="AB67">
        <v>1.014745029</v>
      </c>
      <c r="AC67">
        <v>0.96328617760000002</v>
      </c>
      <c r="AD67">
        <v>0.96035662710000003</v>
      </c>
      <c r="AE67">
        <v>0.96905688860000005</v>
      </c>
      <c r="AF67">
        <v>0.98053071110000001</v>
      </c>
      <c r="AG67">
        <v>0.99346918719999999</v>
      </c>
      <c r="AH67">
        <v>1.0062594739999999</v>
      </c>
      <c r="AI67">
        <v>1.020753381</v>
      </c>
      <c r="AJ67">
        <v>1.036441875</v>
      </c>
      <c r="AK67">
        <v>1.052569243</v>
      </c>
      <c r="AL67">
        <v>1.0692464859999999</v>
      </c>
      <c r="AM67">
        <v>1.086068391</v>
      </c>
      <c r="AN67">
        <v>1.0977474410000001</v>
      </c>
      <c r="AO67">
        <v>1.1081228569999999</v>
      </c>
      <c r="AP67">
        <v>1.1163536709999999</v>
      </c>
      <c r="AQ67">
        <v>1.1238394190000001</v>
      </c>
      <c r="AR67">
        <v>1.129267056</v>
      </c>
      <c r="AS67">
        <v>1.138013065</v>
      </c>
      <c r="AT67">
        <v>1.1473611079999999</v>
      </c>
      <c r="AU67">
        <v>1.156513785</v>
      </c>
      <c r="AV67">
        <v>1.1652296579999999</v>
      </c>
      <c r="AW67">
        <v>1.1737075079999999</v>
      </c>
    </row>
    <row r="68" spans="2:49" x14ac:dyDescent="0.25">
      <c r="B68" t="s">
        <v>168</v>
      </c>
      <c r="C68">
        <v>0.35839918454870201</v>
      </c>
      <c r="D68">
        <v>0.36415339938413299</v>
      </c>
      <c r="E68">
        <v>0.37</v>
      </c>
      <c r="F68">
        <v>0.36698427950000001</v>
      </c>
      <c r="G68">
        <v>0.36308875969999999</v>
      </c>
      <c r="H68">
        <v>0.35880293730000001</v>
      </c>
      <c r="I68">
        <v>0.35663514079999997</v>
      </c>
      <c r="J68">
        <v>0.354376776</v>
      </c>
      <c r="K68">
        <v>0.35079987340000002</v>
      </c>
      <c r="L68">
        <v>0.34570290580000002</v>
      </c>
      <c r="M68">
        <v>0.34066734329999998</v>
      </c>
      <c r="N68">
        <v>0.33704253179999999</v>
      </c>
      <c r="O68">
        <v>0.33637414879999999</v>
      </c>
      <c r="P68">
        <v>0.33681409220000003</v>
      </c>
      <c r="Q68">
        <v>0.33615285070000001</v>
      </c>
      <c r="R68">
        <v>0.33147957820000001</v>
      </c>
      <c r="S68">
        <v>0.32541000609999998</v>
      </c>
      <c r="T68">
        <v>0.31752584649999999</v>
      </c>
      <c r="U68">
        <v>0.30942877520000001</v>
      </c>
      <c r="V68">
        <v>0.30129784170000001</v>
      </c>
      <c r="W68">
        <v>0.29310280970000002</v>
      </c>
      <c r="X68">
        <v>0.2834661047</v>
      </c>
      <c r="Y68">
        <v>0.27299934180000002</v>
      </c>
      <c r="Z68">
        <v>0.26263385319999999</v>
      </c>
      <c r="AA68">
        <v>0.25283397559999998</v>
      </c>
      <c r="AB68">
        <v>0.24373196680000001</v>
      </c>
      <c r="AC68">
        <v>0.23479400519999999</v>
      </c>
      <c r="AD68">
        <v>0.2257626187</v>
      </c>
      <c r="AE68">
        <v>0.21716119619999999</v>
      </c>
      <c r="AF68">
        <v>0.20917221990000001</v>
      </c>
      <c r="AG68">
        <v>0.20175164970000001</v>
      </c>
      <c r="AH68">
        <v>0.1948611146</v>
      </c>
      <c r="AI68">
        <v>0.18849081149999999</v>
      </c>
      <c r="AJ68">
        <v>0.18260239659999999</v>
      </c>
      <c r="AK68" s="39">
        <v>0.17717158220000001</v>
      </c>
      <c r="AL68" s="39">
        <v>0.17208197049999999</v>
      </c>
      <c r="AM68" s="39">
        <v>0.1669540981</v>
      </c>
      <c r="AN68" s="39">
        <v>0.16185899009999999</v>
      </c>
      <c r="AO68" s="39">
        <v>0.156992414</v>
      </c>
      <c r="AP68" s="39">
        <v>0.15240768160000001</v>
      </c>
      <c r="AQ68" s="39">
        <v>0.14811527190000001</v>
      </c>
      <c r="AR68" s="39">
        <v>0.14410929019999999</v>
      </c>
      <c r="AS68" s="39">
        <v>0.1403084419</v>
      </c>
      <c r="AT68" s="39">
        <v>0.13648720340000001</v>
      </c>
      <c r="AU68" s="39">
        <v>0.13258991049999999</v>
      </c>
      <c r="AV68">
        <v>0.12861791580000001</v>
      </c>
      <c r="AW68">
        <v>0.12461403660000001</v>
      </c>
    </row>
    <row r="69" spans="2:49" x14ac:dyDescent="0.25">
      <c r="B69" t="s">
        <v>169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</row>
    <row r="70" spans="2:49" x14ac:dyDescent="0.25">
      <c r="B70" t="s">
        <v>170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</row>
    <row r="71" spans="2:49" x14ac:dyDescent="0.25">
      <c r="B71" t="s">
        <v>171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</row>
    <row r="72" spans="2:49" x14ac:dyDescent="0.25">
      <c r="B72" t="s">
        <v>172</v>
      </c>
      <c r="C72">
        <v>2.1503951072922098</v>
      </c>
      <c r="D72">
        <v>2.1849203963048001</v>
      </c>
      <c r="E72">
        <v>2.2200000000000002</v>
      </c>
      <c r="F72">
        <v>2.292228932</v>
      </c>
      <c r="G72">
        <v>2.1906794390000002</v>
      </c>
      <c r="H72">
        <v>2.3159465209999999</v>
      </c>
      <c r="I72">
        <v>2.3866520360000001</v>
      </c>
      <c r="J72">
        <v>2.2595346269999999</v>
      </c>
      <c r="K72">
        <v>2.1766206389999998</v>
      </c>
      <c r="L72">
        <v>2.1231513679999998</v>
      </c>
      <c r="M72">
        <v>2.2783005730000001</v>
      </c>
      <c r="N72">
        <v>2.4424090110000001</v>
      </c>
      <c r="O72">
        <v>2.53353888</v>
      </c>
      <c r="P72">
        <v>2.5486083389999998</v>
      </c>
      <c r="Q72">
        <v>2.3714585370000001</v>
      </c>
      <c r="R72">
        <v>2.375237254</v>
      </c>
      <c r="S72">
        <v>2.3869087430000002</v>
      </c>
      <c r="T72">
        <v>2.408276979</v>
      </c>
      <c r="U72">
        <v>2.4216297089999999</v>
      </c>
      <c r="V72">
        <v>2.4594140750000002</v>
      </c>
      <c r="W72">
        <v>2.4895334299999998</v>
      </c>
      <c r="X72">
        <v>2.4944115340000002</v>
      </c>
      <c r="Y72">
        <v>2.5275156989999998</v>
      </c>
      <c r="Z72">
        <v>2.567625536</v>
      </c>
      <c r="AA72">
        <v>2.6110079540000002</v>
      </c>
      <c r="AB72">
        <v>2.6497249599999999</v>
      </c>
      <c r="AC72">
        <v>2.6833075640000001</v>
      </c>
      <c r="AD72">
        <v>2.7193750649999999</v>
      </c>
      <c r="AE72">
        <v>2.7598015980000001</v>
      </c>
      <c r="AF72">
        <v>2.801654901</v>
      </c>
      <c r="AG72">
        <v>2.8451980880000001</v>
      </c>
      <c r="AH72">
        <v>2.8915595629999999</v>
      </c>
      <c r="AI72">
        <v>2.942996387</v>
      </c>
      <c r="AJ72">
        <v>3.0002194960000002</v>
      </c>
      <c r="AK72">
        <v>3.0565347790000001</v>
      </c>
      <c r="AL72">
        <v>3.1165998240000001</v>
      </c>
      <c r="AM72">
        <v>3.1754762429999999</v>
      </c>
      <c r="AN72">
        <v>3.2305389020000002</v>
      </c>
      <c r="AO72">
        <v>3.2894075520000001</v>
      </c>
      <c r="AP72">
        <v>3.3447938659999998</v>
      </c>
      <c r="AQ72">
        <v>3.4005187590000001</v>
      </c>
      <c r="AR72">
        <v>3.455529657</v>
      </c>
      <c r="AS72">
        <v>3.5056741649999998</v>
      </c>
      <c r="AT72">
        <v>3.5542169229999998</v>
      </c>
      <c r="AU72">
        <v>3.6045218440000002</v>
      </c>
      <c r="AV72">
        <v>3.6558704450000001</v>
      </c>
      <c r="AW72">
        <v>3.7082015629999998</v>
      </c>
    </row>
    <row r="73" spans="2:49" x14ac:dyDescent="0.25">
      <c r="B73" t="s">
        <v>173</v>
      </c>
      <c r="C73">
        <v>17.283948650263198</v>
      </c>
      <c r="D73">
        <v>17.561448036494799</v>
      </c>
      <c r="E73">
        <v>17.843402770000001</v>
      </c>
      <c r="F73">
        <v>18.108779510000002</v>
      </c>
      <c r="G73">
        <v>16.93931349</v>
      </c>
      <c r="H73">
        <v>15.978973760000001</v>
      </c>
      <c r="I73">
        <v>14.86203924</v>
      </c>
      <c r="J73">
        <v>14.75314773</v>
      </c>
      <c r="K73">
        <v>13.59830623</v>
      </c>
      <c r="L73">
        <v>13.30765409</v>
      </c>
      <c r="M73">
        <v>13.56990088</v>
      </c>
      <c r="N73">
        <v>14.169108530000001</v>
      </c>
      <c r="O73">
        <v>13.208757240000001</v>
      </c>
      <c r="P73">
        <v>11.89708085</v>
      </c>
      <c r="Q73">
        <v>10.53334304</v>
      </c>
      <c r="R73">
        <v>9.6518514690000003</v>
      </c>
      <c r="S73">
        <v>8.8532432669999999</v>
      </c>
      <c r="T73">
        <v>8.7125541210000002</v>
      </c>
      <c r="U73">
        <v>8.4961406210000003</v>
      </c>
      <c r="V73">
        <v>8.3501045569999999</v>
      </c>
      <c r="W73">
        <v>7.5481251309999999</v>
      </c>
      <c r="X73">
        <v>6.5592416269999996</v>
      </c>
      <c r="Y73">
        <v>5.9432130540000001</v>
      </c>
      <c r="Z73">
        <v>5.4826630190000003</v>
      </c>
      <c r="AA73">
        <v>5.122433945</v>
      </c>
      <c r="AB73">
        <v>4.8299236969999999</v>
      </c>
      <c r="AC73">
        <v>4.6094216579999996</v>
      </c>
      <c r="AD73">
        <v>4.6090261149999998</v>
      </c>
      <c r="AE73">
        <v>4.6740401909999996</v>
      </c>
      <c r="AF73">
        <v>4.7559424779999997</v>
      </c>
      <c r="AG73">
        <v>4.8472462759999999</v>
      </c>
      <c r="AH73">
        <v>4.9418895029999996</v>
      </c>
      <c r="AI73">
        <v>5.0484019819999997</v>
      </c>
      <c r="AJ73">
        <v>5.1654631230000003</v>
      </c>
      <c r="AK73">
        <v>5.2892354199999998</v>
      </c>
      <c r="AL73">
        <v>5.4209178930000004</v>
      </c>
      <c r="AM73">
        <v>5.5616310249999996</v>
      </c>
      <c r="AN73">
        <v>5.6860825229999996</v>
      </c>
      <c r="AO73">
        <v>5.8107815069999997</v>
      </c>
      <c r="AP73">
        <v>5.9337946700000002</v>
      </c>
      <c r="AQ73">
        <v>6.0666252390000004</v>
      </c>
      <c r="AR73">
        <v>6.2041096380000003</v>
      </c>
      <c r="AS73">
        <v>6.324101347</v>
      </c>
      <c r="AT73">
        <v>6.4476815329999999</v>
      </c>
      <c r="AU73">
        <v>6.5751744099999998</v>
      </c>
      <c r="AV73">
        <v>6.7064491630000003</v>
      </c>
      <c r="AW73">
        <v>6.8449278209999997</v>
      </c>
    </row>
    <row r="74" spans="2:49" x14ac:dyDescent="0.25">
      <c r="B74" t="s">
        <v>174</v>
      </c>
      <c r="C74">
        <v>9.6518912203120095</v>
      </c>
      <c r="D74">
        <v>9.8068554558467902</v>
      </c>
      <c r="E74">
        <v>9.9643076920000002</v>
      </c>
      <c r="F74">
        <v>9.5358670330000006</v>
      </c>
      <c r="G74">
        <v>8.8606383930000003</v>
      </c>
      <c r="H74">
        <v>9.0566044590000008</v>
      </c>
      <c r="I74">
        <v>8.4300062130000004</v>
      </c>
      <c r="J74">
        <v>7.8549094320000004</v>
      </c>
      <c r="K74">
        <v>7.4423322020000002</v>
      </c>
      <c r="L74">
        <v>7.2605293169999996</v>
      </c>
      <c r="M74">
        <v>7.1215864379999996</v>
      </c>
      <c r="N74">
        <v>7.1923807609999999</v>
      </c>
      <c r="O74">
        <v>7.1838586610000004</v>
      </c>
      <c r="P74">
        <v>6.9515885839999996</v>
      </c>
      <c r="Q74">
        <v>6.672206439</v>
      </c>
      <c r="R74">
        <v>6.6400109179999998</v>
      </c>
      <c r="S74">
        <v>6.4339713879999998</v>
      </c>
      <c r="T74">
        <v>6.2842903320000003</v>
      </c>
      <c r="U74">
        <v>6.1205859570000003</v>
      </c>
      <c r="V74">
        <v>5.907765596</v>
      </c>
      <c r="W74">
        <v>5.746447195</v>
      </c>
      <c r="X74">
        <v>5.587364591</v>
      </c>
      <c r="Y74">
        <v>5.4823336649999996</v>
      </c>
      <c r="Z74">
        <v>5.3204181860000004</v>
      </c>
      <c r="AA74">
        <v>5.1647980200000001</v>
      </c>
      <c r="AB74">
        <v>5.0056265130000002</v>
      </c>
      <c r="AC74">
        <v>4.849650778</v>
      </c>
      <c r="AD74">
        <v>4.686507529</v>
      </c>
      <c r="AE74">
        <v>4.5355939760000004</v>
      </c>
      <c r="AF74">
        <v>4.3976221339999997</v>
      </c>
      <c r="AG74">
        <v>4.2839142409999997</v>
      </c>
      <c r="AH74">
        <v>4.1705608119999997</v>
      </c>
      <c r="AI74">
        <v>4.0677355950000003</v>
      </c>
      <c r="AJ74">
        <v>3.9809607119999999</v>
      </c>
      <c r="AK74">
        <v>3.901886819</v>
      </c>
      <c r="AL74">
        <v>3.862896884</v>
      </c>
      <c r="AM74">
        <v>3.821025965</v>
      </c>
      <c r="AN74">
        <v>3.7148566999999999</v>
      </c>
      <c r="AO74">
        <v>3.6144417849999999</v>
      </c>
      <c r="AP74">
        <v>3.519143621</v>
      </c>
      <c r="AQ74">
        <v>3.4277520410000002</v>
      </c>
      <c r="AR74">
        <v>3.340529085</v>
      </c>
      <c r="AS74">
        <v>3.2833064369999998</v>
      </c>
      <c r="AT74">
        <v>3.2190339799999999</v>
      </c>
      <c r="AU74">
        <v>3.15197035</v>
      </c>
      <c r="AV74">
        <v>3.0826201520000001</v>
      </c>
      <c r="AW74">
        <v>3.01178817</v>
      </c>
    </row>
    <row r="75" spans="2:49" x14ac:dyDescent="0.25">
      <c r="B75" t="s">
        <v>175</v>
      </c>
      <c r="C75">
        <v>4.6065844460580001</v>
      </c>
      <c r="D75">
        <v>4.68054464938142</v>
      </c>
      <c r="E75">
        <v>4.7556923080000004</v>
      </c>
      <c r="F75">
        <v>4.8601026589999998</v>
      </c>
      <c r="G75">
        <v>4.6775033070000003</v>
      </c>
      <c r="H75">
        <v>4.6158443150000004</v>
      </c>
      <c r="I75">
        <v>4.5439572540000004</v>
      </c>
      <c r="J75">
        <v>4.344747849</v>
      </c>
      <c r="K75">
        <v>4.1291391439999998</v>
      </c>
      <c r="L75">
        <v>4.051136133</v>
      </c>
      <c r="M75">
        <v>4.0648123749999998</v>
      </c>
      <c r="N75">
        <v>4.1783663439999996</v>
      </c>
      <c r="O75">
        <v>3.9155090709999998</v>
      </c>
      <c r="P75">
        <v>3.6383507540000002</v>
      </c>
      <c r="Q75">
        <v>3.402269059</v>
      </c>
      <c r="R75">
        <v>3.2167178330000001</v>
      </c>
      <c r="S75">
        <v>3.0109655950000001</v>
      </c>
      <c r="T75">
        <v>3.0064994669999998</v>
      </c>
      <c r="U75">
        <v>3.010593445</v>
      </c>
      <c r="V75">
        <v>2.997046315</v>
      </c>
      <c r="W75">
        <v>2.5195127369999999</v>
      </c>
      <c r="X75">
        <v>2.1736213910000002</v>
      </c>
      <c r="Y75">
        <v>1.9369021360000001</v>
      </c>
      <c r="Z75">
        <v>1.7459504910000001</v>
      </c>
      <c r="AA75">
        <v>1.589706939</v>
      </c>
      <c r="AB75">
        <v>1.4783235139999999</v>
      </c>
      <c r="AC75">
        <v>1.384954553</v>
      </c>
      <c r="AD75">
        <v>1.373156628</v>
      </c>
      <c r="AE75">
        <v>1.368586793</v>
      </c>
      <c r="AF75">
        <v>1.3647788540000001</v>
      </c>
      <c r="AG75">
        <v>1.3654848799999999</v>
      </c>
      <c r="AH75">
        <v>1.365062472</v>
      </c>
      <c r="AI75">
        <v>1.3609759850000001</v>
      </c>
      <c r="AJ75">
        <v>1.3569833650000001</v>
      </c>
      <c r="AK75">
        <v>1.3530345210000001</v>
      </c>
      <c r="AL75">
        <v>1.3657366010000001</v>
      </c>
      <c r="AM75">
        <v>1.3795525239999999</v>
      </c>
      <c r="AN75">
        <v>1.373865868</v>
      </c>
      <c r="AO75">
        <v>1.365299351</v>
      </c>
      <c r="AP75">
        <v>1.35610075</v>
      </c>
      <c r="AQ75">
        <v>1.3458770600000001</v>
      </c>
      <c r="AR75">
        <v>1.334445074</v>
      </c>
      <c r="AS75">
        <v>1.338680318</v>
      </c>
      <c r="AT75">
        <v>1.343370121</v>
      </c>
      <c r="AU75">
        <v>1.347391064</v>
      </c>
      <c r="AV75">
        <v>1.3507040910000001</v>
      </c>
      <c r="AW75">
        <v>1.353279868</v>
      </c>
    </row>
    <row r="76" spans="2:49" x14ac:dyDescent="0.25">
      <c r="B76" t="s">
        <v>176</v>
      </c>
      <c r="C76">
        <v>23.690015269078899</v>
      </c>
      <c r="D76">
        <v>24.070366126976499</v>
      </c>
      <c r="E76">
        <v>24.45682364</v>
      </c>
      <c r="F76">
        <v>24.576239999999999</v>
      </c>
      <c r="G76">
        <v>24.64714712</v>
      </c>
      <c r="H76">
        <v>24.844294900000001</v>
      </c>
      <c r="I76">
        <v>24.992164500000001</v>
      </c>
      <c r="J76">
        <v>25.083213109999999</v>
      </c>
      <c r="K76">
        <v>24.96055235</v>
      </c>
      <c r="L76">
        <v>24.7684262</v>
      </c>
      <c r="M76">
        <v>24.584892960000001</v>
      </c>
      <c r="N76">
        <v>24.332070699999999</v>
      </c>
      <c r="O76">
        <v>24.146853419999999</v>
      </c>
      <c r="P76">
        <v>24.153810140000001</v>
      </c>
      <c r="Q76">
        <v>24.164456770000001</v>
      </c>
      <c r="R76">
        <v>24.170512389999999</v>
      </c>
      <c r="S76">
        <v>24.08860327</v>
      </c>
      <c r="T76">
        <v>23.881615780000001</v>
      </c>
      <c r="U76">
        <v>23.552964079999999</v>
      </c>
      <c r="V76">
        <v>23.172099070000002</v>
      </c>
      <c r="W76">
        <v>22.725130549999999</v>
      </c>
      <c r="X76">
        <v>22.226115660000001</v>
      </c>
      <c r="Y76">
        <v>21.655714620000001</v>
      </c>
      <c r="Z76">
        <v>21.016542789999999</v>
      </c>
      <c r="AA76">
        <v>20.298863090000001</v>
      </c>
      <c r="AB76">
        <v>19.497969680000001</v>
      </c>
      <c r="AC76">
        <v>18.625247460000001</v>
      </c>
      <c r="AD76">
        <v>17.70110201</v>
      </c>
      <c r="AE76">
        <v>16.752979620000001</v>
      </c>
      <c r="AF76">
        <v>15.805932909999999</v>
      </c>
      <c r="AG76">
        <v>14.88029173</v>
      </c>
      <c r="AH76">
        <v>13.989121770000001</v>
      </c>
      <c r="AI76">
        <v>13.13952549</v>
      </c>
      <c r="AJ76">
        <v>12.33375549</v>
      </c>
      <c r="AK76">
        <v>11.571930719999999</v>
      </c>
      <c r="AL76">
        <v>10.853014549999999</v>
      </c>
      <c r="AM76">
        <v>10.17535833</v>
      </c>
      <c r="AN76">
        <v>9.5397222670000001</v>
      </c>
      <c r="AO76">
        <v>8.9436495950000001</v>
      </c>
      <c r="AP76">
        <v>8.3847501859999998</v>
      </c>
      <c r="AQ76">
        <v>7.8607419160000003</v>
      </c>
      <c r="AR76">
        <v>7.336711792</v>
      </c>
      <c r="AS76">
        <v>6.8476072879999998</v>
      </c>
      <c r="AT76">
        <v>6.3911048849999998</v>
      </c>
      <c r="AU76">
        <v>5.965033568</v>
      </c>
      <c r="AV76">
        <v>5.5673658159999997</v>
      </c>
      <c r="AW76">
        <v>5.1962086550000004</v>
      </c>
    </row>
    <row r="77" spans="2:49" x14ac:dyDescent="0.25">
      <c r="B77" t="s">
        <v>177</v>
      </c>
      <c r="C77">
        <v>20.7498358478441</v>
      </c>
      <c r="D77">
        <v>21.0829811741058</v>
      </c>
      <c r="E77">
        <v>21.430969080000001</v>
      </c>
      <c r="F77">
        <v>21.886229239999999</v>
      </c>
      <c r="G77">
        <v>21.06440808</v>
      </c>
      <c r="H77">
        <v>19.55162443</v>
      </c>
      <c r="I77">
        <v>19.93873954</v>
      </c>
      <c r="J77">
        <v>19.391718690000001</v>
      </c>
      <c r="K77">
        <v>19.571885399999999</v>
      </c>
      <c r="L77">
        <v>19.092740389999999</v>
      </c>
      <c r="M77">
        <v>19.03120964</v>
      </c>
      <c r="N77">
        <v>19.036068109999999</v>
      </c>
      <c r="O77">
        <v>18.855862869999999</v>
      </c>
      <c r="P77">
        <v>19.058111289999999</v>
      </c>
      <c r="Q77">
        <v>18.847672200000002</v>
      </c>
      <c r="R77">
        <v>18.726568990000001</v>
      </c>
      <c r="S77">
        <v>18.518094619999999</v>
      </c>
      <c r="T77">
        <v>18.69446275</v>
      </c>
      <c r="U77">
        <v>18.750765520000002</v>
      </c>
      <c r="V77">
        <v>19.010566499999999</v>
      </c>
      <c r="W77">
        <v>19.09382209</v>
      </c>
      <c r="X77">
        <v>19.096403949999999</v>
      </c>
      <c r="Y77">
        <v>18.877453890000002</v>
      </c>
      <c r="Z77">
        <v>18.711453049999999</v>
      </c>
      <c r="AA77">
        <v>18.555384570000001</v>
      </c>
      <c r="AB77">
        <v>18.288576339999999</v>
      </c>
      <c r="AC77">
        <v>18.014763179999999</v>
      </c>
      <c r="AD77">
        <v>17.474405640000001</v>
      </c>
      <c r="AE77">
        <v>16.929196220000001</v>
      </c>
      <c r="AF77">
        <v>16.38430185</v>
      </c>
      <c r="AG77">
        <v>15.839259119999999</v>
      </c>
      <c r="AH77">
        <v>15.30714938</v>
      </c>
      <c r="AI77">
        <v>14.69104261</v>
      </c>
      <c r="AJ77">
        <v>14.07103236</v>
      </c>
      <c r="AK77">
        <v>13.42020263</v>
      </c>
      <c r="AL77">
        <v>12.796031920000001</v>
      </c>
      <c r="AM77">
        <v>12.140411459999999</v>
      </c>
      <c r="AN77">
        <v>11.735854339999999</v>
      </c>
      <c r="AO77">
        <v>11.34269117</v>
      </c>
      <c r="AP77">
        <v>10.909532159999999</v>
      </c>
      <c r="AQ77">
        <v>10.473242989999999</v>
      </c>
      <c r="AR77">
        <v>10.034952499999999</v>
      </c>
      <c r="AS77">
        <v>9.8708725459999904</v>
      </c>
      <c r="AT77">
        <v>9.7125167700000006</v>
      </c>
      <c r="AU77">
        <v>9.5546728509999994</v>
      </c>
      <c r="AV77">
        <v>9.3943399440000004</v>
      </c>
      <c r="AW77">
        <v>9.2326211259999997</v>
      </c>
    </row>
    <row r="78" spans="2:49" x14ac:dyDescent="0.25">
      <c r="B78" t="s">
        <v>178</v>
      </c>
      <c r="C78">
        <v>0.28090746897060398</v>
      </c>
      <c r="D78">
        <v>0.28541752924702302</v>
      </c>
      <c r="E78">
        <v>0.28999999999999998</v>
      </c>
      <c r="F78">
        <v>0.3008318123</v>
      </c>
      <c r="G78">
        <v>0.30299986629999998</v>
      </c>
      <c r="H78">
        <v>0.29507789280000002</v>
      </c>
      <c r="I78">
        <v>0.3109025111</v>
      </c>
      <c r="J78">
        <v>0.313983546</v>
      </c>
      <c r="K78">
        <v>0.32113174639999997</v>
      </c>
      <c r="L78">
        <v>0.31270517679999998</v>
      </c>
      <c r="M78">
        <v>0.32432820340000001</v>
      </c>
      <c r="N78">
        <v>0.31737783390000002</v>
      </c>
      <c r="O78">
        <v>0.30472065469999998</v>
      </c>
      <c r="P78">
        <v>0.31054539860000002</v>
      </c>
      <c r="Q78">
        <v>0.31199220909999997</v>
      </c>
      <c r="R78">
        <v>0.31061289920000001</v>
      </c>
      <c r="S78">
        <v>0.31328955279999998</v>
      </c>
      <c r="T78">
        <v>0.31855905159999998</v>
      </c>
      <c r="U78">
        <v>0.3231003381</v>
      </c>
      <c r="V78">
        <v>0.33188472800000002</v>
      </c>
      <c r="W78">
        <v>0.33760815649999998</v>
      </c>
      <c r="X78">
        <v>0.33810900360000001</v>
      </c>
      <c r="Y78">
        <v>0.33634143439999997</v>
      </c>
      <c r="Z78">
        <v>0.33826061470000002</v>
      </c>
      <c r="AA78">
        <v>0.34158162219999999</v>
      </c>
      <c r="AB78">
        <v>0.34521742970000002</v>
      </c>
      <c r="AC78">
        <v>0.34865667150000001</v>
      </c>
      <c r="AD78">
        <v>0.35279865389999998</v>
      </c>
      <c r="AE78">
        <v>0.35734833770000002</v>
      </c>
      <c r="AF78">
        <v>0.36189565769999998</v>
      </c>
      <c r="AG78">
        <v>0.3660961492</v>
      </c>
      <c r="AH78">
        <v>0.37172687679999999</v>
      </c>
      <c r="AI78">
        <v>0.37831279340000001</v>
      </c>
      <c r="AJ78">
        <v>0.38455262179999999</v>
      </c>
      <c r="AK78">
        <v>0.39043183440000001</v>
      </c>
      <c r="AL78">
        <v>0.39660052759999997</v>
      </c>
      <c r="AM78">
        <v>0.40186416139999998</v>
      </c>
      <c r="AN78">
        <v>0.40832039329999997</v>
      </c>
      <c r="AO78">
        <v>0.41563531889999999</v>
      </c>
      <c r="AP78">
        <v>0.42256961479999999</v>
      </c>
      <c r="AQ78">
        <v>0.42948057610000001</v>
      </c>
      <c r="AR78">
        <v>0.43628076649999997</v>
      </c>
      <c r="AS78">
        <v>0.44262663190000001</v>
      </c>
      <c r="AT78">
        <v>0.4492332288</v>
      </c>
      <c r="AU78">
        <v>0.45607153649999999</v>
      </c>
      <c r="AV78">
        <v>0.46295803279999997</v>
      </c>
      <c r="AW78">
        <v>0.46993433420000003</v>
      </c>
    </row>
    <row r="79" spans="2:49" x14ac:dyDescent="0.25">
      <c r="B79" t="s">
        <v>179</v>
      </c>
      <c r="C79">
        <v>11.323476938849501</v>
      </c>
      <c r="D79">
        <v>11.5052790237851</v>
      </c>
      <c r="E79">
        <v>11.69</v>
      </c>
      <c r="F79">
        <v>11.9362578</v>
      </c>
      <c r="G79">
        <v>11.921993130000001</v>
      </c>
      <c r="H79">
        <v>10.420870969999999</v>
      </c>
      <c r="I79">
        <v>11.05186099</v>
      </c>
      <c r="J79">
        <v>11.528032319999999</v>
      </c>
      <c r="K79">
        <v>11.37997858</v>
      </c>
      <c r="L79">
        <v>11.192610650000001</v>
      </c>
      <c r="M79">
        <v>11.119442360000001</v>
      </c>
      <c r="N79">
        <v>10.92062949</v>
      </c>
      <c r="O79">
        <v>10.14626915</v>
      </c>
      <c r="P79">
        <v>9.8954754660000006</v>
      </c>
      <c r="Q79">
        <v>9.7186199979999994</v>
      </c>
      <c r="R79">
        <v>9.3198512969999996</v>
      </c>
      <c r="S79">
        <v>8.9617964850000007</v>
      </c>
      <c r="T79">
        <v>9.1540164990000008</v>
      </c>
      <c r="U79">
        <v>9.3166203109999994</v>
      </c>
      <c r="V79">
        <v>9.5924181619999995</v>
      </c>
      <c r="W79">
        <v>11.19089374</v>
      </c>
      <c r="X79">
        <v>12.60788181</v>
      </c>
      <c r="Y79">
        <v>13.6114605</v>
      </c>
      <c r="Z79">
        <v>14.52596973</v>
      </c>
      <c r="AA79">
        <v>15.370630670000001</v>
      </c>
      <c r="AB79">
        <v>16.174890470000001</v>
      </c>
      <c r="AC79">
        <v>17.001373399999999</v>
      </c>
      <c r="AD79">
        <v>17.166052430000001</v>
      </c>
      <c r="AE79">
        <v>17.292062269999999</v>
      </c>
      <c r="AF79">
        <v>17.414231489999999</v>
      </c>
      <c r="AG79">
        <v>17.531295849999999</v>
      </c>
      <c r="AH79">
        <v>17.691037990000002</v>
      </c>
      <c r="AI79">
        <v>17.894760680000001</v>
      </c>
      <c r="AJ79">
        <v>18.083651870000001</v>
      </c>
      <c r="AK79">
        <v>18.264967729999999</v>
      </c>
      <c r="AL79">
        <v>18.45338851</v>
      </c>
      <c r="AM79">
        <v>18.6191183</v>
      </c>
      <c r="AN79">
        <v>18.811785539999999</v>
      </c>
      <c r="AO79">
        <v>19.025473789999999</v>
      </c>
      <c r="AP79">
        <v>19.221283540000002</v>
      </c>
      <c r="AQ79">
        <v>19.41961994</v>
      </c>
      <c r="AR79">
        <v>19.610908720000001</v>
      </c>
      <c r="AS79">
        <v>19.775204339999998</v>
      </c>
      <c r="AT79">
        <v>19.95136969</v>
      </c>
      <c r="AU79">
        <v>20.132606790000001</v>
      </c>
      <c r="AV79">
        <v>20.313555090000001</v>
      </c>
      <c r="AW79">
        <v>20.497574790000002</v>
      </c>
    </row>
    <row r="80" spans="2:49" x14ac:dyDescent="0.25">
      <c r="B80" t="s">
        <v>180</v>
      </c>
      <c r="C80">
        <v>12.401465507675301</v>
      </c>
      <c r="D80">
        <v>12.6005750477687</v>
      </c>
      <c r="E80">
        <v>12.802881360000001</v>
      </c>
      <c r="F80">
        <v>12.948112849999999</v>
      </c>
      <c r="G80">
        <v>13.3347803</v>
      </c>
      <c r="H80">
        <v>13.05163114</v>
      </c>
      <c r="I80">
        <v>13.321387659999999</v>
      </c>
      <c r="J80">
        <v>13.6824248</v>
      </c>
      <c r="K80">
        <v>14.010751900000001</v>
      </c>
      <c r="L80">
        <v>14.061349249999999</v>
      </c>
      <c r="M80">
        <v>14.01102976</v>
      </c>
      <c r="N80">
        <v>13.80444393</v>
      </c>
      <c r="O80">
        <v>13.72755712</v>
      </c>
      <c r="P80">
        <v>13.963690160000001</v>
      </c>
      <c r="Q80">
        <v>14.40457513</v>
      </c>
      <c r="R80">
        <v>14.45766263</v>
      </c>
      <c r="S80">
        <v>14.546819060000001</v>
      </c>
      <c r="T80">
        <v>14.560620159999999</v>
      </c>
      <c r="U80">
        <v>14.672787250000001</v>
      </c>
      <c r="V80">
        <v>14.759371379999999</v>
      </c>
      <c r="W80">
        <v>14.84493863</v>
      </c>
      <c r="X80">
        <v>14.87075909</v>
      </c>
      <c r="Y80">
        <v>14.796632000000001</v>
      </c>
      <c r="Z80">
        <v>14.73844096</v>
      </c>
      <c r="AA80">
        <v>14.67683031</v>
      </c>
      <c r="AB80">
        <v>14.69984116</v>
      </c>
      <c r="AC80">
        <v>14.70100929</v>
      </c>
      <c r="AD80">
        <v>14.62187827</v>
      </c>
      <c r="AE80">
        <v>14.53859954</v>
      </c>
      <c r="AF80">
        <v>14.451862950000001</v>
      </c>
      <c r="AG80">
        <v>14.37212044</v>
      </c>
      <c r="AH80">
        <v>14.30391223</v>
      </c>
      <c r="AI80">
        <v>14.223478569999999</v>
      </c>
      <c r="AJ80">
        <v>14.13196428</v>
      </c>
      <c r="AK80">
        <v>14.041567499999999</v>
      </c>
      <c r="AL80">
        <v>14.0072221</v>
      </c>
      <c r="AM80">
        <v>13.94913844</v>
      </c>
      <c r="AN80">
        <v>13.841837140000001</v>
      </c>
      <c r="AO80">
        <v>13.738131389999999</v>
      </c>
      <c r="AP80">
        <v>13.634792900000001</v>
      </c>
      <c r="AQ80">
        <v>13.53067761</v>
      </c>
      <c r="AR80">
        <v>13.42583649</v>
      </c>
      <c r="AS80">
        <v>13.37750301</v>
      </c>
      <c r="AT80">
        <v>13.321520319999999</v>
      </c>
      <c r="AU80">
        <v>13.25949862</v>
      </c>
      <c r="AV80">
        <v>13.19136735</v>
      </c>
      <c r="AW80">
        <v>13.122443990000001</v>
      </c>
    </row>
    <row r="81" spans="2:99" x14ac:dyDescent="0.25">
      <c r="B81" t="s">
        <v>181</v>
      </c>
      <c r="C81">
        <v>10.826676236859401</v>
      </c>
      <c r="D81">
        <v>11.000502025829901</v>
      </c>
      <c r="E81">
        <v>11.17711864</v>
      </c>
      <c r="F81">
        <v>11.88469585</v>
      </c>
      <c r="G81">
        <v>12.498071599999999</v>
      </c>
      <c r="H81">
        <v>11.78338812</v>
      </c>
      <c r="I81">
        <v>12.308233830000001</v>
      </c>
      <c r="J81">
        <v>12.870111380000001</v>
      </c>
      <c r="K81">
        <v>13.21645792</v>
      </c>
      <c r="L81">
        <v>13.279620299999999</v>
      </c>
      <c r="M81">
        <v>13.291115380000001</v>
      </c>
      <c r="N81">
        <v>13.06948058</v>
      </c>
      <c r="O81">
        <v>12.455431450000001</v>
      </c>
      <c r="P81">
        <v>12.50918388</v>
      </c>
      <c r="Q81">
        <v>12.957936330000001</v>
      </c>
      <c r="R81">
        <v>12.831148710000001</v>
      </c>
      <c r="S81">
        <v>12.6589928</v>
      </c>
      <c r="T81">
        <v>12.762751959999999</v>
      </c>
      <c r="U81">
        <v>12.793686109999999</v>
      </c>
      <c r="V81">
        <v>12.773457110000001</v>
      </c>
      <c r="W81">
        <v>12.85788569</v>
      </c>
      <c r="X81">
        <v>12.42578372</v>
      </c>
      <c r="Y81">
        <v>11.778945309999999</v>
      </c>
      <c r="Z81">
        <v>11.08886427</v>
      </c>
      <c r="AA81">
        <v>10.415524209999999</v>
      </c>
      <c r="AB81">
        <v>9.920441383</v>
      </c>
      <c r="AC81">
        <v>9.4648414190000008</v>
      </c>
      <c r="AD81">
        <v>9.3931705609999998</v>
      </c>
      <c r="AE81">
        <v>9.3389378710000006</v>
      </c>
      <c r="AF81">
        <v>9.2822978850000002</v>
      </c>
      <c r="AG81">
        <v>9.2491499249999904</v>
      </c>
      <c r="AH81">
        <v>9.2172074009999996</v>
      </c>
      <c r="AI81">
        <v>9.1615943959999999</v>
      </c>
      <c r="AJ81">
        <v>9.0971831000000005</v>
      </c>
      <c r="AK81">
        <v>9.0305501259999996</v>
      </c>
      <c r="AL81">
        <v>9.0698267739999903</v>
      </c>
      <c r="AM81">
        <v>9.1096015870000002</v>
      </c>
      <c r="AN81">
        <v>9.0336422390000006</v>
      </c>
      <c r="AO81">
        <v>8.9418660320000001</v>
      </c>
      <c r="AP81">
        <v>8.8459766020000004</v>
      </c>
      <c r="AQ81">
        <v>8.7430782170000008</v>
      </c>
      <c r="AR81">
        <v>8.6329982990000005</v>
      </c>
      <c r="AS81">
        <v>8.6198649560000007</v>
      </c>
      <c r="AT81">
        <v>8.6116551880000003</v>
      </c>
      <c r="AU81">
        <v>8.5990945050000001</v>
      </c>
      <c r="AV81">
        <v>8.581251838</v>
      </c>
      <c r="AW81">
        <v>8.5581727650000001</v>
      </c>
    </row>
    <row r="82" spans="2:99" x14ac:dyDescent="0.25">
      <c r="B82" t="s">
        <v>182</v>
      </c>
      <c r="C82" s="39">
        <v>4.42659733299524E-4</v>
      </c>
      <c r="D82" s="39">
        <v>4.4976677849999601E-4</v>
      </c>
      <c r="E82" s="39">
        <v>4.5698792999999998E-4</v>
      </c>
      <c r="F82" s="39">
        <v>8.8129031100000002E-4</v>
      </c>
      <c r="G82" s="39">
        <v>1.5931278900000001E-3</v>
      </c>
      <c r="H82">
        <v>2.7987607000000002E-3</v>
      </c>
      <c r="I82">
        <v>4.4716987600000001E-3</v>
      </c>
      <c r="J82" s="39">
        <v>6.70844617E-3</v>
      </c>
      <c r="K82" s="39">
        <v>9.3655600299999905E-3</v>
      </c>
      <c r="L82" s="39">
        <v>1.27729564E-2</v>
      </c>
      <c r="M82" s="39">
        <v>1.73389467E-2</v>
      </c>
      <c r="N82" s="39">
        <v>2.2854451899999999E-2</v>
      </c>
      <c r="O82" s="39">
        <v>3.0496861199999999E-2</v>
      </c>
      <c r="P82" s="39">
        <v>4.0525613299999999E-2</v>
      </c>
      <c r="Q82" s="39">
        <v>5.3523287900000001E-2</v>
      </c>
      <c r="R82" s="39">
        <v>7.0152616500000001E-2</v>
      </c>
      <c r="S82" s="39">
        <v>9.1123452699999996E-2</v>
      </c>
      <c r="T82" s="39">
        <v>0.114522215</v>
      </c>
      <c r="U82" s="39">
        <v>0.1447862637</v>
      </c>
      <c r="V82" s="39">
        <v>0.18320322920000001</v>
      </c>
      <c r="W82" s="39">
        <v>0.22373354079999999</v>
      </c>
      <c r="X82" s="39">
        <v>0.26795294469999997</v>
      </c>
      <c r="Y82" s="39">
        <v>0.32042208370000003</v>
      </c>
      <c r="Z82" s="39">
        <v>0.38695730789999999</v>
      </c>
      <c r="AA82" s="39">
        <v>0.4760472255</v>
      </c>
      <c r="AB82" s="39">
        <v>0.58814593959999995</v>
      </c>
      <c r="AC82" s="39">
        <v>0.72208206379999995</v>
      </c>
      <c r="AD82" s="39">
        <v>0.87961821679999996</v>
      </c>
      <c r="AE82" s="39">
        <v>1.051933507</v>
      </c>
      <c r="AF82" s="39">
        <v>1.2314351160000001</v>
      </c>
      <c r="AG82" s="39">
        <v>1.4117423</v>
      </c>
      <c r="AH82" s="39">
        <v>1.5880339429999999</v>
      </c>
      <c r="AI82" s="39">
        <v>1.7599611799999999</v>
      </c>
      <c r="AJ82" s="39">
        <v>1.927213799</v>
      </c>
      <c r="AK82" s="39">
        <v>2.0859065719999998</v>
      </c>
      <c r="AL82" s="39">
        <v>2.2353801199999999</v>
      </c>
      <c r="AM82" s="39">
        <v>2.3741841539999999</v>
      </c>
      <c r="AN82" s="39">
        <v>2.5018682889999999</v>
      </c>
      <c r="AO82" s="39">
        <v>2.620427963</v>
      </c>
      <c r="AP82" s="39">
        <v>2.7293001569999999</v>
      </c>
      <c r="AQ82" s="39">
        <v>2.8285607559999999</v>
      </c>
      <c r="AR82" s="39">
        <v>2.9154651399999998</v>
      </c>
      <c r="AS82" s="39">
        <v>2.9952807880000001</v>
      </c>
      <c r="AT82" s="39">
        <v>3.0685348349999999</v>
      </c>
      <c r="AU82" s="39">
        <v>3.1353289320000002</v>
      </c>
      <c r="AV82" s="39">
        <v>3.1954339960000002</v>
      </c>
      <c r="AW82" s="39">
        <v>3.2460628960000002</v>
      </c>
    </row>
    <row r="83" spans="2:99" x14ac:dyDescent="0.25">
      <c r="B83" t="s">
        <v>183</v>
      </c>
      <c r="C83">
        <v>1.1996237928359601</v>
      </c>
      <c r="D83">
        <v>1.2188841408592499</v>
      </c>
      <c r="E83">
        <v>1.2389111850000001</v>
      </c>
      <c r="F83">
        <v>1.285092237</v>
      </c>
      <c r="G83">
        <v>1.2620542450000001</v>
      </c>
      <c r="H83">
        <v>1.1168644459999999</v>
      </c>
      <c r="I83">
        <v>1.1707708699999999</v>
      </c>
      <c r="J83">
        <v>1.1857334669999999</v>
      </c>
      <c r="K83">
        <v>1.202173299</v>
      </c>
      <c r="L83">
        <v>1.2011088139999999</v>
      </c>
      <c r="M83">
        <v>1.2014163360000001</v>
      </c>
      <c r="N83">
        <v>1.189381851</v>
      </c>
      <c r="O83">
        <v>1.183819226</v>
      </c>
      <c r="P83">
        <v>1.2466947960000001</v>
      </c>
      <c r="Q83">
        <v>1.2793042480000001</v>
      </c>
      <c r="R83">
        <v>1.317275398</v>
      </c>
      <c r="S83">
        <v>1.3262380979999999</v>
      </c>
      <c r="T83">
        <v>1.3493775880000001</v>
      </c>
      <c r="U83">
        <v>1.3732060930000001</v>
      </c>
      <c r="V83">
        <v>1.4054915750000001</v>
      </c>
      <c r="W83">
        <v>1.488039855</v>
      </c>
      <c r="X83">
        <v>1.5624697540000001</v>
      </c>
      <c r="Y83">
        <v>1.690762315</v>
      </c>
      <c r="Z83">
        <v>1.828828806</v>
      </c>
      <c r="AA83">
        <v>1.973057005</v>
      </c>
      <c r="AB83">
        <v>2.1363728649999998</v>
      </c>
      <c r="AC83">
        <v>2.3053846230000001</v>
      </c>
      <c r="AD83">
        <v>2.57986263</v>
      </c>
      <c r="AE83">
        <v>2.853524835</v>
      </c>
      <c r="AF83">
        <v>3.1286643980000002</v>
      </c>
      <c r="AG83">
        <v>3.4053606529999998</v>
      </c>
      <c r="AH83">
        <v>3.6887137270000001</v>
      </c>
      <c r="AI83">
        <v>4.0385129839999996</v>
      </c>
      <c r="AJ83">
        <v>4.3916549920000003</v>
      </c>
      <c r="AK83">
        <v>4.7417011499999999</v>
      </c>
      <c r="AL83">
        <v>5.1080286240000001</v>
      </c>
      <c r="AM83">
        <v>5.4681505039999996</v>
      </c>
      <c r="AN83">
        <v>5.7361290379999996</v>
      </c>
      <c r="AO83">
        <v>6.0230806689999996</v>
      </c>
      <c r="AP83">
        <v>6.2963556240000003</v>
      </c>
      <c r="AQ83">
        <v>6.5722933819999998</v>
      </c>
      <c r="AR83">
        <v>6.8519345149999999</v>
      </c>
      <c r="AS83">
        <v>7.005439848</v>
      </c>
      <c r="AT83">
        <v>7.1673188459999997</v>
      </c>
      <c r="AU83">
        <v>7.3331187910000004</v>
      </c>
      <c r="AV83">
        <v>7.5000648449999998</v>
      </c>
      <c r="AW83">
        <v>7.6673724280000002</v>
      </c>
    </row>
    <row r="84" spans="2:99" x14ac:dyDescent="0.25">
      <c r="B84" t="s">
        <v>184</v>
      </c>
      <c r="C84">
        <v>0.33902625565417799</v>
      </c>
      <c r="D84">
        <v>0.34446943184985501</v>
      </c>
      <c r="E84">
        <v>0.35</v>
      </c>
      <c r="F84">
        <v>0.36573747270000001</v>
      </c>
      <c r="G84">
        <v>0.35834610909999998</v>
      </c>
      <c r="H84">
        <v>0.36249025280000002</v>
      </c>
      <c r="I84">
        <v>0.38754032230000002</v>
      </c>
      <c r="J84">
        <v>0.38409691670000001</v>
      </c>
      <c r="K84">
        <v>0.37898654910000001</v>
      </c>
      <c r="L84">
        <v>0.36841261889999999</v>
      </c>
      <c r="M84">
        <v>0.38992534109999999</v>
      </c>
      <c r="N84">
        <v>0.3994160504</v>
      </c>
      <c r="O84">
        <v>0.40035931520000001</v>
      </c>
      <c r="P84">
        <v>0.40575457329999998</v>
      </c>
      <c r="Q84">
        <v>0.38290270430000001</v>
      </c>
      <c r="R84">
        <v>0.37404040160000002</v>
      </c>
      <c r="S84">
        <v>0.37428523070000003</v>
      </c>
      <c r="T84">
        <v>0.37926904779999998</v>
      </c>
      <c r="U84">
        <v>0.38515398340000001</v>
      </c>
      <c r="V84">
        <v>0.40180083010000001</v>
      </c>
      <c r="W84">
        <v>0.412420175</v>
      </c>
      <c r="X84">
        <v>0.41688724129999999</v>
      </c>
      <c r="Y84">
        <v>0.41955957420000001</v>
      </c>
      <c r="Z84">
        <v>0.42534268559999999</v>
      </c>
      <c r="AA84">
        <v>0.43178894690000003</v>
      </c>
      <c r="AB84">
        <v>0.4377814927</v>
      </c>
      <c r="AC84">
        <v>0.44354233529999998</v>
      </c>
      <c r="AD84">
        <v>0.45189953179999998</v>
      </c>
      <c r="AE84">
        <v>0.4604754553</v>
      </c>
      <c r="AF84">
        <v>0.46890984810000003</v>
      </c>
      <c r="AG84">
        <v>0.47552670419999998</v>
      </c>
      <c r="AH84">
        <v>0.48255579059999998</v>
      </c>
      <c r="AI84">
        <v>0.49022017000000001</v>
      </c>
      <c r="AJ84">
        <v>0.4984142889</v>
      </c>
      <c r="AK84">
        <v>0.50628262229999998</v>
      </c>
      <c r="AL84">
        <v>0.50701073240000005</v>
      </c>
      <c r="AM84">
        <v>0.50682752050000002</v>
      </c>
      <c r="AN84">
        <v>0.51811251069999997</v>
      </c>
      <c r="AO84">
        <v>0.53076144420000004</v>
      </c>
      <c r="AP84">
        <v>0.54237445689999997</v>
      </c>
      <c r="AQ84">
        <v>0.55391283209999997</v>
      </c>
      <c r="AR84">
        <v>0.56520092109999998</v>
      </c>
      <c r="AS84">
        <v>0.56909184909999999</v>
      </c>
      <c r="AT84">
        <v>0.57329930149999997</v>
      </c>
      <c r="AU84">
        <v>0.57806155049999997</v>
      </c>
      <c r="AV84">
        <v>0.5831088136</v>
      </c>
      <c r="AW84">
        <v>0.5884785736</v>
      </c>
    </row>
    <row r="85" spans="2:99" x14ac:dyDescent="0.25">
      <c r="B85" t="s">
        <v>185</v>
      </c>
      <c r="C85">
        <v>12.8442518570697</v>
      </c>
      <c r="D85">
        <v>13.0504704752259</v>
      </c>
      <c r="E85">
        <v>13.26</v>
      </c>
      <c r="F85">
        <v>13.66641008</v>
      </c>
      <c r="G85">
        <v>13.26099557</v>
      </c>
      <c r="H85">
        <v>12.200254470000001</v>
      </c>
      <c r="I85">
        <v>12.77877443</v>
      </c>
      <c r="J85">
        <v>13.063921779999999</v>
      </c>
      <c r="K85">
        <v>12.47982582</v>
      </c>
      <c r="L85">
        <v>12.28338887</v>
      </c>
      <c r="M85">
        <v>12.475369580000001</v>
      </c>
      <c r="N85">
        <v>12.80895503</v>
      </c>
      <c r="O85">
        <v>13.139900839999999</v>
      </c>
      <c r="P85" s="39">
        <v>13.489376439999999</v>
      </c>
      <c r="Q85" s="39">
        <v>13.19251642</v>
      </c>
      <c r="R85" s="39">
        <v>13.1117566</v>
      </c>
      <c r="S85" s="39">
        <v>13.13262471</v>
      </c>
      <c r="T85" s="39">
        <v>13.359398629999999</v>
      </c>
      <c r="U85" s="39">
        <v>13.4195881</v>
      </c>
      <c r="V85" s="39">
        <v>13.825117199999999</v>
      </c>
      <c r="W85" s="39">
        <v>11.538819090000001</v>
      </c>
      <c r="X85" s="39">
        <v>9.5989830539999996</v>
      </c>
      <c r="Y85" s="39">
        <v>8.2764503549999997</v>
      </c>
      <c r="Z85" s="39">
        <v>7.4024638899999999</v>
      </c>
      <c r="AA85" s="39">
        <v>6.7687721019999998</v>
      </c>
      <c r="AB85" s="39">
        <v>6.2859208090000003</v>
      </c>
      <c r="AC85" s="39">
        <v>5.928478589</v>
      </c>
      <c r="AD85" s="39">
        <v>5.9229650869999997</v>
      </c>
      <c r="AE85" s="39">
        <v>6.0122022289999997</v>
      </c>
      <c r="AF85">
        <v>6.1239103310000003</v>
      </c>
      <c r="AG85">
        <v>6.2376072279999999</v>
      </c>
      <c r="AH85">
        <v>6.3528234680000004</v>
      </c>
      <c r="AI85">
        <v>6.4813138849999996</v>
      </c>
      <c r="AJ85">
        <v>6.6190819909999998</v>
      </c>
      <c r="AK85">
        <v>6.7599346210000002</v>
      </c>
      <c r="AL85">
        <v>6.8710646830000002</v>
      </c>
      <c r="AM85">
        <v>6.9803214010000003</v>
      </c>
      <c r="AN85">
        <v>7.1424096400000003</v>
      </c>
      <c r="AO85">
        <v>7.3155465580000003</v>
      </c>
      <c r="AP85">
        <v>7.4838095679999999</v>
      </c>
      <c r="AQ85">
        <v>7.6592709570000004</v>
      </c>
      <c r="AR85">
        <v>7.8338665140000003</v>
      </c>
      <c r="AS85">
        <v>7.9610533329999997</v>
      </c>
      <c r="AT85">
        <v>8.0897794760000004</v>
      </c>
      <c r="AU85">
        <v>8.2209413720000004</v>
      </c>
      <c r="AV85">
        <v>8.3532496530000007</v>
      </c>
      <c r="AW85">
        <v>8.4894162679999994</v>
      </c>
    </row>
    <row r="86" spans="2:99" x14ac:dyDescent="0.25">
      <c r="B86" t="s">
        <v>186</v>
      </c>
      <c r="C86">
        <v>17.113958899133198</v>
      </c>
      <c r="D86">
        <v>17.388729044925601</v>
      </c>
      <c r="E86">
        <v>17.667910710000001</v>
      </c>
      <c r="F86">
        <v>17.875477570000001</v>
      </c>
      <c r="G86">
        <v>17.8189919</v>
      </c>
      <c r="H86">
        <v>17.848135299999999</v>
      </c>
      <c r="I86">
        <v>18.285719790000002</v>
      </c>
      <c r="J86">
        <v>18.362632909999999</v>
      </c>
      <c r="K86" s="39">
        <v>18.078832890000001</v>
      </c>
      <c r="L86" s="39">
        <v>17.971268540000001</v>
      </c>
      <c r="M86" s="39">
        <v>18.08461724</v>
      </c>
      <c r="N86" s="39">
        <v>18.357479949999998</v>
      </c>
      <c r="O86" s="39">
        <v>18.804887000000001</v>
      </c>
      <c r="P86" s="39">
        <v>18.912572990000001</v>
      </c>
      <c r="Q86" s="39">
        <v>18.39393256</v>
      </c>
      <c r="R86" s="39">
        <v>17.994438030000001</v>
      </c>
      <c r="S86" s="39">
        <v>17.703286720000001</v>
      </c>
      <c r="T86" s="39">
        <v>17.27560059</v>
      </c>
      <c r="U86" s="39">
        <v>17.068182790000002</v>
      </c>
      <c r="V86" s="39">
        <v>17.0592045</v>
      </c>
      <c r="W86" s="39">
        <v>16.894995689999998</v>
      </c>
      <c r="X86" s="39">
        <v>16.62662611</v>
      </c>
      <c r="Y86" s="39">
        <v>16.326196150000001</v>
      </c>
      <c r="Z86">
        <v>16.015431509999999</v>
      </c>
      <c r="AA86">
        <v>15.694310590000001</v>
      </c>
      <c r="AB86">
        <v>15.163480789999999</v>
      </c>
      <c r="AC86">
        <v>14.663091359999999</v>
      </c>
      <c r="AD86">
        <v>14.36795863</v>
      </c>
      <c r="AE86">
        <v>14.08084923</v>
      </c>
      <c r="AF86">
        <v>13.8233774</v>
      </c>
      <c r="AG86">
        <v>13.532912169999999</v>
      </c>
      <c r="AH86">
        <v>13.250159699999999</v>
      </c>
      <c r="AI86">
        <v>13.0225629</v>
      </c>
      <c r="AJ86">
        <v>12.82683782</v>
      </c>
      <c r="AK86">
        <v>12.645491379999999</v>
      </c>
      <c r="AL86">
        <v>12.235227030000001</v>
      </c>
      <c r="AM86">
        <v>11.85919531</v>
      </c>
      <c r="AN86">
        <v>11.746669069999999</v>
      </c>
      <c r="AO86">
        <v>11.62310669</v>
      </c>
      <c r="AP86">
        <v>11.508554950000001</v>
      </c>
      <c r="AQ86">
        <v>11.41561111</v>
      </c>
      <c r="AR86">
        <v>11.34154785</v>
      </c>
      <c r="AS86">
        <v>11.056162410000001</v>
      </c>
      <c r="AT86" s="39">
        <v>10.792502580000001</v>
      </c>
      <c r="AU86" s="39">
        <v>10.52783666</v>
      </c>
      <c r="AV86">
        <v>10.26061309</v>
      </c>
      <c r="AW86">
        <v>9.9942348679999995</v>
      </c>
    </row>
    <row r="87" spans="2:99" x14ac:dyDescent="0.25">
      <c r="B87" t="s">
        <v>187</v>
      </c>
      <c r="C87">
        <v>5.6395460874857797</v>
      </c>
      <c r="D87">
        <v>5.7300908240832298</v>
      </c>
      <c r="E87">
        <v>5.8220892859999998</v>
      </c>
      <c r="F87">
        <v>6.3659412660000001</v>
      </c>
      <c r="G87">
        <v>6.7109964120000001</v>
      </c>
      <c r="H87">
        <v>7.0512024020000004</v>
      </c>
      <c r="I87">
        <v>7.760502153</v>
      </c>
      <c r="J87">
        <v>8.2400881049999999</v>
      </c>
      <c r="K87">
        <v>8.4559335919999903</v>
      </c>
      <c r="L87">
        <v>8.9275946350000002</v>
      </c>
      <c r="M87">
        <v>9.7664042860000002</v>
      </c>
      <c r="N87">
        <v>11.12040094</v>
      </c>
      <c r="O87">
        <v>11.63471137</v>
      </c>
      <c r="P87">
        <v>11.456877479999999</v>
      </c>
      <c r="Q87">
        <v>10.495166960000001</v>
      </c>
      <c r="R87">
        <v>9.8368630760000002</v>
      </c>
      <c r="S87">
        <v>9.4082873300000003</v>
      </c>
      <c r="T87">
        <v>9.318363347</v>
      </c>
      <c r="U87">
        <v>9.256715346</v>
      </c>
      <c r="V87">
        <v>9.383178805</v>
      </c>
      <c r="W87">
        <v>11.17864101</v>
      </c>
      <c r="X87">
        <v>12.636391339999999</v>
      </c>
      <c r="Y87">
        <v>13.57535736</v>
      </c>
      <c r="Z87">
        <v>14.237820279999999</v>
      </c>
      <c r="AA87">
        <v>14.639683870000001</v>
      </c>
      <c r="AB87">
        <v>14.53467232</v>
      </c>
      <c r="AC87">
        <v>14.265804790000001</v>
      </c>
      <c r="AD87">
        <v>14.11565442</v>
      </c>
      <c r="AE87">
        <v>13.9006601</v>
      </c>
      <c r="AF87">
        <v>13.6836433</v>
      </c>
      <c r="AG87">
        <v>13.40971659</v>
      </c>
      <c r="AH87">
        <v>13.14151683</v>
      </c>
      <c r="AI87">
        <v>12.924347490000001</v>
      </c>
      <c r="AJ87">
        <v>12.716635159999999</v>
      </c>
      <c r="AK87">
        <v>12.51074861</v>
      </c>
      <c r="AL87">
        <v>12.07021127</v>
      </c>
      <c r="AM87">
        <v>11.622079039999999</v>
      </c>
      <c r="AN87">
        <v>11.439418549999999</v>
      </c>
      <c r="AO87">
        <v>11.29412497</v>
      </c>
      <c r="AP87">
        <v>11.157831720000001</v>
      </c>
      <c r="AQ87">
        <v>11.036568709999999</v>
      </c>
      <c r="AR87">
        <v>10.93178567</v>
      </c>
      <c r="AS87">
        <v>10.608318580000001</v>
      </c>
      <c r="AT87">
        <v>10.27571708</v>
      </c>
      <c r="AU87">
        <v>9.9522696029999995</v>
      </c>
      <c r="AV87">
        <v>9.6393311350000008</v>
      </c>
      <c r="AW87">
        <v>9.337112372</v>
      </c>
    </row>
    <row r="88" spans="2:99" x14ac:dyDescent="0.25">
      <c r="B88" t="s">
        <v>188</v>
      </c>
      <c r="C88" s="39">
        <v>1.0609788529198101E-6</v>
      </c>
      <c r="D88" s="39">
        <v>1.0780132115867701E-6</v>
      </c>
      <c r="E88" s="39">
        <v>1.0953210600000001E-6</v>
      </c>
      <c r="F88" s="39">
        <v>1.1744140000000001E-6</v>
      </c>
      <c r="G88" s="39">
        <v>1.9256442399999998E-6</v>
      </c>
      <c r="H88" s="39">
        <v>2.7475512199999998E-6</v>
      </c>
      <c r="I88" s="39">
        <v>3.5758285399999999E-6</v>
      </c>
      <c r="J88" s="39">
        <v>4.7211076599999998E-6</v>
      </c>
      <c r="K88" s="39">
        <v>5.7866609300000004E-6</v>
      </c>
      <c r="L88" s="39">
        <v>6.71004432E-6</v>
      </c>
      <c r="M88" s="39">
        <v>7.5769752500000003E-6</v>
      </c>
      <c r="N88" s="39">
        <v>8.0286581299999994E-6</v>
      </c>
      <c r="O88" s="39">
        <v>8.3578773800000006E-6</v>
      </c>
      <c r="P88" s="39">
        <v>8.5171828499999998E-6</v>
      </c>
      <c r="Q88" s="39">
        <v>9.2616076099999998E-6</v>
      </c>
      <c r="R88" s="39">
        <v>1.0136588700000001E-5</v>
      </c>
      <c r="S88" s="39">
        <v>1.1698606899999999E-5</v>
      </c>
      <c r="T88" s="39">
        <v>1.29743309E-5</v>
      </c>
      <c r="U88" s="39">
        <v>1.51267012E-5</v>
      </c>
      <c r="V88" s="39">
        <v>1.7681214499999999E-5</v>
      </c>
      <c r="W88" s="39">
        <v>2.00169474E-5</v>
      </c>
      <c r="X88" s="39">
        <v>2.2148511300000001E-5</v>
      </c>
      <c r="Y88" s="39">
        <v>2.3942278300000001E-5</v>
      </c>
      <c r="Z88" s="39">
        <v>2.5342938600000001E-5</v>
      </c>
      <c r="AA88" s="39">
        <v>2.6261945799999999E-5</v>
      </c>
      <c r="AB88" s="39">
        <v>2.66760137E-5</v>
      </c>
      <c r="AC88" s="39">
        <v>2.65905011E-5</v>
      </c>
      <c r="AD88" s="39">
        <v>2.6043928999999999E-5</v>
      </c>
      <c r="AE88" s="39">
        <v>2.5149162300000001E-5</v>
      </c>
      <c r="AF88" s="39">
        <v>2.4029060200000001E-5</v>
      </c>
      <c r="AG88" s="39">
        <v>2.2794146899999999E-5</v>
      </c>
      <c r="AH88" s="39">
        <v>2.1523714900000001E-5</v>
      </c>
      <c r="AI88" s="39">
        <v>2.02683641E-5</v>
      </c>
      <c r="AJ88" s="39">
        <v>1.9053208000000001E-5</v>
      </c>
      <c r="AK88" s="39">
        <v>1.7890982900000001E-5</v>
      </c>
      <c r="AL88" s="39">
        <v>1.6787158100000001E-5</v>
      </c>
      <c r="AM88" s="39">
        <v>1.5742956299999999E-5</v>
      </c>
      <c r="AN88" s="39">
        <v>1.47615829E-5</v>
      </c>
      <c r="AO88" s="39">
        <v>1.38402973E-5</v>
      </c>
      <c r="AP88" s="39">
        <v>1.29759484E-5</v>
      </c>
      <c r="AQ88" s="39">
        <v>1.21652928E-5</v>
      </c>
      <c r="AR88" s="39">
        <v>1.13544632E-5</v>
      </c>
      <c r="AS88" s="39">
        <v>1.05975968E-5</v>
      </c>
      <c r="AT88" s="39">
        <v>9.8911405E-6</v>
      </c>
      <c r="AU88" s="39">
        <v>9.2317567600000001E-6</v>
      </c>
      <c r="AV88" s="39">
        <v>8.6163193699999997E-6</v>
      </c>
      <c r="AW88" s="39">
        <v>8.0419046599999996E-6</v>
      </c>
      <c r="BA88" s="39"/>
      <c r="BB88" s="39"/>
      <c r="BC88" s="39"/>
      <c r="BD88" s="39"/>
      <c r="BE88" s="39"/>
      <c r="BF88" s="39"/>
      <c r="BG88" s="39"/>
      <c r="BH88" s="39"/>
      <c r="BI88" s="39"/>
      <c r="BJ88" s="39"/>
      <c r="BK88" s="39"/>
      <c r="BL88" s="39"/>
      <c r="BM88" s="39"/>
      <c r="BN88" s="39"/>
      <c r="BO88" s="39"/>
      <c r="BP88" s="39"/>
      <c r="BQ88" s="39"/>
      <c r="BR88" s="39"/>
      <c r="BS88" s="39"/>
      <c r="BT88" s="39"/>
      <c r="BU88" s="39"/>
      <c r="BV88" s="39"/>
      <c r="BW88" s="39"/>
      <c r="BX88" s="39"/>
      <c r="BY88" s="39"/>
      <c r="BZ88" s="39"/>
      <c r="CA88" s="39"/>
      <c r="CB88" s="39"/>
      <c r="CC88" s="39"/>
      <c r="CD88" s="39"/>
      <c r="CE88" s="39"/>
      <c r="CF88" s="39"/>
      <c r="CG88" s="39"/>
      <c r="CH88" s="39"/>
      <c r="CI88" s="39"/>
      <c r="CJ88" s="39"/>
      <c r="CK88" s="39"/>
      <c r="CL88" s="39"/>
      <c r="CM88" s="39"/>
      <c r="CN88" s="39"/>
      <c r="CO88" s="39"/>
      <c r="CP88" s="39"/>
      <c r="CQ88" s="39"/>
      <c r="CR88" s="39"/>
      <c r="CS88" s="39"/>
      <c r="CT88" s="39"/>
      <c r="CU88" s="39"/>
    </row>
    <row r="89" spans="2:99" x14ac:dyDescent="0.25">
      <c r="B89" t="s">
        <v>189</v>
      </c>
      <c r="C89" s="39">
        <v>0.26347077198670499</v>
      </c>
      <c r="D89" s="39">
        <v>0.26770088045298701</v>
      </c>
      <c r="E89" s="39">
        <v>0.27206078030000003</v>
      </c>
      <c r="F89" s="39">
        <v>0.30094276440000001</v>
      </c>
      <c r="G89" s="39">
        <v>0.29274160739999999</v>
      </c>
      <c r="H89" s="39">
        <v>0.24284127820000001</v>
      </c>
      <c r="I89" s="39">
        <v>0.2470641231</v>
      </c>
      <c r="J89" s="39">
        <v>0.2414797753</v>
      </c>
      <c r="K89" s="39">
        <v>0.26129071329999998</v>
      </c>
      <c r="L89" s="39">
        <v>0.25728000099999998</v>
      </c>
      <c r="M89" s="39">
        <v>0.24959175619999999</v>
      </c>
      <c r="N89" s="39">
        <v>0.2439320894</v>
      </c>
      <c r="O89" s="39">
        <v>0.23226825700000001</v>
      </c>
      <c r="P89" s="39">
        <v>0.23804918580000001</v>
      </c>
      <c r="Q89" s="39">
        <v>0.24347699950000001</v>
      </c>
      <c r="R89" s="39">
        <v>0.25238339770000001</v>
      </c>
      <c r="S89" s="39">
        <v>0.26827693429999999</v>
      </c>
      <c r="T89" s="39">
        <v>0.32770031059999999</v>
      </c>
      <c r="U89" s="39">
        <v>0.37641846540000001</v>
      </c>
      <c r="V89" s="39">
        <v>0.4208686975</v>
      </c>
      <c r="W89" s="39">
        <v>0.4312491839</v>
      </c>
      <c r="X89" s="39">
        <v>0.44128811979999999</v>
      </c>
      <c r="Y89" s="39">
        <v>0.48636546260000002</v>
      </c>
      <c r="Z89" s="39">
        <v>0.53396921529999997</v>
      </c>
      <c r="AA89" s="39">
        <v>0.58296159339999998</v>
      </c>
      <c r="AB89" s="39">
        <v>0.6252108958</v>
      </c>
      <c r="AC89" s="39">
        <v>0.66958916030000004</v>
      </c>
      <c r="AD89" s="39">
        <v>0.73582089650000004</v>
      </c>
      <c r="AE89" s="39">
        <v>0.80385976339999998</v>
      </c>
      <c r="AF89" s="39">
        <v>0.8733584633</v>
      </c>
      <c r="AG89" s="39">
        <v>0.94187521210000003</v>
      </c>
      <c r="AH89" s="39">
        <v>1.0117537130000001</v>
      </c>
      <c r="AI89" s="39">
        <v>1.0976641629999999</v>
      </c>
      <c r="AJ89" s="39">
        <v>1.1855919770000001</v>
      </c>
      <c r="AK89" s="39">
        <v>1.2730337810000001</v>
      </c>
      <c r="AL89" s="39">
        <v>1.3540314600000001</v>
      </c>
      <c r="AM89" s="39">
        <v>1.4325703569999999</v>
      </c>
      <c r="AN89" s="39">
        <v>1.506245702</v>
      </c>
      <c r="AO89" s="39">
        <v>1.58783966</v>
      </c>
      <c r="AP89" s="39">
        <v>1.6672686649999999</v>
      </c>
      <c r="AQ89" s="39">
        <v>1.7500892079999999</v>
      </c>
      <c r="AR89" s="39">
        <v>1.8381411830000001</v>
      </c>
      <c r="AS89" s="39">
        <v>1.8764490810000001</v>
      </c>
      <c r="AT89" s="39">
        <v>1.9143736250000001</v>
      </c>
      <c r="AU89" s="39">
        <v>1.9538245910000001</v>
      </c>
      <c r="AV89">
        <v>1.994451875</v>
      </c>
      <c r="AW89">
        <v>2.0358858390000001</v>
      </c>
    </row>
    <row r="90" spans="2:99" x14ac:dyDescent="0.25">
      <c r="B90" t="s">
        <v>190</v>
      </c>
      <c r="C90">
        <v>2318131524.4374599</v>
      </c>
      <c r="D90">
        <v>2355349875.8831902</v>
      </c>
      <c r="E90">
        <v>2393165780</v>
      </c>
      <c r="F90">
        <v>2417743066</v>
      </c>
      <c r="G90">
        <v>2442572755</v>
      </c>
      <c r="H90">
        <v>2467657440</v>
      </c>
      <c r="I90">
        <v>2492999739</v>
      </c>
      <c r="J90">
        <v>2518602297</v>
      </c>
      <c r="K90">
        <v>2544467789</v>
      </c>
      <c r="L90">
        <v>2570598913</v>
      </c>
      <c r="M90">
        <v>2596998398</v>
      </c>
      <c r="N90">
        <v>2623669000</v>
      </c>
      <c r="O90">
        <v>2653988446</v>
      </c>
      <c r="P90">
        <v>2684658267</v>
      </c>
      <c r="Q90">
        <v>2715682513</v>
      </c>
      <c r="R90">
        <v>2745467125</v>
      </c>
      <c r="S90">
        <v>2775151740</v>
      </c>
      <c r="T90">
        <v>2804229571</v>
      </c>
      <c r="U90">
        <v>2833057577</v>
      </c>
      <c r="V90">
        <v>2863783189</v>
      </c>
      <c r="W90">
        <v>2893294392</v>
      </c>
      <c r="X90">
        <v>2920683496</v>
      </c>
      <c r="Y90">
        <v>2946016305</v>
      </c>
      <c r="Z90">
        <v>2969192311</v>
      </c>
      <c r="AA90">
        <v>2990333273</v>
      </c>
      <c r="AB90">
        <v>3009261245</v>
      </c>
      <c r="AC90">
        <v>3025888722</v>
      </c>
      <c r="AD90">
        <v>3041817748</v>
      </c>
      <c r="AE90">
        <v>3056903629</v>
      </c>
      <c r="AF90">
        <v>3071089561</v>
      </c>
      <c r="AG90">
        <v>3084363564</v>
      </c>
      <c r="AH90">
        <v>3096983722</v>
      </c>
      <c r="AI90">
        <v>3108626593</v>
      </c>
      <c r="AJ90">
        <v>3119146419</v>
      </c>
      <c r="AK90">
        <v>3128804146</v>
      </c>
      <c r="AL90">
        <v>3137546654</v>
      </c>
      <c r="AM90">
        <v>3145275685</v>
      </c>
      <c r="AN90">
        <v>3152779717</v>
      </c>
      <c r="AO90">
        <v>3159874851</v>
      </c>
      <c r="AP90">
        <v>3166558568</v>
      </c>
      <c r="AQ90">
        <v>3173103141</v>
      </c>
      <c r="AR90">
        <v>3179324132</v>
      </c>
      <c r="AS90">
        <v>3185265549</v>
      </c>
      <c r="AT90">
        <v>3191063906</v>
      </c>
      <c r="AU90">
        <v>3196626001</v>
      </c>
      <c r="AV90">
        <v>3201950414</v>
      </c>
      <c r="AW90">
        <v>3207035723</v>
      </c>
    </row>
    <row r="91" spans="2:99" x14ac:dyDescent="0.25">
      <c r="B91" t="s">
        <v>191</v>
      </c>
      <c r="C91">
        <v>640398.31806251395</v>
      </c>
      <c r="D91">
        <v>650680.12020171306</v>
      </c>
      <c r="E91">
        <v>661127</v>
      </c>
      <c r="F91">
        <v>1871731.0290000001</v>
      </c>
      <c r="G91">
        <v>3528901.0269999998</v>
      </c>
      <c r="H91">
        <v>5259240.7189999996</v>
      </c>
      <c r="I91">
        <v>6667211.0839999998</v>
      </c>
      <c r="J91">
        <v>8006462.6430000002</v>
      </c>
      <c r="K91">
        <v>9420124.6160000004</v>
      </c>
      <c r="L91">
        <v>10976078.119999999</v>
      </c>
      <c r="M91">
        <v>12673890.49</v>
      </c>
      <c r="N91">
        <v>14458920.970000001</v>
      </c>
      <c r="O91">
        <v>16085203.699999999</v>
      </c>
      <c r="P91">
        <v>18070620.710000001</v>
      </c>
      <c r="Q91">
        <v>20683911.440000001</v>
      </c>
      <c r="R91">
        <v>24750498.100000001</v>
      </c>
      <c r="S91">
        <v>29787144.140000001</v>
      </c>
      <c r="T91">
        <v>36000990.060000002</v>
      </c>
      <c r="U91">
        <v>43009437.409999996</v>
      </c>
      <c r="V91">
        <v>50575989.009999998</v>
      </c>
      <c r="W91">
        <v>59002470.920000002</v>
      </c>
      <c r="X91">
        <v>69855166.549999997</v>
      </c>
      <c r="Y91">
        <v>83558342.849999994</v>
      </c>
      <c r="Z91">
        <v>99451903.629999995</v>
      </c>
      <c r="AA91">
        <v>116974125.8</v>
      </c>
      <c r="AB91">
        <v>135617724.59999999</v>
      </c>
      <c r="AC91">
        <v>155323832.69999999</v>
      </c>
      <c r="AD91">
        <v>176611297.40000001</v>
      </c>
      <c r="AE91">
        <v>199081096.09999999</v>
      </c>
      <c r="AF91">
        <v>222379372.80000001</v>
      </c>
      <c r="AG91">
        <v>246575921.09999999</v>
      </c>
      <c r="AH91">
        <v>271617730.80000001</v>
      </c>
      <c r="AI91">
        <v>297190113.60000002</v>
      </c>
      <c r="AJ91">
        <v>323294957.60000002</v>
      </c>
      <c r="AK91">
        <v>350002078.30000001</v>
      </c>
      <c r="AL91">
        <v>377338978.10000002</v>
      </c>
      <c r="AM91">
        <v>405987986.89999998</v>
      </c>
      <c r="AN91">
        <v>435894879.60000002</v>
      </c>
      <c r="AO91">
        <v>466504850.69999999</v>
      </c>
      <c r="AP91">
        <v>497600932.60000002</v>
      </c>
      <c r="AQ91">
        <v>529104654.10000002</v>
      </c>
      <c r="AR91">
        <v>560907958.39999998</v>
      </c>
      <c r="AS91">
        <v>593079076</v>
      </c>
      <c r="AT91">
        <v>625979765.5</v>
      </c>
      <c r="AU91">
        <v>659637917.79999995</v>
      </c>
      <c r="AV91">
        <v>694056119.20000005</v>
      </c>
      <c r="AW91">
        <v>729217116</v>
      </c>
    </row>
    <row r="92" spans="2:99" x14ac:dyDescent="0.25">
      <c r="B92" t="s">
        <v>192</v>
      </c>
      <c r="C92">
        <v>41062689.603059798</v>
      </c>
      <c r="D92">
        <v>41721964.366740197</v>
      </c>
      <c r="E92">
        <v>42391824</v>
      </c>
      <c r="F92">
        <v>48305753.189999998</v>
      </c>
      <c r="G92">
        <v>55234701.789999999</v>
      </c>
      <c r="H92">
        <v>62346392.060000002</v>
      </c>
      <c r="I92">
        <v>67960899.930000007</v>
      </c>
      <c r="J92">
        <v>73364889.840000004</v>
      </c>
      <c r="K92">
        <v>79074202.939999998</v>
      </c>
      <c r="L92" s="273">
        <v>85730776.980000004</v>
      </c>
      <c r="M92">
        <v>92849344.769999996</v>
      </c>
      <c r="N92">
        <v>99971103.109999999</v>
      </c>
      <c r="O92">
        <v>105724693.40000001</v>
      </c>
      <c r="P92">
        <v>112643056.5</v>
      </c>
      <c r="Q92">
        <v>121455716.8</v>
      </c>
      <c r="R92">
        <v>135846541.80000001</v>
      </c>
      <c r="S92">
        <v>152388813.19999999</v>
      </c>
      <c r="T92">
        <v>172623689.40000001</v>
      </c>
      <c r="U92">
        <v>193342957.09999999</v>
      </c>
      <c r="V92">
        <v>214830665.30000001</v>
      </c>
      <c r="W92">
        <v>237420504.69999999</v>
      </c>
      <c r="X92">
        <v>264727504.09999999</v>
      </c>
      <c r="Y92">
        <v>295626079.60000002</v>
      </c>
      <c r="Z92">
        <v>328388563.80000001</v>
      </c>
      <c r="AA92">
        <v>361325456.80000001</v>
      </c>
      <c r="AB92">
        <v>393154422.80000001</v>
      </c>
      <c r="AC92">
        <v>424037686</v>
      </c>
      <c r="AD92">
        <v>454620185.60000002</v>
      </c>
      <c r="AE92">
        <v>484007030.19999999</v>
      </c>
      <c r="AF92">
        <v>511923438.19999999</v>
      </c>
      <c r="AG92">
        <v>538490568.70000005</v>
      </c>
      <c r="AH92">
        <v>563669999</v>
      </c>
      <c r="AI92">
        <v>587286509.10000002</v>
      </c>
      <c r="AJ92">
        <v>609414116.20000005</v>
      </c>
      <c r="AK92">
        <v>630141847.20000005</v>
      </c>
      <c r="AL92">
        <v>649586428.39999998</v>
      </c>
      <c r="AM92">
        <v>668281536.10000002</v>
      </c>
      <c r="AN92">
        <v>686126245.29999995</v>
      </c>
      <c r="AO92">
        <v>702824054.89999998</v>
      </c>
      <c r="AP92">
        <v>718291044.89999998</v>
      </c>
      <c r="AQ92">
        <v>732584162.70000005</v>
      </c>
      <c r="AR92">
        <v>745697945.5</v>
      </c>
      <c r="AS92">
        <v>757746657.39999998</v>
      </c>
      <c r="AT92">
        <v>768994064.20000005</v>
      </c>
      <c r="AU92">
        <v>779475071.10000002</v>
      </c>
      <c r="AV92">
        <v>789205680.89999998</v>
      </c>
      <c r="AW92">
        <v>798184769.70000005</v>
      </c>
    </row>
    <row r="93" spans="2:99" x14ac:dyDescent="0.25">
      <c r="B93" t="s">
        <v>193</v>
      </c>
      <c r="C93">
        <v>291506404.18067801</v>
      </c>
      <c r="D93">
        <v>296186633.79021603</v>
      </c>
      <c r="E93">
        <v>300942006</v>
      </c>
      <c r="F93">
        <v>329947677.80000001</v>
      </c>
      <c r="G93">
        <v>359749538.89999998</v>
      </c>
      <c r="H93">
        <v>389252175.80000001</v>
      </c>
      <c r="I93">
        <v>413626004.80000001</v>
      </c>
      <c r="J93">
        <v>437609892.39999998</v>
      </c>
      <c r="K93">
        <v>463487156.5</v>
      </c>
      <c r="L93">
        <v>491551506.80000001</v>
      </c>
      <c r="M93">
        <v>518831169.10000002</v>
      </c>
      <c r="N93">
        <v>542873342.5</v>
      </c>
      <c r="O93">
        <v>562428932.70000005</v>
      </c>
      <c r="P93">
        <v>579416689.60000002</v>
      </c>
      <c r="Q93">
        <v>597909915.79999995</v>
      </c>
      <c r="R93">
        <v>622074877.29999995</v>
      </c>
      <c r="S93">
        <v>647403930.79999995</v>
      </c>
      <c r="T93">
        <v>674505391.70000005</v>
      </c>
      <c r="U93">
        <v>700679512.10000002</v>
      </c>
      <c r="V93">
        <v>726827403.60000002</v>
      </c>
      <c r="W93">
        <v>751573490.89999998</v>
      </c>
      <c r="X93">
        <v>776299768.5</v>
      </c>
      <c r="Y93">
        <v>799507894.60000002</v>
      </c>
      <c r="Z93">
        <v>819631357.39999998</v>
      </c>
      <c r="AA93">
        <v>836167224</v>
      </c>
      <c r="AB93">
        <v>849118723.39999998</v>
      </c>
      <c r="AC93">
        <v>859538195.79999995</v>
      </c>
      <c r="AD93">
        <v>868444470.10000002</v>
      </c>
      <c r="AE93">
        <v>875180045</v>
      </c>
      <c r="AF93">
        <v>879682948.70000005</v>
      </c>
      <c r="AG93">
        <v>882071062.70000005</v>
      </c>
      <c r="AH93">
        <v>882591288.60000002</v>
      </c>
      <c r="AI93">
        <v>881348750.60000002</v>
      </c>
      <c r="AJ93">
        <v>878412876.79999995</v>
      </c>
      <c r="AK93">
        <v>873947028.29999995</v>
      </c>
      <c r="AL93">
        <v>868137684.39999998</v>
      </c>
      <c r="AM93">
        <v>861239416.29999995</v>
      </c>
      <c r="AN93">
        <v>853540255.79999995</v>
      </c>
      <c r="AO93">
        <v>845051517.10000002</v>
      </c>
      <c r="AP93">
        <v>835855481.89999998</v>
      </c>
      <c r="AQ93">
        <v>826118418.5</v>
      </c>
      <c r="AR93">
        <v>815840418.79999995</v>
      </c>
      <c r="AS93">
        <v>805138668.10000002</v>
      </c>
      <c r="AT93">
        <v>794245950</v>
      </c>
      <c r="AU93">
        <v>783198094.89999998</v>
      </c>
      <c r="AV93">
        <v>771994428.89999998</v>
      </c>
      <c r="AW93">
        <v>760609169</v>
      </c>
    </row>
    <row r="94" spans="2:99" x14ac:dyDescent="0.25">
      <c r="B94" t="s">
        <v>194</v>
      </c>
      <c r="C94">
        <v>640671991.67983496</v>
      </c>
      <c r="D94">
        <v>650958187.73748195</v>
      </c>
      <c r="E94">
        <v>661409532</v>
      </c>
      <c r="F94">
        <v>679063289.29999995</v>
      </c>
      <c r="G94">
        <v>696728989</v>
      </c>
      <c r="H94">
        <v>714644217.39999998</v>
      </c>
      <c r="I94">
        <v>730409205.20000005</v>
      </c>
      <c r="J94">
        <v>746521869.5</v>
      </c>
      <c r="K94">
        <v>764479421.70000005</v>
      </c>
      <c r="L94">
        <v>783753070.39999998</v>
      </c>
      <c r="M94">
        <v>802170920.79999995</v>
      </c>
      <c r="N94">
        <v>818048087.60000002</v>
      </c>
      <c r="O94">
        <v>832467761.60000002</v>
      </c>
      <c r="P94">
        <v>843750704.10000002</v>
      </c>
      <c r="Q94">
        <v>854759086.10000002</v>
      </c>
      <c r="R94">
        <v>864801303</v>
      </c>
      <c r="S94">
        <v>874348039</v>
      </c>
      <c r="T94">
        <v>881879057.20000005</v>
      </c>
      <c r="U94">
        <v>888793616.39999998</v>
      </c>
      <c r="V94">
        <v>895837321</v>
      </c>
      <c r="W94">
        <v>900680410</v>
      </c>
      <c r="X94">
        <v>900274783</v>
      </c>
      <c r="Y94">
        <v>894879255.79999995</v>
      </c>
      <c r="Z94">
        <v>885271002.79999995</v>
      </c>
      <c r="AA94">
        <v>872906006.89999998</v>
      </c>
      <c r="AB94">
        <v>859045755.10000002</v>
      </c>
      <c r="AC94">
        <v>844200337.60000002</v>
      </c>
      <c r="AD94">
        <v>828765470.60000002</v>
      </c>
      <c r="AE94">
        <v>812980289.5</v>
      </c>
      <c r="AF94">
        <v>796946352.29999995</v>
      </c>
      <c r="AG94">
        <v>780526057.5</v>
      </c>
      <c r="AH94">
        <v>763983080.70000005</v>
      </c>
      <c r="AI94">
        <v>747423908.5</v>
      </c>
      <c r="AJ94">
        <v>730705705.5</v>
      </c>
      <c r="AK94">
        <v>713885853.10000002</v>
      </c>
      <c r="AL94">
        <v>696955596.20000005</v>
      </c>
      <c r="AM94">
        <v>679526301</v>
      </c>
      <c r="AN94">
        <v>662099770</v>
      </c>
      <c r="AO94">
        <v>644781961.10000002</v>
      </c>
      <c r="AP94">
        <v>627652756.20000005</v>
      </c>
      <c r="AQ94">
        <v>610825367.39999998</v>
      </c>
      <c r="AR94">
        <v>594241330.89999998</v>
      </c>
      <c r="AS94">
        <v>577895160.5</v>
      </c>
      <c r="AT94">
        <v>561763530.70000005</v>
      </c>
      <c r="AU94">
        <v>545820575.39999998</v>
      </c>
      <c r="AV94">
        <v>530037204.39999998</v>
      </c>
      <c r="AW94">
        <v>515010676.30000001</v>
      </c>
    </row>
    <row r="95" spans="2:99" x14ac:dyDescent="0.25">
      <c r="B95" t="s">
        <v>195</v>
      </c>
      <c r="C95">
        <v>762047427.55376601</v>
      </c>
      <c r="D95">
        <v>774282345.494367</v>
      </c>
      <c r="E95">
        <v>786713699</v>
      </c>
      <c r="F95">
        <v>767717818.79999995</v>
      </c>
      <c r="G95">
        <v>747858640.79999995</v>
      </c>
      <c r="H95">
        <v>728391712.10000002</v>
      </c>
      <c r="I95">
        <v>714228879.39999998</v>
      </c>
      <c r="J95">
        <v>700642204.79999995</v>
      </c>
      <c r="K95">
        <v>685354659.70000005</v>
      </c>
      <c r="L95">
        <v>668090237.29999995</v>
      </c>
      <c r="M95">
        <v>651664168.10000002</v>
      </c>
      <c r="N95">
        <v>638411654.89999998</v>
      </c>
      <c r="O95">
        <v>631072637.79999995</v>
      </c>
      <c r="P95">
        <v>626045694.70000005</v>
      </c>
      <c r="Q95">
        <v>619253361.70000005</v>
      </c>
      <c r="R95">
        <v>605690499.5</v>
      </c>
      <c r="S95">
        <v>590245915.70000005</v>
      </c>
      <c r="T95">
        <v>572144100</v>
      </c>
      <c r="U95">
        <v>554247564.70000005</v>
      </c>
      <c r="V95">
        <v>536765354.80000001</v>
      </c>
      <c r="W95">
        <v>519610291.30000001</v>
      </c>
      <c r="X95">
        <v>500327090.19999999</v>
      </c>
      <c r="Y95">
        <v>479992374.10000002</v>
      </c>
      <c r="Z95">
        <v>460263783.69999999</v>
      </c>
      <c r="AA95">
        <v>441943613.60000002</v>
      </c>
      <c r="AB95">
        <v>425264267.10000002</v>
      </c>
      <c r="AC95">
        <v>409343401.89999998</v>
      </c>
      <c r="AD95">
        <v>393633195.19999999</v>
      </c>
      <c r="AE95">
        <v>378915386.5</v>
      </c>
      <c r="AF95">
        <v>365443873.89999998</v>
      </c>
      <c r="AG95">
        <v>353095062.80000001</v>
      </c>
      <c r="AH95">
        <v>341777711.10000002</v>
      </c>
      <c r="AI95">
        <v>331469171.30000001</v>
      </c>
      <c r="AJ95">
        <v>322073643.69999999</v>
      </c>
      <c r="AK95">
        <v>313512792.30000001</v>
      </c>
      <c r="AL95">
        <v>305588281.89999998</v>
      </c>
      <c r="AM95">
        <v>297676151.80000001</v>
      </c>
      <c r="AN95">
        <v>289855578.5</v>
      </c>
      <c r="AO95">
        <v>282405223.60000002</v>
      </c>
      <c r="AP95">
        <v>275391426.89999998</v>
      </c>
      <c r="AQ95">
        <v>268819009</v>
      </c>
      <c r="AR95">
        <v>262679716.5</v>
      </c>
      <c r="AS95">
        <v>256843878</v>
      </c>
      <c r="AT95">
        <v>250950362.19999999</v>
      </c>
      <c r="AU95">
        <v>244915331.30000001</v>
      </c>
      <c r="AV95">
        <v>238743934.69999999</v>
      </c>
      <c r="AW95">
        <v>232476050.40000001</v>
      </c>
    </row>
    <row r="96" spans="2:99" x14ac:dyDescent="0.25">
      <c r="B96" t="s">
        <v>196</v>
      </c>
      <c r="C96">
        <v>399231640.45290101</v>
      </c>
      <c r="D96">
        <v>405641433.57550502</v>
      </c>
      <c r="E96">
        <v>412154138</v>
      </c>
      <c r="F96">
        <v>399768577.60000002</v>
      </c>
      <c r="G96">
        <v>387105310.89999998</v>
      </c>
      <c r="H96">
        <v>374735337.69999999</v>
      </c>
      <c r="I96">
        <v>365442127.69999999</v>
      </c>
      <c r="J96">
        <v>356455622.39999998</v>
      </c>
      <c r="K96">
        <v>346444342.89999998</v>
      </c>
      <c r="L96">
        <v>335401585.19999999</v>
      </c>
      <c r="M96">
        <v>325057208</v>
      </c>
      <c r="N96">
        <v>316757917.69999999</v>
      </c>
      <c r="O96">
        <v>311880887.89999998</v>
      </c>
      <c r="P96">
        <v>308557856.69999999</v>
      </c>
      <c r="Q96">
        <v>304456004</v>
      </c>
      <c r="R96">
        <v>297073345.39999998</v>
      </c>
      <c r="S96">
        <v>288856910.89999998</v>
      </c>
      <c r="T96">
        <v>279491706.89999998</v>
      </c>
      <c r="U96">
        <v>270236774</v>
      </c>
      <c r="V96">
        <v>261213761.69999999</v>
      </c>
      <c r="W96">
        <v>252395456.30000001</v>
      </c>
      <c r="X96">
        <v>242721918</v>
      </c>
      <c r="Y96">
        <v>232681835.40000001</v>
      </c>
      <c r="Z96">
        <v>223050760.69999999</v>
      </c>
      <c r="AA96">
        <v>214136345.59999999</v>
      </c>
      <c r="AB96">
        <v>205982434.69999999</v>
      </c>
      <c r="AC96">
        <v>198125067.5</v>
      </c>
      <c r="AD96">
        <v>190313472.90000001</v>
      </c>
      <c r="AE96">
        <v>182926339.19999999</v>
      </c>
      <c r="AF96">
        <v>176100039.30000001</v>
      </c>
      <c r="AG96">
        <v>169794533.30000001</v>
      </c>
      <c r="AH96">
        <v>163973071</v>
      </c>
      <c r="AI96">
        <v>158621798.40000001</v>
      </c>
      <c r="AJ96">
        <v>153706071.5</v>
      </c>
      <c r="AK96">
        <v>149198346</v>
      </c>
      <c r="AL96">
        <v>145009073.80000001</v>
      </c>
      <c r="AM96">
        <v>140859508</v>
      </c>
      <c r="AN96">
        <v>136775086.30000001</v>
      </c>
      <c r="AO96">
        <v>132863515.8</v>
      </c>
      <c r="AP96">
        <v>129149269.7</v>
      </c>
      <c r="AQ96">
        <v>125635107.59999999</v>
      </c>
      <c r="AR96">
        <v>122320583.3</v>
      </c>
      <c r="AS96">
        <v>119149245.09999999</v>
      </c>
      <c r="AT96">
        <v>115958909.40000001</v>
      </c>
      <c r="AU96">
        <v>112711135.2</v>
      </c>
      <c r="AV96">
        <v>109409747.7</v>
      </c>
      <c r="AW96">
        <v>106074764.2</v>
      </c>
    </row>
    <row r="97" spans="2:49" x14ac:dyDescent="0.25">
      <c r="B97" t="s">
        <v>197</v>
      </c>
      <c r="C97">
        <v>182970972.649156</v>
      </c>
      <c r="D97">
        <v>185908630.79867601</v>
      </c>
      <c r="E97">
        <v>188893454</v>
      </c>
      <c r="F97">
        <v>191068218.19999999</v>
      </c>
      <c r="G97">
        <v>192366672.80000001</v>
      </c>
      <c r="H97">
        <v>193028364</v>
      </c>
      <c r="I97">
        <v>194665410.59999999</v>
      </c>
      <c r="J97">
        <v>196001355.69999999</v>
      </c>
      <c r="K97">
        <v>196207880.30000001</v>
      </c>
      <c r="L97">
        <v>195095658</v>
      </c>
      <c r="M97">
        <v>193751696.59999999</v>
      </c>
      <c r="N97">
        <v>193147973.09999999</v>
      </c>
      <c r="O97">
        <v>194328328.90000001</v>
      </c>
      <c r="P97">
        <v>196173644.80000001</v>
      </c>
      <c r="Q97">
        <v>197164516.90000001</v>
      </c>
      <c r="R97">
        <v>195230060.30000001</v>
      </c>
      <c r="S97">
        <v>192120985.90000001</v>
      </c>
      <c r="T97">
        <v>187584636</v>
      </c>
      <c r="U97">
        <v>182747715.30000001</v>
      </c>
      <c r="V97">
        <v>177732694</v>
      </c>
      <c r="W97">
        <v>172611767.69999999</v>
      </c>
      <c r="X97">
        <v>166477265.5</v>
      </c>
      <c r="Y97">
        <v>159770523.09999999</v>
      </c>
      <c r="Z97">
        <v>153134939.30000001</v>
      </c>
      <c r="AA97">
        <v>146880500.19999999</v>
      </c>
      <c r="AB97">
        <v>141077917.69999999</v>
      </c>
      <c r="AC97">
        <v>135320200.19999999</v>
      </c>
      <c r="AD97">
        <v>129429655.8</v>
      </c>
      <c r="AE97">
        <v>123813442.40000001</v>
      </c>
      <c r="AF97">
        <v>118613536.2</v>
      </c>
      <c r="AG97">
        <v>113810358.09999999</v>
      </c>
      <c r="AH97">
        <v>109370841.2</v>
      </c>
      <c r="AI97">
        <v>105286341.2</v>
      </c>
      <c r="AJ97">
        <v>101539048</v>
      </c>
      <c r="AK97">
        <v>98116200.569999903</v>
      </c>
      <c r="AL97">
        <v>94930611.290000007</v>
      </c>
      <c r="AM97">
        <v>91704784.709999904</v>
      </c>
      <c r="AN97">
        <v>88487901.5</v>
      </c>
      <c r="AO97">
        <v>85443727.629999995</v>
      </c>
      <c r="AP97">
        <v>82617656.129999995</v>
      </c>
      <c r="AQ97">
        <v>80016422.049999997</v>
      </c>
      <c r="AR97">
        <v>77636178.359999999</v>
      </c>
      <c r="AS97">
        <v>75412864.5</v>
      </c>
      <c r="AT97">
        <v>73171323.879999995</v>
      </c>
      <c r="AU97">
        <v>70867875.540000007</v>
      </c>
      <c r="AV97">
        <v>68503297.810000002</v>
      </c>
      <c r="AW97">
        <v>66096705.359999999</v>
      </c>
    </row>
    <row r="98" spans="2:49" x14ac:dyDescent="0.25">
      <c r="B98" t="s">
        <v>198</v>
      </c>
      <c r="C98">
        <v>61.608374519870097</v>
      </c>
      <c r="D98">
        <v>61.608374519870097</v>
      </c>
      <c r="E98">
        <v>62.599596769999998</v>
      </c>
      <c r="F98">
        <v>63.056426760000001</v>
      </c>
      <c r="G98">
        <v>64.232020009999999</v>
      </c>
      <c r="H98">
        <v>64.854944570000001</v>
      </c>
      <c r="I98">
        <v>67.647356270000003</v>
      </c>
      <c r="J98">
        <v>68.510261810000003</v>
      </c>
      <c r="K98">
        <v>69.435393669999996</v>
      </c>
      <c r="L98">
        <v>69.723531320000006</v>
      </c>
      <c r="M98">
        <v>74.947334229999996</v>
      </c>
      <c r="N98">
        <v>80.227931620000007</v>
      </c>
      <c r="O98">
        <v>87.375846359999997</v>
      </c>
      <c r="P98">
        <v>95.042145390000002</v>
      </c>
      <c r="Q98">
        <v>107.3389406</v>
      </c>
      <c r="R98">
        <v>107.6259791</v>
      </c>
      <c r="S98">
        <v>107.4673701</v>
      </c>
      <c r="T98">
        <v>107.5194346</v>
      </c>
      <c r="U98">
        <v>108.0545328</v>
      </c>
      <c r="V98">
        <v>109.1733809</v>
      </c>
      <c r="W98">
        <v>109.7382729</v>
      </c>
      <c r="X98">
        <v>111.2432348</v>
      </c>
      <c r="Y98">
        <v>110.3953782</v>
      </c>
      <c r="Z98">
        <v>109.60120999999999</v>
      </c>
      <c r="AA98">
        <v>108.9135393</v>
      </c>
      <c r="AB98">
        <v>126.5930771</v>
      </c>
      <c r="AC98">
        <v>145.6443754</v>
      </c>
      <c r="AD98">
        <v>152.82489570000001</v>
      </c>
      <c r="AE98">
        <v>159.9888607</v>
      </c>
      <c r="AF98">
        <v>167.18591549999999</v>
      </c>
      <c r="AG98">
        <v>173.6746043</v>
      </c>
      <c r="AH98">
        <v>180.09902349999999</v>
      </c>
      <c r="AI98">
        <v>181.38658520000001</v>
      </c>
      <c r="AJ98">
        <v>182.70731860000001</v>
      </c>
      <c r="AK98">
        <v>184.09134900000001</v>
      </c>
      <c r="AL98">
        <v>181.71218250000001</v>
      </c>
      <c r="AM98">
        <v>179.08177090000001</v>
      </c>
      <c r="AN98">
        <v>188.22407820000001</v>
      </c>
      <c r="AO98">
        <v>197.66612850000001</v>
      </c>
      <c r="AP98">
        <v>207.65837339999999</v>
      </c>
      <c r="AQ98">
        <v>218.38828670000001</v>
      </c>
      <c r="AR98">
        <v>230.4821728</v>
      </c>
      <c r="AS98">
        <v>234.8087117</v>
      </c>
      <c r="AT98">
        <v>239.19092900000001</v>
      </c>
      <c r="AU98">
        <v>243.48836729999999</v>
      </c>
      <c r="AV98">
        <v>247.67796480000001</v>
      </c>
      <c r="AW98">
        <v>251.7114651</v>
      </c>
    </row>
    <row r="99" spans="2:49" x14ac:dyDescent="0.25">
      <c r="B99" t="s">
        <v>507</v>
      </c>
      <c r="C99">
        <v>61.608374519870097</v>
      </c>
      <c r="D99">
        <v>61.608374519870097</v>
      </c>
      <c r="E99">
        <v>62.599596769999998</v>
      </c>
      <c r="F99">
        <v>63.056426760000001</v>
      </c>
      <c r="G99">
        <v>64.232020009999999</v>
      </c>
      <c r="H99">
        <v>64.854944570000001</v>
      </c>
      <c r="I99">
        <v>67.647356270000003</v>
      </c>
      <c r="J99">
        <v>68.510261810000003</v>
      </c>
      <c r="K99">
        <v>69.435393669999996</v>
      </c>
      <c r="L99">
        <v>69.723531320000006</v>
      </c>
      <c r="M99">
        <v>74.947334229999996</v>
      </c>
      <c r="N99">
        <v>80.227931620000007</v>
      </c>
      <c r="O99">
        <v>87.375846359999997</v>
      </c>
      <c r="P99">
        <v>95.042145390000002</v>
      </c>
      <c r="Q99">
        <v>107.3389406</v>
      </c>
      <c r="R99">
        <v>107.6259791</v>
      </c>
      <c r="S99">
        <v>107.4673701</v>
      </c>
      <c r="T99">
        <v>107.5194346</v>
      </c>
      <c r="U99">
        <v>108.0545328</v>
      </c>
      <c r="V99">
        <v>108.89436329999999</v>
      </c>
      <c r="W99">
        <v>109.21726219999999</v>
      </c>
      <c r="X99">
        <v>110.3171105</v>
      </c>
      <c r="Y99">
        <v>108.6756676</v>
      </c>
      <c r="Z99">
        <v>106.961387</v>
      </c>
      <c r="AA99">
        <v>105.276101</v>
      </c>
      <c r="AB99">
        <v>103.6316415</v>
      </c>
      <c r="AC99">
        <v>102.0400853</v>
      </c>
      <c r="AD99">
        <v>100.68807150000001</v>
      </c>
      <c r="AE99">
        <v>99.358799970000007</v>
      </c>
      <c r="AF99">
        <v>98.065399459999995</v>
      </c>
      <c r="AG99">
        <v>96.799095910000005</v>
      </c>
      <c r="AH99">
        <v>95.565492730000003</v>
      </c>
      <c r="AI99">
        <v>94.329554259999995</v>
      </c>
      <c r="AJ99">
        <v>93.126312929999997</v>
      </c>
      <c r="AK99">
        <v>91.954992160000003</v>
      </c>
      <c r="AL99">
        <v>90.814953680000002</v>
      </c>
      <c r="AM99">
        <v>89.708349659999996</v>
      </c>
      <c r="AN99">
        <v>90.114457810000005</v>
      </c>
      <c r="AO99">
        <v>90.673122590000006</v>
      </c>
      <c r="AP99">
        <v>91.399735309999997</v>
      </c>
      <c r="AQ99">
        <v>92.304614470000004</v>
      </c>
      <c r="AR99">
        <v>93.465969419999894</v>
      </c>
      <c r="AS99">
        <v>93.754768690000006</v>
      </c>
      <c r="AT99">
        <v>94.175381999999999</v>
      </c>
      <c r="AU99">
        <v>94.703572609999995</v>
      </c>
      <c r="AV99">
        <v>95.337054309999999</v>
      </c>
      <c r="AW99">
        <v>96.088807529999997</v>
      </c>
    </row>
    <row r="100" spans="2:49" x14ac:dyDescent="0.25">
      <c r="B100" t="s">
        <v>199</v>
      </c>
      <c r="C100">
        <v>0.96116878123798499</v>
      </c>
      <c r="D100">
        <v>0.98039215686274495</v>
      </c>
      <c r="E100">
        <v>0.98315877839999999</v>
      </c>
      <c r="F100">
        <v>0.98079898570000001</v>
      </c>
      <c r="G100">
        <v>0.98356306739999999</v>
      </c>
      <c r="H100">
        <v>0.997559839</v>
      </c>
      <c r="I100">
        <v>0.99387663280000005</v>
      </c>
      <c r="J100">
        <v>0.98774516509999999</v>
      </c>
      <c r="K100">
        <v>0.98359914800000003</v>
      </c>
      <c r="L100">
        <v>0.98750890719999995</v>
      </c>
      <c r="M100">
        <v>0.99451173469999998</v>
      </c>
      <c r="N100">
        <v>1.003552673</v>
      </c>
      <c r="O100">
        <v>1.0095793280000001</v>
      </c>
      <c r="P100">
        <v>1.014394934</v>
      </c>
      <c r="Q100">
        <v>1.025532256</v>
      </c>
      <c r="R100">
        <v>1.0477142370000001</v>
      </c>
      <c r="S100">
        <v>1.06758628</v>
      </c>
      <c r="T100">
        <v>1.0880924329999999</v>
      </c>
      <c r="U100">
        <v>1.108162213</v>
      </c>
      <c r="V100">
        <v>1.1285319220000001</v>
      </c>
      <c r="W100">
        <v>1.1494811730000001</v>
      </c>
      <c r="X100">
        <v>1.1714360269999999</v>
      </c>
      <c r="Y100">
        <v>1.196340049</v>
      </c>
      <c r="Z100">
        <v>1.22146306</v>
      </c>
      <c r="AA100">
        <v>1.2471481069999999</v>
      </c>
      <c r="AB100">
        <v>1.2746905159999999</v>
      </c>
      <c r="AC100">
        <v>1.3030236369999999</v>
      </c>
      <c r="AD100">
        <v>1.3312846789999999</v>
      </c>
      <c r="AE100">
        <v>1.3596254029999999</v>
      </c>
      <c r="AF100">
        <v>1.388553288</v>
      </c>
      <c r="AG100">
        <v>1.418195906</v>
      </c>
      <c r="AH100">
        <v>1.448430036</v>
      </c>
      <c r="AI100">
        <v>1.479119362</v>
      </c>
      <c r="AJ100">
        <v>1.510489875</v>
      </c>
      <c r="AK100">
        <v>1.5429469870000001</v>
      </c>
      <c r="AL100">
        <v>1.576012953</v>
      </c>
      <c r="AM100">
        <v>1.6102122679999999</v>
      </c>
      <c r="AN100">
        <v>1.64516727</v>
      </c>
      <c r="AO100">
        <v>1.6802647559999999</v>
      </c>
      <c r="AP100">
        <v>1.716520118</v>
      </c>
      <c r="AQ100">
        <v>1.7537482550000001</v>
      </c>
      <c r="AR100">
        <v>1.7915500470000001</v>
      </c>
      <c r="AS100">
        <v>1.830363145</v>
      </c>
      <c r="AT100">
        <v>1.869997344</v>
      </c>
      <c r="AU100">
        <v>1.9102648339999999</v>
      </c>
      <c r="AV100">
        <v>1.95116559</v>
      </c>
      <c r="AW100">
        <v>1.993003487</v>
      </c>
    </row>
    <row r="101" spans="2:49" x14ac:dyDescent="0.25">
      <c r="B101" t="s">
        <v>508</v>
      </c>
      <c r="C101">
        <v>0.96116878123798499</v>
      </c>
      <c r="D101">
        <v>0.98039215686274495</v>
      </c>
      <c r="E101">
        <v>0.98315877839999999</v>
      </c>
      <c r="F101">
        <v>0.98079898570000001</v>
      </c>
      <c r="G101">
        <v>0.98356306739999999</v>
      </c>
      <c r="H101">
        <v>0.997559839</v>
      </c>
      <c r="I101">
        <v>0.99387663280000005</v>
      </c>
      <c r="J101">
        <v>0.98774516509999999</v>
      </c>
      <c r="K101">
        <v>0.98359914800000003</v>
      </c>
      <c r="L101">
        <v>0.98750890719999995</v>
      </c>
      <c r="M101">
        <v>0.99451173469999998</v>
      </c>
      <c r="N101">
        <v>1.003552673</v>
      </c>
      <c r="O101">
        <v>1.0095793280000001</v>
      </c>
      <c r="P101">
        <v>1.014394934</v>
      </c>
      <c r="Q101">
        <v>1.025532256</v>
      </c>
      <c r="R101">
        <v>1.0477142370000001</v>
      </c>
      <c r="S101">
        <v>1.06758628</v>
      </c>
      <c r="T101">
        <v>1.0880924329999999</v>
      </c>
      <c r="U101">
        <v>1.108162213</v>
      </c>
      <c r="V101">
        <v>1.1286756529999999</v>
      </c>
      <c r="W101">
        <v>1.149484905</v>
      </c>
      <c r="X101">
        <v>1.170425195</v>
      </c>
      <c r="Y101">
        <v>1.193332125</v>
      </c>
      <c r="Z101">
        <v>1.2168817220000001</v>
      </c>
      <c r="AA101">
        <v>1.240845245</v>
      </c>
      <c r="AB101">
        <v>1.265210242</v>
      </c>
      <c r="AC101">
        <v>1.289999159</v>
      </c>
      <c r="AD101">
        <v>1.3152152429999999</v>
      </c>
      <c r="AE101">
        <v>1.3410477240000001</v>
      </c>
      <c r="AF101">
        <v>1.367378008</v>
      </c>
      <c r="AG101">
        <v>1.394218398</v>
      </c>
      <c r="AH101">
        <v>1.4217339579999999</v>
      </c>
      <c r="AI101">
        <v>1.4497240140000001</v>
      </c>
      <c r="AJ101">
        <v>1.478303205</v>
      </c>
      <c r="AK101">
        <v>1.507557896</v>
      </c>
      <c r="AL101">
        <v>1.5374390250000001</v>
      </c>
      <c r="AM101">
        <v>1.567921261</v>
      </c>
      <c r="AN101">
        <v>1.598647226</v>
      </c>
      <c r="AO101">
        <v>1.6299788200000001</v>
      </c>
      <c r="AP101">
        <v>1.6618738669999999</v>
      </c>
      <c r="AQ101">
        <v>1.694361107</v>
      </c>
      <c r="AR101">
        <v>1.7274315389999999</v>
      </c>
      <c r="AS101">
        <v>1.7610157150000001</v>
      </c>
      <c r="AT101">
        <v>1.7952328479999999</v>
      </c>
      <c r="AU101">
        <v>1.8300766669999999</v>
      </c>
      <c r="AV101">
        <v>1.8655781309999999</v>
      </c>
      <c r="AW101">
        <v>1.902003546</v>
      </c>
    </row>
    <row r="102" spans="2:49" x14ac:dyDescent="0.25">
      <c r="B102" t="s">
        <v>509</v>
      </c>
      <c r="C102">
        <v>0</v>
      </c>
      <c r="D102" s="39">
        <v>0</v>
      </c>
      <c r="E102" s="39">
        <v>0</v>
      </c>
      <c r="F102" s="39">
        <v>0</v>
      </c>
      <c r="G102" s="39">
        <v>0</v>
      </c>
      <c r="H102" s="39">
        <v>0</v>
      </c>
      <c r="I102" s="39">
        <v>0</v>
      </c>
      <c r="J102" s="39">
        <v>0</v>
      </c>
      <c r="K102" s="39">
        <v>0</v>
      </c>
      <c r="L102" s="39">
        <v>0</v>
      </c>
      <c r="M102" s="39">
        <v>0</v>
      </c>
      <c r="N102" s="39">
        <v>0</v>
      </c>
      <c r="O102" s="39">
        <v>0</v>
      </c>
      <c r="P102" s="39">
        <v>0</v>
      </c>
      <c r="Q102" s="39">
        <v>0</v>
      </c>
      <c r="R102" s="39">
        <v>0</v>
      </c>
      <c r="S102" s="39">
        <v>0</v>
      </c>
      <c r="T102" s="39">
        <v>0</v>
      </c>
      <c r="U102" s="39">
        <v>0</v>
      </c>
      <c r="V102" s="39">
        <v>9.4207314687433305E-2</v>
      </c>
      <c r="W102">
        <v>0.358680458201865</v>
      </c>
      <c r="X102">
        <v>0.687112624686947</v>
      </c>
      <c r="Y102">
        <v>1.2075599367677099</v>
      </c>
      <c r="Z102">
        <v>1.5257063283878201</v>
      </c>
      <c r="AA102">
        <v>1.71596659134221</v>
      </c>
      <c r="AB102">
        <v>1.6897361204783301</v>
      </c>
      <c r="AC102">
        <v>1.5850173823877201</v>
      </c>
      <c r="AD102">
        <v>1.84500996697998</v>
      </c>
      <c r="AE102">
        <v>1.97672071126751</v>
      </c>
      <c r="AF102">
        <v>2.01022190879389</v>
      </c>
      <c r="AG102" s="39">
        <v>1.87750300352003</v>
      </c>
      <c r="AH102" s="39">
        <v>1.7203074164591601</v>
      </c>
      <c r="AI102">
        <v>1.6945959800263399</v>
      </c>
      <c r="AJ102">
        <v>1.66301730312998</v>
      </c>
      <c r="AK102">
        <v>1.5823469791209099</v>
      </c>
      <c r="AL102" s="39">
        <v>1.5218837356616399</v>
      </c>
      <c r="AM102">
        <v>1.4114961169007201</v>
      </c>
      <c r="AN102">
        <v>1.54212846618651</v>
      </c>
      <c r="AO102">
        <v>1.6815398137536</v>
      </c>
      <c r="AP102">
        <v>1.7182395246333</v>
      </c>
      <c r="AQ102">
        <v>1.7502385175920601</v>
      </c>
      <c r="AR102">
        <v>1.74613330216255</v>
      </c>
      <c r="AS102">
        <v>1.5950246080286901</v>
      </c>
      <c r="AT102">
        <v>1.52201424782316</v>
      </c>
      <c r="AU102">
        <v>1.48526684671344</v>
      </c>
      <c r="AV102">
        <v>1.4572193491235499</v>
      </c>
      <c r="AW102">
        <v>1.38227943899433</v>
      </c>
    </row>
    <row r="103" spans="2:49" x14ac:dyDescent="0.25">
      <c r="B103" t="s">
        <v>510</v>
      </c>
      <c r="C103" s="39">
        <v>0</v>
      </c>
      <c r="D103" s="39">
        <v>0</v>
      </c>
      <c r="E103" s="39">
        <v>0</v>
      </c>
      <c r="F103" s="39">
        <v>0</v>
      </c>
      <c r="G103" s="39">
        <v>0</v>
      </c>
      <c r="H103" s="39">
        <v>0</v>
      </c>
      <c r="I103" s="39">
        <v>0</v>
      </c>
      <c r="J103" s="39">
        <v>0</v>
      </c>
      <c r="K103" s="39">
        <v>0</v>
      </c>
      <c r="L103" s="39">
        <v>0</v>
      </c>
      <c r="M103" s="39">
        <v>0</v>
      </c>
      <c r="N103" s="39">
        <v>0</v>
      </c>
      <c r="O103" s="39">
        <v>0</v>
      </c>
      <c r="P103" s="39">
        <v>0</v>
      </c>
      <c r="Q103" s="39">
        <v>0</v>
      </c>
      <c r="R103" s="39">
        <v>0</v>
      </c>
      <c r="S103" s="39">
        <v>0</v>
      </c>
      <c r="T103" s="39">
        <v>0</v>
      </c>
      <c r="U103" s="39">
        <v>0</v>
      </c>
      <c r="V103" s="39">
        <v>5.1641975227933998E-2</v>
      </c>
      <c r="W103" s="39">
        <v>0.29455448578821197</v>
      </c>
      <c r="X103">
        <v>0.73288217921041399</v>
      </c>
      <c r="Y103">
        <v>1.3613406694751899</v>
      </c>
      <c r="Z103">
        <v>1.84370390282639</v>
      </c>
      <c r="AA103">
        <v>2.12417249427694</v>
      </c>
      <c r="AB103">
        <v>2.0502305112052701</v>
      </c>
      <c r="AC103">
        <v>1.7868456171589799</v>
      </c>
      <c r="AD103">
        <v>1.81553839515968</v>
      </c>
      <c r="AE103">
        <v>2.0989709235676299</v>
      </c>
      <c r="AF103">
        <v>2.15989469290396</v>
      </c>
      <c r="AG103">
        <v>2.0750822271134699</v>
      </c>
      <c r="AH103">
        <v>1.96864074148306</v>
      </c>
      <c r="AI103">
        <v>1.74959667387386</v>
      </c>
      <c r="AJ103">
        <v>1.64596384534114</v>
      </c>
      <c r="AK103">
        <v>1.4768311048773299</v>
      </c>
      <c r="AL103">
        <v>1.37548164298755</v>
      </c>
      <c r="AM103">
        <v>1.2303836155708401</v>
      </c>
      <c r="AN103">
        <v>1.27829013732436</v>
      </c>
      <c r="AO103">
        <v>1.48245839600018</v>
      </c>
      <c r="AP103">
        <v>1.5571999841206901</v>
      </c>
      <c r="AQ103">
        <v>1.5868602895297399</v>
      </c>
      <c r="AR103">
        <v>1.6514157428941101</v>
      </c>
      <c r="AS103">
        <v>1.6211388552450099</v>
      </c>
      <c r="AT103">
        <v>1.53954132940641</v>
      </c>
      <c r="AU103">
        <v>1.51358263078327</v>
      </c>
      <c r="AV103">
        <v>1.51677481382239</v>
      </c>
      <c r="AW103">
        <v>1.4137973480538599</v>
      </c>
    </row>
    <row r="104" spans="2:49" x14ac:dyDescent="0.25">
      <c r="B104" t="s">
        <v>511</v>
      </c>
      <c r="C104">
        <v>0</v>
      </c>
      <c r="D104" s="39">
        <v>0</v>
      </c>
      <c r="E104" s="39">
        <v>0</v>
      </c>
      <c r="F104" s="39">
        <v>0</v>
      </c>
      <c r="G104" s="39">
        <v>0</v>
      </c>
      <c r="H104" s="39">
        <v>0</v>
      </c>
      <c r="I104" s="39">
        <v>0</v>
      </c>
      <c r="J104" s="39">
        <v>0</v>
      </c>
      <c r="K104" s="39">
        <v>0</v>
      </c>
      <c r="L104" s="39">
        <v>0</v>
      </c>
      <c r="M104" s="39">
        <v>0</v>
      </c>
      <c r="N104" s="39">
        <v>0</v>
      </c>
      <c r="O104" s="39">
        <v>0</v>
      </c>
      <c r="P104" s="39">
        <v>0</v>
      </c>
      <c r="Q104" s="39">
        <v>0</v>
      </c>
      <c r="R104" s="39">
        <v>0</v>
      </c>
      <c r="S104" s="39">
        <v>0</v>
      </c>
      <c r="T104">
        <v>0</v>
      </c>
      <c r="U104">
        <v>0</v>
      </c>
      <c r="V104">
        <v>0.74233448475484698</v>
      </c>
      <c r="W104">
        <v>0.974317559888215</v>
      </c>
      <c r="X104">
        <v>1.0949099424058999</v>
      </c>
      <c r="Y104">
        <v>2.5835122806270898</v>
      </c>
      <c r="Z104">
        <v>3.0385529785099399</v>
      </c>
      <c r="AA104">
        <v>3.3097582839938902</v>
      </c>
      <c r="AB104">
        <v>2.9713483332652202</v>
      </c>
      <c r="AC104">
        <v>2.8280716355039099</v>
      </c>
      <c r="AD104">
        <v>5.2733591876227504</v>
      </c>
      <c r="AE104">
        <v>5.5932237611355999</v>
      </c>
      <c r="AF104">
        <v>5.6296844311962904</v>
      </c>
      <c r="AG104">
        <v>5.2654705057138802</v>
      </c>
      <c r="AH104">
        <v>5.1892325118919098</v>
      </c>
      <c r="AI104">
        <v>5.9078325955421196</v>
      </c>
      <c r="AJ104">
        <v>6.0156660524856198</v>
      </c>
      <c r="AK104">
        <v>5.9452802127863</v>
      </c>
      <c r="AL104">
        <v>5.7947711801572899</v>
      </c>
      <c r="AM104" s="39">
        <v>5.4266996567017198</v>
      </c>
      <c r="AN104">
        <v>6.8517102403608598</v>
      </c>
      <c r="AO104">
        <v>7.3490382227249604</v>
      </c>
      <c r="AP104">
        <v>7.3895363547978201</v>
      </c>
      <c r="AQ104">
        <v>7.5493138186393596</v>
      </c>
      <c r="AR104">
        <v>7.2497026943890202</v>
      </c>
      <c r="AS104">
        <v>5.9539544443120302</v>
      </c>
      <c r="AT104">
        <v>5.8784931390548598</v>
      </c>
      <c r="AU104">
        <v>5.9734727399779697</v>
      </c>
      <c r="AV104">
        <v>6.0143665527928301</v>
      </c>
      <c r="AW104" s="39">
        <v>5.9832147675849603</v>
      </c>
    </row>
    <row r="105" spans="2:49" x14ac:dyDescent="0.25">
      <c r="B105" t="s">
        <v>512</v>
      </c>
      <c r="C105" s="39">
        <v>0</v>
      </c>
      <c r="D105" s="39">
        <v>0</v>
      </c>
      <c r="E105" s="39">
        <v>0</v>
      </c>
      <c r="F105" s="39">
        <v>0</v>
      </c>
      <c r="G105" s="39">
        <v>0</v>
      </c>
      <c r="H105" s="39">
        <v>0</v>
      </c>
      <c r="I105" s="39">
        <v>0</v>
      </c>
      <c r="J105" s="39">
        <v>0</v>
      </c>
      <c r="K105" s="39">
        <v>0</v>
      </c>
      <c r="L105" s="39">
        <v>0</v>
      </c>
      <c r="M105" s="39">
        <v>0</v>
      </c>
      <c r="N105" s="39">
        <v>0</v>
      </c>
      <c r="O105" s="39">
        <v>0</v>
      </c>
      <c r="P105" s="39">
        <v>0</v>
      </c>
      <c r="Q105" s="39">
        <v>0</v>
      </c>
      <c r="R105" s="39">
        <v>0</v>
      </c>
      <c r="S105" s="39">
        <v>0</v>
      </c>
      <c r="T105" s="39">
        <v>0</v>
      </c>
      <c r="U105" s="39">
        <v>0</v>
      </c>
      <c r="V105" s="39">
        <v>1.51226425857409E-3</v>
      </c>
      <c r="W105" s="39">
        <v>1.62711413387306E-4</v>
      </c>
      <c r="X105" s="39">
        <v>-1.2016429377859E-2</v>
      </c>
      <c r="Y105">
        <v>-5.4623630816774599E-2</v>
      </c>
      <c r="Z105">
        <v>-0.109748740031012</v>
      </c>
      <c r="AA105">
        <v>-0.178913967622706</v>
      </c>
      <c r="AB105">
        <v>-0.26320694600843098</v>
      </c>
      <c r="AC105">
        <v>-0.36789021790997101</v>
      </c>
      <c r="AD105" s="39">
        <v>-0.42984675352325502</v>
      </c>
      <c r="AE105" s="39">
        <v>-0.49236118305478999</v>
      </c>
      <c r="AF105" s="39">
        <v>-0.56094320339694603</v>
      </c>
      <c r="AG105" s="39">
        <v>-0.88023854933976198</v>
      </c>
      <c r="AH105">
        <v>-1.1978777900353701</v>
      </c>
      <c r="AI105" s="39">
        <v>-1.2958224257759201</v>
      </c>
      <c r="AJ105" s="39">
        <v>-1.3935753328465901</v>
      </c>
      <c r="AK105" s="39">
        <v>-1.5044520464501701</v>
      </c>
      <c r="AL105" s="39">
        <v>-1.60514032112544</v>
      </c>
      <c r="AM105" s="39">
        <v>-1.71894844550827</v>
      </c>
      <c r="AN105" s="39">
        <v>-1.8445320914732</v>
      </c>
      <c r="AO105">
        <v>-1.95434771913171</v>
      </c>
      <c r="AP105">
        <v>-2.0796251795027199</v>
      </c>
      <c r="AQ105">
        <v>-2.2110887259394101</v>
      </c>
      <c r="AR105">
        <v>-2.34153098124481</v>
      </c>
      <c r="AS105">
        <v>-2.4840688095247501</v>
      </c>
      <c r="AT105">
        <v>-2.6269122177970798</v>
      </c>
      <c r="AU105">
        <v>-2.7672040953772998</v>
      </c>
      <c r="AV105">
        <v>-2.90371663490988</v>
      </c>
      <c r="AW105">
        <v>-3.0353072678191801</v>
      </c>
    </row>
    <row r="106" spans="2:49" x14ac:dyDescent="0.25">
      <c r="B106" t="s">
        <v>513</v>
      </c>
      <c r="C106">
        <v>0</v>
      </c>
      <c r="D106" s="39">
        <v>0</v>
      </c>
      <c r="E106" s="39">
        <v>0</v>
      </c>
      <c r="F106" s="39">
        <v>0</v>
      </c>
      <c r="G106" s="39">
        <v>0</v>
      </c>
      <c r="H106" s="39">
        <v>0</v>
      </c>
      <c r="I106" s="39">
        <v>0</v>
      </c>
      <c r="J106" s="39">
        <v>0</v>
      </c>
      <c r="K106" s="39">
        <v>0</v>
      </c>
      <c r="L106" s="39">
        <v>0</v>
      </c>
      <c r="M106" s="39">
        <v>0</v>
      </c>
      <c r="N106" s="39">
        <v>0</v>
      </c>
      <c r="O106" s="39">
        <v>0</v>
      </c>
      <c r="P106" s="39">
        <v>0</v>
      </c>
      <c r="Q106" s="39">
        <v>0</v>
      </c>
      <c r="R106" s="39">
        <v>0</v>
      </c>
      <c r="S106" s="39">
        <v>0</v>
      </c>
      <c r="T106" s="39">
        <v>0</v>
      </c>
      <c r="U106">
        <v>0</v>
      </c>
      <c r="V106" s="39">
        <v>0.17976453150303401</v>
      </c>
      <c r="W106" s="39">
        <v>-0.10741056881881</v>
      </c>
      <c r="X106">
        <v>-0.31409136466419302</v>
      </c>
      <c r="Y106">
        <v>-0.13794843570698001</v>
      </c>
      <c r="Z106">
        <v>-0.108983636206372</v>
      </c>
      <c r="AA106">
        <v>-0.144600233312219</v>
      </c>
      <c r="AB106">
        <v>-0.45257472186900299</v>
      </c>
      <c r="AC106">
        <v>-0.77216179599651702</v>
      </c>
      <c r="AD106">
        <v>-0.38755246356957301</v>
      </c>
      <c r="AE106">
        <v>-0.21204648158367201</v>
      </c>
      <c r="AF106">
        <v>-0.26631114337134498</v>
      </c>
      <c r="AG106">
        <v>-0.50906831391456198</v>
      </c>
      <c r="AH106">
        <v>-0.57095198566823302</v>
      </c>
      <c r="AI106">
        <v>-0.61402614762494601</v>
      </c>
      <c r="AJ106">
        <v>-0.74678194820120203</v>
      </c>
      <c r="AK106">
        <v>-0.94400908341663003</v>
      </c>
      <c r="AL106">
        <v>-1.1149047480087799</v>
      </c>
      <c r="AM106">
        <v>-1.32902735509918</v>
      </c>
      <c r="AN106">
        <v>-1.09335038919533</v>
      </c>
      <c r="AO106">
        <v>-1.0446847998209099</v>
      </c>
      <c r="AP106">
        <v>-1.1464506738398901</v>
      </c>
      <c r="AQ106">
        <v>-1.2602983981437099</v>
      </c>
      <c r="AR106">
        <v>-1.42862847989329</v>
      </c>
      <c r="AS106">
        <v>-1.8027552210806801</v>
      </c>
      <c r="AT106">
        <v>-1.9108611095144199</v>
      </c>
      <c r="AU106">
        <v>-1.94801706578273</v>
      </c>
      <c r="AV106">
        <v>-1.9845321406685299</v>
      </c>
      <c r="AW106">
        <v>-2.0856722775025198</v>
      </c>
    </row>
    <row r="107" spans="2:49" x14ac:dyDescent="0.25">
      <c r="B107" t="s">
        <v>514</v>
      </c>
      <c r="C107">
        <v>0</v>
      </c>
      <c r="D107" s="39">
        <v>0</v>
      </c>
      <c r="E107" s="39">
        <v>0</v>
      </c>
      <c r="F107" s="39">
        <v>0</v>
      </c>
      <c r="G107" s="39">
        <v>0</v>
      </c>
      <c r="H107" s="39">
        <v>0</v>
      </c>
      <c r="I107" s="39">
        <v>0</v>
      </c>
      <c r="J107" s="39">
        <v>0</v>
      </c>
      <c r="K107" s="39">
        <v>0</v>
      </c>
      <c r="L107" s="39">
        <v>0</v>
      </c>
      <c r="M107" s="39">
        <v>0</v>
      </c>
      <c r="N107" s="39">
        <v>0</v>
      </c>
      <c r="O107" s="39">
        <v>0</v>
      </c>
      <c r="P107" s="39">
        <v>0</v>
      </c>
      <c r="Q107" s="39">
        <v>0</v>
      </c>
      <c r="R107" s="39">
        <v>0</v>
      </c>
      <c r="S107" s="39">
        <v>0</v>
      </c>
      <c r="T107" s="39">
        <v>0</v>
      </c>
      <c r="U107">
        <v>0</v>
      </c>
      <c r="V107" s="39">
        <v>-6.4962833029395803E-2</v>
      </c>
      <c r="W107" s="39">
        <v>6.4632533883770396E-2</v>
      </c>
      <c r="X107">
        <v>0.18445623223187599</v>
      </c>
      <c r="Y107">
        <v>0.15854947325530599</v>
      </c>
      <c r="Z107" s="39">
        <v>0.16241079620863599</v>
      </c>
      <c r="AA107">
        <v>0.175660292127095</v>
      </c>
      <c r="AB107">
        <v>0.31118082715157103</v>
      </c>
      <c r="AC107">
        <v>0.43954196875167301</v>
      </c>
      <c r="AD107">
        <v>0.30616771779170698</v>
      </c>
      <c r="AE107">
        <v>0.232141489826379</v>
      </c>
      <c r="AF107">
        <v>0.236286654978275</v>
      </c>
      <c r="AG107">
        <v>0.217839559233695</v>
      </c>
      <c r="AH107" s="39">
        <v>0.124784254175566</v>
      </c>
      <c r="AI107" s="39">
        <v>9.9071940871411898E-2</v>
      </c>
      <c r="AJ107">
        <v>0.104811315639612</v>
      </c>
      <c r="AK107" s="39">
        <v>0.12973275966158301</v>
      </c>
      <c r="AL107">
        <v>0.14379960698389499</v>
      </c>
      <c r="AM107">
        <v>0.17530557124580501</v>
      </c>
      <c r="AN107">
        <v>5.8554384581664599E-2</v>
      </c>
      <c r="AO107">
        <v>8.5166574450824799E-3</v>
      </c>
      <c r="AP107">
        <v>1.15835047887827E-2</v>
      </c>
      <c r="AQ107">
        <v>1.44609409368598E-2</v>
      </c>
      <c r="AR107">
        <v>3.2147953317777901E-2</v>
      </c>
      <c r="AS107">
        <v>0.13403560285913299</v>
      </c>
      <c r="AT107">
        <v>0.140688452901503</v>
      </c>
      <c r="AU107">
        <v>0.121389098131399</v>
      </c>
      <c r="AV107">
        <v>0.10185120248110199</v>
      </c>
      <c r="AW107">
        <v>0.105833206138244</v>
      </c>
    </row>
    <row r="108" spans="2:49" x14ac:dyDescent="0.25">
      <c r="B108" t="s">
        <v>515</v>
      </c>
      <c r="C108" s="39">
        <v>0</v>
      </c>
      <c r="D108" s="39">
        <v>0</v>
      </c>
      <c r="E108" s="39">
        <v>0</v>
      </c>
      <c r="F108" s="39">
        <v>0</v>
      </c>
      <c r="G108" s="39">
        <v>0</v>
      </c>
      <c r="H108" s="39">
        <v>0</v>
      </c>
      <c r="I108" s="39">
        <v>0</v>
      </c>
      <c r="J108" s="39">
        <v>0</v>
      </c>
      <c r="K108" s="39">
        <v>0</v>
      </c>
      <c r="L108" s="39">
        <v>0</v>
      </c>
      <c r="M108" s="39">
        <v>0</v>
      </c>
      <c r="N108" s="39">
        <v>0</v>
      </c>
      <c r="O108" s="39">
        <v>0</v>
      </c>
      <c r="P108" s="39">
        <v>0</v>
      </c>
      <c r="Q108" s="39">
        <v>0</v>
      </c>
      <c r="R108" s="39">
        <v>0</v>
      </c>
      <c r="S108" s="39">
        <v>0</v>
      </c>
      <c r="T108" s="39">
        <v>0</v>
      </c>
      <c r="U108" s="39">
        <v>0</v>
      </c>
      <c r="V108" s="39">
        <v>-1.7221219999999302E-2</v>
      </c>
      <c r="W108" s="39">
        <v>-8.2311210000000898E-2</v>
      </c>
      <c r="X108">
        <v>-0.18394478</v>
      </c>
      <c r="Y108">
        <v>-0.32664512000000001</v>
      </c>
      <c r="Z108">
        <v>-0.50885944000000005</v>
      </c>
      <c r="AA108">
        <v>-0.63673746999999903</v>
      </c>
      <c r="AB108">
        <v>-0.65328091999999804</v>
      </c>
      <c r="AC108">
        <v>-0.58963310999999896</v>
      </c>
      <c r="AD108" s="39">
        <v>-0.59423772999999902</v>
      </c>
      <c r="AE108">
        <v>-0.68613882999999898</v>
      </c>
      <c r="AF108">
        <v>-0.74119318999999995</v>
      </c>
      <c r="AG108">
        <v>-0.73281648999999804</v>
      </c>
      <c r="AH108">
        <v>-0.69533502999999997</v>
      </c>
      <c r="AI108">
        <v>-0.67798688999999901</v>
      </c>
      <c r="AJ108">
        <v>-0.68753310999999995</v>
      </c>
      <c r="AK108" s="39">
        <v>-0.69477609999999901</v>
      </c>
      <c r="AL108">
        <v>-0.66843615999999895</v>
      </c>
      <c r="AM108" s="39">
        <v>-0.65253152999999797</v>
      </c>
      <c r="AN108" s="39">
        <v>-0.66719160999999905</v>
      </c>
      <c r="AO108">
        <v>-0.72933683000000005</v>
      </c>
      <c r="AP108">
        <v>-0.79997026000000004</v>
      </c>
      <c r="AQ108">
        <v>-0.82649649000000003</v>
      </c>
      <c r="AR108">
        <v>-0.83526766000000097</v>
      </c>
      <c r="AS108" s="39">
        <v>-0.80856698000000005</v>
      </c>
      <c r="AT108" s="39">
        <v>-0.75520597</v>
      </c>
      <c r="AU108">
        <v>-0.72636931999999899</v>
      </c>
      <c r="AV108">
        <v>-0.71739989000000004</v>
      </c>
      <c r="AW108">
        <v>-0.70409962999999898</v>
      </c>
    </row>
    <row r="109" spans="2:49" x14ac:dyDescent="0.25">
      <c r="B109" t="s">
        <v>516</v>
      </c>
      <c r="C109" s="39">
        <v>0</v>
      </c>
      <c r="D109" s="39">
        <v>0</v>
      </c>
      <c r="E109" s="39">
        <v>0</v>
      </c>
      <c r="F109" s="39">
        <v>0</v>
      </c>
      <c r="G109" s="39">
        <v>0</v>
      </c>
      <c r="H109" s="39">
        <v>0</v>
      </c>
      <c r="I109" s="39">
        <v>0</v>
      </c>
      <c r="J109" s="39">
        <v>0</v>
      </c>
      <c r="K109" s="39">
        <v>0</v>
      </c>
      <c r="L109" s="39">
        <v>0</v>
      </c>
      <c r="M109" s="39">
        <v>0</v>
      </c>
      <c r="N109" s="39">
        <v>0</v>
      </c>
      <c r="O109" s="39">
        <v>0</v>
      </c>
      <c r="P109" s="39">
        <v>0</v>
      </c>
      <c r="Q109" s="39">
        <v>0</v>
      </c>
      <c r="R109" s="39">
        <v>0</v>
      </c>
      <c r="S109" s="39">
        <v>0</v>
      </c>
      <c r="T109" s="39">
        <v>0</v>
      </c>
      <c r="U109" s="39">
        <v>0</v>
      </c>
      <c r="V109" s="39">
        <v>2.8196980657679799E-2</v>
      </c>
      <c r="W109" s="39">
        <v>0.13484824791543101</v>
      </c>
      <c r="X109">
        <v>0.30155733798014001</v>
      </c>
      <c r="Y109">
        <v>0.53594486711696598</v>
      </c>
      <c r="Z109">
        <v>0.83577897945803503</v>
      </c>
      <c r="AA109">
        <v>1.0465985577783501</v>
      </c>
      <c r="AB109">
        <v>1.07401610110888</v>
      </c>
      <c r="AC109">
        <v>0.96921022449580896</v>
      </c>
      <c r="AD109">
        <v>0.97684254754337696</v>
      </c>
      <c r="AE109">
        <v>1.1283101540464999</v>
      </c>
      <c r="AF109">
        <v>1.21899700004879</v>
      </c>
      <c r="AG109">
        <v>1.2049855799443501</v>
      </c>
      <c r="AH109">
        <v>1.1429799764072599</v>
      </c>
      <c r="AI109">
        <v>1.1141977953170901</v>
      </c>
      <c r="AJ109">
        <v>1.12978542454897</v>
      </c>
      <c r="AK109">
        <v>1.1416511978745401</v>
      </c>
      <c r="AL109">
        <v>1.09821278693469</v>
      </c>
      <c r="AM109">
        <v>1.0719811353761599</v>
      </c>
      <c r="AN109">
        <v>1.09619253214519</v>
      </c>
      <c r="AO109">
        <v>1.1988065757394</v>
      </c>
      <c r="AP109">
        <v>1.3155098541003101</v>
      </c>
      <c r="AQ109">
        <v>1.3594539828698899</v>
      </c>
      <c r="AR109">
        <v>1.3740749691912999</v>
      </c>
      <c r="AS109">
        <v>1.3301343310587701</v>
      </c>
      <c r="AT109">
        <v>1.24217887561735</v>
      </c>
      <c r="AU109">
        <v>1.1946762343773201</v>
      </c>
      <c r="AV109">
        <v>1.1799331490938101</v>
      </c>
      <c r="AW109">
        <v>1.15792745504836</v>
      </c>
    </row>
    <row r="110" spans="2:49" x14ac:dyDescent="0.25">
      <c r="B110" t="s">
        <v>517</v>
      </c>
      <c r="C110" s="39">
        <v>0</v>
      </c>
      <c r="D110" s="39">
        <v>0</v>
      </c>
      <c r="E110" s="39">
        <v>0</v>
      </c>
      <c r="F110" s="39">
        <v>0</v>
      </c>
      <c r="G110" s="39">
        <v>0</v>
      </c>
      <c r="H110" s="39">
        <v>0</v>
      </c>
      <c r="I110" s="39">
        <v>0</v>
      </c>
      <c r="J110" s="39">
        <v>0</v>
      </c>
      <c r="K110" s="39">
        <v>0</v>
      </c>
      <c r="L110" s="39">
        <v>0</v>
      </c>
      <c r="M110" s="39">
        <v>0</v>
      </c>
      <c r="N110" s="39">
        <v>0</v>
      </c>
      <c r="O110" s="39">
        <v>0</v>
      </c>
      <c r="P110" s="39">
        <v>0</v>
      </c>
      <c r="Q110" s="39">
        <v>0</v>
      </c>
      <c r="R110" s="39">
        <v>0</v>
      </c>
      <c r="S110" s="39">
        <v>0</v>
      </c>
      <c r="T110" s="39">
        <v>0</v>
      </c>
      <c r="U110" s="39">
        <v>0</v>
      </c>
      <c r="V110" s="39">
        <v>3.9969520508331698E-2</v>
      </c>
      <c r="W110">
        <v>0.1039239453541</v>
      </c>
      <c r="X110">
        <v>0.18290990757992001</v>
      </c>
      <c r="Y110">
        <v>0.42639817000205099</v>
      </c>
      <c r="Z110">
        <v>0.74052117717089405</v>
      </c>
      <c r="AA110">
        <v>1.0695978989756401</v>
      </c>
      <c r="AB110">
        <v>1.3098917732559701</v>
      </c>
      <c r="AC110">
        <v>1.5003588779562</v>
      </c>
      <c r="AD110">
        <v>1.7399973804545601</v>
      </c>
      <c r="AE110">
        <v>1.8676503951005901</v>
      </c>
      <c r="AF110">
        <v>1.9897162594628901</v>
      </c>
      <c r="AG110">
        <v>2.0941713344454902</v>
      </c>
      <c r="AH110">
        <v>2.1683494701430299</v>
      </c>
      <c r="AI110">
        <v>2.2263622282739699</v>
      </c>
      <c r="AJ110">
        <v>2.25430106700406</v>
      </c>
      <c r="AK110">
        <v>2.2592656207267998</v>
      </c>
      <c r="AL110">
        <v>2.30511747542407</v>
      </c>
      <c r="AM110">
        <v>2.2850592646839201</v>
      </c>
      <c r="AN110" s="39">
        <v>2.3475143327152699</v>
      </c>
      <c r="AO110">
        <v>2.4269662273447201</v>
      </c>
      <c r="AP110">
        <v>2.4693484731473401</v>
      </c>
      <c r="AQ110">
        <v>2.5755752750582901</v>
      </c>
      <c r="AR110">
        <v>2.6871257553103098</v>
      </c>
      <c r="AS110">
        <v>2.7169941518360599</v>
      </c>
      <c r="AT110">
        <v>2.75762218603339</v>
      </c>
      <c r="AU110">
        <v>2.7632506247539301</v>
      </c>
      <c r="AV110">
        <v>2.7505958989497201</v>
      </c>
      <c r="AW110">
        <v>2.7209101491557202</v>
      </c>
    </row>
    <row r="111" spans="2:49" x14ac:dyDescent="0.25">
      <c r="B111" t="s">
        <v>518</v>
      </c>
      <c r="C111" s="39">
        <v>0</v>
      </c>
      <c r="D111" s="39">
        <v>0</v>
      </c>
      <c r="E111" s="39">
        <v>0</v>
      </c>
      <c r="F111" s="39">
        <v>0</v>
      </c>
      <c r="G111" s="39">
        <v>0</v>
      </c>
      <c r="H111" s="39">
        <v>0</v>
      </c>
      <c r="I111" s="39">
        <v>0</v>
      </c>
      <c r="J111" s="39">
        <v>0</v>
      </c>
      <c r="K111" s="39">
        <v>0</v>
      </c>
      <c r="L111" s="39">
        <v>0</v>
      </c>
      <c r="M111" s="39">
        <v>0</v>
      </c>
      <c r="N111" s="39">
        <v>0</v>
      </c>
      <c r="O111" s="39">
        <v>0</v>
      </c>
      <c r="P111" s="39">
        <v>0</v>
      </c>
      <c r="Q111" s="39">
        <v>0</v>
      </c>
      <c r="R111" s="39">
        <v>0</v>
      </c>
      <c r="S111" s="39">
        <v>0</v>
      </c>
      <c r="T111" s="39">
        <v>0</v>
      </c>
      <c r="U111" s="39">
        <v>0</v>
      </c>
      <c r="V111" s="39">
        <v>-2.0702149999999699E-4</v>
      </c>
      <c r="W111" s="39">
        <v>-2.6724150000000102E-4</v>
      </c>
      <c r="X111" s="39">
        <v>4.1996769999999898E-4</v>
      </c>
      <c r="Y111" s="39">
        <v>1.41566309999999E-3</v>
      </c>
      <c r="Z111" s="39">
        <v>9.1997249999999705E-4</v>
      </c>
      <c r="AA111" s="39">
        <v>1.0535141E-3</v>
      </c>
      <c r="AB111" s="39">
        <v>2.2510109999999998E-3</v>
      </c>
      <c r="AC111" s="39">
        <v>2.4961412E-3</v>
      </c>
      <c r="AD111" s="39">
        <v>1.9312731999999999E-3</v>
      </c>
      <c r="AE111" s="39">
        <v>1.4572993999999999E-3</v>
      </c>
      <c r="AF111" s="39">
        <v>1.5020284E-3</v>
      </c>
      <c r="AG111" s="39">
        <v>1.6895325000000001E-3</v>
      </c>
      <c r="AH111" s="39">
        <v>1.5859921999999999E-3</v>
      </c>
      <c r="AI111" s="39">
        <v>1.4789014E-3</v>
      </c>
      <c r="AJ111" s="39">
        <v>1.4762432E-3</v>
      </c>
      <c r="AK111" s="39">
        <v>1.7137245E-3</v>
      </c>
      <c r="AL111" s="39">
        <v>1.722653E-3</v>
      </c>
      <c r="AM111" s="39">
        <v>1.9742014999999998E-3</v>
      </c>
      <c r="AN111" s="39">
        <v>1.9744427000000001E-3</v>
      </c>
      <c r="AO111" s="39">
        <v>1.55367159999999E-3</v>
      </c>
      <c r="AP111" s="39">
        <v>1.8262196999999901E-3</v>
      </c>
      <c r="AQ111" s="39">
        <v>2.0032346999999998E-3</v>
      </c>
      <c r="AR111" s="39">
        <v>1.8893247E-3</v>
      </c>
      <c r="AS111" s="39">
        <v>2.0304813999999899E-3</v>
      </c>
      <c r="AT111" s="39">
        <v>2.0297573999999898E-3</v>
      </c>
      <c r="AU111" s="39">
        <v>1.9214531000000001E-3</v>
      </c>
      <c r="AV111" s="39">
        <v>1.8010584E-3</v>
      </c>
      <c r="AW111" s="39">
        <v>1.716747E-3</v>
      </c>
    </row>
    <row r="112" spans="2:49" x14ac:dyDescent="0.25">
      <c r="B112" t="s">
        <v>519</v>
      </c>
      <c r="C112" s="39">
        <v>0</v>
      </c>
      <c r="D112" s="39">
        <v>0</v>
      </c>
      <c r="E112" s="39">
        <v>0</v>
      </c>
      <c r="F112" s="39">
        <v>0</v>
      </c>
      <c r="G112" s="39">
        <v>0</v>
      </c>
      <c r="H112" s="39">
        <v>0</v>
      </c>
      <c r="I112" s="39">
        <v>0</v>
      </c>
      <c r="J112" s="39">
        <v>0</v>
      </c>
      <c r="K112" s="39">
        <v>0</v>
      </c>
      <c r="L112" s="39">
        <v>0</v>
      </c>
      <c r="M112" s="39">
        <v>0</v>
      </c>
      <c r="N112" s="39">
        <v>0</v>
      </c>
      <c r="O112" s="39">
        <v>0</v>
      </c>
      <c r="P112" s="39">
        <v>0</v>
      </c>
      <c r="Q112" s="39">
        <v>0</v>
      </c>
      <c r="R112" s="39">
        <v>0</v>
      </c>
      <c r="S112" s="39">
        <v>0</v>
      </c>
      <c r="T112" s="39">
        <v>0</v>
      </c>
      <c r="U112" s="39">
        <v>0</v>
      </c>
      <c r="V112" s="39">
        <v>-2.0702150000000101E-4</v>
      </c>
      <c r="W112" s="39">
        <v>-2.67241599999999E-4</v>
      </c>
      <c r="X112" s="39">
        <v>4.1996769999999898E-4</v>
      </c>
      <c r="Y112" s="39">
        <v>1.4156629999999999E-3</v>
      </c>
      <c r="Z112" s="39">
        <v>9.1997250000000095E-4</v>
      </c>
      <c r="AA112" s="39">
        <v>1.0535141E-3</v>
      </c>
      <c r="AB112" s="39">
        <v>2.2510108999999898E-3</v>
      </c>
      <c r="AC112" s="39">
        <v>2.4961412E-3</v>
      </c>
      <c r="AD112" s="39">
        <v>1.9312731999999999E-3</v>
      </c>
      <c r="AE112" s="39">
        <v>1.45729949999999E-3</v>
      </c>
      <c r="AF112" s="39">
        <v>1.5020284E-3</v>
      </c>
      <c r="AG112" s="39">
        <v>1.6895325000000001E-3</v>
      </c>
      <c r="AH112" s="39">
        <v>1.5859921000000001E-3</v>
      </c>
      <c r="AI112" s="39">
        <v>1.4789014E-3</v>
      </c>
      <c r="AJ112" s="39">
        <v>1.4762430999999999E-3</v>
      </c>
      <c r="AK112" s="39">
        <v>1.7137243999999999E-3</v>
      </c>
      <c r="AL112" s="39">
        <v>1.7226529E-3</v>
      </c>
      <c r="AM112" s="39">
        <v>1.9742013999999998E-3</v>
      </c>
      <c r="AN112" s="39">
        <v>1.9744426999999901E-3</v>
      </c>
      <c r="AO112" s="39">
        <v>1.5536715999999999E-3</v>
      </c>
      <c r="AP112" s="39">
        <v>1.8262197999999901E-3</v>
      </c>
      <c r="AQ112" s="39">
        <v>2.0032346999999898E-3</v>
      </c>
      <c r="AR112" s="39">
        <v>1.8893247E-3</v>
      </c>
      <c r="AS112" s="39">
        <v>2.0304813999999899E-3</v>
      </c>
      <c r="AT112" s="39">
        <v>2.0297573999999898E-3</v>
      </c>
      <c r="AU112" s="39">
        <v>1.9214531000000001E-3</v>
      </c>
      <c r="AV112" s="39">
        <v>1.8010584E-3</v>
      </c>
      <c r="AW112" s="39">
        <v>1.716747E-3</v>
      </c>
    </row>
    <row r="113" spans="2:50" x14ac:dyDescent="0.25">
      <c r="B113" t="s">
        <v>520</v>
      </c>
      <c r="C113">
        <v>0</v>
      </c>
      <c r="D113" s="39">
        <v>0</v>
      </c>
      <c r="E113" s="39">
        <v>0</v>
      </c>
      <c r="F113" s="39">
        <v>0</v>
      </c>
      <c r="G113" s="39">
        <v>0</v>
      </c>
      <c r="H113" s="39">
        <v>0</v>
      </c>
      <c r="I113" s="39">
        <v>0</v>
      </c>
      <c r="J113" s="39">
        <v>0</v>
      </c>
      <c r="K113" s="39">
        <v>0</v>
      </c>
      <c r="L113" s="39">
        <v>0</v>
      </c>
      <c r="M113" s="39">
        <v>0</v>
      </c>
      <c r="N113" s="39">
        <v>0</v>
      </c>
      <c r="O113" s="39">
        <v>0</v>
      </c>
      <c r="P113" s="39">
        <v>0</v>
      </c>
      <c r="Q113" s="39">
        <v>0</v>
      </c>
      <c r="R113" s="39">
        <v>0</v>
      </c>
      <c r="S113" s="39">
        <v>0</v>
      </c>
      <c r="T113">
        <v>0</v>
      </c>
      <c r="U113" s="39">
        <v>0</v>
      </c>
      <c r="V113">
        <v>-9.1846574771103903E-2</v>
      </c>
      <c r="W113">
        <v>-0.25470818816131202</v>
      </c>
      <c r="X113">
        <v>-0.67582715930181103</v>
      </c>
      <c r="Y113">
        <v>-1.5553229050089199</v>
      </c>
      <c r="Z113">
        <v>-2.3469964088455</v>
      </c>
      <c r="AA113">
        <v>-3.0821049127503599</v>
      </c>
      <c r="AB113">
        <v>-3.7921092719245899</v>
      </c>
      <c r="AC113">
        <v>-4.4009902347060299</v>
      </c>
      <c r="AD113">
        <v>-5.3463514315255498</v>
      </c>
      <c r="AE113">
        <v>-6.1427493264213799</v>
      </c>
      <c r="AF113">
        <v>-6.8222869289706596</v>
      </c>
      <c r="AG113">
        <v>-7.2297299089072604</v>
      </c>
      <c r="AH113">
        <v>-7.4782111514629204</v>
      </c>
      <c r="AI113">
        <v>-7.7895720765375396</v>
      </c>
      <c r="AJ113">
        <v>-8.0443449829390197</v>
      </c>
      <c r="AK113">
        <v>-8.25787436279243</v>
      </c>
      <c r="AL113">
        <v>-8.3613727921640404</v>
      </c>
      <c r="AM113">
        <v>-8.4250447746040997</v>
      </c>
      <c r="AN113">
        <v>-8.9356666012394701</v>
      </c>
      <c r="AO113">
        <v>-9.4005865010043905</v>
      </c>
      <c r="AP113">
        <v>-9.8550485006525701</v>
      </c>
      <c r="AQ113">
        <v>-10.324707665026899</v>
      </c>
      <c r="AR113">
        <v>-10.6963608369912</v>
      </c>
      <c r="AS113">
        <v>-10.7888013024312</v>
      </c>
      <c r="AT113">
        <v>-10.9598294439678</v>
      </c>
      <c r="AU113">
        <v>-11.155622995145601</v>
      </c>
      <c r="AV113">
        <v>-11.344078159475099</v>
      </c>
      <c r="AW113">
        <v>-11.3937925405023</v>
      </c>
    </row>
    <row r="114" spans="2:50" x14ac:dyDescent="0.25">
      <c r="B114" t="s">
        <v>521</v>
      </c>
      <c r="C114" s="39">
        <v>0</v>
      </c>
      <c r="D114" s="39">
        <v>0</v>
      </c>
      <c r="E114" s="39">
        <v>0</v>
      </c>
      <c r="F114" s="39">
        <v>0</v>
      </c>
      <c r="G114" s="39">
        <v>0</v>
      </c>
      <c r="H114" s="39">
        <v>0</v>
      </c>
      <c r="I114" s="39">
        <v>0</v>
      </c>
      <c r="J114" s="39">
        <v>0</v>
      </c>
      <c r="K114" s="39">
        <v>0</v>
      </c>
      <c r="L114" s="39">
        <v>0</v>
      </c>
      <c r="M114" s="39">
        <v>0</v>
      </c>
      <c r="N114" s="39">
        <v>0</v>
      </c>
      <c r="O114" s="39">
        <v>0</v>
      </c>
      <c r="P114" s="39">
        <v>0</v>
      </c>
      <c r="Q114" s="39">
        <v>0</v>
      </c>
      <c r="R114" s="39">
        <v>0</v>
      </c>
      <c r="S114" s="39">
        <v>0</v>
      </c>
      <c r="T114" s="39">
        <v>0</v>
      </c>
      <c r="U114" s="39">
        <v>0</v>
      </c>
      <c r="V114" s="39">
        <v>-1.07380400000002E-2</v>
      </c>
      <c r="W114">
        <v>0.11584464999999999</v>
      </c>
      <c r="X114" s="39">
        <v>4.9671800000004804E-3</v>
      </c>
      <c r="Y114">
        <v>-0.16187079999999901</v>
      </c>
      <c r="Z114">
        <v>-0.34928887999999902</v>
      </c>
      <c r="AA114">
        <v>-0.43864601999999903</v>
      </c>
      <c r="AB114">
        <v>-0.54511040999999905</v>
      </c>
      <c r="AC114">
        <v>-0.52831304999999895</v>
      </c>
      <c r="AD114">
        <v>-0.49165408999999999</v>
      </c>
      <c r="AE114">
        <v>-0.579417449999999</v>
      </c>
      <c r="AF114">
        <v>-0.60532199999999903</v>
      </c>
      <c r="AG114">
        <v>-0.55805633999999804</v>
      </c>
      <c r="AH114">
        <v>-0.46860230999999902</v>
      </c>
      <c r="AI114">
        <v>-0.37685311999999899</v>
      </c>
      <c r="AJ114">
        <v>-0.33831492999999901</v>
      </c>
      <c r="AK114">
        <v>-0.34645956999999999</v>
      </c>
      <c r="AL114">
        <v>-0.22528177999999999</v>
      </c>
      <c r="AM114">
        <v>-0.22143467999999999</v>
      </c>
      <c r="AN114">
        <v>-0.2450348</v>
      </c>
      <c r="AO114">
        <v>-0.25490479999999899</v>
      </c>
      <c r="AP114">
        <v>-0.37003217999999999</v>
      </c>
      <c r="AQ114">
        <v>-0.37608161999999801</v>
      </c>
      <c r="AR114">
        <v>-0.35914121999999998</v>
      </c>
      <c r="AS114">
        <v>-0.31242910000000002</v>
      </c>
      <c r="AT114">
        <v>-0.24544373999999999</v>
      </c>
      <c r="AU114">
        <v>-0.21800675</v>
      </c>
      <c r="AV114">
        <v>-0.21215073000000001</v>
      </c>
      <c r="AW114">
        <v>-0.191134739999999</v>
      </c>
    </row>
    <row r="115" spans="2:50" x14ac:dyDescent="0.25">
      <c r="B115" s="40" t="s">
        <v>486</v>
      </c>
      <c r="C115">
        <v>96.864644472622402</v>
      </c>
      <c r="D115">
        <v>98.419837671387299</v>
      </c>
      <c r="E115">
        <v>100.02654781525899</v>
      </c>
      <c r="F115">
        <v>100.008951996661</v>
      </c>
      <c r="G115">
        <v>95.546026856226007</v>
      </c>
      <c r="H115">
        <v>90.9502414823545</v>
      </c>
      <c r="I115">
        <v>89.810010892718495</v>
      </c>
      <c r="J115">
        <v>87.730514754751795</v>
      </c>
      <c r="K115">
        <v>84.526284354381502</v>
      </c>
      <c r="L115">
        <v>82.495629066634393</v>
      </c>
      <c r="M115">
        <v>81.807117580639101</v>
      </c>
      <c r="N115">
        <v>81.922150557304093</v>
      </c>
      <c r="O115">
        <v>79.934114930407006</v>
      </c>
      <c r="P115">
        <v>78.142853104424105</v>
      </c>
      <c r="Q115">
        <v>75.188634195138206</v>
      </c>
      <c r="R115">
        <v>73.273664413053893</v>
      </c>
      <c r="S115">
        <v>71.266878503845405</v>
      </c>
      <c r="T115">
        <v>70.311472234519101</v>
      </c>
      <c r="U115">
        <v>69.065284539061594</v>
      </c>
      <c r="V115">
        <v>67.832005126291193</v>
      </c>
      <c r="W115">
        <v>65.648009753480494</v>
      </c>
      <c r="X115">
        <v>62.981302576341598</v>
      </c>
      <c r="Y115">
        <v>60.255007072368102</v>
      </c>
      <c r="Z115">
        <v>57.759061885144298</v>
      </c>
      <c r="AA115">
        <v>55.356565048886097</v>
      </c>
      <c r="AB115">
        <v>52.8787897689581</v>
      </c>
      <c r="AC115">
        <v>50.480205656871199</v>
      </c>
      <c r="AD115">
        <v>47.209503204036402</v>
      </c>
      <c r="AE115">
        <v>44.0294877216622</v>
      </c>
      <c r="AF115">
        <v>40.918751317393401</v>
      </c>
      <c r="AG115">
        <v>38.3197143602059</v>
      </c>
      <c r="AH115">
        <v>35.772361818099199</v>
      </c>
      <c r="AI115">
        <v>33.151416212525</v>
      </c>
      <c r="AJ115">
        <v>30.562878953976099</v>
      </c>
      <c r="AK115">
        <v>27.968834234204699</v>
      </c>
      <c r="AL115">
        <v>26.660527830463401</v>
      </c>
      <c r="AM115">
        <v>25.180627008194602</v>
      </c>
      <c r="AN115">
        <v>23.261687740189998</v>
      </c>
      <c r="AO115">
        <v>21.343461865216501</v>
      </c>
      <c r="AP115">
        <v>19.3709989997764</v>
      </c>
      <c r="AQ115">
        <v>17.363148407947801</v>
      </c>
      <c r="AR115">
        <v>15.2689788425056</v>
      </c>
      <c r="AS115">
        <v>15.1036641130785</v>
      </c>
      <c r="AT115">
        <v>14.9482539806512</v>
      </c>
      <c r="AU115">
        <v>14.7914689312144</v>
      </c>
      <c r="AV115">
        <v>14.6280339216451</v>
      </c>
      <c r="AW115">
        <v>14.4636751562131</v>
      </c>
      <c r="AX115">
        <v>9.0244863402317499</v>
      </c>
    </row>
    <row r="116" spans="2:50" x14ac:dyDescent="0.25">
      <c r="B116" t="s">
        <v>522</v>
      </c>
      <c r="C116">
        <v>0</v>
      </c>
      <c r="D116" s="39">
        <v>0</v>
      </c>
      <c r="E116" s="39">
        <v>0</v>
      </c>
      <c r="F116" s="39">
        <v>0</v>
      </c>
      <c r="G116" s="39">
        <v>0</v>
      </c>
      <c r="H116" s="39">
        <v>0</v>
      </c>
      <c r="I116" s="39">
        <v>0</v>
      </c>
      <c r="J116" s="39">
        <v>0</v>
      </c>
      <c r="K116" s="39">
        <v>0</v>
      </c>
      <c r="L116" s="39">
        <v>0</v>
      </c>
      <c r="M116" s="39">
        <v>0</v>
      </c>
      <c r="N116" s="39">
        <v>0</v>
      </c>
      <c r="O116" s="39">
        <v>0</v>
      </c>
      <c r="P116" s="39">
        <v>0</v>
      </c>
      <c r="Q116" s="39">
        <v>0</v>
      </c>
      <c r="R116" s="39">
        <v>0</v>
      </c>
      <c r="S116" s="39">
        <v>0</v>
      </c>
      <c r="T116" s="39">
        <v>0</v>
      </c>
      <c r="U116" s="39">
        <v>0</v>
      </c>
      <c r="V116" s="39">
        <v>9.4207314687433305E-2</v>
      </c>
      <c r="W116">
        <v>0.358680458201865</v>
      </c>
      <c r="X116">
        <v>0.687112624686947</v>
      </c>
      <c r="Y116">
        <v>1.2075599367677099</v>
      </c>
      <c r="Z116">
        <v>1.5257063283878201</v>
      </c>
      <c r="AA116">
        <v>1.71596659134221</v>
      </c>
      <c r="AB116">
        <v>1.6897361204783301</v>
      </c>
      <c r="AC116">
        <v>1.5850173823877201</v>
      </c>
      <c r="AD116">
        <v>1.84500996697998</v>
      </c>
      <c r="AE116">
        <v>1.97672071126751</v>
      </c>
      <c r="AF116">
        <v>2.01022190879389</v>
      </c>
      <c r="AG116" s="39">
        <v>1.87750300352003</v>
      </c>
      <c r="AH116" s="39">
        <v>1.7203074164591601</v>
      </c>
      <c r="AI116">
        <v>1.6945959800263399</v>
      </c>
      <c r="AJ116">
        <v>1.66301730312998</v>
      </c>
      <c r="AK116">
        <v>1.5823469791209099</v>
      </c>
      <c r="AL116" s="39">
        <v>1.5218837356616399</v>
      </c>
      <c r="AM116">
        <v>1.4114961169007201</v>
      </c>
      <c r="AN116">
        <v>1.54212846618651</v>
      </c>
      <c r="AO116">
        <v>1.6815398137536</v>
      </c>
      <c r="AP116">
        <v>1.7182395246333</v>
      </c>
      <c r="AQ116">
        <v>1.7502385175920601</v>
      </c>
      <c r="AR116">
        <v>1.74613330216255</v>
      </c>
      <c r="AS116">
        <v>1.5950246080286901</v>
      </c>
      <c r="AT116">
        <v>1.52201424782316</v>
      </c>
      <c r="AU116">
        <v>1.48526684671344</v>
      </c>
      <c r="AV116">
        <v>1.4572193491235499</v>
      </c>
      <c r="AW116">
        <v>1.38227943899433</v>
      </c>
    </row>
    <row r="117" spans="2:50" x14ac:dyDescent="0.25">
      <c r="B117" t="s">
        <v>523</v>
      </c>
      <c r="C117" s="39">
        <v>0</v>
      </c>
      <c r="D117" s="39">
        <v>0</v>
      </c>
      <c r="E117" s="39">
        <v>0</v>
      </c>
      <c r="F117" s="39">
        <v>0</v>
      </c>
      <c r="G117" s="39">
        <v>0</v>
      </c>
      <c r="H117" s="39">
        <v>0</v>
      </c>
      <c r="I117" s="39">
        <v>0</v>
      </c>
      <c r="J117" s="39">
        <v>0</v>
      </c>
      <c r="K117" s="39">
        <v>0</v>
      </c>
      <c r="L117" s="39">
        <v>0</v>
      </c>
      <c r="M117" s="39">
        <v>0</v>
      </c>
      <c r="N117" s="39">
        <v>0</v>
      </c>
      <c r="O117" s="39">
        <v>0</v>
      </c>
      <c r="P117" s="39">
        <v>0</v>
      </c>
      <c r="Q117" s="39">
        <v>0</v>
      </c>
      <c r="R117" s="39">
        <v>0</v>
      </c>
      <c r="S117" s="39">
        <v>0</v>
      </c>
      <c r="T117" s="39">
        <v>0</v>
      </c>
      <c r="U117" s="39">
        <v>0</v>
      </c>
      <c r="V117" s="39">
        <v>5.1641975227933998E-2</v>
      </c>
      <c r="W117" s="39">
        <v>0.29455448578821197</v>
      </c>
      <c r="X117">
        <v>0.73288217921041399</v>
      </c>
      <c r="Y117">
        <v>1.3613406694751899</v>
      </c>
      <c r="Z117">
        <v>1.84370390282639</v>
      </c>
      <c r="AA117">
        <v>2.12417249427694</v>
      </c>
      <c r="AB117">
        <v>2.0502305112052701</v>
      </c>
      <c r="AC117">
        <v>1.7868456171589799</v>
      </c>
      <c r="AD117">
        <v>1.81553839515968</v>
      </c>
      <c r="AE117">
        <v>2.0989709235676299</v>
      </c>
      <c r="AF117">
        <v>2.15989469290396</v>
      </c>
      <c r="AG117">
        <v>2.0750822271134699</v>
      </c>
      <c r="AH117">
        <v>1.96864074148306</v>
      </c>
      <c r="AI117">
        <v>1.74959667387386</v>
      </c>
      <c r="AJ117">
        <v>1.64596384534114</v>
      </c>
      <c r="AK117">
        <v>1.4768311048773299</v>
      </c>
      <c r="AL117">
        <v>1.37548164298755</v>
      </c>
      <c r="AM117">
        <v>1.2303836155708401</v>
      </c>
      <c r="AN117">
        <v>1.27829013732436</v>
      </c>
      <c r="AO117">
        <v>1.48245839600018</v>
      </c>
      <c r="AP117">
        <v>1.5571999841206901</v>
      </c>
      <c r="AQ117">
        <v>1.5868602895297399</v>
      </c>
      <c r="AR117">
        <v>1.6514157428941101</v>
      </c>
      <c r="AS117">
        <v>1.6211388552450099</v>
      </c>
      <c r="AT117">
        <v>1.53954132940641</v>
      </c>
      <c r="AU117">
        <v>1.51358263078327</v>
      </c>
      <c r="AV117">
        <v>1.51677481382239</v>
      </c>
      <c r="AW117">
        <v>1.4137973480538599</v>
      </c>
    </row>
    <row r="118" spans="2:50" x14ac:dyDescent="0.25">
      <c r="B118" t="s">
        <v>524</v>
      </c>
      <c r="C118">
        <v>0</v>
      </c>
      <c r="D118" s="39">
        <v>0</v>
      </c>
      <c r="E118" s="39">
        <v>0</v>
      </c>
      <c r="F118" s="39">
        <v>0</v>
      </c>
      <c r="G118" s="39">
        <v>0</v>
      </c>
      <c r="H118" s="39">
        <v>0</v>
      </c>
      <c r="I118" s="39">
        <v>0</v>
      </c>
      <c r="J118" s="39">
        <v>0</v>
      </c>
      <c r="K118" s="39">
        <v>0</v>
      </c>
      <c r="L118" s="39">
        <v>0</v>
      </c>
      <c r="M118" s="39">
        <v>0</v>
      </c>
      <c r="N118" s="39">
        <v>0</v>
      </c>
      <c r="O118" s="39">
        <v>0</v>
      </c>
      <c r="P118" s="39">
        <v>0</v>
      </c>
      <c r="Q118" s="39">
        <v>0</v>
      </c>
      <c r="R118" s="39">
        <v>0</v>
      </c>
      <c r="S118" s="39">
        <v>0</v>
      </c>
      <c r="T118">
        <v>0</v>
      </c>
      <c r="U118">
        <v>0</v>
      </c>
      <c r="V118">
        <v>0.74233448475484698</v>
      </c>
      <c r="W118">
        <v>0.974317559888215</v>
      </c>
      <c r="X118">
        <v>1.0949099424058999</v>
      </c>
      <c r="Y118">
        <v>2.5835122806270898</v>
      </c>
      <c r="Z118">
        <v>3.0385529785099399</v>
      </c>
      <c r="AA118">
        <v>3.3097582839938902</v>
      </c>
      <c r="AB118">
        <v>2.9713483332652202</v>
      </c>
      <c r="AC118">
        <v>2.8280716355039099</v>
      </c>
      <c r="AD118">
        <v>5.2733591876227504</v>
      </c>
      <c r="AE118">
        <v>5.5932237611355999</v>
      </c>
      <c r="AF118">
        <v>5.6296844311962904</v>
      </c>
      <c r="AG118">
        <v>5.2654705057138802</v>
      </c>
      <c r="AH118">
        <v>5.1892325118919098</v>
      </c>
      <c r="AI118">
        <v>5.9078325955421196</v>
      </c>
      <c r="AJ118">
        <v>6.0156660524856198</v>
      </c>
      <c r="AK118">
        <v>5.9452802127863</v>
      </c>
      <c r="AL118">
        <v>5.7947711801572899</v>
      </c>
      <c r="AM118" s="39">
        <v>5.4266996567017198</v>
      </c>
      <c r="AN118">
        <v>6.8517102403608598</v>
      </c>
      <c r="AO118">
        <v>7.3490382227249604</v>
      </c>
      <c r="AP118">
        <v>7.3895363547978201</v>
      </c>
      <c r="AQ118">
        <v>7.5493138186393596</v>
      </c>
      <c r="AR118">
        <v>7.2497026943890202</v>
      </c>
      <c r="AS118">
        <v>5.9539544443120302</v>
      </c>
      <c r="AT118">
        <v>5.8784931390548598</v>
      </c>
      <c r="AU118">
        <v>5.9734727399779697</v>
      </c>
      <c r="AV118">
        <v>6.0143665527928301</v>
      </c>
      <c r="AW118" s="39">
        <v>5.9832147675849603</v>
      </c>
    </row>
    <row r="119" spans="2:50" x14ac:dyDescent="0.25">
      <c r="B119" t="s">
        <v>525</v>
      </c>
      <c r="C119" s="39">
        <v>0</v>
      </c>
      <c r="D119" s="39">
        <v>0</v>
      </c>
      <c r="E119" s="39">
        <v>0</v>
      </c>
      <c r="F119" s="39">
        <v>0</v>
      </c>
      <c r="G119" s="39">
        <v>0</v>
      </c>
      <c r="H119" s="39">
        <v>0</v>
      </c>
      <c r="I119" s="39">
        <v>0</v>
      </c>
      <c r="J119" s="39">
        <v>0</v>
      </c>
      <c r="K119" s="39">
        <v>0</v>
      </c>
      <c r="L119" s="39">
        <v>0</v>
      </c>
      <c r="M119" s="39">
        <v>0</v>
      </c>
      <c r="N119" s="39">
        <v>0</v>
      </c>
      <c r="O119" s="39">
        <v>0</v>
      </c>
      <c r="P119" s="39">
        <v>0</v>
      </c>
      <c r="Q119" s="39">
        <v>0</v>
      </c>
      <c r="R119" s="39">
        <v>0</v>
      </c>
      <c r="S119" s="39">
        <v>0</v>
      </c>
      <c r="T119" s="39">
        <v>0</v>
      </c>
      <c r="U119" s="39">
        <v>0</v>
      </c>
      <c r="V119" s="39">
        <v>1.51226425857409E-3</v>
      </c>
      <c r="W119" s="39">
        <v>1.62711413387306E-4</v>
      </c>
      <c r="X119" s="39">
        <v>-1.2016429377859E-2</v>
      </c>
      <c r="Y119">
        <v>-5.4623630816774599E-2</v>
      </c>
      <c r="Z119">
        <v>-0.109748740031012</v>
      </c>
      <c r="AA119">
        <v>-0.178913967622706</v>
      </c>
      <c r="AB119">
        <v>-0.26320694600843098</v>
      </c>
      <c r="AC119">
        <v>-0.36789021790997101</v>
      </c>
      <c r="AD119" s="39">
        <v>-0.42984675352325502</v>
      </c>
      <c r="AE119" s="39">
        <v>-0.49236118305478999</v>
      </c>
      <c r="AF119" s="39">
        <v>-0.56094320339694603</v>
      </c>
      <c r="AG119" s="39">
        <v>-0.88023854933976198</v>
      </c>
      <c r="AH119">
        <v>-1.1978777900353701</v>
      </c>
      <c r="AI119" s="39">
        <v>-1.2958224257759201</v>
      </c>
      <c r="AJ119" s="39">
        <v>-1.3935753328465901</v>
      </c>
      <c r="AK119" s="39">
        <v>-1.5044520464501701</v>
      </c>
      <c r="AL119" s="39">
        <v>-1.60514032112544</v>
      </c>
      <c r="AM119" s="39">
        <v>-1.71894844550827</v>
      </c>
      <c r="AN119" s="39">
        <v>-1.8445320914732</v>
      </c>
      <c r="AO119">
        <v>-1.95434771913171</v>
      </c>
      <c r="AP119">
        <v>-2.0796251795027199</v>
      </c>
      <c r="AQ119">
        <v>-2.2110887259394101</v>
      </c>
      <c r="AR119">
        <v>-2.34153098124481</v>
      </c>
      <c r="AS119">
        <v>-2.4840688095247501</v>
      </c>
      <c r="AT119">
        <v>-2.6269122177970798</v>
      </c>
      <c r="AU119">
        <v>-2.7672040953772998</v>
      </c>
      <c r="AV119">
        <v>-2.90371663490988</v>
      </c>
      <c r="AW119">
        <v>-3.0353072678191801</v>
      </c>
    </row>
    <row r="120" spans="2:50" x14ac:dyDescent="0.25">
      <c r="B120" t="s">
        <v>526</v>
      </c>
      <c r="C120">
        <v>0</v>
      </c>
      <c r="D120" s="39">
        <v>0</v>
      </c>
      <c r="E120" s="39">
        <v>0</v>
      </c>
      <c r="F120" s="39">
        <v>0</v>
      </c>
      <c r="G120" s="39">
        <v>0</v>
      </c>
      <c r="H120" s="39">
        <v>0</v>
      </c>
      <c r="I120" s="39">
        <v>0</v>
      </c>
      <c r="J120" s="39">
        <v>0</v>
      </c>
      <c r="K120" s="39">
        <v>0</v>
      </c>
      <c r="L120" s="39">
        <v>0</v>
      </c>
      <c r="M120" s="39">
        <v>0</v>
      </c>
      <c r="N120" s="39">
        <v>0</v>
      </c>
      <c r="O120" s="39">
        <v>0</v>
      </c>
      <c r="P120" s="39">
        <v>0</v>
      </c>
      <c r="Q120" s="39">
        <v>0</v>
      </c>
      <c r="R120" s="39">
        <v>0</v>
      </c>
      <c r="S120" s="39">
        <v>0</v>
      </c>
      <c r="T120" s="39">
        <v>0</v>
      </c>
      <c r="U120">
        <v>0</v>
      </c>
      <c r="V120" s="39">
        <v>0.17976453150303401</v>
      </c>
      <c r="W120" s="39">
        <v>-0.10741056881881</v>
      </c>
      <c r="X120">
        <v>-0.31409136466419302</v>
      </c>
      <c r="Y120">
        <v>-0.13794843570698001</v>
      </c>
      <c r="Z120">
        <v>-0.108983636206372</v>
      </c>
      <c r="AA120">
        <v>-0.144600233312219</v>
      </c>
      <c r="AB120">
        <v>-0.45257472186900299</v>
      </c>
      <c r="AC120">
        <v>-0.77216179599651702</v>
      </c>
      <c r="AD120">
        <v>-0.38755246356957301</v>
      </c>
      <c r="AE120">
        <v>-0.21204648158367201</v>
      </c>
      <c r="AF120">
        <v>-0.26631114337134498</v>
      </c>
      <c r="AG120">
        <v>-0.50906831391456198</v>
      </c>
      <c r="AH120">
        <v>-0.57095198566823302</v>
      </c>
      <c r="AI120">
        <v>-0.61402614762494601</v>
      </c>
      <c r="AJ120">
        <v>-0.74678194820120203</v>
      </c>
      <c r="AK120">
        <v>-0.94400908341663003</v>
      </c>
      <c r="AL120">
        <v>-1.1149047480087799</v>
      </c>
      <c r="AM120">
        <v>-1.32902735509918</v>
      </c>
      <c r="AN120">
        <v>-1.09335038919533</v>
      </c>
      <c r="AO120">
        <v>-1.0446847998209099</v>
      </c>
      <c r="AP120">
        <v>-1.1464506738398901</v>
      </c>
      <c r="AQ120">
        <v>-1.2602983981437099</v>
      </c>
      <c r="AR120">
        <v>-1.42862847989329</v>
      </c>
      <c r="AS120">
        <v>-1.8027552210806801</v>
      </c>
      <c r="AT120">
        <v>-1.9108611095144199</v>
      </c>
      <c r="AU120">
        <v>-1.94801706578273</v>
      </c>
      <c r="AV120">
        <v>-1.9845321406685299</v>
      </c>
      <c r="AW120">
        <v>-2.0856722775025198</v>
      </c>
    </row>
    <row r="121" spans="2:50" x14ac:dyDescent="0.25">
      <c r="B121" t="s">
        <v>527</v>
      </c>
      <c r="C121" s="39">
        <v>0</v>
      </c>
      <c r="D121" s="39">
        <v>0</v>
      </c>
      <c r="E121" s="39">
        <v>0</v>
      </c>
      <c r="F121" s="39">
        <v>0</v>
      </c>
      <c r="G121" s="39">
        <v>0</v>
      </c>
      <c r="H121" s="39">
        <v>0</v>
      </c>
      <c r="I121" s="39">
        <v>0</v>
      </c>
      <c r="J121" s="39">
        <v>0</v>
      </c>
      <c r="K121" s="39">
        <v>0</v>
      </c>
      <c r="L121" s="39">
        <v>0</v>
      </c>
      <c r="M121" s="39">
        <v>0</v>
      </c>
      <c r="N121" s="39">
        <v>0</v>
      </c>
      <c r="O121" s="39">
        <v>0</v>
      </c>
      <c r="P121" s="39">
        <v>0</v>
      </c>
      <c r="Q121" s="39">
        <v>0</v>
      </c>
      <c r="R121" s="39">
        <v>0</v>
      </c>
      <c r="S121" s="39">
        <v>0</v>
      </c>
      <c r="T121" s="39">
        <v>0</v>
      </c>
      <c r="U121" s="39">
        <v>0</v>
      </c>
      <c r="V121" s="39">
        <v>-1.7221219999999302E-2</v>
      </c>
      <c r="W121" s="39">
        <v>-8.2311210000000898E-2</v>
      </c>
      <c r="X121">
        <v>-0.18394478</v>
      </c>
      <c r="Y121">
        <v>-0.32664512000000001</v>
      </c>
      <c r="Z121">
        <v>-0.50885944000000005</v>
      </c>
      <c r="AA121">
        <v>-0.63673746999999903</v>
      </c>
      <c r="AB121">
        <v>-0.65328091999999804</v>
      </c>
      <c r="AC121">
        <v>-0.58963310999999896</v>
      </c>
      <c r="AD121" s="39">
        <v>-0.59423772999999902</v>
      </c>
      <c r="AE121">
        <v>-0.68613882999999898</v>
      </c>
      <c r="AF121">
        <v>-0.74119318999999995</v>
      </c>
      <c r="AG121">
        <v>-0.73281648999999804</v>
      </c>
      <c r="AH121">
        <v>-0.69533502999999997</v>
      </c>
      <c r="AI121">
        <v>-0.67798688999999901</v>
      </c>
      <c r="AJ121">
        <v>-0.68753310999999995</v>
      </c>
      <c r="AK121" s="39">
        <v>-0.69477609999999901</v>
      </c>
      <c r="AL121">
        <v>-0.66843615999999895</v>
      </c>
      <c r="AM121" s="39">
        <v>-0.65253152999999797</v>
      </c>
      <c r="AN121" s="39">
        <v>-0.66719160999999905</v>
      </c>
      <c r="AO121">
        <v>-0.72933683000000005</v>
      </c>
      <c r="AP121">
        <v>-0.79997026000000004</v>
      </c>
      <c r="AQ121">
        <v>-0.82649649000000003</v>
      </c>
      <c r="AR121">
        <v>-0.83526766000000097</v>
      </c>
      <c r="AS121" s="39">
        <v>-0.80856698000000005</v>
      </c>
      <c r="AT121" s="39">
        <v>-0.75520597</v>
      </c>
      <c r="AU121">
        <v>-0.72636931999999899</v>
      </c>
      <c r="AV121">
        <v>-0.71739989000000004</v>
      </c>
      <c r="AW121">
        <v>-0.70409962999999898</v>
      </c>
    </row>
    <row r="122" spans="2:50" x14ac:dyDescent="0.25">
      <c r="B122" t="s">
        <v>528</v>
      </c>
      <c r="C122" s="39">
        <v>0</v>
      </c>
      <c r="D122" s="39">
        <v>0</v>
      </c>
      <c r="E122" s="39">
        <v>0</v>
      </c>
      <c r="F122" s="39">
        <v>0</v>
      </c>
      <c r="G122" s="39">
        <v>0</v>
      </c>
      <c r="H122" s="39">
        <v>0</v>
      </c>
      <c r="I122" s="39">
        <v>0</v>
      </c>
      <c r="J122" s="39">
        <v>0</v>
      </c>
      <c r="K122" s="39">
        <v>0</v>
      </c>
      <c r="L122" s="39">
        <v>0</v>
      </c>
      <c r="M122" s="39">
        <v>0</v>
      </c>
      <c r="N122" s="39">
        <v>0</v>
      </c>
      <c r="O122" s="39">
        <v>0</v>
      </c>
      <c r="P122" s="39">
        <v>0</v>
      </c>
      <c r="Q122" s="39">
        <v>0</v>
      </c>
      <c r="R122" s="39">
        <v>0</v>
      </c>
      <c r="S122" s="39">
        <v>0</v>
      </c>
      <c r="T122" s="39">
        <v>0</v>
      </c>
      <c r="U122" s="39">
        <v>0</v>
      </c>
      <c r="V122" s="39">
        <v>2.8196980657679799E-2</v>
      </c>
      <c r="W122" s="39">
        <v>0.13484824791543101</v>
      </c>
      <c r="X122">
        <v>0.30155733798014001</v>
      </c>
      <c r="Y122">
        <v>0.53594486711696598</v>
      </c>
      <c r="Z122">
        <v>0.83577897945803503</v>
      </c>
      <c r="AA122">
        <v>1.0465985577783501</v>
      </c>
      <c r="AB122">
        <v>1.07401610110888</v>
      </c>
      <c r="AC122">
        <v>0.96921022449580896</v>
      </c>
      <c r="AD122">
        <v>0.97684254754337696</v>
      </c>
      <c r="AE122">
        <v>1.1283101540464999</v>
      </c>
      <c r="AF122">
        <v>1.21899700004879</v>
      </c>
      <c r="AG122">
        <v>1.2049855799443501</v>
      </c>
      <c r="AH122">
        <v>1.1429799764072599</v>
      </c>
      <c r="AI122">
        <v>1.1141977953170901</v>
      </c>
      <c r="AJ122">
        <v>1.12978542454897</v>
      </c>
      <c r="AK122">
        <v>1.1416511978745401</v>
      </c>
      <c r="AL122">
        <v>1.09821278693469</v>
      </c>
      <c r="AM122">
        <v>1.0719811353761599</v>
      </c>
      <c r="AN122">
        <v>1.09619253214519</v>
      </c>
      <c r="AO122">
        <v>1.1988065757394</v>
      </c>
      <c r="AP122">
        <v>1.3155098541003101</v>
      </c>
      <c r="AQ122">
        <v>1.3594539828698899</v>
      </c>
      <c r="AR122">
        <v>1.3740749691912999</v>
      </c>
      <c r="AS122">
        <v>1.3301343310587701</v>
      </c>
      <c r="AT122">
        <v>1.24217887561735</v>
      </c>
      <c r="AU122">
        <v>1.1946762343773201</v>
      </c>
      <c r="AV122">
        <v>1.1799331490938101</v>
      </c>
      <c r="AW122">
        <v>1.15792745504836</v>
      </c>
    </row>
    <row r="123" spans="2:50" x14ac:dyDescent="0.25">
      <c r="B123" t="s">
        <v>529</v>
      </c>
      <c r="C123" s="39">
        <v>0</v>
      </c>
      <c r="D123" s="39">
        <v>0</v>
      </c>
      <c r="E123" s="39">
        <v>0</v>
      </c>
      <c r="F123" s="39">
        <v>0</v>
      </c>
      <c r="G123" s="39">
        <v>0</v>
      </c>
      <c r="H123" s="39">
        <v>0</v>
      </c>
      <c r="I123" s="39">
        <v>0</v>
      </c>
      <c r="J123" s="39">
        <v>0</v>
      </c>
      <c r="K123" s="39">
        <v>0</v>
      </c>
      <c r="L123" s="39">
        <v>0</v>
      </c>
      <c r="M123" s="39">
        <v>0</v>
      </c>
      <c r="N123" s="39">
        <v>0</v>
      </c>
      <c r="O123" s="39">
        <v>0</v>
      </c>
      <c r="P123" s="39">
        <v>0</v>
      </c>
      <c r="Q123" s="39">
        <v>0</v>
      </c>
      <c r="R123" s="39">
        <v>0</v>
      </c>
      <c r="S123" s="39">
        <v>0</v>
      </c>
      <c r="T123" s="39">
        <v>0</v>
      </c>
      <c r="U123" s="39">
        <v>0</v>
      </c>
      <c r="V123">
        <v>4.12702143594234E-2</v>
      </c>
      <c r="W123" s="39">
        <v>0.109356858311859</v>
      </c>
      <c r="X123">
        <v>0.19299518128319501</v>
      </c>
      <c r="Y123">
        <v>0.44545237690096701</v>
      </c>
      <c r="Z123">
        <v>0.76376828995798896</v>
      </c>
      <c r="AA123">
        <v>1.09785970779729</v>
      </c>
      <c r="AB123" s="39">
        <v>1.34232710028845</v>
      </c>
      <c r="AC123">
        <v>1.53630718466373</v>
      </c>
      <c r="AD123">
        <v>1.7826254281832099</v>
      </c>
      <c r="AE123">
        <v>1.91194501604949</v>
      </c>
      <c r="AF123">
        <v>2.0361097855259902</v>
      </c>
      <c r="AG123">
        <v>2.14265821875092</v>
      </c>
      <c r="AH123">
        <v>2.2175479503532198</v>
      </c>
      <c r="AI123">
        <v>2.2784224362375198</v>
      </c>
      <c r="AJ123">
        <v>2.30819679414593</v>
      </c>
      <c r="AK123">
        <v>2.3145526477336502</v>
      </c>
      <c r="AL123">
        <v>2.3617343691815398</v>
      </c>
      <c r="AM123">
        <v>2.34287653380487</v>
      </c>
      <c r="AN123">
        <v>2.4085633902856101</v>
      </c>
      <c r="AO123">
        <v>2.4900752514980198</v>
      </c>
      <c r="AP123">
        <v>2.5342892180235399</v>
      </c>
      <c r="AQ123">
        <v>2.6428232030942298</v>
      </c>
      <c r="AR123">
        <v>2.75566077888729</v>
      </c>
      <c r="AS123">
        <v>2.7856965864275098</v>
      </c>
      <c r="AT123">
        <v>2.82766986857099</v>
      </c>
      <c r="AU123">
        <v>2.83452303088478</v>
      </c>
      <c r="AV123">
        <v>2.8227884288696199</v>
      </c>
      <c r="AW123">
        <v>2.7938526652316198</v>
      </c>
    </row>
    <row r="124" spans="2:50" x14ac:dyDescent="0.25">
      <c r="B124" t="s">
        <v>530</v>
      </c>
      <c r="C124" s="39">
        <v>0</v>
      </c>
      <c r="D124" s="39">
        <v>0</v>
      </c>
      <c r="E124" s="39">
        <v>0</v>
      </c>
      <c r="F124" s="39">
        <v>0</v>
      </c>
      <c r="G124" s="39">
        <v>0</v>
      </c>
      <c r="H124" s="39">
        <v>0</v>
      </c>
      <c r="I124" s="39">
        <v>0</v>
      </c>
      <c r="J124" s="39">
        <v>0</v>
      </c>
      <c r="K124" s="39">
        <v>0</v>
      </c>
      <c r="L124" s="39">
        <v>0</v>
      </c>
      <c r="M124" s="39">
        <v>0</v>
      </c>
      <c r="N124" s="39">
        <v>0</v>
      </c>
      <c r="O124" s="39">
        <v>0</v>
      </c>
      <c r="P124" s="39">
        <v>0</v>
      </c>
      <c r="Q124" s="39">
        <v>0</v>
      </c>
      <c r="R124" s="39">
        <v>0</v>
      </c>
      <c r="S124" s="39">
        <v>0</v>
      </c>
      <c r="T124" s="39">
        <v>0</v>
      </c>
      <c r="U124" s="39">
        <v>0</v>
      </c>
      <c r="V124">
        <v>-2.0288248475297501E-2</v>
      </c>
      <c r="W124" s="39">
        <v>-4.6467901812607897E-2</v>
      </c>
      <c r="X124">
        <v>-5.3337652689999801E-3</v>
      </c>
      <c r="Y124">
        <v>0.13356494805896099</v>
      </c>
      <c r="Z124">
        <v>0.223951193189875</v>
      </c>
      <c r="AA124">
        <v>0.327557448836368</v>
      </c>
      <c r="AB124">
        <v>0.54916819651427096</v>
      </c>
      <c r="AC124">
        <v>0.79546284089353403</v>
      </c>
      <c r="AD124">
        <v>0.98648494871558201</v>
      </c>
      <c r="AE124">
        <v>1.1308948494815001</v>
      </c>
      <c r="AF124">
        <v>1.27995196814836</v>
      </c>
      <c r="AG124">
        <v>1.4478623580539201</v>
      </c>
      <c r="AH124">
        <v>1.6057319268669701</v>
      </c>
      <c r="AI124">
        <v>1.7531701813770999</v>
      </c>
      <c r="AJ124">
        <v>1.9005430543717901</v>
      </c>
      <c r="AK124">
        <v>2.0718524940225498</v>
      </c>
      <c r="AL124">
        <v>2.2443346419961299</v>
      </c>
      <c r="AM124">
        <v>2.4423314606383402</v>
      </c>
      <c r="AN124">
        <v>2.64071512642913</v>
      </c>
      <c r="AO124">
        <v>2.79712516603285</v>
      </c>
      <c r="AP124">
        <v>2.9812579905671202</v>
      </c>
      <c r="AQ124">
        <v>3.1836042429696998</v>
      </c>
      <c r="AR124">
        <v>3.3748239039738301</v>
      </c>
      <c r="AS124">
        <v>3.5807009420880802</v>
      </c>
      <c r="AT124">
        <v>3.7869150070159301</v>
      </c>
      <c r="AU124">
        <v>3.9825179519074001</v>
      </c>
      <c r="AV124">
        <v>4.1662116482240599</v>
      </c>
      <c r="AW124">
        <v>4.3415941533441398</v>
      </c>
    </row>
    <row r="125" spans="2:50" x14ac:dyDescent="0.25">
      <c r="B125" t="s">
        <v>531</v>
      </c>
      <c r="C125" s="39">
        <v>0</v>
      </c>
      <c r="D125" s="39">
        <v>0</v>
      </c>
      <c r="E125" s="39">
        <v>0</v>
      </c>
      <c r="F125" s="39">
        <v>0</v>
      </c>
      <c r="G125" s="39">
        <v>0</v>
      </c>
      <c r="H125" s="39">
        <v>0</v>
      </c>
      <c r="I125" s="39">
        <v>0</v>
      </c>
      <c r="J125" s="39">
        <v>0</v>
      </c>
      <c r="K125" s="39">
        <v>0</v>
      </c>
      <c r="L125" s="39">
        <v>0</v>
      </c>
      <c r="M125" s="39">
        <v>0</v>
      </c>
      <c r="N125" s="39">
        <v>0</v>
      </c>
      <c r="O125" s="39">
        <v>0</v>
      </c>
      <c r="P125" s="39">
        <v>0</v>
      </c>
      <c r="Q125" s="39">
        <v>0</v>
      </c>
      <c r="R125" s="39">
        <v>0</v>
      </c>
      <c r="S125" s="39">
        <v>0</v>
      </c>
      <c r="T125" s="39">
        <v>0</v>
      </c>
      <c r="U125" s="39">
        <v>0</v>
      </c>
      <c r="V125" s="39">
        <v>-2.07021500000001E-2</v>
      </c>
      <c r="W125">
        <v>-2.67241599999999E-2</v>
      </c>
      <c r="X125">
        <v>4.1996769999999899E-2</v>
      </c>
      <c r="Y125">
        <v>0.14156630000000001</v>
      </c>
      <c r="Z125">
        <v>9.19972500000001E-2</v>
      </c>
      <c r="AA125">
        <v>0.10535141000000001</v>
      </c>
      <c r="AB125">
        <v>0.225101089999999</v>
      </c>
      <c r="AC125">
        <v>0.249614119999999</v>
      </c>
      <c r="AD125">
        <v>0.19312731999999999</v>
      </c>
      <c r="AE125">
        <v>0.145729949999999</v>
      </c>
      <c r="AF125">
        <v>0.15020284</v>
      </c>
      <c r="AG125">
        <v>0.16895325</v>
      </c>
      <c r="AH125">
        <v>0.15859920999999999</v>
      </c>
      <c r="AI125">
        <v>0.14789014</v>
      </c>
      <c r="AJ125">
        <v>0.14762431000000001</v>
      </c>
      <c r="AK125">
        <v>0.17137243999999999</v>
      </c>
      <c r="AL125">
        <v>0.17226528999999999</v>
      </c>
      <c r="AM125">
        <v>0.19742013999999999</v>
      </c>
      <c r="AN125">
        <v>0.19744426999999901</v>
      </c>
      <c r="AO125" s="39">
        <v>0.15536716</v>
      </c>
      <c r="AP125" s="39">
        <v>0.18262197999999899</v>
      </c>
      <c r="AQ125" s="39">
        <v>0.200323469999999</v>
      </c>
      <c r="AR125">
        <v>0.18893246999999999</v>
      </c>
      <c r="AS125">
        <v>0.20304813999999899</v>
      </c>
      <c r="AT125" s="39">
        <v>0.20297573999999899</v>
      </c>
      <c r="AU125">
        <v>0.19214531000000001</v>
      </c>
      <c r="AV125">
        <v>0.18010583999999999</v>
      </c>
      <c r="AW125">
        <v>0.17167470000000001</v>
      </c>
    </row>
    <row r="126" spans="2:50" x14ac:dyDescent="0.25">
      <c r="B126" t="s">
        <v>532</v>
      </c>
      <c r="C126">
        <v>0</v>
      </c>
      <c r="D126" s="39">
        <v>0</v>
      </c>
      <c r="E126" s="39">
        <v>0</v>
      </c>
      <c r="F126" s="39">
        <v>0</v>
      </c>
      <c r="G126" s="39">
        <v>0</v>
      </c>
      <c r="H126" s="39">
        <v>0</v>
      </c>
      <c r="I126" s="39">
        <v>0</v>
      </c>
      <c r="J126" s="39">
        <v>0</v>
      </c>
      <c r="K126" s="39">
        <v>0</v>
      </c>
      <c r="L126" s="39">
        <v>0</v>
      </c>
      <c r="M126" s="39">
        <v>0</v>
      </c>
      <c r="N126" s="39">
        <v>0</v>
      </c>
      <c r="O126" s="39">
        <v>0</v>
      </c>
      <c r="P126" s="39">
        <v>0</v>
      </c>
      <c r="Q126" s="39">
        <v>0</v>
      </c>
      <c r="R126" s="39">
        <v>0</v>
      </c>
      <c r="S126" s="39">
        <v>0</v>
      </c>
      <c r="T126">
        <v>0</v>
      </c>
      <c r="U126" s="39">
        <v>0</v>
      </c>
      <c r="V126">
        <v>-9.1846574771103903E-2</v>
      </c>
      <c r="W126">
        <v>-0.25470818816131202</v>
      </c>
      <c r="X126">
        <v>-0.67582715930181103</v>
      </c>
      <c r="Y126">
        <v>-1.5553229050089199</v>
      </c>
      <c r="Z126">
        <v>-2.3469964088455</v>
      </c>
      <c r="AA126">
        <v>-3.0821049127503599</v>
      </c>
      <c r="AB126">
        <v>-3.7921092719245899</v>
      </c>
      <c r="AC126">
        <v>-4.4009902347060299</v>
      </c>
      <c r="AD126">
        <v>-5.3463514315255498</v>
      </c>
      <c r="AE126">
        <v>-6.1427493264213799</v>
      </c>
      <c r="AF126">
        <v>-6.8222869289706596</v>
      </c>
      <c r="AG126">
        <v>-7.2297299089072604</v>
      </c>
      <c r="AH126">
        <v>-7.4782111514629204</v>
      </c>
      <c r="AI126">
        <v>-7.7895720765375396</v>
      </c>
      <c r="AJ126">
        <v>-8.0443449829390197</v>
      </c>
      <c r="AK126">
        <v>-8.25787436279243</v>
      </c>
      <c r="AL126">
        <v>-8.3613727921640404</v>
      </c>
      <c r="AM126">
        <v>-8.4250447746040997</v>
      </c>
      <c r="AN126">
        <v>-8.9356666012394701</v>
      </c>
      <c r="AO126">
        <v>-9.4005865010043905</v>
      </c>
      <c r="AP126">
        <v>-9.8550485006525701</v>
      </c>
      <c r="AQ126">
        <v>-10.324707665026899</v>
      </c>
      <c r="AR126">
        <v>-10.6963608369912</v>
      </c>
      <c r="AS126">
        <v>-10.7888013024312</v>
      </c>
      <c r="AT126">
        <v>-10.9598294439678</v>
      </c>
      <c r="AU126">
        <v>-11.155622995145601</v>
      </c>
      <c r="AV126">
        <v>-11.344078159475099</v>
      </c>
      <c r="AW126">
        <v>-11.3937925405023</v>
      </c>
    </row>
    <row r="127" spans="2:50" x14ac:dyDescent="0.25">
      <c r="B127" t="s">
        <v>533</v>
      </c>
      <c r="C127" s="39">
        <v>0</v>
      </c>
      <c r="D127" s="39">
        <v>0</v>
      </c>
      <c r="E127" s="39">
        <v>0</v>
      </c>
      <c r="F127" s="39">
        <v>0</v>
      </c>
      <c r="G127" s="39">
        <v>0</v>
      </c>
      <c r="H127" s="39">
        <v>0</v>
      </c>
      <c r="I127" s="39">
        <v>0</v>
      </c>
      <c r="J127" s="39">
        <v>0</v>
      </c>
      <c r="K127" s="39">
        <v>0</v>
      </c>
      <c r="L127" s="39">
        <v>0</v>
      </c>
      <c r="M127" s="39">
        <v>0</v>
      </c>
      <c r="N127" s="39">
        <v>0</v>
      </c>
      <c r="O127" s="39">
        <v>0</v>
      </c>
      <c r="P127" s="39">
        <v>0</v>
      </c>
      <c r="Q127" s="39">
        <v>0</v>
      </c>
      <c r="R127" s="39">
        <v>0</v>
      </c>
      <c r="S127" s="39">
        <v>0</v>
      </c>
      <c r="T127" s="39">
        <v>0</v>
      </c>
      <c r="U127" s="39">
        <v>0</v>
      </c>
      <c r="V127" s="39">
        <v>-1.07380400000002E-2</v>
      </c>
      <c r="W127">
        <v>0.11584464999999999</v>
      </c>
      <c r="X127" s="39">
        <v>4.9671800000004804E-3</v>
      </c>
      <c r="Y127">
        <v>-0.16187079999999901</v>
      </c>
      <c r="Z127">
        <v>-0.34928887999999902</v>
      </c>
      <c r="AA127">
        <v>-0.43864601999999903</v>
      </c>
      <c r="AB127">
        <v>-0.54511040999999905</v>
      </c>
      <c r="AC127">
        <v>-0.52831304999999895</v>
      </c>
      <c r="AD127">
        <v>-0.49165408999999999</v>
      </c>
      <c r="AE127">
        <v>-0.579417449999999</v>
      </c>
      <c r="AF127">
        <v>-0.60532199999999903</v>
      </c>
      <c r="AG127">
        <v>-0.55805633999999804</v>
      </c>
      <c r="AH127">
        <v>-0.46860230999999902</v>
      </c>
      <c r="AI127">
        <v>-0.37685311999999899</v>
      </c>
      <c r="AJ127">
        <v>-0.33831492999999901</v>
      </c>
      <c r="AK127">
        <v>-0.34645956999999999</v>
      </c>
      <c r="AL127">
        <v>-0.22528177999999999</v>
      </c>
      <c r="AM127">
        <v>-0.22143467999999999</v>
      </c>
      <c r="AN127">
        <v>-0.2450348</v>
      </c>
      <c r="AO127">
        <v>-0.25490479999999899</v>
      </c>
      <c r="AP127">
        <v>-0.37003217999999999</v>
      </c>
      <c r="AQ127">
        <v>-0.37608161999999801</v>
      </c>
      <c r="AR127">
        <v>-0.35914121999999998</v>
      </c>
      <c r="AS127">
        <v>-0.31242910000000002</v>
      </c>
      <c r="AT127">
        <v>-0.24544373999999999</v>
      </c>
      <c r="AU127">
        <v>-0.21800675</v>
      </c>
      <c r="AV127">
        <v>-0.21215073000000001</v>
      </c>
      <c r="AW127">
        <v>-0.191134739999999</v>
      </c>
    </row>
    <row r="128" spans="2:50" x14ac:dyDescent="0.25">
      <c r="B128" t="s">
        <v>200</v>
      </c>
      <c r="C128">
        <v>97.658233202324894</v>
      </c>
      <c r="D128">
        <v>99.226167724838803</v>
      </c>
      <c r="E128">
        <v>100</v>
      </c>
      <c r="F128">
        <v>103.95742200738999</v>
      </c>
      <c r="G128">
        <v>104.321230783955</v>
      </c>
      <c r="H128">
        <v>100.680215488505</v>
      </c>
      <c r="I128">
        <v>103.18775231035301</v>
      </c>
      <c r="J128">
        <v>105.563571933356</v>
      </c>
      <c r="K128">
        <v>106.239359926275</v>
      </c>
      <c r="L128">
        <v>106.554297295366</v>
      </c>
      <c r="M128">
        <v>107.707096941362</v>
      </c>
      <c r="N128">
        <v>108.755058010003</v>
      </c>
      <c r="O128">
        <v>110.266036220003</v>
      </c>
      <c r="P128">
        <v>113.367143654929</v>
      </c>
      <c r="Q128">
        <v>115.960637981771</v>
      </c>
      <c r="R128">
        <v>118.459599044482</v>
      </c>
      <c r="S128">
        <v>119.257380926032</v>
      </c>
      <c r="T128">
        <v>121.447351157599</v>
      </c>
      <c r="U128">
        <v>122.397452218623</v>
      </c>
      <c r="V128">
        <v>124.616816614307</v>
      </c>
      <c r="W128">
        <v>126.359717557564</v>
      </c>
      <c r="X128">
        <v>127.64617848434099</v>
      </c>
      <c r="Y128">
        <v>128.726702102666</v>
      </c>
      <c r="Z128">
        <v>130.04113074512301</v>
      </c>
      <c r="AA128">
        <v>131.339911516532</v>
      </c>
      <c r="AB128">
        <v>132.39449026172699</v>
      </c>
      <c r="AC128">
        <v>133.40558996834099</v>
      </c>
      <c r="AD128">
        <v>134.80424371695199</v>
      </c>
      <c r="AE128">
        <v>136.18917565968201</v>
      </c>
      <c r="AF128">
        <v>137.569192705799</v>
      </c>
      <c r="AG128">
        <v>138.84602581681901</v>
      </c>
      <c r="AH128">
        <v>140.23772068584699</v>
      </c>
      <c r="AI128">
        <v>141.98568685139301</v>
      </c>
      <c r="AJ128">
        <v>143.81215481459401</v>
      </c>
      <c r="AK128">
        <v>145.64623818176301</v>
      </c>
      <c r="AL128">
        <v>147.567862688914</v>
      </c>
      <c r="AM128">
        <v>149.441629301597</v>
      </c>
      <c r="AN128">
        <v>151.634059463657</v>
      </c>
      <c r="AO128">
        <v>153.97318327810501</v>
      </c>
      <c r="AP128">
        <v>156.16854197400099</v>
      </c>
      <c r="AQ128">
        <v>158.387892257478</v>
      </c>
      <c r="AR128">
        <v>160.52302072579101</v>
      </c>
      <c r="AS128">
        <v>162.474159490262</v>
      </c>
      <c r="AT128">
        <v>164.54269351635699</v>
      </c>
      <c r="AU128">
        <v>166.68969927497201</v>
      </c>
      <c r="AV128">
        <v>168.869134047214</v>
      </c>
      <c r="AW128">
        <v>171.10944670248901</v>
      </c>
      <c r="AX128">
        <v>178.52723229718001</v>
      </c>
    </row>
    <row r="129" spans="2:50" x14ac:dyDescent="0.25">
      <c r="B129" t="s">
        <v>534</v>
      </c>
      <c r="C129" s="39">
        <v>0</v>
      </c>
      <c r="D129" s="39">
        <v>0</v>
      </c>
      <c r="E129" s="39">
        <v>0</v>
      </c>
      <c r="F129" s="39">
        <v>0</v>
      </c>
      <c r="G129" s="39">
        <v>0</v>
      </c>
      <c r="H129" s="39">
        <v>0</v>
      </c>
      <c r="I129" s="39">
        <v>0</v>
      </c>
      <c r="J129" s="39">
        <v>0</v>
      </c>
      <c r="K129" s="39">
        <v>0</v>
      </c>
      <c r="L129" s="39">
        <v>0</v>
      </c>
      <c r="M129" s="39">
        <v>0</v>
      </c>
      <c r="N129" s="39">
        <v>0</v>
      </c>
      <c r="O129" s="39">
        <v>0</v>
      </c>
      <c r="P129" s="39">
        <v>0</v>
      </c>
      <c r="Q129" s="39">
        <v>0</v>
      </c>
      <c r="R129" s="39">
        <v>0</v>
      </c>
      <c r="S129" s="39">
        <v>0</v>
      </c>
      <c r="T129" s="39">
        <v>0</v>
      </c>
      <c r="U129" s="39">
        <v>0</v>
      </c>
      <c r="V129" s="39">
        <v>-0.47572601800569497</v>
      </c>
      <c r="W129">
        <v>-3.68305110480817</v>
      </c>
      <c r="X129">
        <v>-7.0230617374459996</v>
      </c>
      <c r="Y129">
        <v>-10.3519611356739</v>
      </c>
      <c r="Z129">
        <v>-13.8604611813407</v>
      </c>
      <c r="AA129">
        <v>-17.4121528091821</v>
      </c>
      <c r="AB129">
        <v>-21.1910489421596</v>
      </c>
      <c r="AC129">
        <v>-24.964153546134501</v>
      </c>
      <c r="AD129">
        <v>-29.457432651848801</v>
      </c>
      <c r="AE129">
        <v>-33.870997906392901</v>
      </c>
      <c r="AF129">
        <v>-38.246837474007798</v>
      </c>
      <c r="AG129">
        <v>-41.916355195538799</v>
      </c>
      <c r="AH129">
        <v>-45.556787816407699</v>
      </c>
      <c r="AI129">
        <v>-49.460962251639899</v>
      </c>
      <c r="AJ129">
        <v>-53.344517181400803</v>
      </c>
      <c r="AK129">
        <v>-57.265092701549598</v>
      </c>
      <c r="AL129">
        <v>-59.240212484581399</v>
      </c>
      <c r="AM129">
        <v>-61.484286480607899</v>
      </c>
      <c r="AN129">
        <v>-64.320735970682904</v>
      </c>
      <c r="AO129">
        <v>-67.175690938477004</v>
      </c>
      <c r="AP129">
        <v>-70.122090315203195</v>
      </c>
      <c r="AQ129">
        <v>-73.140202698144904</v>
      </c>
      <c r="AR129">
        <v>-76.302639151969601</v>
      </c>
      <c r="AS129">
        <v>-76.5962125216993</v>
      </c>
      <c r="AT129">
        <v>-76.885413617007401</v>
      </c>
      <c r="AU129">
        <v>-77.176310671222197</v>
      </c>
      <c r="AV129">
        <v>-77.475415225819305</v>
      </c>
      <c r="AW129">
        <v>-77.785974820480305</v>
      </c>
    </row>
    <row r="130" spans="2:50" x14ac:dyDescent="0.25">
      <c r="B130" t="s">
        <v>201</v>
      </c>
      <c r="C130">
        <v>96.838935850833593</v>
      </c>
      <c r="D130">
        <v>98.39371628936</v>
      </c>
      <c r="E130">
        <v>100</v>
      </c>
      <c r="F130">
        <v>99.982408851467895</v>
      </c>
      <c r="G130">
        <v>95.520668205696296</v>
      </c>
      <c r="H130">
        <v>90.9261025886167</v>
      </c>
      <c r="I130">
        <v>89.786174624950604</v>
      </c>
      <c r="J130">
        <v>87.707230401255799</v>
      </c>
      <c r="K130">
        <v>84.503850428282803</v>
      </c>
      <c r="L130">
        <v>82.473734092070202</v>
      </c>
      <c r="M130">
        <v>81.785405342319706</v>
      </c>
      <c r="N130">
        <v>81.900407788347806</v>
      </c>
      <c r="O130">
        <v>79.912899801399405</v>
      </c>
      <c r="P130">
        <v>78.122113390084607</v>
      </c>
      <c r="Q130">
        <v>75.168678553223103</v>
      </c>
      <c r="R130">
        <v>73.254217018850099</v>
      </c>
      <c r="S130">
        <v>71.247963726059396</v>
      </c>
      <c r="T130">
        <v>70.292811028906499</v>
      </c>
      <c r="U130">
        <v>69.046954081249893</v>
      </c>
      <c r="V130">
        <v>67.814001990322893</v>
      </c>
      <c r="W130">
        <v>65.630586266684901</v>
      </c>
      <c r="X130">
        <v>62.964586854144699</v>
      </c>
      <c r="Y130">
        <v>60.239014929970502</v>
      </c>
      <c r="Z130">
        <v>57.7437321857998</v>
      </c>
      <c r="AA130">
        <v>55.341872990683399</v>
      </c>
      <c r="AB130">
        <v>52.864755331375498</v>
      </c>
      <c r="AC130">
        <v>50.4668078219633</v>
      </c>
      <c r="AD130">
        <v>47.196973438719901</v>
      </c>
      <c r="AE130">
        <v>44.017801956917403</v>
      </c>
      <c r="AF130">
        <v>40.9078911660201</v>
      </c>
      <c r="AG130">
        <v>38.3095440132346</v>
      </c>
      <c r="AH130">
        <v>35.762867558088402</v>
      </c>
      <c r="AI130">
        <v>33.142617571640002</v>
      </c>
      <c r="AJ130">
        <v>30.554767330792199</v>
      </c>
      <c r="AK130">
        <v>27.9614110904445</v>
      </c>
      <c r="AL130">
        <v>26.6534519212871</v>
      </c>
      <c r="AM130">
        <v>25.173943876080902</v>
      </c>
      <c r="AN130">
        <v>23.255513909319799</v>
      </c>
      <c r="AO130">
        <v>21.337797146249699</v>
      </c>
      <c r="AP130">
        <v>19.365857787627601</v>
      </c>
      <c r="AQ130">
        <v>17.358540094791699</v>
      </c>
      <c r="AR130">
        <v>15.264926338061899</v>
      </c>
      <c r="AS130">
        <v>15.099655484435701</v>
      </c>
      <c r="AT130">
        <v>14.944286599052999</v>
      </c>
      <c r="AU130">
        <v>14.787543161574501</v>
      </c>
      <c r="AV130">
        <v>14.624151528913901</v>
      </c>
      <c r="AW130">
        <v>14.4598363855626</v>
      </c>
      <c r="AX130">
        <v>9.0244863084901095</v>
      </c>
    </row>
    <row r="131" spans="2:50" x14ac:dyDescent="0.25">
      <c r="B131" t="s">
        <v>202</v>
      </c>
      <c r="C131">
        <v>651205.12405279896</v>
      </c>
      <c r="D131">
        <v>661660.432957732</v>
      </c>
      <c r="E131">
        <v>672283.60519999999</v>
      </c>
      <c r="F131">
        <v>690924.66559999995</v>
      </c>
      <c r="G131">
        <v>678581.71100000001</v>
      </c>
      <c r="H131">
        <v>619435.65870000003</v>
      </c>
      <c r="I131">
        <v>636180.69220000005</v>
      </c>
      <c r="J131">
        <v>653802.57869999995</v>
      </c>
      <c r="K131">
        <v>644454.95090000005</v>
      </c>
      <c r="L131">
        <v>636957.33299999998</v>
      </c>
      <c r="M131">
        <v>640329.71609999996</v>
      </c>
      <c r="N131">
        <v>649163.82010000001</v>
      </c>
      <c r="O131">
        <v>659683.12349999999</v>
      </c>
      <c r="P131">
        <v>687399.4203</v>
      </c>
      <c r="Q131">
        <v>700150.70160000003</v>
      </c>
      <c r="R131">
        <v>714944.25320000004</v>
      </c>
      <c r="S131">
        <v>715124.38740000001</v>
      </c>
      <c r="T131">
        <v>728893.58200000005</v>
      </c>
      <c r="U131">
        <v>734472.83649999998</v>
      </c>
      <c r="V131">
        <v>749330.65989999997</v>
      </c>
      <c r="W131">
        <v>799454.70620000002</v>
      </c>
      <c r="X131">
        <v>859650.924</v>
      </c>
      <c r="Y131">
        <v>933512.94559999998</v>
      </c>
      <c r="Z131">
        <v>1028188.676</v>
      </c>
      <c r="AA131">
        <v>1144754.588</v>
      </c>
      <c r="AB131">
        <v>1284867.8829999999</v>
      </c>
      <c r="AC131">
        <v>1455181.59</v>
      </c>
      <c r="AD131">
        <v>1461234.5830000001</v>
      </c>
      <c r="AE131">
        <v>1467741.352</v>
      </c>
      <c r="AF131">
        <v>1473584.652</v>
      </c>
      <c r="AG131">
        <v>1478946.791</v>
      </c>
      <c r="AH131">
        <v>1484971.439</v>
      </c>
      <c r="AI131">
        <v>1493635.0360000001</v>
      </c>
      <c r="AJ131">
        <v>1502694.7479999999</v>
      </c>
      <c r="AK131">
        <v>1511062.926</v>
      </c>
      <c r="AL131">
        <v>1520098.2</v>
      </c>
      <c r="AM131">
        <v>1528109.149</v>
      </c>
      <c r="AN131">
        <v>1537879.659</v>
      </c>
      <c r="AO131">
        <v>1549312.105</v>
      </c>
      <c r="AP131">
        <v>1559303.183</v>
      </c>
      <c r="AQ131">
        <v>1569308.2990000001</v>
      </c>
      <c r="AR131">
        <v>1578958.5819999999</v>
      </c>
      <c r="AS131">
        <v>1586962.2590000001</v>
      </c>
      <c r="AT131">
        <v>1595318.615</v>
      </c>
      <c r="AU131">
        <v>1604134.9450000001</v>
      </c>
      <c r="AV131">
        <v>1613063.04</v>
      </c>
      <c r="AW131">
        <v>1622077.0919999999</v>
      </c>
    </row>
    <row r="132" spans="2:50" x14ac:dyDescent="0.25">
      <c r="B132" t="s">
        <v>203</v>
      </c>
      <c r="C132">
        <v>11699515.674308199</v>
      </c>
      <c r="D132">
        <v>11887355.182774801</v>
      </c>
      <c r="E132">
        <v>12078210.52</v>
      </c>
      <c r="F132">
        <v>12394208.23</v>
      </c>
      <c r="G132">
        <v>12130936.02</v>
      </c>
      <c r="H132">
        <v>11018218.310000001</v>
      </c>
      <c r="I132">
        <v>11233802.220000001</v>
      </c>
      <c r="J132">
        <v>11656711.98</v>
      </c>
      <c r="K132">
        <v>11446952.24</v>
      </c>
      <c r="L132">
        <v>11263843.59</v>
      </c>
      <c r="M132">
        <v>11300821.92</v>
      </c>
      <c r="N132">
        <v>11409654.07</v>
      </c>
      <c r="O132">
        <v>11619492.98</v>
      </c>
      <c r="P132">
        <v>12136393.41</v>
      </c>
      <c r="Q132">
        <v>12362443.25</v>
      </c>
      <c r="R132">
        <v>12640256.91</v>
      </c>
      <c r="S132">
        <v>12680077.060000001</v>
      </c>
      <c r="T132">
        <v>13129142.92</v>
      </c>
      <c r="U132">
        <v>13153036.460000001</v>
      </c>
      <c r="V132">
        <v>13482592.060000001</v>
      </c>
      <c r="W132">
        <v>13523916.16</v>
      </c>
      <c r="X132">
        <v>13571000.09</v>
      </c>
      <c r="Y132">
        <v>13529909.130000001</v>
      </c>
      <c r="Z132">
        <v>13554277.449999999</v>
      </c>
      <c r="AA132">
        <v>13576774.07</v>
      </c>
      <c r="AB132">
        <v>13565644.57</v>
      </c>
      <c r="AC132">
        <v>13588746.16</v>
      </c>
      <c r="AD132">
        <v>13676205.68</v>
      </c>
      <c r="AE132">
        <v>13712310.23</v>
      </c>
      <c r="AF132">
        <v>13737885.6</v>
      </c>
      <c r="AG132">
        <v>13759930.439999999</v>
      </c>
      <c r="AH132">
        <v>13811031.52</v>
      </c>
      <c r="AI132">
        <v>13889649.83</v>
      </c>
      <c r="AJ132">
        <v>13949402.710000001</v>
      </c>
      <c r="AK132">
        <v>14023756.130000001</v>
      </c>
      <c r="AL132">
        <v>14102768.359999999</v>
      </c>
      <c r="AM132">
        <v>14187670.140000001</v>
      </c>
      <c r="AN132">
        <v>14338396.32</v>
      </c>
      <c r="AO132">
        <v>14476356.539999999</v>
      </c>
      <c r="AP132">
        <v>14592032.82</v>
      </c>
      <c r="AQ132">
        <v>14724269.439999999</v>
      </c>
      <c r="AR132">
        <v>14826673.09</v>
      </c>
      <c r="AS132">
        <v>14903178.689999999</v>
      </c>
      <c r="AT132">
        <v>15023412.02</v>
      </c>
      <c r="AU132">
        <v>15149931.869999999</v>
      </c>
      <c r="AV132">
        <v>15277462.539999999</v>
      </c>
      <c r="AW132">
        <v>15430018.029999999</v>
      </c>
    </row>
    <row r="133" spans="2:50" x14ac:dyDescent="0.25">
      <c r="B133" t="s">
        <v>204</v>
      </c>
      <c r="C133">
        <v>12350720.798361</v>
      </c>
      <c r="D133">
        <v>12549015.615732601</v>
      </c>
      <c r="E133">
        <v>12750494.119999999</v>
      </c>
      <c r="F133">
        <v>13085132.9</v>
      </c>
      <c r="G133">
        <v>12809517.73</v>
      </c>
      <c r="H133">
        <v>11637653.970000001</v>
      </c>
      <c r="I133">
        <v>11869982.91</v>
      </c>
      <c r="J133">
        <v>12310514.560000001</v>
      </c>
      <c r="K133">
        <v>12091407.189999999</v>
      </c>
      <c r="L133">
        <v>11900800.92</v>
      </c>
      <c r="M133">
        <v>11941151.640000001</v>
      </c>
      <c r="N133">
        <v>12058817.890000001</v>
      </c>
      <c r="O133">
        <v>12279176.1</v>
      </c>
      <c r="P133">
        <v>12823792.83</v>
      </c>
      <c r="Q133">
        <v>13062593.949999999</v>
      </c>
      <c r="R133">
        <v>13355201.16</v>
      </c>
      <c r="S133">
        <v>13395201.449999999</v>
      </c>
      <c r="T133">
        <v>13858036.5</v>
      </c>
      <c r="U133">
        <v>13887509.300000001</v>
      </c>
      <c r="V133">
        <v>14231922.720000001</v>
      </c>
      <c r="W133">
        <v>14323370.869999999</v>
      </c>
      <c r="X133">
        <v>14430651.02</v>
      </c>
      <c r="Y133">
        <v>14463422.08</v>
      </c>
      <c r="Z133">
        <v>14582466.119999999</v>
      </c>
      <c r="AA133">
        <v>14721528.66</v>
      </c>
      <c r="AB133">
        <v>14850512.449999999</v>
      </c>
      <c r="AC133">
        <v>15043927.75</v>
      </c>
      <c r="AD133">
        <v>15137440.26</v>
      </c>
      <c r="AE133">
        <v>15180051.58</v>
      </c>
      <c r="AF133">
        <v>15211470.25</v>
      </c>
      <c r="AG133">
        <v>15238877.24</v>
      </c>
      <c r="AH133">
        <v>15296002.960000001</v>
      </c>
      <c r="AI133">
        <v>15383284.859999999</v>
      </c>
      <c r="AJ133">
        <v>15452097.449999999</v>
      </c>
      <c r="AK133">
        <v>15534819.050000001</v>
      </c>
      <c r="AL133">
        <v>15622866.560000001</v>
      </c>
      <c r="AM133">
        <v>15715779.289999999</v>
      </c>
      <c r="AN133">
        <v>15876275.98</v>
      </c>
      <c r="AO133">
        <v>16025668.65</v>
      </c>
      <c r="AP133">
        <v>16151336</v>
      </c>
      <c r="AQ133">
        <v>16293577.74</v>
      </c>
      <c r="AR133">
        <v>16405631.67</v>
      </c>
      <c r="AS133">
        <v>16490140.949999999</v>
      </c>
      <c r="AT133">
        <v>16618730.640000001</v>
      </c>
      <c r="AU133">
        <v>16754066.82</v>
      </c>
      <c r="AV133">
        <v>16890525.57</v>
      </c>
      <c r="AW133">
        <v>17052095.120000001</v>
      </c>
    </row>
    <row r="134" spans="2:50" x14ac:dyDescent="0.25">
      <c r="B134" t="s">
        <v>205</v>
      </c>
      <c r="C134">
        <v>144913116.15770999</v>
      </c>
      <c r="D134">
        <v>147239743.11109701</v>
      </c>
      <c r="E134">
        <v>149603724.80000001</v>
      </c>
      <c r="F134">
        <v>147440958.80000001</v>
      </c>
      <c r="G134">
        <v>143812974.5</v>
      </c>
      <c r="H134">
        <v>143544547.69999999</v>
      </c>
      <c r="I134">
        <v>141382501.69999999</v>
      </c>
      <c r="J134">
        <v>138511955.59999999</v>
      </c>
      <c r="K134">
        <v>134850168</v>
      </c>
      <c r="L134">
        <v>132075306.8</v>
      </c>
      <c r="M134">
        <v>129895350.90000001</v>
      </c>
      <c r="N134">
        <v>128445311.09999999</v>
      </c>
      <c r="O134">
        <v>128398431.90000001</v>
      </c>
      <c r="P134">
        <v>127680866</v>
      </c>
      <c r="Q134">
        <v>125779847.8</v>
      </c>
      <c r="R134">
        <v>124807537.59999999</v>
      </c>
      <c r="S134">
        <v>123212072.3</v>
      </c>
      <c r="T134">
        <v>119996366.59999999</v>
      </c>
      <c r="U134">
        <v>116746367.2</v>
      </c>
      <c r="V134">
        <v>112642456.8</v>
      </c>
      <c r="W134">
        <v>109270375.40000001</v>
      </c>
      <c r="X134">
        <v>105265615.5</v>
      </c>
      <c r="Y134">
        <v>101014512.7</v>
      </c>
      <c r="Z134">
        <v>96434751.760000005</v>
      </c>
      <c r="AA134">
        <v>91689783.650000006</v>
      </c>
      <c r="AB134">
        <v>86540428.310000002</v>
      </c>
      <c r="AC134">
        <v>81314338.790000007</v>
      </c>
      <c r="AD134">
        <v>74481754.620000005</v>
      </c>
      <c r="AE134">
        <v>67786012.189999998</v>
      </c>
      <c r="AF134">
        <v>61310872.719999999</v>
      </c>
      <c r="AG134">
        <v>55735568.509999998</v>
      </c>
      <c r="AH134">
        <v>50364126.850000001</v>
      </c>
      <c r="AI134">
        <v>45096129.909999996</v>
      </c>
      <c r="AJ134">
        <v>40075210.659999996</v>
      </c>
      <c r="AK134">
        <v>35239290.07</v>
      </c>
      <c r="AL134">
        <v>32331547.25</v>
      </c>
      <c r="AM134">
        <v>29391733.140000001</v>
      </c>
      <c r="AN134">
        <v>25740443.780000001</v>
      </c>
      <c r="AO134">
        <v>22238334.41</v>
      </c>
      <c r="AP134">
        <v>18866338.789999999</v>
      </c>
      <c r="AQ134">
        <v>15609203.800000001</v>
      </c>
      <c r="AR134">
        <v>12400040.27</v>
      </c>
      <c r="AS134">
        <v>11873599.890000001</v>
      </c>
      <c r="AT134">
        <v>11373892.92</v>
      </c>
      <c r="AU134">
        <v>10895392.220000001</v>
      </c>
      <c r="AV134">
        <v>10433168.890000001</v>
      </c>
      <c r="AW134">
        <v>9985323.5209999997</v>
      </c>
    </row>
    <row r="135" spans="2:50" x14ac:dyDescent="0.25">
      <c r="B135" t="s">
        <v>206</v>
      </c>
      <c r="C135">
        <v>1098851.8998263199</v>
      </c>
      <c r="D135">
        <v>1116494.32251175</v>
      </c>
      <c r="E135">
        <v>1134420</v>
      </c>
      <c r="F135">
        <v>1125173.801</v>
      </c>
      <c r="G135">
        <v>1113230.1370000001</v>
      </c>
      <c r="H135">
        <v>1100089.8060000001</v>
      </c>
      <c r="I135">
        <v>1093443.3419999999</v>
      </c>
      <c r="J135">
        <v>1086519.1950000001</v>
      </c>
      <c r="K135">
        <v>1075552.412</v>
      </c>
      <c r="L135">
        <v>1059925.1089999999</v>
      </c>
      <c r="M135">
        <v>1044486.075</v>
      </c>
      <c r="N135">
        <v>1033372.403</v>
      </c>
      <c r="O135">
        <v>1031323.14</v>
      </c>
      <c r="P135">
        <v>1032672.007</v>
      </c>
      <c r="Q135">
        <v>1030644.64</v>
      </c>
      <c r="R135">
        <v>1016316.387</v>
      </c>
      <c r="S135">
        <v>997707.07860000001</v>
      </c>
      <c r="T135">
        <v>973534.2452</v>
      </c>
      <c r="U135">
        <v>948708.62470000004</v>
      </c>
      <c r="V135">
        <v>923779.1827</v>
      </c>
      <c r="W135">
        <v>898653.21440000006</v>
      </c>
      <c r="X135">
        <v>869107.07709999999</v>
      </c>
      <c r="Y135">
        <v>837015.98210000002</v>
      </c>
      <c r="Z135">
        <v>805235.39399999997</v>
      </c>
      <c r="AA135">
        <v>775188.96909999999</v>
      </c>
      <c r="AB135">
        <v>747282.21010000003</v>
      </c>
      <c r="AC135">
        <v>719878.41980000003</v>
      </c>
      <c r="AD135">
        <v>692188.1888</v>
      </c>
      <c r="AE135">
        <v>665816.22759999998</v>
      </c>
      <c r="AF135">
        <v>641322.02630000003</v>
      </c>
      <c r="AG135">
        <v>618570.55790000001</v>
      </c>
      <c r="AH135">
        <v>597444.17740000004</v>
      </c>
      <c r="AI135">
        <v>577912.82799999998</v>
      </c>
      <c r="AJ135">
        <v>559858.94810000004</v>
      </c>
      <c r="AK135">
        <v>543208.07109999994</v>
      </c>
      <c r="AL135">
        <v>527603.32149999996</v>
      </c>
      <c r="AM135">
        <v>511881.2647</v>
      </c>
      <c r="AN135">
        <v>496259.66350000002</v>
      </c>
      <c r="AO135">
        <v>481338.74129999999</v>
      </c>
      <c r="AP135">
        <v>467281.95179999998</v>
      </c>
      <c r="AQ135">
        <v>454121.42349999998</v>
      </c>
      <c r="AR135">
        <v>441839.08360000001</v>
      </c>
      <c r="AS135">
        <v>430185.68300000002</v>
      </c>
      <c r="AT135">
        <v>418469.76559999998</v>
      </c>
      <c r="AU135">
        <v>406520.66560000001</v>
      </c>
      <c r="AV135">
        <v>394342.52990000002</v>
      </c>
      <c r="AW135">
        <v>382066.63630000001</v>
      </c>
    </row>
    <row r="136" spans="2:50" x14ac:dyDescent="0.25">
      <c r="B136" t="s">
        <v>207</v>
      </c>
      <c r="C136">
        <v>1098851.8998263199</v>
      </c>
      <c r="D136">
        <v>1116494.32251175</v>
      </c>
      <c r="E136">
        <v>1134420</v>
      </c>
      <c r="F136">
        <v>1125173.801</v>
      </c>
      <c r="G136">
        <v>1113230.1370000001</v>
      </c>
      <c r="H136">
        <v>1100089.8060000001</v>
      </c>
      <c r="I136">
        <v>1093443.3419999999</v>
      </c>
      <c r="J136">
        <v>1086519.1950000001</v>
      </c>
      <c r="K136">
        <v>1075552.412</v>
      </c>
      <c r="L136">
        <v>1059925.1089999999</v>
      </c>
      <c r="M136">
        <v>1044486.075</v>
      </c>
      <c r="N136">
        <v>1033372.403</v>
      </c>
      <c r="O136">
        <v>1031323.14</v>
      </c>
      <c r="P136">
        <v>1032672.007</v>
      </c>
      <c r="Q136">
        <v>1030644.64</v>
      </c>
      <c r="R136">
        <v>1016316.387</v>
      </c>
      <c r="S136">
        <v>997707.07860000001</v>
      </c>
      <c r="T136">
        <v>973534.2452</v>
      </c>
      <c r="U136">
        <v>948708.62470000004</v>
      </c>
      <c r="V136">
        <v>923779.1827</v>
      </c>
      <c r="W136">
        <v>898653.21440000006</v>
      </c>
      <c r="X136">
        <v>869107.07709999999</v>
      </c>
      <c r="Y136">
        <v>837015.98210000002</v>
      </c>
      <c r="Z136">
        <v>805235.39399999997</v>
      </c>
      <c r="AA136">
        <v>775188.96909999999</v>
      </c>
      <c r="AB136">
        <v>747282.21010000003</v>
      </c>
      <c r="AC136">
        <v>719878.41980000003</v>
      </c>
      <c r="AD136">
        <v>692188.1888</v>
      </c>
      <c r="AE136">
        <v>665816.22759999998</v>
      </c>
      <c r="AF136">
        <v>641322.02630000003</v>
      </c>
      <c r="AG136">
        <v>618570.55790000001</v>
      </c>
      <c r="AH136">
        <v>597444.17740000004</v>
      </c>
      <c r="AI136">
        <v>577912.82799999998</v>
      </c>
      <c r="AJ136">
        <v>559858.94810000004</v>
      </c>
      <c r="AK136">
        <v>543208.07109999994</v>
      </c>
      <c r="AL136">
        <v>527603.32149999996</v>
      </c>
      <c r="AM136">
        <v>511881.2647</v>
      </c>
      <c r="AN136">
        <v>496259.66350000002</v>
      </c>
      <c r="AO136">
        <v>481338.74129999999</v>
      </c>
      <c r="AP136">
        <v>467281.95179999998</v>
      </c>
      <c r="AQ136">
        <v>454121.42349999998</v>
      </c>
      <c r="AR136">
        <v>441839.08360000001</v>
      </c>
      <c r="AS136">
        <v>430185.68300000002</v>
      </c>
      <c r="AT136">
        <v>418469.76559999998</v>
      </c>
      <c r="AU136">
        <v>406520.66560000001</v>
      </c>
      <c r="AV136">
        <v>394342.52990000002</v>
      </c>
      <c r="AW136">
        <v>382066.63630000001</v>
      </c>
    </row>
    <row r="137" spans="2:50" x14ac:dyDescent="0.25">
      <c r="B137" t="s">
        <v>208</v>
      </c>
      <c r="C137">
        <v>105875266.531468</v>
      </c>
      <c r="D137">
        <v>107575128.18195701</v>
      </c>
      <c r="E137">
        <v>109302281.7</v>
      </c>
      <c r="F137">
        <v>107876330.90000001</v>
      </c>
      <c r="G137">
        <v>105530229.2</v>
      </c>
      <c r="H137">
        <v>106330023</v>
      </c>
      <c r="I137">
        <v>104398167.3</v>
      </c>
      <c r="J137">
        <v>102463832.59999999</v>
      </c>
      <c r="K137">
        <v>100385032.09999999</v>
      </c>
      <c r="L137">
        <v>98819260.299999997</v>
      </c>
      <c r="M137">
        <v>97422748.489999995</v>
      </c>
      <c r="N137">
        <v>96465812.769999996</v>
      </c>
      <c r="O137">
        <v>95801424.390000001</v>
      </c>
      <c r="P137">
        <v>95036933.879999995</v>
      </c>
      <c r="Q137">
        <v>94136059.340000004</v>
      </c>
      <c r="R137">
        <v>93971116.180000007</v>
      </c>
      <c r="S137">
        <v>93002607.439999998</v>
      </c>
      <c r="T137">
        <v>91669446.870000005</v>
      </c>
      <c r="U137">
        <v>89938754.060000002</v>
      </c>
      <c r="V137">
        <v>87313937.540000007</v>
      </c>
      <c r="W137">
        <v>84306786.829999998</v>
      </c>
      <c r="X137">
        <v>81136178.180000007</v>
      </c>
      <c r="Y137">
        <v>78264943.390000001</v>
      </c>
      <c r="Z137">
        <v>75032864.560000002</v>
      </c>
      <c r="AA137">
        <v>71604299.030000001</v>
      </c>
      <c r="AB137">
        <v>67942674.909999996</v>
      </c>
      <c r="AC137">
        <v>64110503.07</v>
      </c>
      <c r="AD137">
        <v>59253577.140000001</v>
      </c>
      <c r="AE137">
        <v>54426681.549999997</v>
      </c>
      <c r="AF137">
        <v>49700367.5</v>
      </c>
      <c r="AG137">
        <v>45170745.210000001</v>
      </c>
      <c r="AH137">
        <v>40789080.75</v>
      </c>
      <c r="AI137">
        <v>36464346.009999998</v>
      </c>
      <c r="AJ137">
        <v>32323252.219999999</v>
      </c>
      <c r="AK137">
        <v>28320463.440000001</v>
      </c>
      <c r="AL137">
        <v>24553810.329999998</v>
      </c>
      <c r="AM137">
        <v>20833477.399999999</v>
      </c>
      <c r="AN137">
        <v>18391124.510000002</v>
      </c>
      <c r="AO137">
        <v>16059451.210000001</v>
      </c>
      <c r="AP137">
        <v>13811227.699999999</v>
      </c>
      <c r="AQ137">
        <v>11630261.92</v>
      </c>
      <c r="AR137">
        <v>9458103.0519999899</v>
      </c>
      <c r="AS137">
        <v>8588240.8239999898</v>
      </c>
      <c r="AT137">
        <v>7768582.892</v>
      </c>
      <c r="AU137">
        <v>6998191.4649999999</v>
      </c>
      <c r="AV137">
        <v>6272151.7649999997</v>
      </c>
      <c r="AW137">
        <v>5586424.4790000003</v>
      </c>
    </row>
    <row r="138" spans="2:50" x14ac:dyDescent="0.25">
      <c r="B138" t="s">
        <v>209</v>
      </c>
      <c r="C138">
        <v>105875266.531468</v>
      </c>
      <c r="D138">
        <v>107575128.18195701</v>
      </c>
      <c r="E138">
        <v>109302281.7</v>
      </c>
      <c r="F138">
        <v>107876330.90000001</v>
      </c>
      <c r="G138">
        <v>105530229.2</v>
      </c>
      <c r="H138">
        <v>106330023</v>
      </c>
      <c r="I138">
        <v>104398167.3</v>
      </c>
      <c r="J138">
        <v>102463832.59999999</v>
      </c>
      <c r="K138">
        <v>100385032.09999999</v>
      </c>
      <c r="L138">
        <v>98819260.299999997</v>
      </c>
      <c r="M138">
        <v>97422748.489999995</v>
      </c>
      <c r="N138">
        <v>96465812.769999996</v>
      </c>
      <c r="O138">
        <v>95801424.390000001</v>
      </c>
      <c r="P138">
        <v>95036933.879999995</v>
      </c>
      <c r="Q138">
        <v>94136059.340000004</v>
      </c>
      <c r="R138">
        <v>93971116.180000007</v>
      </c>
      <c r="S138">
        <v>93002607.439999998</v>
      </c>
      <c r="T138">
        <v>91669446.870000005</v>
      </c>
      <c r="U138">
        <v>89938754.060000002</v>
      </c>
      <c r="V138">
        <v>87313937.540000007</v>
      </c>
      <c r="W138">
        <v>84306786.829999998</v>
      </c>
      <c r="X138">
        <v>81136178.180000007</v>
      </c>
      <c r="Y138">
        <v>78264943.390000001</v>
      </c>
      <c r="Z138">
        <v>75032864.560000002</v>
      </c>
      <c r="AA138">
        <v>71604299.030000001</v>
      </c>
      <c r="AB138">
        <v>67942674.909999996</v>
      </c>
      <c r="AC138">
        <v>64110503.07</v>
      </c>
      <c r="AD138">
        <v>59253577.140000001</v>
      </c>
      <c r="AE138">
        <v>54426681.549999997</v>
      </c>
      <c r="AF138">
        <v>49700367.5</v>
      </c>
      <c r="AG138">
        <v>45170745.210000001</v>
      </c>
      <c r="AH138">
        <v>40789080.75</v>
      </c>
      <c r="AI138">
        <v>36464346.009999998</v>
      </c>
      <c r="AJ138">
        <v>32323252.219999999</v>
      </c>
      <c r="AK138">
        <v>28320463.440000001</v>
      </c>
      <c r="AL138">
        <v>24553810.329999998</v>
      </c>
      <c r="AM138">
        <v>20833477.399999999</v>
      </c>
      <c r="AN138">
        <v>18391124.510000002</v>
      </c>
      <c r="AO138">
        <v>16059451.210000001</v>
      </c>
      <c r="AP138">
        <v>13811227.699999999</v>
      </c>
      <c r="AQ138">
        <v>11630261.92</v>
      </c>
      <c r="AR138">
        <v>9458103.0519999899</v>
      </c>
      <c r="AS138">
        <v>8588240.8239999898</v>
      </c>
      <c r="AT138">
        <v>7768582.892</v>
      </c>
      <c r="AU138">
        <v>6998191.4649999999</v>
      </c>
      <c r="AV138">
        <v>6272151.7649999997</v>
      </c>
      <c r="AW138">
        <v>5586424.4790000003</v>
      </c>
    </row>
    <row r="139" spans="2:50" x14ac:dyDescent="0.25">
      <c r="B139" t="s">
        <v>210</v>
      </c>
      <c r="C139">
        <v>37938997.726415001</v>
      </c>
      <c r="D139">
        <v>38548120.6066292</v>
      </c>
      <c r="E139">
        <v>39167023.149999999</v>
      </c>
      <c r="F139">
        <v>38439454.170000002</v>
      </c>
      <c r="G139">
        <v>37169515.140000001</v>
      </c>
      <c r="H139">
        <v>36114434.859999999</v>
      </c>
      <c r="I139">
        <v>35890891.030000001</v>
      </c>
      <c r="J139">
        <v>34961603.829999998</v>
      </c>
      <c r="K139">
        <v>33389583.440000001</v>
      </c>
      <c r="L139">
        <v>32196121.359999999</v>
      </c>
      <c r="M139">
        <v>31428116.289999999</v>
      </c>
      <c r="N139">
        <v>30946125.960000001</v>
      </c>
      <c r="O139">
        <v>31565684.420000002</v>
      </c>
      <c r="P139">
        <v>31611260.140000001</v>
      </c>
      <c r="Q139">
        <v>30613143.789999999</v>
      </c>
      <c r="R139">
        <v>29820105.010000002</v>
      </c>
      <c r="S139">
        <v>29211757.77</v>
      </c>
      <c r="T139">
        <v>27353385.48</v>
      </c>
      <c r="U139">
        <v>25858904.510000002</v>
      </c>
      <c r="V139">
        <v>24404740.100000001</v>
      </c>
      <c r="W139">
        <v>24064935.370000001</v>
      </c>
      <c r="X139">
        <v>23260330.239999998</v>
      </c>
      <c r="Y139">
        <v>21912553.370000001</v>
      </c>
      <c r="Z139">
        <v>20596651.809999999</v>
      </c>
      <c r="AA139">
        <v>19310295.649999999</v>
      </c>
      <c r="AB139">
        <v>17850471.190000001</v>
      </c>
      <c r="AC139">
        <v>16483957.300000001</v>
      </c>
      <c r="AD139">
        <v>14535989.300000001</v>
      </c>
      <c r="AE139">
        <v>12693514.41</v>
      </c>
      <c r="AF139">
        <v>10969183.199999999</v>
      </c>
      <c r="AG139">
        <v>9946252.7369999997</v>
      </c>
      <c r="AH139">
        <v>8977601.9189999998</v>
      </c>
      <c r="AI139">
        <v>8053871.0719999997</v>
      </c>
      <c r="AJ139">
        <v>7192099.4939999999</v>
      </c>
      <c r="AK139">
        <v>6375618.5549999997</v>
      </c>
      <c r="AL139">
        <v>7250133.602</v>
      </c>
      <c r="AM139">
        <v>8046374.483</v>
      </c>
      <c r="AN139">
        <v>6853059.6050000004</v>
      </c>
      <c r="AO139">
        <v>5697544.4589999998</v>
      </c>
      <c r="AP139">
        <v>4587829.1320000002</v>
      </c>
      <c r="AQ139">
        <v>3524820.4530000002</v>
      </c>
      <c r="AR139">
        <v>2500098.1370000001</v>
      </c>
      <c r="AS139">
        <v>2855173.3810000001</v>
      </c>
      <c r="AT139">
        <v>3186840.2590000001</v>
      </c>
      <c r="AU139">
        <v>3490680.0869999998</v>
      </c>
      <c r="AV139">
        <v>3766674.5989999999</v>
      </c>
      <c r="AW139">
        <v>4016832.406</v>
      </c>
    </row>
    <row r="140" spans="2:50" x14ac:dyDescent="0.25">
      <c r="B140" t="s">
        <v>211</v>
      </c>
      <c r="C140">
        <v>37938997.726415001</v>
      </c>
      <c r="D140">
        <v>38548120.6066292</v>
      </c>
      <c r="E140">
        <v>39167023.149999999</v>
      </c>
      <c r="F140">
        <v>38439454.170000002</v>
      </c>
      <c r="G140">
        <v>37169515.140000001</v>
      </c>
      <c r="H140">
        <v>36114434.859999999</v>
      </c>
      <c r="I140">
        <v>35890891.030000001</v>
      </c>
      <c r="J140">
        <v>34961603.829999998</v>
      </c>
      <c r="K140">
        <v>33389583.440000001</v>
      </c>
      <c r="L140">
        <v>32196121.359999999</v>
      </c>
      <c r="M140">
        <v>31428116.289999999</v>
      </c>
      <c r="N140">
        <v>30946125.960000001</v>
      </c>
      <c r="O140">
        <v>31565684.420000002</v>
      </c>
      <c r="P140">
        <v>31611260.140000001</v>
      </c>
      <c r="Q140">
        <v>30613143.789999999</v>
      </c>
      <c r="R140">
        <v>29820105.010000002</v>
      </c>
      <c r="S140">
        <v>29211757.77</v>
      </c>
      <c r="T140">
        <v>27353385.48</v>
      </c>
      <c r="U140">
        <v>25858904.510000002</v>
      </c>
      <c r="V140">
        <v>24404740.100000001</v>
      </c>
      <c r="W140">
        <v>24064935.370000001</v>
      </c>
      <c r="X140">
        <v>23260330.239999998</v>
      </c>
      <c r="Y140">
        <v>21912553.370000001</v>
      </c>
      <c r="Z140">
        <v>20596651.809999999</v>
      </c>
      <c r="AA140">
        <v>19310295.649999999</v>
      </c>
      <c r="AB140">
        <v>17850471.190000001</v>
      </c>
      <c r="AC140">
        <v>16483957.300000001</v>
      </c>
      <c r="AD140">
        <v>14535989.300000001</v>
      </c>
      <c r="AE140">
        <v>12693514.41</v>
      </c>
      <c r="AF140">
        <v>10969183.199999999</v>
      </c>
      <c r="AG140">
        <v>9946252.7369999997</v>
      </c>
      <c r="AH140">
        <v>8977601.9189999998</v>
      </c>
      <c r="AI140">
        <v>8053871.0719999997</v>
      </c>
      <c r="AJ140">
        <v>7192099.4939999999</v>
      </c>
      <c r="AK140">
        <v>6375618.5549999997</v>
      </c>
      <c r="AL140">
        <v>7250133.602</v>
      </c>
      <c r="AM140">
        <v>8046374.483</v>
      </c>
      <c r="AN140">
        <v>6853059.6050000004</v>
      </c>
      <c r="AO140">
        <v>5697544.4589999998</v>
      </c>
      <c r="AP140">
        <v>4587829.1320000002</v>
      </c>
      <c r="AQ140">
        <v>3524820.4530000002</v>
      </c>
      <c r="AR140">
        <v>2500098.1370000001</v>
      </c>
      <c r="AS140">
        <v>2855173.3810000001</v>
      </c>
      <c r="AT140">
        <v>3186840.2590000001</v>
      </c>
      <c r="AU140">
        <v>3490680.0869999998</v>
      </c>
      <c r="AV140">
        <v>3766674.5989999999</v>
      </c>
      <c r="AW140">
        <v>4016832.406</v>
      </c>
    </row>
    <row r="141" spans="2:50" x14ac:dyDescent="0.25">
      <c r="B141" t="s">
        <v>212</v>
      </c>
      <c r="C141">
        <v>7249974.6999914004</v>
      </c>
      <c r="D141">
        <v>7366375.3888705196</v>
      </c>
      <c r="E141">
        <v>7487365.2489999998</v>
      </c>
      <c r="F141">
        <v>7687917.3789999997</v>
      </c>
      <c r="G141">
        <v>7316111.1299999999</v>
      </c>
      <c r="H141">
        <v>7649433.9160000002</v>
      </c>
      <c r="I141">
        <v>7858468.4879999999</v>
      </c>
      <c r="J141">
        <v>7423422.8119999999</v>
      </c>
      <c r="K141">
        <v>7120041.3720000004</v>
      </c>
      <c r="L141">
        <v>6896790.29</v>
      </c>
      <c r="M141">
        <v>7342797.324</v>
      </c>
      <c r="N141">
        <v>7789480.8159999996</v>
      </c>
      <c r="O141">
        <v>8048327.4479999999</v>
      </c>
      <c r="P141">
        <v>8092452.3210000005</v>
      </c>
      <c r="Q141">
        <v>7530297.3109999998</v>
      </c>
      <c r="R141">
        <v>7517698.0199999996</v>
      </c>
      <c r="S141">
        <v>7542636.949</v>
      </c>
      <c r="T141">
        <v>7568915.2359999996</v>
      </c>
      <c r="U141">
        <v>7572419.1689999998</v>
      </c>
      <c r="V141">
        <v>7606342.352</v>
      </c>
      <c r="W141">
        <v>7606716.8710000003</v>
      </c>
      <c r="X141">
        <v>7511881.5089999996</v>
      </c>
      <c r="Y141">
        <v>7503939.4850000003</v>
      </c>
      <c r="Z141">
        <v>7512488.4919999996</v>
      </c>
      <c r="AA141">
        <v>7522682.5070000002</v>
      </c>
      <c r="AB141">
        <v>7511463.8669999996</v>
      </c>
      <c r="AC141">
        <v>7476816.2050000001</v>
      </c>
      <c r="AD141">
        <v>7311000.5130000003</v>
      </c>
      <c r="AE141">
        <v>7134178.7510000002</v>
      </c>
      <c r="AF141">
        <v>6935396.3830000004</v>
      </c>
      <c r="AG141">
        <v>6735938.4100000001</v>
      </c>
      <c r="AH141">
        <v>6512121.858</v>
      </c>
      <c r="AI141">
        <v>6242457.1579999998</v>
      </c>
      <c r="AJ141">
        <v>5940281.1900000004</v>
      </c>
      <c r="AK141">
        <v>5582784.7300000004</v>
      </c>
      <c r="AL141">
        <v>5252440.9740000004</v>
      </c>
      <c r="AM141">
        <v>4844704.7460000003</v>
      </c>
      <c r="AN141">
        <v>4570675.4939999999</v>
      </c>
      <c r="AO141">
        <v>4265932.4689999996</v>
      </c>
      <c r="AP141">
        <v>3911817.0150000001</v>
      </c>
      <c r="AQ141">
        <v>3507489.4640000002</v>
      </c>
      <c r="AR141">
        <v>3039756.605</v>
      </c>
      <c r="AS141">
        <v>2977134.7829999998</v>
      </c>
      <c r="AT141">
        <v>2905323.08</v>
      </c>
      <c r="AU141">
        <v>2826334.5320000001</v>
      </c>
      <c r="AV141">
        <v>2738196.5019999999</v>
      </c>
      <c r="AW141">
        <v>2639521.4169999999</v>
      </c>
    </row>
    <row r="142" spans="2:50" x14ac:dyDescent="0.25">
      <c r="B142" t="s">
        <v>213</v>
      </c>
      <c r="C142">
        <v>11428306.3019633</v>
      </c>
      <c r="D142">
        <v>11611791.4562317</v>
      </c>
      <c r="E142">
        <v>11800890.689999999</v>
      </c>
      <c r="F142">
        <v>11972055.02</v>
      </c>
      <c r="G142">
        <v>11278932.890000001</v>
      </c>
      <c r="H142">
        <v>11414923.699999999</v>
      </c>
      <c r="I142">
        <v>11264431.789999999</v>
      </c>
      <c r="J142">
        <v>10930540.380000001</v>
      </c>
      <c r="K142">
        <v>10231746.470000001</v>
      </c>
      <c r="L142">
        <v>9944857.7860000003</v>
      </c>
      <c r="M142">
        <v>10037553.279999999</v>
      </c>
      <c r="N142">
        <v>10187251.26</v>
      </c>
      <c r="O142">
        <v>9463514.5360000003</v>
      </c>
      <c r="P142">
        <v>8719164.8350000009</v>
      </c>
      <c r="Q142">
        <v>7838018.5240000002</v>
      </c>
      <c r="R142">
        <v>7295839.7759999996</v>
      </c>
      <c r="S142">
        <v>7011696.2570000002</v>
      </c>
      <c r="T142">
        <v>6845265.6310000001</v>
      </c>
      <c r="U142">
        <v>6762886.5429999996</v>
      </c>
      <c r="V142">
        <v>6695257.6349999998</v>
      </c>
      <c r="W142">
        <v>5876620.8660000004</v>
      </c>
      <c r="X142">
        <v>5005476.2640000004</v>
      </c>
      <c r="Y142">
        <v>4302232.1320000002</v>
      </c>
      <c r="Z142">
        <v>3751428.6490000002</v>
      </c>
      <c r="AA142">
        <v>3311099.2370000002</v>
      </c>
      <c r="AB142">
        <v>2946743.8650000002</v>
      </c>
      <c r="AC142">
        <v>2638440.267</v>
      </c>
      <c r="AD142">
        <v>2491653.1860000002</v>
      </c>
      <c r="AE142">
        <v>2385739.398</v>
      </c>
      <c r="AF142">
        <v>2280932.557</v>
      </c>
      <c r="AG142">
        <v>2214277.4130000002</v>
      </c>
      <c r="AH142">
        <v>2137735.588</v>
      </c>
      <c r="AI142">
        <v>2045341.2779999999</v>
      </c>
      <c r="AJ142">
        <v>1945942.2490000001</v>
      </c>
      <c r="AK142">
        <v>1831120.3030000001</v>
      </c>
      <c r="AL142">
        <v>1851858.371</v>
      </c>
      <c r="AM142">
        <v>1854487.132</v>
      </c>
      <c r="AN142">
        <v>1721398.925</v>
      </c>
      <c r="AO142">
        <v>1577230.7390000001</v>
      </c>
      <c r="AP142">
        <v>1415802.2250000001</v>
      </c>
      <c r="AQ142">
        <v>1236603.0079999999</v>
      </c>
      <c r="AR142">
        <v>1035532.303</v>
      </c>
      <c r="AS142">
        <v>1072900.9809999999</v>
      </c>
      <c r="AT142">
        <v>1108168.0449999999</v>
      </c>
      <c r="AU142">
        <v>1142146.713</v>
      </c>
      <c r="AV142">
        <v>1174335.0919999999</v>
      </c>
      <c r="AW142">
        <v>1204272.1140000001</v>
      </c>
    </row>
    <row r="143" spans="2:50" x14ac:dyDescent="0.25">
      <c r="B143" t="s">
        <v>214</v>
      </c>
      <c r="C143">
        <v>1153294.1412084801</v>
      </c>
      <c r="D143">
        <v>1171810.6516891399</v>
      </c>
      <c r="E143">
        <v>1190798.162</v>
      </c>
      <c r="F143">
        <v>1268529.1000000001</v>
      </c>
      <c r="G143">
        <v>1189663.57</v>
      </c>
      <c r="H143">
        <v>1036459.476</v>
      </c>
      <c r="I143">
        <v>1121716.0260000001</v>
      </c>
      <c r="J143">
        <v>1093131.7339999999</v>
      </c>
      <c r="K143">
        <v>1038195.677</v>
      </c>
      <c r="L143">
        <v>1023222.657</v>
      </c>
      <c r="M143">
        <v>1060639.111</v>
      </c>
      <c r="N143">
        <v>1155202.399</v>
      </c>
      <c r="O143">
        <v>1098150.5970000001</v>
      </c>
      <c r="P143">
        <v>1030407.626</v>
      </c>
      <c r="Q143">
        <v>914779.72149999999</v>
      </c>
      <c r="R143">
        <v>849560.79729999998</v>
      </c>
      <c r="S143">
        <v>755400.56960000005</v>
      </c>
      <c r="T143">
        <v>717511.63690000004</v>
      </c>
      <c r="U143">
        <v>699179.65449999995</v>
      </c>
      <c r="V143">
        <v>698829.71010000003</v>
      </c>
      <c r="W143">
        <v>551981.84569999995</v>
      </c>
      <c r="X143">
        <v>425280.23239999998</v>
      </c>
      <c r="Y143">
        <v>332559.51360000001</v>
      </c>
      <c r="Z143">
        <v>269032.95390000002</v>
      </c>
      <c r="AA143">
        <v>222064.53200000001</v>
      </c>
      <c r="AB143">
        <v>185475.1061</v>
      </c>
      <c r="AC143">
        <v>156806.50899999999</v>
      </c>
      <c r="AD143">
        <v>141806.89809999999</v>
      </c>
      <c r="AE143">
        <v>130971.2776</v>
      </c>
      <c r="AF143">
        <v>121333.20630000001</v>
      </c>
      <c r="AG143">
        <v>115678.51330000001</v>
      </c>
      <c r="AH143">
        <v>110127.64780000001</v>
      </c>
      <c r="AI143">
        <v>104637.5971</v>
      </c>
      <c r="AJ143">
        <v>98518.178929999995</v>
      </c>
      <c r="AK143">
        <v>91523.614480000004</v>
      </c>
      <c r="AL143">
        <v>95869.635739999998</v>
      </c>
      <c r="AM143">
        <v>99274.907380000004</v>
      </c>
      <c r="AN143">
        <v>89945.240699999995</v>
      </c>
      <c r="AO143">
        <v>80287.107550000001</v>
      </c>
      <c r="AP143">
        <v>69902.703330000004</v>
      </c>
      <c r="AQ143">
        <v>59009.596709999998</v>
      </c>
      <c r="AR143">
        <v>47603.939469999998</v>
      </c>
      <c r="AS143">
        <v>50597.931729999997</v>
      </c>
      <c r="AT143">
        <v>53537.012479999998</v>
      </c>
      <c r="AU143">
        <v>56411.826569999997</v>
      </c>
      <c r="AV143">
        <v>59192.380349999999</v>
      </c>
      <c r="AW143">
        <v>61806.430390000001</v>
      </c>
    </row>
    <row r="144" spans="2:50" x14ac:dyDescent="0.25">
      <c r="B144" t="s">
        <v>215</v>
      </c>
      <c r="C144">
        <v>6211298.5004764497</v>
      </c>
      <c r="D144">
        <v>6311022.9070030199</v>
      </c>
      <c r="E144">
        <v>6414338.9579999996</v>
      </c>
      <c r="F144">
        <v>6441570.1349999998</v>
      </c>
      <c r="G144">
        <v>5828165.7149999999</v>
      </c>
      <c r="H144">
        <v>5204320.7249999996</v>
      </c>
      <c r="I144">
        <v>4567357.7709999997</v>
      </c>
      <c r="J144">
        <v>4796013.92</v>
      </c>
      <c r="K144">
        <v>4286719.0669999998</v>
      </c>
      <c r="L144">
        <v>4084089.0580000002</v>
      </c>
      <c r="M144">
        <v>4153248.088</v>
      </c>
      <c r="N144">
        <v>4217985.6239999998</v>
      </c>
      <c r="O144">
        <v>4004345.568</v>
      </c>
      <c r="P144">
        <v>3705062.2080000001</v>
      </c>
      <c r="Q144">
        <v>3341825.2779999999</v>
      </c>
      <c r="R144">
        <v>3062334.98</v>
      </c>
      <c r="S144">
        <v>2815513.2629999998</v>
      </c>
      <c r="T144">
        <v>2668790.753</v>
      </c>
      <c r="U144">
        <v>2517031.58</v>
      </c>
      <c r="V144">
        <v>2365932.2209999999</v>
      </c>
      <c r="W144">
        <v>2120931.213</v>
      </c>
      <c r="X144">
        <v>1827806.11</v>
      </c>
      <c r="Y144">
        <v>1692534.4890000001</v>
      </c>
      <c r="Z144">
        <v>1623562.1669999999</v>
      </c>
      <c r="AA144">
        <v>1593942.8049999999</v>
      </c>
      <c r="AB144">
        <v>1591036.2169999999</v>
      </c>
      <c r="AC144">
        <v>1613999.4909999999</v>
      </c>
      <c r="AD144">
        <v>1519814.5379999999</v>
      </c>
      <c r="AE144">
        <v>1449207.3459999999</v>
      </c>
      <c r="AF144">
        <v>1379940.1310000001</v>
      </c>
      <c r="AG144">
        <v>1331999.1880000001</v>
      </c>
      <c r="AH144">
        <v>1278764.925</v>
      </c>
      <c r="AI144">
        <v>1218170.128</v>
      </c>
      <c r="AJ144">
        <v>1153465.605</v>
      </c>
      <c r="AK144">
        <v>1080904.79</v>
      </c>
      <c r="AL144">
        <v>1079018.909</v>
      </c>
      <c r="AM144">
        <v>1066010.77</v>
      </c>
      <c r="AN144">
        <v>983085.72369999997</v>
      </c>
      <c r="AO144">
        <v>894631.26839999994</v>
      </c>
      <c r="AP144">
        <v>798691.40729999996</v>
      </c>
      <c r="AQ144">
        <v>695602.22149999999</v>
      </c>
      <c r="AR144">
        <v>583062.29839999997</v>
      </c>
      <c r="AS144">
        <v>595229.54879999999</v>
      </c>
      <c r="AT144">
        <v>605696.79180000001</v>
      </c>
      <c r="AU144">
        <v>614919.76199999999</v>
      </c>
      <c r="AV144">
        <v>622711.91830000002</v>
      </c>
      <c r="AW144">
        <v>628896.56640000001</v>
      </c>
    </row>
    <row r="145" spans="2:49" x14ac:dyDescent="0.25">
      <c r="B145" t="s">
        <v>216</v>
      </c>
      <c r="C145">
        <v>19068539.7330263</v>
      </c>
      <c r="D145">
        <v>19374691.306334</v>
      </c>
      <c r="E145">
        <v>19692663.129999999</v>
      </c>
      <c r="F145">
        <v>19854092.440000001</v>
      </c>
      <c r="G145">
        <v>18042980.350000001</v>
      </c>
      <c r="H145">
        <v>16049590.210000001</v>
      </c>
      <c r="I145">
        <v>14765164.6</v>
      </c>
      <c r="J145">
        <v>15776069.93</v>
      </c>
      <c r="K145">
        <v>14128146.609999999</v>
      </c>
      <c r="L145">
        <v>13508806.17</v>
      </c>
      <c r="M145">
        <v>13774790.890000001</v>
      </c>
      <c r="N145">
        <v>13975426.390000001</v>
      </c>
      <c r="O145">
        <v>13354613.300000001</v>
      </c>
      <c r="P145">
        <v>12408829.960000001</v>
      </c>
      <c r="Q145">
        <v>11203234.609999999</v>
      </c>
      <c r="R145">
        <v>10327178.699999999</v>
      </c>
      <c r="S145">
        <v>9528276.5219999999</v>
      </c>
      <c r="T145">
        <v>9334694.1129999999</v>
      </c>
      <c r="U145">
        <v>8924216.4570000004</v>
      </c>
      <c r="V145">
        <v>8587311.7860000003</v>
      </c>
      <c r="W145">
        <v>7409735.142</v>
      </c>
      <c r="X145">
        <v>6116626.7609999999</v>
      </c>
      <c r="Y145">
        <v>5319341.7479999997</v>
      </c>
      <c r="Z145">
        <v>4721438.4840000002</v>
      </c>
      <c r="AA145">
        <v>4233569.8820000002</v>
      </c>
      <c r="AB145">
        <v>3814043.5180000002</v>
      </c>
      <c r="AC145">
        <v>3467611.7719999999</v>
      </c>
      <c r="AD145">
        <v>3332470.64</v>
      </c>
      <c r="AE145">
        <v>3224704.5750000002</v>
      </c>
      <c r="AF145">
        <v>3116345.5180000002</v>
      </c>
      <c r="AG145">
        <v>3021249.8169999998</v>
      </c>
      <c r="AH145">
        <v>2918767.5249999999</v>
      </c>
      <c r="AI145">
        <v>2799419.2560000001</v>
      </c>
      <c r="AJ145">
        <v>2663420.0819999999</v>
      </c>
      <c r="AK145">
        <v>2510946.15</v>
      </c>
      <c r="AL145">
        <v>2401608.4339999999</v>
      </c>
      <c r="AM145">
        <v>2265494.392</v>
      </c>
      <c r="AN145">
        <v>2136729.3960000002</v>
      </c>
      <c r="AO145">
        <v>1987838.085</v>
      </c>
      <c r="AP145">
        <v>1818737.578</v>
      </c>
      <c r="AQ145">
        <v>1633022.3289999999</v>
      </c>
      <c r="AR145">
        <v>1419892.35</v>
      </c>
      <c r="AS145">
        <v>1402916.855</v>
      </c>
      <c r="AT145">
        <v>1385726.129</v>
      </c>
      <c r="AU145">
        <v>1365348.105</v>
      </c>
      <c r="AV145">
        <v>1341061.4920000001</v>
      </c>
      <c r="AW145">
        <v>1314512.5530000001</v>
      </c>
    </row>
    <row r="146" spans="2:49" x14ac:dyDescent="0.25">
      <c r="B146" t="s">
        <v>217</v>
      </c>
      <c r="C146">
        <v>14426006.8404216</v>
      </c>
      <c r="D146">
        <v>14657621.046468699</v>
      </c>
      <c r="E146">
        <v>14897820.91</v>
      </c>
      <c r="F146">
        <v>14865795.439999999</v>
      </c>
      <c r="G146">
        <v>13695752.779999999</v>
      </c>
      <c r="H146">
        <v>12738089.15</v>
      </c>
      <c r="I146">
        <v>11133856.609999999</v>
      </c>
      <c r="J146">
        <v>10038499.939999999</v>
      </c>
      <c r="K146">
        <v>9128511.5399999898</v>
      </c>
      <c r="L146">
        <v>8995592.7860000003</v>
      </c>
      <c r="M146">
        <v>8908660.6150000002</v>
      </c>
      <c r="N146">
        <v>9196501.7369999997</v>
      </c>
      <c r="O146">
        <v>8438003.2210000008</v>
      </c>
      <c r="P146">
        <v>7549230.6409999998</v>
      </c>
      <c r="Q146">
        <v>6765176.2599999998</v>
      </c>
      <c r="R146">
        <v>6102877.3150000004</v>
      </c>
      <c r="S146">
        <v>5643247.8629999999</v>
      </c>
      <c r="T146">
        <v>5367205.5010000002</v>
      </c>
      <c r="U146">
        <v>5029096.2889999999</v>
      </c>
      <c r="V146">
        <v>4687657.16</v>
      </c>
      <c r="W146">
        <v>4043248.7119999998</v>
      </c>
      <c r="X146">
        <v>3353891.6170000001</v>
      </c>
      <c r="Y146">
        <v>3012461.4759999998</v>
      </c>
      <c r="Z146">
        <v>2807660.11</v>
      </c>
      <c r="AA146">
        <v>2677436.5759999999</v>
      </c>
      <c r="AB146">
        <v>2597811.4309999999</v>
      </c>
      <c r="AC146">
        <v>2566060.0219999999</v>
      </c>
      <c r="AD146">
        <v>2440439.784</v>
      </c>
      <c r="AE146">
        <v>2351681.9870000002</v>
      </c>
      <c r="AF146">
        <v>2265328.0090000001</v>
      </c>
      <c r="AG146">
        <v>2205683.0970000001</v>
      </c>
      <c r="AH146">
        <v>2136657.2820000001</v>
      </c>
      <c r="AI146">
        <v>2054896.115</v>
      </c>
      <c r="AJ146">
        <v>1966439.0460000001</v>
      </c>
      <c r="AK146">
        <v>1864950.493</v>
      </c>
      <c r="AL146">
        <v>1849989.564</v>
      </c>
      <c r="AM146">
        <v>1816850.3670000001</v>
      </c>
      <c r="AN146">
        <v>1705596.5109999999</v>
      </c>
      <c r="AO146">
        <v>1583093.138</v>
      </c>
      <c r="AP146">
        <v>1446238.237</v>
      </c>
      <c r="AQ146">
        <v>1295106.4820000001</v>
      </c>
      <c r="AR146">
        <v>1124992.5889999999</v>
      </c>
      <c r="AS146">
        <v>1142587.577</v>
      </c>
      <c r="AT146">
        <v>1157687.344</v>
      </c>
      <c r="AU146">
        <v>1170893.5330000001</v>
      </c>
      <c r="AV146">
        <v>1181767.757</v>
      </c>
      <c r="AW146">
        <v>1189953.122</v>
      </c>
    </row>
    <row r="147" spans="2:49" x14ac:dyDescent="0.25">
      <c r="B147" t="s">
        <v>218</v>
      </c>
      <c r="C147">
        <v>9279692.21316991</v>
      </c>
      <c r="D147">
        <v>9428680.6732538398</v>
      </c>
      <c r="E147">
        <v>9581386.1769999899</v>
      </c>
      <c r="F147">
        <v>9543544.5150000006</v>
      </c>
      <c r="G147">
        <v>9144266.1170000006</v>
      </c>
      <c r="H147">
        <v>8591241.8670000006</v>
      </c>
      <c r="I147">
        <v>8225752.2050000001</v>
      </c>
      <c r="J147">
        <v>7979650.8859999999</v>
      </c>
      <c r="K147">
        <v>7577974.5980000002</v>
      </c>
      <c r="L147">
        <v>7505935.034</v>
      </c>
      <c r="M147">
        <v>7476021.551</v>
      </c>
      <c r="N147">
        <v>7731061.7400000002</v>
      </c>
      <c r="O147">
        <v>7565139.6490000002</v>
      </c>
      <c r="P147">
        <v>7308648.5290000001</v>
      </c>
      <c r="Q147">
        <v>6955667.5180000002</v>
      </c>
      <c r="R147">
        <v>6822478.943</v>
      </c>
      <c r="S147">
        <v>6582758.3540000003</v>
      </c>
      <c r="T147">
        <v>6424159.8090000004</v>
      </c>
      <c r="U147">
        <v>6189896.6140000001</v>
      </c>
      <c r="V147">
        <v>5979873.5899999999</v>
      </c>
      <c r="W147">
        <v>5291872.9419999998</v>
      </c>
      <c r="X147">
        <v>4512078.443</v>
      </c>
      <c r="Y147">
        <v>3949343.179</v>
      </c>
      <c r="Z147">
        <v>3545960.9619999998</v>
      </c>
      <c r="AA147">
        <v>3232031.048</v>
      </c>
      <c r="AB147">
        <v>2981170.2439999999</v>
      </c>
      <c r="AC147">
        <v>2784741.4130000002</v>
      </c>
      <c r="AD147">
        <v>2618406.395</v>
      </c>
      <c r="AE147">
        <v>2487095.1800000002</v>
      </c>
      <c r="AF147">
        <v>2357955.7400000002</v>
      </c>
      <c r="AG147">
        <v>2286292.3670000001</v>
      </c>
      <c r="AH147">
        <v>2208168.3960000002</v>
      </c>
      <c r="AI147">
        <v>2118685.6159999999</v>
      </c>
      <c r="AJ147">
        <v>2024002.503</v>
      </c>
      <c r="AK147">
        <v>1918885.226</v>
      </c>
      <c r="AL147">
        <v>2010636.291</v>
      </c>
      <c r="AM147">
        <v>2090316.83</v>
      </c>
      <c r="AN147">
        <v>1939019.253</v>
      </c>
      <c r="AO147">
        <v>1779684.0390000001</v>
      </c>
      <c r="AP147">
        <v>1606593.6340000001</v>
      </c>
      <c r="AQ147">
        <v>1420452.777</v>
      </c>
      <c r="AR147">
        <v>1217573.7069999999</v>
      </c>
      <c r="AS147">
        <v>1284079.493</v>
      </c>
      <c r="AT147">
        <v>1349593.0870000001</v>
      </c>
      <c r="AU147">
        <v>1414500.567</v>
      </c>
      <c r="AV147">
        <v>1478423.02</v>
      </c>
      <c r="AW147">
        <v>1541096.7009999999</v>
      </c>
    </row>
    <row r="148" spans="2:49" x14ac:dyDescent="0.25">
      <c r="B148" t="s">
        <v>219</v>
      </c>
      <c r="C148">
        <v>10783636.5742715</v>
      </c>
      <c r="D148">
        <v>10956771.347537501</v>
      </c>
      <c r="E148">
        <v>11150446.529999999</v>
      </c>
      <c r="F148">
        <v>11154867.699999999</v>
      </c>
      <c r="G148">
        <v>11099100.859999999</v>
      </c>
      <c r="H148">
        <v>10297432.199999999</v>
      </c>
      <c r="I148">
        <v>10630570.199999999</v>
      </c>
      <c r="J148">
        <v>10708165.27</v>
      </c>
      <c r="K148">
        <v>10466847.01</v>
      </c>
      <c r="L148">
        <v>10414854.67</v>
      </c>
      <c r="M148">
        <v>10418525.689999999</v>
      </c>
      <c r="N148">
        <v>10715601.73</v>
      </c>
      <c r="O148">
        <v>10792254.890000001</v>
      </c>
      <c r="P148">
        <v>10935265.59</v>
      </c>
      <c r="Q148">
        <v>10884873.789999999</v>
      </c>
      <c r="R148">
        <v>11078505.01</v>
      </c>
      <c r="S148">
        <v>11051771.210000001</v>
      </c>
      <c r="T148">
        <v>10894396.359999999</v>
      </c>
      <c r="U148">
        <v>10835479.07</v>
      </c>
      <c r="V148">
        <v>10760398.74</v>
      </c>
      <c r="W148">
        <v>10536590.609999999</v>
      </c>
      <c r="X148">
        <v>10226765.529999999</v>
      </c>
      <c r="Y148">
        <v>9935873.7650000006</v>
      </c>
      <c r="Z148">
        <v>9691763.9859999996</v>
      </c>
      <c r="AA148">
        <v>9475759.90499999</v>
      </c>
      <c r="AB148">
        <v>9284266.2719999999</v>
      </c>
      <c r="AC148">
        <v>9153405.2349999994</v>
      </c>
      <c r="AD148">
        <v>8743125.1280000005</v>
      </c>
      <c r="AE148">
        <v>8344797.4709999999</v>
      </c>
      <c r="AF148">
        <v>7942246.1679999996</v>
      </c>
      <c r="AG148">
        <v>7640214.7460000003</v>
      </c>
      <c r="AH148">
        <v>7322402.449</v>
      </c>
      <c r="AI148">
        <v>6958391.8190000001</v>
      </c>
      <c r="AJ148">
        <v>6565872.1399999997</v>
      </c>
      <c r="AK148">
        <v>6129832.2810000004</v>
      </c>
      <c r="AL148">
        <v>6005953.5300000003</v>
      </c>
      <c r="AM148">
        <v>5820388.2810000004</v>
      </c>
      <c r="AN148">
        <v>5391189.6200000001</v>
      </c>
      <c r="AO148">
        <v>4932012.8930000002</v>
      </c>
      <c r="AP148">
        <v>4431899.102</v>
      </c>
      <c r="AQ148">
        <v>3886505.406</v>
      </c>
      <c r="AR148">
        <v>3285343.9750000001</v>
      </c>
      <c r="AS148">
        <v>3320563.6359999999</v>
      </c>
      <c r="AT148">
        <v>3349325.7519999999</v>
      </c>
      <c r="AU148">
        <v>3371591.3450000002</v>
      </c>
      <c r="AV148">
        <v>3386018.8130000001</v>
      </c>
      <c r="AW148">
        <v>3391525.7560000001</v>
      </c>
    </row>
    <row r="149" spans="2:49" x14ac:dyDescent="0.25">
      <c r="B149" t="s">
        <v>220</v>
      </c>
      <c r="C149">
        <v>584010.86634464201</v>
      </c>
      <c r="D149">
        <v>593387.34970747295</v>
      </c>
      <c r="E149">
        <v>603045.05370000005</v>
      </c>
      <c r="F149">
        <v>619077.05290000001</v>
      </c>
      <c r="G149">
        <v>586763.06909999996</v>
      </c>
      <c r="H149">
        <v>507270.77659999998</v>
      </c>
      <c r="I149">
        <v>525691.96730000002</v>
      </c>
      <c r="J149">
        <v>527035.53630000004</v>
      </c>
      <c r="K149">
        <v>485311.33740000002</v>
      </c>
      <c r="L149">
        <v>453855.97039999999</v>
      </c>
      <c r="M149">
        <v>444778.09509999998</v>
      </c>
      <c r="N149">
        <v>467977.42200000002</v>
      </c>
      <c r="O149">
        <v>446439.15500000003</v>
      </c>
      <c r="P149">
        <v>428441.07260000001</v>
      </c>
      <c r="Q149">
        <v>397788.98349999997</v>
      </c>
      <c r="R149">
        <v>368457.7169</v>
      </c>
      <c r="S149">
        <v>350291.53820000001</v>
      </c>
      <c r="T149">
        <v>344316.4167</v>
      </c>
      <c r="U149">
        <v>336842.97590000002</v>
      </c>
      <c r="V149">
        <v>334062.46299999999</v>
      </c>
      <c r="W149">
        <v>285336.96029999998</v>
      </c>
      <c r="X149">
        <v>242662.11180000001</v>
      </c>
      <c r="Y149">
        <v>212499.32670000001</v>
      </c>
      <c r="Z149">
        <v>191980.69870000001</v>
      </c>
      <c r="AA149">
        <v>176813.85879999999</v>
      </c>
      <c r="AB149">
        <v>164896.34409999999</v>
      </c>
      <c r="AC149">
        <v>155420.80989999999</v>
      </c>
      <c r="AD149">
        <v>147369.6102</v>
      </c>
      <c r="AE149">
        <v>140824.24419999999</v>
      </c>
      <c r="AF149">
        <v>134333.96179999999</v>
      </c>
      <c r="AG149">
        <v>129107.0969</v>
      </c>
      <c r="AH149">
        <v>123631.4751</v>
      </c>
      <c r="AI149">
        <v>117522.845</v>
      </c>
      <c r="AJ149">
        <v>110751.5261</v>
      </c>
      <c r="AK149">
        <v>103143.9953</v>
      </c>
      <c r="AL149">
        <v>99919.386530000003</v>
      </c>
      <c r="AM149">
        <v>95574.291639999996</v>
      </c>
      <c r="AN149">
        <v>88472.468989999994</v>
      </c>
      <c r="AO149">
        <v>80895.460879999999</v>
      </c>
      <c r="AP149">
        <v>72566.685389999999</v>
      </c>
      <c r="AQ149">
        <v>63521.487370000003</v>
      </c>
      <c r="AR149">
        <v>53546.676959999997</v>
      </c>
      <c r="AS149">
        <v>53634.254939999999</v>
      </c>
      <c r="AT149">
        <v>53635.854489999998</v>
      </c>
      <c r="AU149">
        <v>53536.478210000001</v>
      </c>
      <c r="AV149">
        <v>53310.117509999996</v>
      </c>
      <c r="AW149">
        <v>52950.309930000003</v>
      </c>
    </row>
    <row r="150" spans="2:49" x14ac:dyDescent="0.25">
      <c r="B150" t="s">
        <v>221</v>
      </c>
      <c r="C150">
        <v>22712835.5539211</v>
      </c>
      <c r="D150">
        <v>23077497.475414101</v>
      </c>
      <c r="E150">
        <v>23460129.32</v>
      </c>
      <c r="F150">
        <v>23553120.559999999</v>
      </c>
      <c r="G150">
        <v>19996944.5</v>
      </c>
      <c r="H150">
        <v>16642031.880000001</v>
      </c>
      <c r="I150">
        <v>17090478.780000001</v>
      </c>
      <c r="J150">
        <v>16685431.07</v>
      </c>
      <c r="K150">
        <v>15809156.640000001</v>
      </c>
      <c r="L150">
        <v>16460340.189999999</v>
      </c>
      <c r="M150">
        <v>16823382.960000001</v>
      </c>
      <c r="N150">
        <v>17158725.670000002</v>
      </c>
      <c r="O150">
        <v>14367794.300000001</v>
      </c>
      <c r="P150">
        <v>13049026.380000001</v>
      </c>
      <c r="Q150">
        <v>11931560.109999999</v>
      </c>
      <c r="R150">
        <v>10992394.029999999</v>
      </c>
      <c r="S150">
        <v>10308992.800000001</v>
      </c>
      <c r="T150">
        <v>10268525.27</v>
      </c>
      <c r="U150">
        <v>10134030.279999999</v>
      </c>
      <c r="V150">
        <v>10142959.5</v>
      </c>
      <c r="W150">
        <v>9359580.5140000004</v>
      </c>
      <c r="X150">
        <v>8476560.7019999996</v>
      </c>
      <c r="Y150">
        <v>7871719.8399999999</v>
      </c>
      <c r="Z150">
        <v>7465038.0939999996</v>
      </c>
      <c r="AA150">
        <v>7152519.693</v>
      </c>
      <c r="AB150">
        <v>6891778.5</v>
      </c>
      <c r="AC150">
        <v>6681096.5719999997</v>
      </c>
      <c r="AD150">
        <v>6639136.6660000002</v>
      </c>
      <c r="AE150">
        <v>6643239.4919999996</v>
      </c>
      <c r="AF150">
        <v>6657669.79</v>
      </c>
      <c r="AG150">
        <v>6689337.5489999996</v>
      </c>
      <c r="AH150">
        <v>6724282.176</v>
      </c>
      <c r="AI150">
        <v>6770080.6950000003</v>
      </c>
      <c r="AJ150">
        <v>6817010.9069999997</v>
      </c>
      <c r="AK150">
        <v>6864386.9220000003</v>
      </c>
      <c r="AL150">
        <v>6953402.6840000004</v>
      </c>
      <c r="AM150">
        <v>7039459.7180000003</v>
      </c>
      <c r="AN150">
        <v>7054742.7470000004</v>
      </c>
      <c r="AO150">
        <v>7065957.2520000003</v>
      </c>
      <c r="AP150">
        <v>7065470.432</v>
      </c>
      <c r="AQ150">
        <v>7061706.2390000001</v>
      </c>
      <c r="AR150">
        <v>7047323.6660000002</v>
      </c>
      <c r="AS150">
        <v>7081559.199</v>
      </c>
      <c r="AT150">
        <v>7118408.1009999998</v>
      </c>
      <c r="AU150">
        <v>7153494.4749999996</v>
      </c>
      <c r="AV150">
        <v>7185433.8940000003</v>
      </c>
      <c r="AW150">
        <v>7215707.6880000001</v>
      </c>
    </row>
    <row r="151" spans="2:49" x14ac:dyDescent="0.25">
      <c r="B151" t="s">
        <v>222</v>
      </c>
      <c r="C151">
        <v>611949.61832884501</v>
      </c>
      <c r="D151">
        <v>621774.66739182698</v>
      </c>
      <c r="E151">
        <v>631757.4608</v>
      </c>
      <c r="F151">
        <v>620214.48329999996</v>
      </c>
      <c r="G151">
        <v>558611.66760000004</v>
      </c>
      <c r="H151">
        <v>469573.71919999999</v>
      </c>
      <c r="I151">
        <v>504172.85749999998</v>
      </c>
      <c r="J151">
        <v>488322.46830000001</v>
      </c>
      <c r="K151">
        <v>440987.8161</v>
      </c>
      <c r="L151">
        <v>419144.03080000001</v>
      </c>
      <c r="M151">
        <v>418180.50099999999</v>
      </c>
      <c r="N151">
        <v>419172.27789999999</v>
      </c>
      <c r="O151">
        <v>388014.70400000003</v>
      </c>
      <c r="P151">
        <v>374818.78460000001</v>
      </c>
      <c r="Q151">
        <v>333382.76140000002</v>
      </c>
      <c r="R151">
        <v>307001.61930000002</v>
      </c>
      <c r="S151">
        <v>295055.23879999999</v>
      </c>
      <c r="T151">
        <v>292945.22450000001</v>
      </c>
      <c r="U151">
        <v>282727.42440000002</v>
      </c>
      <c r="V151">
        <v>279181.82419999997</v>
      </c>
      <c r="W151">
        <v>216260.9308</v>
      </c>
      <c r="X151">
        <v>164774.1171</v>
      </c>
      <c r="Y151">
        <v>127354.5855</v>
      </c>
      <c r="Z151">
        <v>103947.60890000001</v>
      </c>
      <c r="AA151">
        <v>87735.956850000002</v>
      </c>
      <c r="AB151">
        <v>75982.92611</v>
      </c>
      <c r="AC151">
        <v>67178.106549999997</v>
      </c>
      <c r="AD151">
        <v>59700.837919999998</v>
      </c>
      <c r="AE151">
        <v>53847.622609999999</v>
      </c>
      <c r="AF151">
        <v>48253.667549999998</v>
      </c>
      <c r="AG151">
        <v>45553.491150000002</v>
      </c>
      <c r="AH151">
        <v>42837.354209999998</v>
      </c>
      <c r="AI151">
        <v>39961.407330000002</v>
      </c>
      <c r="AJ151">
        <v>37037.228309999999</v>
      </c>
      <c r="AK151">
        <v>34039.367460000001</v>
      </c>
      <c r="AL151">
        <v>40737.419029999997</v>
      </c>
      <c r="AM151">
        <v>47464.061710000002</v>
      </c>
      <c r="AN151">
        <v>41758.109649999999</v>
      </c>
      <c r="AO151">
        <v>35930.321960000001</v>
      </c>
      <c r="AP151">
        <v>29881.24872</v>
      </c>
      <c r="AQ151">
        <v>23671.818480000002</v>
      </c>
      <c r="AR151">
        <v>17266.702990000002</v>
      </c>
      <c r="AS151">
        <v>20590.34302</v>
      </c>
      <c r="AT151">
        <v>23961.631450000001</v>
      </c>
      <c r="AU151">
        <v>27379.533650000001</v>
      </c>
      <c r="AV151">
        <v>30841.347900000001</v>
      </c>
      <c r="AW151">
        <v>34356.604780000001</v>
      </c>
    </row>
    <row r="152" spans="2:49" x14ac:dyDescent="0.25">
      <c r="B152" t="s">
        <v>223</v>
      </c>
      <c r="C152">
        <v>18604230.451297902</v>
      </c>
      <c r="D152">
        <v>18902927.3889024</v>
      </c>
      <c r="E152">
        <v>19209702.579999998</v>
      </c>
      <c r="F152">
        <v>19524499.02</v>
      </c>
      <c r="G152">
        <v>18336645.210000001</v>
      </c>
      <c r="H152">
        <v>16867324.469999999</v>
      </c>
      <c r="I152">
        <v>16997921.07</v>
      </c>
      <c r="J152">
        <v>16557289.4</v>
      </c>
      <c r="K152">
        <v>15666926.140000001</v>
      </c>
      <c r="L152">
        <v>15339544.439999999</v>
      </c>
      <c r="M152">
        <v>15385356.09</v>
      </c>
      <c r="N152">
        <v>15756153.59</v>
      </c>
      <c r="O152">
        <v>14959699.060000001</v>
      </c>
      <c r="P152">
        <v>14167808.52</v>
      </c>
      <c r="Q152">
        <v>13148394.720000001</v>
      </c>
      <c r="R152">
        <v>12845940.140000001</v>
      </c>
      <c r="S152">
        <v>12477504.09</v>
      </c>
      <c r="T152">
        <v>12510327.689999999</v>
      </c>
      <c r="U152">
        <v>12304032.74</v>
      </c>
      <c r="V152">
        <v>12256109.73</v>
      </c>
      <c r="W152">
        <v>10454024.640000001</v>
      </c>
      <c r="X152">
        <v>8769489.7740000002</v>
      </c>
      <c r="Y152">
        <v>7430373.9450000003</v>
      </c>
      <c r="Z152">
        <v>6464585.8090000004</v>
      </c>
      <c r="AA152">
        <v>5707891.8130000001</v>
      </c>
      <c r="AB152">
        <v>5088681.6289999997</v>
      </c>
      <c r="AC152">
        <v>4575295.2879999997</v>
      </c>
      <c r="AD152">
        <v>4322844.3320000004</v>
      </c>
      <c r="AE152">
        <v>4133354.227</v>
      </c>
      <c r="AF152">
        <v>3949092.4440000001</v>
      </c>
      <c r="AG152">
        <v>3835819.5389999999</v>
      </c>
      <c r="AH152">
        <v>3711665.1260000002</v>
      </c>
      <c r="AI152">
        <v>3572498.0430000001</v>
      </c>
      <c r="AJ152">
        <v>3418660.4849999999</v>
      </c>
      <c r="AK152">
        <v>3244709.5839999998</v>
      </c>
      <c r="AL152">
        <v>3315328.179</v>
      </c>
      <c r="AM152">
        <v>3360766.0460000001</v>
      </c>
      <c r="AN152">
        <v>3152399.8229999999</v>
      </c>
      <c r="AO152">
        <v>2927981.1529999999</v>
      </c>
      <c r="AP152">
        <v>2678630.0350000001</v>
      </c>
      <c r="AQ152">
        <v>2406731.5690000001</v>
      </c>
      <c r="AR152">
        <v>2104163.2409999999</v>
      </c>
      <c r="AS152">
        <v>2181302.804</v>
      </c>
      <c r="AT152">
        <v>2258478.7110000001</v>
      </c>
      <c r="AU152">
        <v>2334581.2560000001</v>
      </c>
      <c r="AV152">
        <v>2408422.7990000001</v>
      </c>
      <c r="AW152">
        <v>2479965.182</v>
      </c>
    </row>
    <row r="153" spans="2:49" x14ac:dyDescent="0.25">
      <c r="B153" t="s">
        <v>224</v>
      </c>
      <c r="C153">
        <v>583438.22926562198</v>
      </c>
      <c r="D153">
        <v>592805.51875492395</v>
      </c>
      <c r="E153">
        <v>602323.20449999999</v>
      </c>
      <c r="F153">
        <v>629500.17249999999</v>
      </c>
      <c r="G153">
        <v>616290.02949999995</v>
      </c>
      <c r="H153">
        <v>535648.49140000006</v>
      </c>
      <c r="I153">
        <v>534426.39509999997</v>
      </c>
      <c r="J153">
        <v>544915.46880000003</v>
      </c>
      <c r="K153">
        <v>521064.34289999999</v>
      </c>
      <c r="L153">
        <v>505600.80670000002</v>
      </c>
      <c r="M153">
        <v>470279.72720000002</v>
      </c>
      <c r="N153">
        <v>429844.28320000001</v>
      </c>
      <c r="O153">
        <v>414856.17019999999</v>
      </c>
      <c r="P153">
        <v>414358.5</v>
      </c>
      <c r="Q153">
        <v>398931.59779999999</v>
      </c>
      <c r="R153">
        <v>399324.54749999999</v>
      </c>
      <c r="S153">
        <v>398517.22499999998</v>
      </c>
      <c r="T153">
        <v>401206.4265</v>
      </c>
      <c r="U153">
        <v>389910.62209999998</v>
      </c>
      <c r="V153">
        <v>389703.5796</v>
      </c>
      <c r="W153">
        <v>394805.49550000002</v>
      </c>
      <c r="X153">
        <v>394058.587</v>
      </c>
      <c r="Y153">
        <v>379782.21950000001</v>
      </c>
      <c r="Z153">
        <v>367007.64030000003</v>
      </c>
      <c r="AA153">
        <v>352761.75400000002</v>
      </c>
      <c r="AB153">
        <v>336965.40259999997</v>
      </c>
      <c r="AC153">
        <v>322079.24320000003</v>
      </c>
      <c r="AD153">
        <v>297753.21340000001</v>
      </c>
      <c r="AE153">
        <v>269824.24280000001</v>
      </c>
      <c r="AF153">
        <v>240937.7696</v>
      </c>
      <c r="AG153">
        <v>224571.93229999999</v>
      </c>
      <c r="AH153">
        <v>208731.6923</v>
      </c>
      <c r="AI153">
        <v>192578.8731</v>
      </c>
      <c r="AJ153">
        <v>175836.51949999999</v>
      </c>
      <c r="AK153">
        <v>159376.08170000001</v>
      </c>
      <c r="AL153">
        <v>184487.44820000001</v>
      </c>
      <c r="AM153">
        <v>207940.1972</v>
      </c>
      <c r="AN153">
        <v>183247.53159999999</v>
      </c>
      <c r="AO153">
        <v>157628.83189999999</v>
      </c>
      <c r="AP153">
        <v>130751.2398</v>
      </c>
      <c r="AQ153">
        <v>103427.1076</v>
      </c>
      <c r="AR153">
        <v>75112.424270000003</v>
      </c>
      <c r="AS153">
        <v>87463.374960000001</v>
      </c>
      <c r="AT153">
        <v>100002.114</v>
      </c>
      <c r="AU153">
        <v>112411.66039999999</v>
      </c>
      <c r="AV153">
        <v>124626.1903</v>
      </c>
      <c r="AW153">
        <v>137175.82339999999</v>
      </c>
    </row>
    <row r="154" spans="2:49" x14ac:dyDescent="0.25">
      <c r="B154" t="s">
        <v>225</v>
      </c>
      <c r="C154">
        <v>640997.091904014</v>
      </c>
      <c r="D154">
        <v>651288.50755091803</v>
      </c>
      <c r="E154">
        <v>661996.35600000003</v>
      </c>
      <c r="F154">
        <v>674036.38309999998</v>
      </c>
      <c r="G154">
        <v>633645.18039999995</v>
      </c>
      <c r="H154">
        <v>621429.54310000001</v>
      </c>
      <c r="I154">
        <v>629270.01359999995</v>
      </c>
      <c r="J154">
        <v>603402.46580000001</v>
      </c>
      <c r="K154">
        <v>567738.13760000002</v>
      </c>
      <c r="L154">
        <v>571794.61979999999</v>
      </c>
      <c r="M154">
        <v>581211.11089999997</v>
      </c>
      <c r="N154">
        <v>610780.75470000005</v>
      </c>
      <c r="O154">
        <v>646054.55299999996</v>
      </c>
      <c r="P154">
        <v>659763.04059999995</v>
      </c>
      <c r="Q154">
        <v>614603.76190000004</v>
      </c>
      <c r="R154">
        <v>631874.67850000004</v>
      </c>
      <c r="S154">
        <v>632416.63580000005</v>
      </c>
      <c r="T154">
        <v>631324.64729999995</v>
      </c>
      <c r="U154">
        <v>630377.15150000004</v>
      </c>
      <c r="V154">
        <v>629492.51320000004</v>
      </c>
      <c r="W154">
        <v>638519.39119999995</v>
      </c>
      <c r="X154">
        <v>644413.34990000003</v>
      </c>
      <c r="Y154">
        <v>649714.01769999997</v>
      </c>
      <c r="Z154">
        <v>653085.96470000001</v>
      </c>
      <c r="AA154">
        <v>655969.37320000003</v>
      </c>
      <c r="AB154">
        <v>630863.87540000002</v>
      </c>
      <c r="AC154">
        <v>604413.5379</v>
      </c>
      <c r="AD154">
        <v>582834.43790000002</v>
      </c>
      <c r="AE154">
        <v>563255.1067</v>
      </c>
      <c r="AF154">
        <v>543438.38679999998</v>
      </c>
      <c r="AG154">
        <v>524664.45079999999</v>
      </c>
      <c r="AH154">
        <v>503868.61629999999</v>
      </c>
      <c r="AI154">
        <v>484764.11790000001</v>
      </c>
      <c r="AJ154">
        <v>464177.8505</v>
      </c>
      <c r="AK154">
        <v>439517.7929</v>
      </c>
      <c r="AL154">
        <v>415950.39140000002</v>
      </c>
      <c r="AM154">
        <v>386648.21139999997</v>
      </c>
      <c r="AN154">
        <v>364201.67560000002</v>
      </c>
      <c r="AO154">
        <v>338809.81890000001</v>
      </c>
      <c r="AP154">
        <v>310553.02049999998</v>
      </c>
      <c r="AQ154">
        <v>279320.3835</v>
      </c>
      <c r="AR154">
        <v>243940.86989999999</v>
      </c>
      <c r="AS154">
        <v>238229.946</v>
      </c>
      <c r="AT154">
        <v>231655.7568</v>
      </c>
      <c r="AU154">
        <v>224523.76459999999</v>
      </c>
      <c r="AV154">
        <v>216765.8628</v>
      </c>
      <c r="AW154">
        <v>208275.29629999999</v>
      </c>
    </row>
    <row r="155" spans="2:49" x14ac:dyDescent="0.25">
      <c r="B155" t="s">
        <v>226</v>
      </c>
      <c r="C155">
        <v>2194958.1052306499</v>
      </c>
      <c r="D155">
        <v>2230198.86758945</v>
      </c>
      <c r="E155">
        <v>2254498.4339999999</v>
      </c>
      <c r="F155">
        <v>2243121.716</v>
      </c>
      <c r="G155">
        <v>2234428.9939999999</v>
      </c>
      <c r="H155">
        <v>2230671.6710000001</v>
      </c>
      <c r="I155">
        <v>2237592.2050000001</v>
      </c>
      <c r="J155">
        <v>2251866.8089999999</v>
      </c>
      <c r="K155">
        <v>2253915.4750000001</v>
      </c>
      <c r="L155">
        <v>2252314.6850000001</v>
      </c>
      <c r="M155">
        <v>2267086.1549999998</v>
      </c>
      <c r="N155">
        <v>2246024.2579999999</v>
      </c>
      <c r="O155">
        <v>2273881.9929999998</v>
      </c>
      <c r="P155">
        <v>2296367.3480000002</v>
      </c>
      <c r="Q155">
        <v>2325274.5499999998</v>
      </c>
      <c r="R155">
        <v>2354811.409</v>
      </c>
      <c r="S155">
        <v>2350733.7200000002</v>
      </c>
      <c r="T155">
        <v>2326459.2880000002</v>
      </c>
      <c r="U155">
        <v>2318699.4959999998</v>
      </c>
      <c r="V155">
        <v>2301746.429</v>
      </c>
      <c r="W155">
        <v>2264791.7579999999</v>
      </c>
      <c r="X155">
        <v>2220201.1</v>
      </c>
      <c r="Y155">
        <v>2156672.7609999999</v>
      </c>
      <c r="Z155">
        <v>2093726.6780000001</v>
      </c>
      <c r="AA155">
        <v>2031730.084</v>
      </c>
      <c r="AB155">
        <v>1969404.277</v>
      </c>
      <c r="AC155">
        <v>1905333.763</v>
      </c>
      <c r="AD155">
        <v>1760112.301</v>
      </c>
      <c r="AE155">
        <v>1616483.0160000001</v>
      </c>
      <c r="AF155">
        <v>1473158.7439999999</v>
      </c>
      <c r="AG155">
        <v>1339290.537</v>
      </c>
      <c r="AH155">
        <v>1207074.4609999999</v>
      </c>
      <c r="AI155">
        <v>1068227.997</v>
      </c>
      <c r="AJ155">
        <v>932427.38</v>
      </c>
      <c r="AK155">
        <v>799392.46970000002</v>
      </c>
      <c r="AL155">
        <v>698514.20909999998</v>
      </c>
      <c r="AM155">
        <v>601983.25029999996</v>
      </c>
      <c r="AN155">
        <v>515360.4117</v>
      </c>
      <c r="AO155">
        <v>431807.1422</v>
      </c>
      <c r="AP155">
        <v>350992.53049999999</v>
      </c>
      <c r="AQ155" s="39">
        <v>273865.12160000001</v>
      </c>
      <c r="AR155" s="39">
        <v>201274.2064</v>
      </c>
      <c r="AS155" s="39">
        <v>187114.5319</v>
      </c>
      <c r="AT155" s="39">
        <v>174695.61379999999</v>
      </c>
      <c r="AU155" s="39">
        <v>164147.2696</v>
      </c>
      <c r="AV155">
        <v>155493.73250000001</v>
      </c>
      <c r="AW155">
        <v>148604.5092</v>
      </c>
    </row>
    <row r="156" spans="2:49" x14ac:dyDescent="0.25">
      <c r="B156" t="s">
        <v>227</v>
      </c>
      <c r="C156">
        <v>48301536.741083004</v>
      </c>
      <c r="D156">
        <v>49077033.537035801</v>
      </c>
      <c r="E156">
        <v>49926423.159999996</v>
      </c>
      <c r="F156">
        <v>49622421.25</v>
      </c>
      <c r="G156">
        <v>48649037.68</v>
      </c>
      <c r="H156">
        <v>46899583.460000001</v>
      </c>
      <c r="I156">
        <v>46512774.619999997</v>
      </c>
      <c r="J156">
        <v>46216816.039999999</v>
      </c>
      <c r="K156">
        <v>45634467.509999998</v>
      </c>
      <c r="L156">
        <v>44782930.509999998</v>
      </c>
      <c r="M156">
        <v>44313534.899999999</v>
      </c>
      <c r="N156">
        <v>43780218.82</v>
      </c>
      <c r="O156">
        <v>43730870.329999998</v>
      </c>
      <c r="P156">
        <v>43894913.130000003</v>
      </c>
      <c r="Q156">
        <v>43295440.649999999</v>
      </c>
      <c r="R156">
        <v>42713443.640000001</v>
      </c>
      <c r="S156">
        <v>42128427.009999998</v>
      </c>
      <c r="T156">
        <v>42749256.149999999</v>
      </c>
      <c r="U156">
        <v>42834241.600000001</v>
      </c>
      <c r="V156">
        <v>43121921.670000002</v>
      </c>
      <c r="W156">
        <v>42728213.82</v>
      </c>
      <c r="X156">
        <v>42107289.670000002</v>
      </c>
      <c r="Y156">
        <v>41057805.75</v>
      </c>
      <c r="Z156">
        <v>40128093.409999996</v>
      </c>
      <c r="AA156">
        <v>39195347.25</v>
      </c>
      <c r="AB156">
        <v>38127282.450000003</v>
      </c>
      <c r="AC156">
        <v>37040169.100000001</v>
      </c>
      <c r="AD156">
        <v>34672578.170000002</v>
      </c>
      <c r="AE156">
        <v>32273797.309999999</v>
      </c>
      <c r="AF156">
        <v>29862987.859999999</v>
      </c>
      <c r="AG156">
        <v>27484191.190000001</v>
      </c>
      <c r="AH156">
        <v>25129019.329999998</v>
      </c>
      <c r="AI156">
        <v>22501996.34</v>
      </c>
      <c r="AJ156">
        <v>19886831.41</v>
      </c>
      <c r="AK156">
        <v>17247260.27</v>
      </c>
      <c r="AL156">
        <v>14880673.23</v>
      </c>
      <c r="AM156">
        <v>12523999.640000001</v>
      </c>
      <c r="AN156">
        <v>11104851.58</v>
      </c>
      <c r="AO156">
        <v>9721721.8269999996</v>
      </c>
      <c r="AP156">
        <v>8299338.4000000004</v>
      </c>
      <c r="AQ156">
        <v>6887674.8310000002</v>
      </c>
      <c r="AR156">
        <v>5486798.7280000001</v>
      </c>
      <c r="AS156">
        <v>5183363.5</v>
      </c>
      <c r="AT156">
        <v>4890373.4970000004</v>
      </c>
      <c r="AU156">
        <v>4603972.6449999996</v>
      </c>
      <c r="AV156">
        <v>4321741.8109999998</v>
      </c>
      <c r="AW156">
        <v>4043867.719</v>
      </c>
    </row>
    <row r="157" spans="2:49" x14ac:dyDescent="0.25">
      <c r="B157" t="s">
        <v>228</v>
      </c>
      <c r="C157">
        <v>9397840.0105028208</v>
      </c>
      <c r="D157">
        <v>9548725.3716889191</v>
      </c>
      <c r="E157">
        <v>9705874.77999999</v>
      </c>
      <c r="F157">
        <v>11052903.15</v>
      </c>
      <c r="G157">
        <v>9322216.3550000004</v>
      </c>
      <c r="H157">
        <v>6719924.5870000003</v>
      </c>
      <c r="I157">
        <v>7971406.4689999996</v>
      </c>
      <c r="J157">
        <v>6279263.2869999995</v>
      </c>
      <c r="K157">
        <v>7275326.2989999996</v>
      </c>
      <c r="L157">
        <v>6528725.0300000003</v>
      </c>
      <c r="M157">
        <v>6541239.9840000002</v>
      </c>
      <c r="N157">
        <v>6700860.7180000003</v>
      </c>
      <c r="O157">
        <v>6106014.9170000004</v>
      </c>
      <c r="P157">
        <v>6464955.7929999996</v>
      </c>
      <c r="Q157">
        <v>6351443.5710000005</v>
      </c>
      <c r="R157">
        <v>6465066.71</v>
      </c>
      <c r="S157">
        <v>6457426.8600000003</v>
      </c>
      <c r="T157">
        <v>6357703.5039999997</v>
      </c>
      <c r="U157">
        <v>6390545.5549999997</v>
      </c>
      <c r="V157">
        <v>6430919.7719999999</v>
      </c>
      <c r="W157">
        <v>6396567.1500000004</v>
      </c>
      <c r="X157">
        <v>6329442.5820000004</v>
      </c>
      <c r="Y157">
        <v>6301567.7220000001</v>
      </c>
      <c r="Z157">
        <v>6277025.8629999999</v>
      </c>
      <c r="AA157">
        <v>6250711.1880000001</v>
      </c>
      <c r="AB157">
        <v>6051101.2800000003</v>
      </c>
      <c r="AC157">
        <v>5831508.3760000002</v>
      </c>
      <c r="AD157">
        <v>5620114.7419999996</v>
      </c>
      <c r="AE157">
        <v>5410376.9019999998</v>
      </c>
      <c r="AF157">
        <v>5198078.2709999997</v>
      </c>
      <c r="AG157">
        <v>4982733.6129999999</v>
      </c>
      <c r="AH157">
        <v>4761888.2110000001</v>
      </c>
      <c r="AI157">
        <v>4543859.0820000004</v>
      </c>
      <c r="AJ157">
        <v>4308964.523</v>
      </c>
      <c r="AK157">
        <v>4044470.111</v>
      </c>
      <c r="AL157">
        <v>3760458.12</v>
      </c>
      <c r="AM157">
        <v>3429574.5359999998</v>
      </c>
      <c r="AN157">
        <v>3244558.1880000001</v>
      </c>
      <c r="AO157">
        <v>3030210.909</v>
      </c>
      <c r="AP157">
        <v>2785936.2250000001</v>
      </c>
      <c r="AQ157">
        <v>2510669.9440000001</v>
      </c>
      <c r="AR157">
        <v>2193918.477</v>
      </c>
      <c r="AS157">
        <v>2128787.4920000001</v>
      </c>
      <c r="AT157">
        <v>2059444.175</v>
      </c>
      <c r="AU157">
        <v>1984498.8060000001</v>
      </c>
      <c r="AV157">
        <v>1902723.746</v>
      </c>
      <c r="AW157">
        <v>1813530.977</v>
      </c>
    </row>
    <row r="158" spans="2:49" x14ac:dyDescent="0.25">
      <c r="B158" t="s">
        <v>229</v>
      </c>
      <c r="C158">
        <v>2784044.1169573502</v>
      </c>
      <c r="D158">
        <v>2828742.8457796802</v>
      </c>
      <c r="E158">
        <v>2875233.8760000002</v>
      </c>
      <c r="F158">
        <v>2980674.3560000001</v>
      </c>
      <c r="G158">
        <v>2961400.318</v>
      </c>
      <c r="H158">
        <v>2431283.392</v>
      </c>
      <c r="I158">
        <v>2457471.8560000001</v>
      </c>
      <c r="J158">
        <v>2567652.9300000002</v>
      </c>
      <c r="K158">
        <v>2506054.585</v>
      </c>
      <c r="L158">
        <v>2434926.3539999998</v>
      </c>
      <c r="M158">
        <v>2430133.537</v>
      </c>
      <c r="N158">
        <v>2558386.818</v>
      </c>
      <c r="O158">
        <v>2551940.591</v>
      </c>
      <c r="P158">
        <v>2545722.9589999998</v>
      </c>
      <c r="Q158">
        <v>2623350.64</v>
      </c>
      <c r="R158">
        <v>2656434.6320000002</v>
      </c>
      <c r="S158">
        <v>2619107.605</v>
      </c>
      <c r="T158">
        <v>2565661.3029999998</v>
      </c>
      <c r="U158">
        <v>2529557.3679999998</v>
      </c>
      <c r="V158">
        <v>2487092.21</v>
      </c>
      <c r="W158">
        <v>2439055.932</v>
      </c>
      <c r="X158">
        <v>2377009.1570000001</v>
      </c>
      <c r="Y158">
        <v>2342528.7760000001</v>
      </c>
      <c r="Z158">
        <v>2310291.5120000001</v>
      </c>
      <c r="AA158">
        <v>2282485.33</v>
      </c>
      <c r="AB158">
        <v>2257697.3569999998</v>
      </c>
      <c r="AC158">
        <v>2232143.0819999999</v>
      </c>
      <c r="AD158">
        <v>2160577.0359999998</v>
      </c>
      <c r="AE158">
        <v>2085170.3060000001</v>
      </c>
      <c r="AF158">
        <v>2004808.156</v>
      </c>
      <c r="AG158">
        <v>1920450.5719999999</v>
      </c>
      <c r="AH158">
        <v>1831025.1070000001</v>
      </c>
      <c r="AI158">
        <v>1731860.8089999999</v>
      </c>
      <c r="AJ158">
        <v>1624526.007</v>
      </c>
      <c r="AK158">
        <v>1504718.6040000001</v>
      </c>
      <c r="AL158">
        <v>1380481.696</v>
      </c>
      <c r="AM158">
        <v>1238792.5930000001</v>
      </c>
      <c r="AN158">
        <v>1156974.4480000001</v>
      </c>
      <c r="AO158">
        <v>1069176.953</v>
      </c>
      <c r="AP158">
        <v>971756.0368</v>
      </c>
      <c r="AQ158">
        <v>864725.19180000003</v>
      </c>
      <c r="AR158">
        <v>744785.87450000003</v>
      </c>
      <c r="AS158">
        <v>715632.39179999998</v>
      </c>
      <c r="AT158">
        <v>685347.65709999995</v>
      </c>
      <c r="AU158">
        <v>653886.56400000001</v>
      </c>
      <c r="AV158">
        <v>620786.53570000001</v>
      </c>
      <c r="AW158">
        <v>585895.98869999999</v>
      </c>
    </row>
    <row r="159" spans="2:49" x14ac:dyDescent="0.25">
      <c r="B159" t="s">
        <v>230</v>
      </c>
      <c r="C159">
        <v>20640520.667746101</v>
      </c>
      <c r="D159">
        <v>20971910.903432399</v>
      </c>
      <c r="E159">
        <v>21313932.760000002</v>
      </c>
      <c r="F159">
        <v>22212655.859999999</v>
      </c>
      <c r="G159">
        <v>21960608.16</v>
      </c>
      <c r="H159">
        <v>21697347.510000002</v>
      </c>
      <c r="I159">
        <v>22262887.23</v>
      </c>
      <c r="J159">
        <v>22110815.120000001</v>
      </c>
      <c r="K159">
        <v>21475878.989999998</v>
      </c>
      <c r="L159">
        <v>21504542.640000001</v>
      </c>
      <c r="M159">
        <v>22260110.690000001</v>
      </c>
      <c r="N159">
        <v>23852222.510000002</v>
      </c>
      <c r="O159">
        <v>23787949.34</v>
      </c>
      <c r="P159">
        <v>22882918.640000001</v>
      </c>
      <c r="Q159">
        <v>21141933.789999999</v>
      </c>
      <c r="R159">
        <v>19870667.649999999</v>
      </c>
      <c r="S159">
        <v>18824467.960000001</v>
      </c>
      <c r="T159">
        <v>18259274.920000002</v>
      </c>
      <c r="U159">
        <v>17740244.210000001</v>
      </c>
      <c r="V159">
        <v>17225645.059999999</v>
      </c>
      <c r="W159">
        <v>17934002.75</v>
      </c>
      <c r="X159">
        <v>18438576.149999999</v>
      </c>
      <c r="Y159">
        <v>18321060.59</v>
      </c>
      <c r="Z159">
        <v>17966645.43</v>
      </c>
      <c r="AA159">
        <v>17391985.289999999</v>
      </c>
      <c r="AB159">
        <v>16441061.970000001</v>
      </c>
      <c r="AC159">
        <v>15392525.49</v>
      </c>
      <c r="AD159">
        <v>13946668.59</v>
      </c>
      <c r="AE159">
        <v>12511640.390000001</v>
      </c>
      <c r="AF159">
        <v>11129331.16</v>
      </c>
      <c r="AG159">
        <v>10247974.470000001</v>
      </c>
      <c r="AH159">
        <v>9394259.1989999898</v>
      </c>
      <c r="AI159">
        <v>8547548.2829999998</v>
      </c>
      <c r="AJ159">
        <v>7725284.7390000001</v>
      </c>
      <c r="AK159">
        <v>6918844.1380000003</v>
      </c>
      <c r="AL159">
        <v>7356482.4720000001</v>
      </c>
      <c r="AM159">
        <v>7683002.8099999996</v>
      </c>
      <c r="AN159">
        <v>6650534.8140000002</v>
      </c>
      <c r="AO159">
        <v>5663344.8930000002</v>
      </c>
      <c r="AP159">
        <v>4702390.57</v>
      </c>
      <c r="AQ159">
        <v>3764978.6320000002</v>
      </c>
      <c r="AR159">
        <v>2843369.2629999998</v>
      </c>
      <c r="AS159">
        <v>3040777.7689999999</v>
      </c>
      <c r="AT159">
        <v>3209898.7310000001</v>
      </c>
      <c r="AU159">
        <v>3354412.09</v>
      </c>
      <c r="AV159">
        <v>3475816.264</v>
      </c>
      <c r="AW159">
        <v>3575547.389</v>
      </c>
    </row>
    <row r="160" spans="2:49" x14ac:dyDescent="0.25">
      <c r="B160" t="s">
        <v>231</v>
      </c>
      <c r="C160">
        <v>261855678.291933</v>
      </c>
      <c r="D160">
        <v>266059855.90652901</v>
      </c>
      <c r="E160">
        <v>270446401.5</v>
      </c>
      <c r="F160">
        <v>272198394.10000002</v>
      </c>
      <c r="G160">
        <v>256791552.5</v>
      </c>
      <c r="H160">
        <v>238346534.5</v>
      </c>
      <c r="I160">
        <v>235342636.30000001</v>
      </c>
      <c r="J160">
        <v>228774967.19999999</v>
      </c>
      <c r="K160">
        <v>218791613.80000001</v>
      </c>
      <c r="L160">
        <v>212970725.19999999</v>
      </c>
      <c r="M160">
        <v>212131239.30000001</v>
      </c>
      <c r="N160">
        <v>213961344</v>
      </c>
      <c r="O160">
        <v>205185918.19999999</v>
      </c>
      <c r="P160">
        <v>197608332.59999999</v>
      </c>
      <c r="Q160">
        <v>186488065.5</v>
      </c>
      <c r="R160">
        <v>178881967.09999999</v>
      </c>
      <c r="S160">
        <v>171754355.40000001</v>
      </c>
      <c r="T160">
        <v>170373319.19999999</v>
      </c>
      <c r="U160">
        <v>168201769.19999999</v>
      </c>
      <c r="V160">
        <v>166625041.80000001</v>
      </c>
      <c r="W160">
        <v>160455838.30000001</v>
      </c>
      <c r="X160">
        <v>152814856</v>
      </c>
      <c r="Y160">
        <v>145236895.59999999</v>
      </c>
      <c r="Z160">
        <v>138898013.30000001</v>
      </c>
      <c r="AA160">
        <v>133108657.40000001</v>
      </c>
      <c r="AB160">
        <v>127408048.3</v>
      </c>
      <c r="AC160">
        <v>122062390.8</v>
      </c>
      <c r="AD160">
        <v>114649599</v>
      </c>
      <c r="AE160">
        <v>107543256.3</v>
      </c>
      <c r="AF160">
        <v>100527263.8</v>
      </c>
      <c r="AG160">
        <v>94829498.430000007</v>
      </c>
      <c r="AH160">
        <v>89121782.909999996</v>
      </c>
      <c r="AI160">
        <v>82962039.670000002</v>
      </c>
      <c r="AJ160">
        <v>76713914.530000001</v>
      </c>
      <c r="AK160">
        <v>70243051.569999903</v>
      </c>
      <c r="AL160">
        <v>67401891.459999904</v>
      </c>
      <c r="AM160">
        <v>63845472.890000001</v>
      </c>
      <c r="AN160">
        <v>59033288.740000002</v>
      </c>
      <c r="AO160">
        <v>54086115.390000001</v>
      </c>
      <c r="AP160">
        <v>48797877.880000003</v>
      </c>
      <c r="AQ160">
        <v>43225087.700000003</v>
      </c>
      <c r="AR160">
        <v>37261023.969999999</v>
      </c>
      <c r="AS160">
        <v>36987661.789999999</v>
      </c>
      <c r="AT160">
        <v>36686341.579999998</v>
      </c>
      <c r="AU160">
        <v>36351119.530000001</v>
      </c>
      <c r="AV160">
        <v>35969724.090000004</v>
      </c>
      <c r="AW160">
        <v>35544842.960000001</v>
      </c>
    </row>
    <row r="161" spans="2:49" x14ac:dyDescent="0.25">
      <c r="B161" t="s">
        <v>232</v>
      </c>
      <c r="C161">
        <v>5733144.4507061103</v>
      </c>
      <c r="D161">
        <v>5825191.9393003099</v>
      </c>
      <c r="E161">
        <v>5919233.7230000002</v>
      </c>
      <c r="F161">
        <v>6055100.9369999999</v>
      </c>
      <c r="G161">
        <v>6007323.9879999999</v>
      </c>
      <c r="H161">
        <v>6296357.1239999998</v>
      </c>
      <c r="I161">
        <v>6420522.0609999998</v>
      </c>
      <c r="J161">
        <v>6381302.0810000002</v>
      </c>
      <c r="K161">
        <v>6255862.2439999999</v>
      </c>
      <c r="L161">
        <v>6323145.5980000002</v>
      </c>
      <c r="M161">
        <v>6532644.7079999996</v>
      </c>
      <c r="N161">
        <v>6988464.7970000003</v>
      </c>
      <c r="O161">
        <v>7058178.4979999997</v>
      </c>
      <c r="P161">
        <v>6768843.3650000002</v>
      </c>
      <c r="Q161">
        <v>6139643.5250000004</v>
      </c>
      <c r="R161">
        <v>5702473.4330000002</v>
      </c>
      <c r="S161">
        <v>5368827.7429999998</v>
      </c>
      <c r="T161">
        <v>5131029.3830000004</v>
      </c>
      <c r="U161">
        <v>4912535.6380000003</v>
      </c>
      <c r="V161">
        <v>4708942.2450000001</v>
      </c>
      <c r="W161">
        <v>5023138.01</v>
      </c>
      <c r="X161">
        <v>5199455.3569999998</v>
      </c>
      <c r="Y161">
        <v>5137875.9050000003</v>
      </c>
      <c r="Z161">
        <v>4999206.4570000004</v>
      </c>
      <c r="AA161">
        <v>4797396.46</v>
      </c>
      <c r="AB161">
        <v>4496326.04</v>
      </c>
      <c r="AC161">
        <v>4175142.7859999998</v>
      </c>
      <c r="AD161">
        <v>3731373.7230000002</v>
      </c>
      <c r="AE161">
        <v>3295682.7439999999</v>
      </c>
      <c r="AF161">
        <v>2877881.6940000001</v>
      </c>
      <c r="AG161">
        <v>2628936.466</v>
      </c>
      <c r="AH161">
        <v>2390085.5180000002</v>
      </c>
      <c r="AI161">
        <v>2156657.8820000002</v>
      </c>
      <c r="AJ161">
        <v>1933704.523</v>
      </c>
      <c r="AK161">
        <v>1719156.8689999999</v>
      </c>
      <c r="AL161">
        <v>1934154.1410000001</v>
      </c>
      <c r="AM161">
        <v>2122840.5950000002</v>
      </c>
      <c r="AN161">
        <v>1808917.4750000001</v>
      </c>
      <c r="AO161">
        <v>1511014.2250000001</v>
      </c>
      <c r="AP161">
        <v>1224236.804</v>
      </c>
      <c r="AQ161">
        <v>948221.72250000003</v>
      </c>
      <c r="AR161">
        <v>681491.23919999995</v>
      </c>
      <c r="AS161">
        <v>767340.51130000001</v>
      </c>
      <c r="AT161">
        <v>845038.79610000004</v>
      </c>
      <c r="AU161">
        <v>915685.41</v>
      </c>
      <c r="AV161">
        <v>979713.52870000002</v>
      </c>
      <c r="AW161">
        <v>1037555.9129999999</v>
      </c>
    </row>
    <row r="162" spans="2:49" x14ac:dyDescent="0.25">
      <c r="B162" t="s">
        <v>233</v>
      </c>
      <c r="C162">
        <v>746221.21464997705</v>
      </c>
      <c r="D162">
        <v>758202.03762327298</v>
      </c>
      <c r="E162">
        <v>770375.21660000004</v>
      </c>
      <c r="F162">
        <v>784979.60309999995</v>
      </c>
      <c r="G162">
        <v>645795.10900000005</v>
      </c>
      <c r="H162">
        <v>573052.54700000002</v>
      </c>
      <c r="I162">
        <v>365895.6557</v>
      </c>
      <c r="J162">
        <v>368101.17820000002</v>
      </c>
      <c r="K162">
        <v>339191.58250000002</v>
      </c>
      <c r="L162">
        <v>333930.38760000002</v>
      </c>
      <c r="M162">
        <v>336427.87449999998</v>
      </c>
      <c r="N162">
        <v>325181.74890000001</v>
      </c>
      <c r="O162">
        <v>274378.03159999999</v>
      </c>
      <c r="P162">
        <v>233999.2255</v>
      </c>
      <c r="Q162">
        <v>204191.59160000001</v>
      </c>
      <c r="R162">
        <v>181416.80379999999</v>
      </c>
      <c r="S162">
        <v>160596.1771</v>
      </c>
      <c r="T162">
        <v>152859.19810000001</v>
      </c>
      <c r="U162">
        <v>142069.41459999999</v>
      </c>
      <c r="V162">
        <v>133448.66899999999</v>
      </c>
      <c r="W162">
        <v>116504.814</v>
      </c>
      <c r="X162">
        <v>97853.786269999997</v>
      </c>
      <c r="Y162">
        <v>88272.881259999995</v>
      </c>
      <c r="Z162">
        <v>81534.530029999994</v>
      </c>
      <c r="AA162">
        <v>76043.604519999906</v>
      </c>
      <c r="AB162">
        <v>71184.293019999997</v>
      </c>
      <c r="AC162">
        <v>67193.444610000006</v>
      </c>
      <c r="AD162">
        <v>67174.601490000001</v>
      </c>
      <c r="AE162">
        <v>67584.412020000003</v>
      </c>
      <c r="AF162">
        <v>68106.546539999996</v>
      </c>
      <c r="AG162">
        <v>68677.14344</v>
      </c>
      <c r="AH162">
        <v>69383.957899999994</v>
      </c>
      <c r="AI162">
        <v>70235.715070000006</v>
      </c>
      <c r="AJ162">
        <v>71042.955409999995</v>
      </c>
      <c r="AK162">
        <v>71946.091849999997</v>
      </c>
      <c r="AL162">
        <v>72889.029190000001</v>
      </c>
      <c r="AM162">
        <v>73909.80747</v>
      </c>
      <c r="AN162">
        <v>74549.053379999998</v>
      </c>
      <c r="AO162">
        <v>74921.032130000007</v>
      </c>
      <c r="AP162">
        <v>75101.963870000007</v>
      </c>
      <c r="AQ162">
        <v>75336.736749999996</v>
      </c>
      <c r="AR162">
        <v>75397.648860000001</v>
      </c>
      <c r="AS162">
        <v>75523.001629999999</v>
      </c>
      <c r="AT162">
        <v>75883.428419999997</v>
      </c>
      <c r="AU162">
        <v>76248.841010000004</v>
      </c>
      <c r="AV162">
        <v>76591.142619999999</v>
      </c>
      <c r="AW162">
        <v>77036.819829999906</v>
      </c>
    </row>
    <row r="163" spans="2:49" x14ac:dyDescent="0.25">
      <c r="B163" t="s">
        <v>234</v>
      </c>
      <c r="C163">
        <v>480333.66960581898</v>
      </c>
      <c r="D163">
        <v>488045.58203966799</v>
      </c>
      <c r="E163">
        <v>495881.31170000002</v>
      </c>
      <c r="F163">
        <v>500990.5344</v>
      </c>
      <c r="G163">
        <v>417260.6691</v>
      </c>
      <c r="H163">
        <v>385301.04879999999</v>
      </c>
      <c r="I163">
        <v>347795.87650000001</v>
      </c>
      <c r="J163">
        <v>311457.8775</v>
      </c>
      <c r="K163">
        <v>300033.94410000002</v>
      </c>
      <c r="L163">
        <v>320651.97120000003</v>
      </c>
      <c r="M163">
        <v>320727.02010000002</v>
      </c>
      <c r="N163">
        <v>320242.24449999997</v>
      </c>
      <c r="O163">
        <v>237507.18700000001</v>
      </c>
      <c r="P163">
        <v>181404.26949999999</v>
      </c>
      <c r="Q163">
        <v>152761.26800000001</v>
      </c>
      <c r="R163">
        <v>134774.49650000001</v>
      </c>
      <c r="S163">
        <v>119942.7501</v>
      </c>
      <c r="T163">
        <v>117956.5965</v>
      </c>
      <c r="U163">
        <v>115731.9387</v>
      </c>
      <c r="V163">
        <v>113391.9988</v>
      </c>
      <c r="W163">
        <v>116525.4828</v>
      </c>
      <c r="X163">
        <v>112296.3789</v>
      </c>
      <c r="Y163">
        <v>111905.6277</v>
      </c>
      <c r="Z163">
        <v>113478.80680000001</v>
      </c>
      <c r="AA163">
        <v>116421.8599</v>
      </c>
      <c r="AB163">
        <v>120589.814</v>
      </c>
      <c r="AC163">
        <v>126440.50229999999</v>
      </c>
      <c r="AD163">
        <v>126577.3977</v>
      </c>
      <c r="AE163">
        <v>127943.5959</v>
      </c>
      <c r="AF163">
        <v>129594.38370000001</v>
      </c>
      <c r="AG163">
        <v>131411.40760000001</v>
      </c>
      <c r="AH163">
        <v>133263.98970000001</v>
      </c>
      <c r="AI163">
        <v>135341.08470000001</v>
      </c>
      <c r="AJ163">
        <v>137606.6954</v>
      </c>
      <c r="AK163">
        <v>139920.44469999999</v>
      </c>
      <c r="AL163">
        <v>142415.17370000001</v>
      </c>
      <c r="AM163">
        <v>144945.93109999999</v>
      </c>
      <c r="AN163">
        <v>146692.53320000001</v>
      </c>
      <c r="AO163">
        <v>148330.0963</v>
      </c>
      <c r="AP163">
        <v>149706.01759999999</v>
      </c>
      <c r="AQ163">
        <v>150965.51360000001</v>
      </c>
      <c r="AR163">
        <v>151987.2531</v>
      </c>
      <c r="AS163">
        <v>153522.09479999999</v>
      </c>
      <c r="AT163">
        <v>155137.87229999999</v>
      </c>
      <c r="AU163">
        <v>156777.7023</v>
      </c>
      <c r="AV163">
        <v>158399.478</v>
      </c>
      <c r="AW163">
        <v>160004.44949999999</v>
      </c>
    </row>
    <row r="164" spans="2:49" x14ac:dyDescent="0.25">
      <c r="B164" t="s">
        <v>235</v>
      </c>
      <c r="C164">
        <v>1469582.3108926199</v>
      </c>
      <c r="D164">
        <v>1493176.93024387</v>
      </c>
      <c r="E164">
        <v>1517150.3689999999</v>
      </c>
      <c r="F164">
        <v>1534117.675</v>
      </c>
      <c r="G164">
        <v>1322465.5190000001</v>
      </c>
      <c r="H164">
        <v>1269093.925</v>
      </c>
      <c r="I164">
        <v>969553.63879999996</v>
      </c>
      <c r="J164">
        <v>893690.94680000003</v>
      </c>
      <c r="K164">
        <v>889923.06050000002</v>
      </c>
      <c r="L164">
        <v>942699.67749999999</v>
      </c>
      <c r="M164">
        <v>942833.46589999995</v>
      </c>
      <c r="N164">
        <v>944838.70759999997</v>
      </c>
      <c r="O164">
        <v>719968.38119999995</v>
      </c>
      <c r="P164">
        <v>561531.38859999995</v>
      </c>
      <c r="Q164">
        <v>475714.92229999998</v>
      </c>
      <c r="R164">
        <v>430023.2218</v>
      </c>
      <c r="S164">
        <v>378294.04979999998</v>
      </c>
      <c r="T164">
        <v>366666.50770000002</v>
      </c>
      <c r="U164">
        <v>353508.6727</v>
      </c>
      <c r="V164">
        <v>340083.90840000001</v>
      </c>
      <c r="W164">
        <v>329350.09409999999</v>
      </c>
      <c r="X164">
        <v>299802.24070000002</v>
      </c>
      <c r="Y164">
        <v>284000.2953</v>
      </c>
      <c r="Z164">
        <v>273432.76730000001</v>
      </c>
      <c r="AA164">
        <v>265506.94829999999</v>
      </c>
      <c r="AB164">
        <v>259467.29060000001</v>
      </c>
      <c r="AC164">
        <v>255968.46249999999</v>
      </c>
      <c r="AD164">
        <v>256789.80009999999</v>
      </c>
      <c r="AE164">
        <v>260095.0459</v>
      </c>
      <c r="AF164">
        <v>264002.7562</v>
      </c>
      <c r="AG164">
        <v>268292.5871</v>
      </c>
      <c r="AH164">
        <v>272815.89620000002</v>
      </c>
      <c r="AI164">
        <v>277784.55979999999</v>
      </c>
      <c r="AJ164">
        <v>283099.93780000001</v>
      </c>
      <c r="AK164">
        <v>288473.38260000001</v>
      </c>
      <c r="AL164">
        <v>294303.63250000001</v>
      </c>
      <c r="AM164">
        <v>300136.52789999999</v>
      </c>
      <c r="AN164">
        <v>303943.15600000002</v>
      </c>
      <c r="AO164">
        <v>307559.45329999999</v>
      </c>
      <c r="AP164">
        <v>310567.58029999997</v>
      </c>
      <c r="AQ164">
        <v>313325.83899999998</v>
      </c>
      <c r="AR164">
        <v>315695.55080000003</v>
      </c>
      <c r="AS164">
        <v>319520.79940000002</v>
      </c>
      <c r="AT164">
        <v>323530.14409999998</v>
      </c>
      <c r="AU164">
        <v>327540.27710000001</v>
      </c>
      <c r="AV164">
        <v>331466.8126</v>
      </c>
      <c r="AW164">
        <v>335299.11940000003</v>
      </c>
    </row>
    <row r="165" spans="2:49" x14ac:dyDescent="0.25">
      <c r="B165" t="s">
        <v>236</v>
      </c>
      <c r="C165">
        <v>225722.47732836599</v>
      </c>
      <c r="D165">
        <v>229346.52471387701</v>
      </c>
      <c r="E165">
        <v>233028.7574</v>
      </c>
      <c r="F165">
        <v>236646.4816</v>
      </c>
      <c r="G165">
        <v>214231.88949999999</v>
      </c>
      <c r="H165">
        <v>204131.6109</v>
      </c>
      <c r="I165">
        <v>186629.34280000001</v>
      </c>
      <c r="J165">
        <v>180549.72750000001</v>
      </c>
      <c r="K165">
        <v>182638.56640000001</v>
      </c>
      <c r="L165">
        <v>194367.4773</v>
      </c>
      <c r="M165">
        <v>197958.97469999999</v>
      </c>
      <c r="N165">
        <v>202188.3763</v>
      </c>
      <c r="O165">
        <v>169209.89360000001</v>
      </c>
      <c r="P165">
        <v>147383.1378</v>
      </c>
      <c r="Q165">
        <v>135427.55650000001</v>
      </c>
      <c r="R165">
        <v>131454.9926</v>
      </c>
      <c r="S165">
        <v>124143.133</v>
      </c>
      <c r="T165">
        <v>120895.9232</v>
      </c>
      <c r="U165">
        <v>118982.666</v>
      </c>
      <c r="V165">
        <v>117046.43949999999</v>
      </c>
      <c r="W165">
        <v>109859.4877</v>
      </c>
      <c r="X165">
        <v>99453.251040000003</v>
      </c>
      <c r="Y165">
        <v>93694.958929999906</v>
      </c>
      <c r="Z165">
        <v>89222.926089999906</v>
      </c>
      <c r="AA165">
        <v>85435.062210000004</v>
      </c>
      <c r="AB165">
        <v>82116.673079999906</v>
      </c>
      <c r="AC165">
        <v>79672.543139999994</v>
      </c>
      <c r="AD165">
        <v>79610.421199999997</v>
      </c>
      <c r="AE165">
        <v>80365.370869999999</v>
      </c>
      <c r="AF165">
        <v>81392.707290000006</v>
      </c>
      <c r="AG165">
        <v>82629.408030000006</v>
      </c>
      <c r="AH165">
        <v>83906.570890000003</v>
      </c>
      <c r="AI165">
        <v>85263.866699999999</v>
      </c>
      <c r="AJ165">
        <v>86820.887789999906</v>
      </c>
      <c r="AK165">
        <v>88439.212090000001</v>
      </c>
      <c r="AL165">
        <v>90133.220419999998</v>
      </c>
      <c r="AM165">
        <v>91905.531199999998</v>
      </c>
      <c r="AN165">
        <v>93199.175950000004</v>
      </c>
      <c r="AO165">
        <v>94375.914080000002</v>
      </c>
      <c r="AP165">
        <v>95447.960860000007</v>
      </c>
      <c r="AQ165">
        <v>96440.342720000001</v>
      </c>
      <c r="AR165">
        <v>97353.35037</v>
      </c>
      <c r="AS165">
        <v>98551.168269999995</v>
      </c>
      <c r="AT165">
        <v>99759.578339999905</v>
      </c>
      <c r="AU165">
        <v>100959.90730000001</v>
      </c>
      <c r="AV165">
        <v>102141.5937</v>
      </c>
      <c r="AW165">
        <v>103299.89569999999</v>
      </c>
    </row>
    <row r="166" spans="2:49" x14ac:dyDescent="0.25">
      <c r="B166" t="s">
        <v>237</v>
      </c>
      <c r="C166">
        <v>20679763.666016001</v>
      </c>
      <c r="D166">
        <v>21011783.9607329</v>
      </c>
      <c r="E166">
        <v>21361250.109999999</v>
      </c>
      <c r="F166">
        <v>21499141.199999999</v>
      </c>
      <c r="G166">
        <v>18182792.489999998</v>
      </c>
      <c r="H166">
        <v>15184214.199999999</v>
      </c>
      <c r="I166">
        <v>15564063.279999999</v>
      </c>
      <c r="J166">
        <v>15194971.779999999</v>
      </c>
      <c r="K166">
        <v>14460602.869999999</v>
      </c>
      <c r="L166">
        <v>15145926.6</v>
      </c>
      <c r="M166">
        <v>15516617.17</v>
      </c>
      <c r="N166">
        <v>15840148.58</v>
      </c>
      <c r="O166">
        <v>13075237.699999999</v>
      </c>
      <c r="P166">
        <v>11712807.630000001</v>
      </c>
      <c r="Q166">
        <v>10631837.15</v>
      </c>
      <c r="R166">
        <v>9753620.3629999999</v>
      </c>
      <c r="S166">
        <v>9096383.2090000007</v>
      </c>
      <c r="T166">
        <v>9103826.398</v>
      </c>
      <c r="U166">
        <v>9036452.2320000008</v>
      </c>
      <c r="V166">
        <v>9099805.2960000001</v>
      </c>
      <c r="W166">
        <v>8517365.66599999</v>
      </c>
      <c r="X166">
        <v>7812034.9409999996</v>
      </c>
      <c r="Y166">
        <v>7330926.2149999999</v>
      </c>
      <c r="Z166">
        <v>7008724.2960000001</v>
      </c>
      <c r="AA166">
        <v>6760128.9289999995</v>
      </c>
      <c r="AB166">
        <v>6550016.2189999996</v>
      </c>
      <c r="AC166">
        <v>6380355.5769999996</v>
      </c>
      <c r="AD166">
        <v>6370692.1969999997</v>
      </c>
      <c r="AE166">
        <v>6402062.1960000005</v>
      </c>
      <c r="AF166">
        <v>6442850.6960000005</v>
      </c>
      <c r="AG166">
        <v>6487861.1600000001</v>
      </c>
      <c r="AH166">
        <v>6536343.0539999995</v>
      </c>
      <c r="AI166">
        <v>6596271.7949999999</v>
      </c>
      <c r="AJ166">
        <v>6657178.7180000003</v>
      </c>
      <c r="AK166">
        <v>6718582.2640000004</v>
      </c>
      <c r="AL166">
        <v>6780150.9079999998</v>
      </c>
      <c r="AM166">
        <v>6838966.5949999997</v>
      </c>
      <c r="AN166">
        <v>6880188.1739999996</v>
      </c>
      <c r="AO166">
        <v>6917454.1979999999</v>
      </c>
      <c r="AP166">
        <v>6943350.9879999999</v>
      </c>
      <c r="AQ166">
        <v>6966064.4649999999</v>
      </c>
      <c r="AR166">
        <v>6978363.4570000004</v>
      </c>
      <c r="AS166">
        <v>7000197.7599999998</v>
      </c>
      <c r="AT166">
        <v>7024760.2149999999</v>
      </c>
      <c r="AU166">
        <v>7047691.0860000001</v>
      </c>
      <c r="AV166">
        <v>7067631.3550000004</v>
      </c>
      <c r="AW166">
        <v>7086046.7510000002</v>
      </c>
    </row>
    <row r="167" spans="2:49" x14ac:dyDescent="0.25">
      <c r="B167" t="s">
        <v>238</v>
      </c>
      <c r="C167">
        <v>2009388.6600685499</v>
      </c>
      <c r="D167">
        <v>2041650.04496113</v>
      </c>
      <c r="E167">
        <v>2074429.3970000001</v>
      </c>
      <c r="F167">
        <v>2145238.2570000002</v>
      </c>
      <c r="G167">
        <v>1719974.899</v>
      </c>
      <c r="H167">
        <v>1633637.5190000001</v>
      </c>
      <c r="I167">
        <v>1643902.34</v>
      </c>
      <c r="J167">
        <v>1519840.26</v>
      </c>
      <c r="K167">
        <v>1559666.76</v>
      </c>
      <c r="L167">
        <v>1791837.9979999999</v>
      </c>
      <c r="M167">
        <v>1869281.3640000001</v>
      </c>
      <c r="N167">
        <v>1881752.8359999999</v>
      </c>
      <c r="O167">
        <v>1193144.67</v>
      </c>
      <c r="P167">
        <v>821379.01100000006</v>
      </c>
      <c r="Q167">
        <v>661155.2548</v>
      </c>
      <c r="R167">
        <v>597174.05110000004</v>
      </c>
      <c r="S167">
        <v>521029.52370000002</v>
      </c>
      <c r="T167">
        <v>525753.03969999996</v>
      </c>
      <c r="U167">
        <v>529928.18449999997</v>
      </c>
      <c r="V167">
        <v>542321.55550000002</v>
      </c>
      <c r="W167">
        <v>563187.47069999995</v>
      </c>
      <c r="X167">
        <v>557824.34770000004</v>
      </c>
      <c r="Y167">
        <v>533097.39910000004</v>
      </c>
      <c r="Z167">
        <v>509309.18109999999</v>
      </c>
      <c r="AA167">
        <v>485406.13439999998</v>
      </c>
      <c r="AB167">
        <v>461452.11660000001</v>
      </c>
      <c r="AC167">
        <v>438972.46740000002</v>
      </c>
      <c r="AD167">
        <v>441299.51630000002</v>
      </c>
      <c r="AE167">
        <v>448645.97610000003</v>
      </c>
      <c r="AF167">
        <v>457442.51380000002</v>
      </c>
      <c r="AG167">
        <v>466842.40049999999</v>
      </c>
      <c r="AH167">
        <v>476601.24599999998</v>
      </c>
      <c r="AI167">
        <v>487963.4032</v>
      </c>
      <c r="AJ167">
        <v>499795.85979999998</v>
      </c>
      <c r="AK167">
        <v>511921.82490000001</v>
      </c>
      <c r="AL167">
        <v>524561.64630000002</v>
      </c>
      <c r="AM167">
        <v>537104.24439999997</v>
      </c>
      <c r="AN167">
        <v>550709.83089999994</v>
      </c>
      <c r="AO167">
        <v>564870.01789999998</v>
      </c>
      <c r="AP167">
        <v>578549.00300000003</v>
      </c>
      <c r="AQ167">
        <v>592587.87609999999</v>
      </c>
      <c r="AR167">
        <v>606098.28099999996</v>
      </c>
      <c r="AS167">
        <v>619173.65449999995</v>
      </c>
      <c r="AT167">
        <v>632972.60930000001</v>
      </c>
      <c r="AU167">
        <v>647214.86300000001</v>
      </c>
      <c r="AV167">
        <v>661719.83129999996</v>
      </c>
      <c r="AW167">
        <v>676614.7193</v>
      </c>
    </row>
    <row r="168" spans="2:49" x14ac:dyDescent="0.25">
      <c r="B168" t="s">
        <v>239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</row>
    <row r="169" spans="2:49" x14ac:dyDescent="0.25">
      <c r="B169" t="s">
        <v>240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</row>
    <row r="170" spans="2:49" x14ac:dyDescent="0.25">
      <c r="B170" t="s">
        <v>241</v>
      </c>
      <c r="C170">
        <v>20174774.421468802</v>
      </c>
      <c r="D170">
        <v>20498686.950521201</v>
      </c>
      <c r="E170">
        <v>20827800</v>
      </c>
      <c r="F170">
        <v>19739636.949999999</v>
      </c>
      <c r="G170">
        <v>18547002.100000001</v>
      </c>
      <c r="H170">
        <v>16329994.84</v>
      </c>
      <c r="I170">
        <v>15253129.1</v>
      </c>
      <c r="J170">
        <v>14387147.84</v>
      </c>
      <c r="K170">
        <v>13414418.9</v>
      </c>
      <c r="L170">
        <v>12307263.810000001</v>
      </c>
      <c r="M170">
        <v>11249284.23</v>
      </c>
      <c r="N170">
        <v>10155588.609999999</v>
      </c>
      <c r="O170">
        <v>8597880.16599999</v>
      </c>
      <c r="P170">
        <v>7264500.2850000001</v>
      </c>
      <c r="Q170">
        <v>6001005.7359999996</v>
      </c>
      <c r="R170">
        <v>4543967.2010000004</v>
      </c>
      <c r="S170">
        <v>3040926.6150000002</v>
      </c>
      <c r="T170">
        <v>2793014.3760000002</v>
      </c>
      <c r="U170">
        <v>2646796.446</v>
      </c>
      <c r="V170">
        <v>2511642.202</v>
      </c>
      <c r="W170">
        <v>1680413.1370000001</v>
      </c>
      <c r="X170">
        <v>791892.41489999997</v>
      </c>
      <c r="Y170">
        <v>578273.6422</v>
      </c>
      <c r="Z170">
        <v>409133.44349999999</v>
      </c>
      <c r="AA170">
        <v>246625.3947</v>
      </c>
      <c r="AB170">
        <v>233369.98920000001</v>
      </c>
      <c r="AC170">
        <v>231795.3547</v>
      </c>
      <c r="AD170">
        <v>197062.66390000001</v>
      </c>
      <c r="AE170">
        <v>158849.93770000001</v>
      </c>
      <c r="AF170">
        <v>120080.56789999999</v>
      </c>
      <c r="AG170">
        <v>112626.05710000001</v>
      </c>
      <c r="AH170">
        <v>107934.0003</v>
      </c>
      <c r="AI170">
        <v>107405.4463</v>
      </c>
      <c r="AJ170">
        <v>107344.0837</v>
      </c>
      <c r="AK170">
        <v>107290.1988</v>
      </c>
      <c r="AL170">
        <v>107609.3726</v>
      </c>
      <c r="AM170">
        <v>107824.25440000001</v>
      </c>
      <c r="AN170">
        <v>107991.4672</v>
      </c>
      <c r="AO170">
        <v>108158.9991</v>
      </c>
      <c r="AP170">
        <v>108227.04210000001</v>
      </c>
      <c r="AQ170">
        <v>108246.42200000001</v>
      </c>
      <c r="AR170">
        <v>108198.1678</v>
      </c>
      <c r="AS170">
        <v>108447.3734</v>
      </c>
      <c r="AT170">
        <v>108736.32950000001</v>
      </c>
      <c r="AU170">
        <v>109000.9372</v>
      </c>
      <c r="AV170">
        <v>109216.9633</v>
      </c>
      <c r="AW170">
        <v>109397.86960000001</v>
      </c>
    </row>
    <row r="171" spans="2:49" x14ac:dyDescent="0.25">
      <c r="B171" t="s">
        <v>242</v>
      </c>
      <c r="C171">
        <v>16278956.881142</v>
      </c>
      <c r="D171">
        <v>16540320.799446501</v>
      </c>
      <c r="E171">
        <v>16805881</v>
      </c>
      <c r="F171">
        <v>16658585.539999999</v>
      </c>
      <c r="G171">
        <v>15812089.619999999</v>
      </c>
      <c r="H171">
        <v>15159742.220000001</v>
      </c>
      <c r="I171">
        <v>14681763.140000001</v>
      </c>
      <c r="J171">
        <v>12866796.67</v>
      </c>
      <c r="K171">
        <v>11218332.25</v>
      </c>
      <c r="L171">
        <v>9849260.8550000004</v>
      </c>
      <c r="M171">
        <v>8809319.2789999899</v>
      </c>
      <c r="N171">
        <v>7951912.5949999997</v>
      </c>
      <c r="O171">
        <v>7207298.9939999999</v>
      </c>
      <c r="P171">
        <v>6479463.5659999996</v>
      </c>
      <c r="Q171">
        <v>5721378.5290000001</v>
      </c>
      <c r="R171">
        <v>5083123.9850000003</v>
      </c>
      <c r="S171">
        <v>4445884.7350000003</v>
      </c>
      <c r="T171">
        <v>5230514.7510000002</v>
      </c>
      <c r="U171">
        <v>5971817.4369999999</v>
      </c>
      <c r="V171">
        <v>6666751.3159999996</v>
      </c>
      <c r="W171">
        <v>7415689.9129999997</v>
      </c>
      <c r="X171">
        <v>8045142.2970000003</v>
      </c>
      <c r="Y171">
        <v>7810170.0839999998</v>
      </c>
      <c r="Z171">
        <v>7586992.3930000002</v>
      </c>
      <c r="AA171">
        <v>7367425.898</v>
      </c>
      <c r="AB171">
        <v>7149639.9950000001</v>
      </c>
      <c r="AC171">
        <v>6923908.6150000002</v>
      </c>
      <c r="AD171">
        <v>6693471.9019999998</v>
      </c>
      <c r="AE171">
        <v>6445155.5630000001</v>
      </c>
      <c r="AF171">
        <v>6174704.3439999996</v>
      </c>
      <c r="AG171">
        <v>5963073.1670000004</v>
      </c>
      <c r="AH171">
        <v>5719405.4979999997</v>
      </c>
      <c r="AI171">
        <v>5572359.7139999997</v>
      </c>
      <c r="AJ171">
        <v>5361592.2860000003</v>
      </c>
      <c r="AK171">
        <v>5076714.3940000003</v>
      </c>
      <c r="AL171">
        <v>4975459.1229999997</v>
      </c>
      <c r="AM171">
        <v>4723046.3739999998</v>
      </c>
      <c r="AN171">
        <v>4653352.4979999997</v>
      </c>
      <c r="AO171">
        <v>4508623.4910000004</v>
      </c>
      <c r="AP171">
        <v>4273584.4270000001</v>
      </c>
      <c r="AQ171">
        <v>3948644.51</v>
      </c>
      <c r="AR171">
        <v>3516054.659</v>
      </c>
      <c r="AS171">
        <v>3136488.5989999999</v>
      </c>
      <c r="AT171">
        <v>2781806.929</v>
      </c>
      <c r="AU171">
        <v>2450647.1609999998</v>
      </c>
      <c r="AV171">
        <v>2141121.4840000002</v>
      </c>
      <c r="AW171">
        <v>1852393.733</v>
      </c>
    </row>
    <row r="172" spans="2:49" x14ac:dyDescent="0.25">
      <c r="B172" t="s">
        <v>243</v>
      </c>
      <c r="C172">
        <v>6501803.9853722304</v>
      </c>
      <c r="D172">
        <v>6606192.55142547</v>
      </c>
      <c r="E172">
        <v>6714977.4309999999</v>
      </c>
      <c r="F172">
        <v>6904990.8310000002</v>
      </c>
      <c r="G172">
        <v>6571998.9009999996</v>
      </c>
      <c r="H172">
        <v>6919276.8880000003</v>
      </c>
      <c r="I172">
        <v>7101250.3289999999</v>
      </c>
      <c r="J172">
        <v>6695426.5760000004</v>
      </c>
      <c r="K172">
        <v>6423260.375</v>
      </c>
      <c r="L172">
        <v>6239751.233</v>
      </c>
      <c r="M172">
        <v>6668234.5999999996</v>
      </c>
      <c r="N172">
        <v>7119209.585</v>
      </c>
      <c r="O172">
        <v>7379327.2340000002</v>
      </c>
      <c r="P172">
        <v>7417323.8099999996</v>
      </c>
      <c r="Q172">
        <v>6895911.3169999998</v>
      </c>
      <c r="R172">
        <v>6900646.8499999996</v>
      </c>
      <c r="S172">
        <v>6927830.7740000002</v>
      </c>
      <c r="T172">
        <v>6971113.6869999999</v>
      </c>
      <c r="U172">
        <v>6991535.8890000004</v>
      </c>
      <c r="V172">
        <v>7034129.2189999996</v>
      </c>
      <c r="W172">
        <v>7021929.4380000001</v>
      </c>
      <c r="X172">
        <v>6931301.8700000001</v>
      </c>
      <c r="Y172">
        <v>6943365.4139999999</v>
      </c>
      <c r="Z172">
        <v>6967950.3629999999</v>
      </c>
      <c r="AA172">
        <v>6993811.8109999998</v>
      </c>
      <c r="AB172">
        <v>6998437.7889999999</v>
      </c>
      <c r="AC172">
        <v>6980449.9349999996</v>
      </c>
      <c r="AD172">
        <v>6855883.9299999997</v>
      </c>
      <c r="AE172">
        <v>6720949.7699999996</v>
      </c>
      <c r="AF172">
        <v>6564988.0449999999</v>
      </c>
      <c r="AG172">
        <v>6388022.3830000004</v>
      </c>
      <c r="AH172">
        <v>6186646.5190000003</v>
      </c>
      <c r="AI172">
        <v>5940649.1629999997</v>
      </c>
      <c r="AJ172">
        <v>5662080.6610000003</v>
      </c>
      <c r="AK172">
        <v>5328680.9929999998</v>
      </c>
      <c r="AL172">
        <v>4953364.2860000003</v>
      </c>
      <c r="AM172">
        <v>4502381.2869999995</v>
      </c>
      <c r="AN172">
        <v>4269773.3109999998</v>
      </c>
      <c r="AO172">
        <v>4006934.4879999999</v>
      </c>
      <c r="AP172">
        <v>3696579.878</v>
      </c>
      <c r="AQ172">
        <v>3337230.17</v>
      </c>
      <c r="AR172">
        <v>2915728.764</v>
      </c>
      <c r="AS172">
        <v>2830835.548</v>
      </c>
      <c r="AT172">
        <v>2736803.1860000002</v>
      </c>
      <c r="AU172">
        <v>2635535.2910000002</v>
      </c>
      <c r="AV172">
        <v>2525105.034</v>
      </c>
      <c r="AW172">
        <v>2404072.6090000002</v>
      </c>
    </row>
    <row r="173" spans="2:49" x14ac:dyDescent="0.25">
      <c r="B173" t="s">
        <v>244</v>
      </c>
      <c r="C173">
        <v>6377150.6112568304</v>
      </c>
      <c r="D173">
        <v>6479537.8270683698</v>
      </c>
      <c r="E173">
        <v>6586237.0690000001</v>
      </c>
      <c r="F173">
        <v>6724113.8609999996</v>
      </c>
      <c r="G173">
        <v>6339940.6919999998</v>
      </c>
      <c r="H173">
        <v>6610863.3289999999</v>
      </c>
      <c r="I173">
        <v>6496861.9960000003</v>
      </c>
      <c r="J173">
        <v>6253917.1859999998</v>
      </c>
      <c r="K173">
        <v>5860414.5779999997</v>
      </c>
      <c r="L173">
        <v>5767731.1519999998</v>
      </c>
      <c r="M173">
        <v>5877397.4529999997</v>
      </c>
      <c r="N173">
        <v>6080426.0810000002</v>
      </c>
      <c r="O173">
        <v>5383947.557</v>
      </c>
      <c r="P173">
        <v>4640855.7709999997</v>
      </c>
      <c r="Q173">
        <v>3944146.818</v>
      </c>
      <c r="R173">
        <v>3537986.523</v>
      </c>
      <c r="S173">
        <v>3254340.05</v>
      </c>
      <c r="T173">
        <v>3221397.7590000001</v>
      </c>
      <c r="U173">
        <v>3249120.2340000002</v>
      </c>
      <c r="V173">
        <v>3263977.4610000001</v>
      </c>
      <c r="W173">
        <v>3049051.0380000002</v>
      </c>
      <c r="X173">
        <v>2722625.3560000001</v>
      </c>
      <c r="Y173">
        <v>2450198.0359999998</v>
      </c>
      <c r="Z173">
        <v>2205668.929</v>
      </c>
      <c r="AA173">
        <v>1997205.46</v>
      </c>
      <c r="AB173">
        <v>1815183.96</v>
      </c>
      <c r="AC173">
        <v>1655542.9950000001</v>
      </c>
      <c r="AD173">
        <v>1608317.11</v>
      </c>
      <c r="AE173">
        <v>1584009.527</v>
      </c>
      <c r="AF173">
        <v>1559286.203</v>
      </c>
      <c r="AG173">
        <v>1530461.477</v>
      </c>
      <c r="AH173">
        <v>1493176.736</v>
      </c>
      <c r="AI173">
        <v>1443400.899</v>
      </c>
      <c r="AJ173">
        <v>1386276.6980000001</v>
      </c>
      <c r="AK173">
        <v>1315223.4650000001</v>
      </c>
      <c r="AL173">
        <v>1232057.3540000001</v>
      </c>
      <c r="AM173">
        <v>1129398.277</v>
      </c>
      <c r="AN173">
        <v>1081235.23</v>
      </c>
      <c r="AO173">
        <v>1024299.7879999999</v>
      </c>
      <c r="AP173">
        <v>954180.92709999997</v>
      </c>
      <c r="AQ173">
        <v>869708.83259999997</v>
      </c>
      <c r="AR173">
        <v>766984.51170000003</v>
      </c>
      <c r="AS173">
        <v>751649.73710000003</v>
      </c>
      <c r="AT173">
        <v>733326.1888</v>
      </c>
      <c r="AU173">
        <v>712534.9118</v>
      </c>
      <c r="AV173">
        <v>688796.07920000004</v>
      </c>
      <c r="AW173">
        <v>661614.90709999995</v>
      </c>
    </row>
    <row r="174" spans="2:49" x14ac:dyDescent="0.25">
      <c r="B174" t="s">
        <v>245</v>
      </c>
      <c r="C174">
        <v>415184.68418409303</v>
      </c>
      <c r="D174">
        <v>421850.60858395998</v>
      </c>
      <c r="E174">
        <v>428797.26770000003</v>
      </c>
      <c r="F174">
        <v>460992.03970000002</v>
      </c>
      <c r="G174">
        <v>432859.48469999997</v>
      </c>
      <c r="H174">
        <v>393915.5379</v>
      </c>
      <c r="I174">
        <v>423769.04019999999</v>
      </c>
      <c r="J174">
        <v>408165.99589999998</v>
      </c>
      <c r="K174">
        <v>388274.07860000001</v>
      </c>
      <c r="L174">
        <v>389757.77240000002</v>
      </c>
      <c r="M174">
        <v>414316.75270000001</v>
      </c>
      <c r="N174">
        <v>471517.79560000001</v>
      </c>
      <c r="O174">
        <v>423523.3308</v>
      </c>
      <c r="P174">
        <v>364008.77549999999</v>
      </c>
      <c r="Q174">
        <v>301138.21980000002</v>
      </c>
      <c r="R174">
        <v>264987.21970000002</v>
      </c>
      <c r="S174">
        <v>220577.59570000001</v>
      </c>
      <c r="T174">
        <v>212885.4087</v>
      </c>
      <c r="U174">
        <v>212958.62179999999</v>
      </c>
      <c r="V174">
        <v>216750.86809999999</v>
      </c>
      <c r="W174">
        <v>186877.35879999999</v>
      </c>
      <c r="X174">
        <v>153788.44010000001</v>
      </c>
      <c r="Y174">
        <v>128576.0243</v>
      </c>
      <c r="Z174">
        <v>109085.0463</v>
      </c>
      <c r="AA174">
        <v>93559.731700000004</v>
      </c>
      <c r="AB174">
        <v>80640.463640000002</v>
      </c>
      <c r="AC174">
        <v>70084.014290000006</v>
      </c>
      <c r="AD174">
        <v>66126.866039999906</v>
      </c>
      <c r="AE174">
        <v>63736.650549999998</v>
      </c>
      <c r="AF174">
        <v>61749.805079999998</v>
      </c>
      <c r="AG174">
        <v>59873.463080000001</v>
      </c>
      <c r="AH174">
        <v>57930.520020000004</v>
      </c>
      <c r="AI174">
        <v>55924.196559999997</v>
      </c>
      <c r="AJ174">
        <v>53428.162700000001</v>
      </c>
      <c r="AK174">
        <v>50268.324500000002</v>
      </c>
      <c r="AL174">
        <v>46678.668819999999</v>
      </c>
      <c r="AM174">
        <v>42303.454129999998</v>
      </c>
      <c r="AN174">
        <v>40100.650589999997</v>
      </c>
      <c r="AO174">
        <v>37620.496619999998</v>
      </c>
      <c r="AP174">
        <v>34652.910519999998</v>
      </c>
      <c r="AQ174">
        <v>31258.943910000002</v>
      </c>
      <c r="AR174">
        <v>27397.718919999999</v>
      </c>
      <c r="AS174">
        <v>26617.96889</v>
      </c>
      <c r="AT174">
        <v>25761.601170000002</v>
      </c>
      <c r="AU174">
        <v>24822.254199999999</v>
      </c>
      <c r="AV174">
        <v>23782.491959999999</v>
      </c>
      <c r="AW174">
        <v>22609.386040000001</v>
      </c>
    </row>
    <row r="175" spans="2:49" x14ac:dyDescent="0.25">
      <c r="B175" t="s">
        <v>246</v>
      </c>
      <c r="C175">
        <v>4757556.1935294</v>
      </c>
      <c r="D175">
        <v>4833940.2970916703</v>
      </c>
      <c r="E175">
        <v>4913541.3090000004</v>
      </c>
      <c r="F175">
        <v>4950911.7680000002</v>
      </c>
      <c r="G175">
        <v>4481499.8490000004</v>
      </c>
      <c r="H175">
        <v>4064663.8629999999</v>
      </c>
      <c r="I175">
        <v>3415529.929</v>
      </c>
      <c r="J175">
        <v>3549511.8420000002</v>
      </c>
      <c r="K175">
        <v>3178107.8280000002</v>
      </c>
      <c r="L175">
        <v>3047455.872</v>
      </c>
      <c r="M175">
        <v>3113917.8220000002</v>
      </c>
      <c r="N175">
        <v>3188768.517</v>
      </c>
      <c r="O175">
        <v>2924324.3739999998</v>
      </c>
      <c r="P175">
        <v>2584411.37</v>
      </c>
      <c r="Q175">
        <v>2239220.7740000002</v>
      </c>
      <c r="R175">
        <v>1982431.9839999999</v>
      </c>
      <c r="S175">
        <v>1753239.118</v>
      </c>
      <c r="T175">
        <v>1650011.0020000001</v>
      </c>
      <c r="U175">
        <v>1546268.352</v>
      </c>
      <c r="V175">
        <v>1434817.3840000001</v>
      </c>
      <c r="W175">
        <v>1290240.5630000001</v>
      </c>
      <c r="X175">
        <v>1105771.422</v>
      </c>
      <c r="Y175">
        <v>1046555.9620000001</v>
      </c>
      <c r="Z175">
        <v>1023065.952</v>
      </c>
      <c r="AA175">
        <v>1021469.593</v>
      </c>
      <c r="AB175">
        <v>1034621.784</v>
      </c>
      <c r="AC175">
        <v>1064156.007</v>
      </c>
      <c r="AD175">
        <v>1027473.642</v>
      </c>
      <c r="AE175">
        <v>1005050.576</v>
      </c>
      <c r="AF175">
        <v>982753.88249999995</v>
      </c>
      <c r="AG175">
        <v>958401.7341</v>
      </c>
      <c r="AH175">
        <v>929315.19669999997</v>
      </c>
      <c r="AI175">
        <v>894058.37210000004</v>
      </c>
      <c r="AJ175">
        <v>854419.1287</v>
      </c>
      <c r="AK175">
        <v>807321.77</v>
      </c>
      <c r="AL175">
        <v>753718.97580000001</v>
      </c>
      <c r="AM175">
        <v>689537.1618</v>
      </c>
      <c r="AN175">
        <v>653868.16079999995</v>
      </c>
      <c r="AO175">
        <v>612850.125</v>
      </c>
      <c r="AP175">
        <v>565380.74609999999</v>
      </c>
      <c r="AQ175">
        <v>511453.91899999999</v>
      </c>
      <c r="AR175">
        <v>449006.217</v>
      </c>
      <c r="AS175">
        <v>436491.00640000001</v>
      </c>
      <c r="AT175">
        <v>422484.8751</v>
      </c>
      <c r="AU175">
        <v>407324.01809999999</v>
      </c>
      <c r="AV175">
        <v>390843.4278</v>
      </c>
      <c r="AW175">
        <v>372860.35479999997</v>
      </c>
    </row>
    <row r="176" spans="2:49" x14ac:dyDescent="0.25">
      <c r="B176" t="s">
        <v>247</v>
      </c>
      <c r="C176">
        <v>16503281.675133999</v>
      </c>
      <c r="D176">
        <v>16768247.200565999</v>
      </c>
      <c r="E176">
        <v>17044371.719999999</v>
      </c>
      <c r="F176">
        <v>17200967.140000001</v>
      </c>
      <c r="G176">
        <v>15695524.720000001</v>
      </c>
      <c r="H176">
        <v>14054927.51</v>
      </c>
      <c r="I176">
        <v>12932337.369999999</v>
      </c>
      <c r="J176">
        <v>13793688.15</v>
      </c>
      <c r="K176">
        <v>12351330.92</v>
      </c>
      <c r="L176">
        <v>11833787.49</v>
      </c>
      <c r="M176">
        <v>12098776.92</v>
      </c>
      <c r="N176">
        <v>12341326.17</v>
      </c>
      <c r="O176">
        <v>11674863.16</v>
      </c>
      <c r="P176">
        <v>10668661.24</v>
      </c>
      <c r="Q176">
        <v>9477913.1760000009</v>
      </c>
      <c r="R176">
        <v>8624896.2070000004</v>
      </c>
      <c r="S176">
        <v>7838310.4019999998</v>
      </c>
      <c r="T176">
        <v>7680092.9460000005</v>
      </c>
      <c r="U176">
        <v>7348883.7050000001</v>
      </c>
      <c r="V176">
        <v>7057597.0029999996</v>
      </c>
      <c r="W176">
        <v>6126731.7769999998</v>
      </c>
      <c r="X176">
        <v>5063383.807</v>
      </c>
      <c r="Y176">
        <v>4444982.2779999999</v>
      </c>
      <c r="Z176">
        <v>3974026.077</v>
      </c>
      <c r="AA176">
        <v>3585191.287</v>
      </c>
      <c r="AB176">
        <v>3246309.0860000001</v>
      </c>
      <c r="AC176">
        <v>2965166.7450000001</v>
      </c>
      <c r="AD176">
        <v>2874260.9909999999</v>
      </c>
      <c r="AE176">
        <v>2805244.3840000001</v>
      </c>
      <c r="AF176">
        <v>2734594.9720000001</v>
      </c>
      <c r="AG176">
        <v>2658457.9980000001</v>
      </c>
      <c r="AH176">
        <v>2574565.8859999999</v>
      </c>
      <c r="AI176">
        <v>2474463.3879999998</v>
      </c>
      <c r="AJ176">
        <v>2357931.861</v>
      </c>
      <c r="AK176">
        <v>2224705.719</v>
      </c>
      <c r="AL176">
        <v>2073940.5449999999</v>
      </c>
      <c r="AM176">
        <v>1896362.5260000001</v>
      </c>
      <c r="AN176">
        <v>1803277.764</v>
      </c>
      <c r="AO176">
        <v>1691225.763</v>
      </c>
      <c r="AP176">
        <v>1560121.108</v>
      </c>
      <c r="AQ176">
        <v>1412696.4269999999</v>
      </c>
      <c r="AR176">
        <v>1239013.041</v>
      </c>
      <c r="AS176">
        <v>1202608.8370000001</v>
      </c>
      <c r="AT176">
        <v>1165524.335</v>
      </c>
      <c r="AU176">
        <v>1125208.7169999999</v>
      </c>
      <c r="AV176">
        <v>1081004.3799999999</v>
      </c>
      <c r="AW176">
        <v>1034090.824</v>
      </c>
    </row>
    <row r="177" spans="2:49" x14ac:dyDescent="0.25">
      <c r="B177" t="s">
        <v>248</v>
      </c>
      <c r="C177">
        <v>11632594.838881901</v>
      </c>
      <c r="D177">
        <v>11819359.911689499</v>
      </c>
      <c r="E177">
        <v>12013990.58</v>
      </c>
      <c r="F177">
        <v>12011440.119999999</v>
      </c>
      <c r="G177">
        <v>11105770.970000001</v>
      </c>
      <c r="H177">
        <v>10446005.68</v>
      </c>
      <c r="I177">
        <v>8800736.3969999999</v>
      </c>
      <c r="J177">
        <v>7870637.5650000004</v>
      </c>
      <c r="K177">
        <v>7153739.7879999997</v>
      </c>
      <c r="L177">
        <v>7062867.3650000002</v>
      </c>
      <c r="M177">
        <v>7014949.676</v>
      </c>
      <c r="N177">
        <v>7290725.7879999997</v>
      </c>
      <c r="O177">
        <v>6557682.8420000002</v>
      </c>
      <c r="P177">
        <v>5686195.1500000004</v>
      </c>
      <c r="Q177">
        <v>4945007.5870000003</v>
      </c>
      <c r="R177">
        <v>4337982.34</v>
      </c>
      <c r="S177">
        <v>3886036.3909999998</v>
      </c>
      <c r="T177">
        <v>3661442.486</v>
      </c>
      <c r="U177">
        <v>3397958.267</v>
      </c>
      <c r="V177">
        <v>3118005.6579999998</v>
      </c>
      <c r="W177">
        <v>2671836.5660000001</v>
      </c>
      <c r="X177">
        <v>2185981.1039999998</v>
      </c>
      <c r="Y177">
        <v>1991546.1839999999</v>
      </c>
      <c r="Z177">
        <v>1879806.8359999999</v>
      </c>
      <c r="AA177">
        <v>1812812.183</v>
      </c>
      <c r="AB177">
        <v>1775531.2139999999</v>
      </c>
      <c r="AC177">
        <v>1769351.7579999999</v>
      </c>
      <c r="AD177">
        <v>1712823.9</v>
      </c>
      <c r="AE177">
        <v>1680421.4990000001</v>
      </c>
      <c r="AF177">
        <v>1648684.5349999999</v>
      </c>
      <c r="AG177">
        <v>1614541.4369999999</v>
      </c>
      <c r="AH177">
        <v>1571898.314</v>
      </c>
      <c r="AI177">
        <v>1518068.8189999999</v>
      </c>
      <c r="AJ177">
        <v>1457044.5090000001</v>
      </c>
      <c r="AK177">
        <v>1383477.2919999999</v>
      </c>
      <c r="AL177">
        <v>1299039.139</v>
      </c>
      <c r="AM177">
        <v>1195929.29</v>
      </c>
      <c r="AN177">
        <v>1140423.149</v>
      </c>
      <c r="AO177">
        <v>1074771.669</v>
      </c>
      <c r="AP177">
        <v>997011.07700000005</v>
      </c>
      <c r="AQ177">
        <v>906684.99120000005</v>
      </c>
      <c r="AR177">
        <v>799553.33169999998</v>
      </c>
      <c r="AS177">
        <v>782294.24800000002</v>
      </c>
      <c r="AT177">
        <v>762178.1827</v>
      </c>
      <c r="AU177">
        <v>739729.08369999996</v>
      </c>
      <c r="AV177">
        <v>714576.54890000005</v>
      </c>
      <c r="AW177">
        <v>686335.00549999997</v>
      </c>
    </row>
    <row r="178" spans="2:49" x14ac:dyDescent="0.25">
      <c r="B178" t="s">
        <v>249</v>
      </c>
      <c r="C178">
        <v>3166830.51938263</v>
      </c>
      <c r="D178">
        <v>3217675.0077116699</v>
      </c>
      <c r="E178">
        <v>3270660.8059999999</v>
      </c>
      <c r="F178">
        <v>3287609.0049999999</v>
      </c>
      <c r="G178">
        <v>3225736.5669999998</v>
      </c>
      <c r="H178">
        <v>3125030.61</v>
      </c>
      <c r="I178">
        <v>3029495.9640000002</v>
      </c>
      <c r="J178">
        <v>2943126.8029999998</v>
      </c>
      <c r="K178">
        <v>2800023.318</v>
      </c>
      <c r="L178">
        <v>2794789.8289999999</v>
      </c>
      <c r="M178">
        <v>2824806.9920000001</v>
      </c>
      <c r="N178">
        <v>3007800.085</v>
      </c>
      <c r="O178">
        <v>2936348.2880000002</v>
      </c>
      <c r="P178">
        <v>2761321.0830000001</v>
      </c>
      <c r="Q178">
        <v>2552430.5520000001</v>
      </c>
      <c r="R178">
        <v>2461549.5010000002</v>
      </c>
      <c r="S178">
        <v>2327919.6320000002</v>
      </c>
      <c r="T178">
        <v>2308849.7230000002</v>
      </c>
      <c r="U178">
        <v>2266673.7710000002</v>
      </c>
      <c r="V178">
        <v>2227471.639</v>
      </c>
      <c r="W178">
        <v>1985684.6980000001</v>
      </c>
      <c r="X178">
        <v>1701834.912</v>
      </c>
      <c r="Y178">
        <v>1525666.361</v>
      </c>
      <c r="Z178">
        <v>1397640.9269999999</v>
      </c>
      <c r="AA178">
        <v>1297318.04</v>
      </c>
      <c r="AB178">
        <v>1215836.4809999999</v>
      </c>
      <c r="AC178">
        <v>1153112.1070000001</v>
      </c>
      <c r="AD178">
        <v>1120875.436</v>
      </c>
      <c r="AE178">
        <v>1101744.247</v>
      </c>
      <c r="AF178">
        <v>1082348.6229999999</v>
      </c>
      <c r="AG178">
        <v>1060663.8230000001</v>
      </c>
      <c r="AH178">
        <v>1033853.887</v>
      </c>
      <c r="AI178">
        <v>999298.42709999997</v>
      </c>
      <c r="AJ178">
        <v>959211.32640000002</v>
      </c>
      <c r="AK178">
        <v>910259.40740000003</v>
      </c>
      <c r="AL178">
        <v>852908.66429999995</v>
      </c>
      <c r="AM178">
        <v>782481.31759999995</v>
      </c>
      <c r="AN178">
        <v>747285.9889</v>
      </c>
      <c r="AO178">
        <v>706177.77280000004</v>
      </c>
      <c r="AP178">
        <v>656683.63309999998</v>
      </c>
      <c r="AQ178">
        <v>598401.62109999999</v>
      </c>
      <c r="AR178">
        <v>528577.36820000003</v>
      </c>
      <c r="AS178">
        <v>518039.27840000001</v>
      </c>
      <c r="AT178">
        <v>505482.43310000002</v>
      </c>
      <c r="AU178">
        <v>491155.29590000003</v>
      </c>
      <c r="AV178">
        <v>474804.1568</v>
      </c>
      <c r="AW178">
        <v>456154.57789999997</v>
      </c>
    </row>
    <row r="179" spans="2:49" x14ac:dyDescent="0.25">
      <c r="B179" t="s">
        <v>250</v>
      </c>
      <c r="C179">
        <v>6723975.7599636996</v>
      </c>
      <c r="D179">
        <v>6831931.3657214995</v>
      </c>
      <c r="E179">
        <v>6945717.0990000004</v>
      </c>
      <c r="F179">
        <v>7003114.1040000003</v>
      </c>
      <c r="G179">
        <v>7029171.6150000002</v>
      </c>
      <c r="H179">
        <v>6607896.284</v>
      </c>
      <c r="I179">
        <v>6868233.9819999998</v>
      </c>
      <c r="J179">
        <v>6943629.7180000003</v>
      </c>
      <c r="K179">
        <v>6824468.0250000004</v>
      </c>
      <c r="L179">
        <v>6840485.3569999998</v>
      </c>
      <c r="M179">
        <v>6899645.3540000003</v>
      </c>
      <c r="N179">
        <v>7192435.7249999996</v>
      </c>
      <c r="O179">
        <v>7196384.2699999996</v>
      </c>
      <c r="P179">
        <v>7197789.0630000001</v>
      </c>
      <c r="Q179">
        <v>7075294.9369999999</v>
      </c>
      <c r="R179">
        <v>7140540.4709999999</v>
      </c>
      <c r="S179">
        <v>7061674.5130000003</v>
      </c>
      <c r="T179">
        <v>7054128.4170000004</v>
      </c>
      <c r="U179">
        <v>7124950.1890000002</v>
      </c>
      <c r="V179">
        <v>7186111.2460000003</v>
      </c>
      <c r="W179">
        <v>7107215.79</v>
      </c>
      <c r="X179">
        <v>6967537.7379999999</v>
      </c>
      <c r="Y179">
        <v>6868849.3770000003</v>
      </c>
      <c r="Z179">
        <v>6778143.3990000002</v>
      </c>
      <c r="AA179">
        <v>6696223.2149999999</v>
      </c>
      <c r="AB179">
        <v>6621588.1509999996</v>
      </c>
      <c r="AC179">
        <v>6586088.5319999997</v>
      </c>
      <c r="AD179">
        <v>6414630.5470000003</v>
      </c>
      <c r="AE179">
        <v>6245745.398</v>
      </c>
      <c r="AF179">
        <v>6067880.8039999995</v>
      </c>
      <c r="AG179">
        <v>5879656.7350000003</v>
      </c>
      <c r="AH179">
        <v>5673358.5669999998</v>
      </c>
      <c r="AI179">
        <v>5425902.4570000004</v>
      </c>
      <c r="AJ179">
        <v>5148535.4639999997</v>
      </c>
      <c r="AK179">
        <v>4828029.9890000001</v>
      </c>
      <c r="AL179">
        <v>4469878.01</v>
      </c>
      <c r="AM179">
        <v>4049898.656</v>
      </c>
      <c r="AN179">
        <v>3833204.7480000001</v>
      </c>
      <c r="AO179">
        <v>3588145.9950000001</v>
      </c>
      <c r="AP179">
        <v>3305263.4610000001</v>
      </c>
      <c r="AQ179">
        <v>2979640.1090000002</v>
      </c>
      <c r="AR179">
        <v>2600897.5780000002</v>
      </c>
      <c r="AS179">
        <v>2525095.5839999998</v>
      </c>
      <c r="AT179">
        <v>2442190.7999999998</v>
      </c>
      <c r="AU179">
        <v>2352056.3250000002</v>
      </c>
      <c r="AV179">
        <v>2253437.5440000002</v>
      </c>
      <c r="AW179">
        <v>2145178.7390000001</v>
      </c>
    </row>
    <row r="180" spans="2:49" x14ac:dyDescent="0.25">
      <c r="B180" t="s">
        <v>251</v>
      </c>
      <c r="C180">
        <v>312332.22295347298</v>
      </c>
      <c r="D180">
        <v>317346.817819711</v>
      </c>
      <c r="E180">
        <v>322572.6018</v>
      </c>
      <c r="F180">
        <v>334218.64779999998</v>
      </c>
      <c r="G180">
        <v>321572.96919999999</v>
      </c>
      <c r="H180">
        <v>280507.86670000001</v>
      </c>
      <c r="I180">
        <v>293197.7156</v>
      </c>
      <c r="J180">
        <v>297203.32539999997</v>
      </c>
      <c r="K180">
        <v>278002.46750000003</v>
      </c>
      <c r="L180">
        <v>263057.9325</v>
      </c>
      <c r="M180">
        <v>259081.96900000001</v>
      </c>
      <c r="N180">
        <v>273263.40179999999</v>
      </c>
      <c r="O180">
        <v>251276.54889999999</v>
      </c>
      <c r="P180">
        <v>232658.67980000001</v>
      </c>
      <c r="Q180">
        <v>211582.53769999999</v>
      </c>
      <c r="R180">
        <v>192604.17389999999</v>
      </c>
      <c r="S180">
        <v>179409.7035</v>
      </c>
      <c r="T180">
        <v>180177.89600000001</v>
      </c>
      <c r="U180">
        <v>180874.8161</v>
      </c>
      <c r="V180">
        <v>183570.2568</v>
      </c>
      <c r="W180">
        <v>170297.98689999999</v>
      </c>
      <c r="X180">
        <v>155429.8953</v>
      </c>
      <c r="Y180">
        <v>144015.48019999999</v>
      </c>
      <c r="Z180">
        <v>135689.25690000001</v>
      </c>
      <c r="AA180">
        <v>129234.81110000001</v>
      </c>
      <c r="AB180">
        <v>123875.68769999999</v>
      </c>
      <c r="AC180">
        <v>119498.49159999999</v>
      </c>
      <c r="AD180">
        <v>115416.81849999999</v>
      </c>
      <c r="AE180">
        <v>112103.6606</v>
      </c>
      <c r="AF180">
        <v>108710.5425</v>
      </c>
      <c r="AG180">
        <v>105031.5333</v>
      </c>
      <c r="AH180">
        <v>101107.2549</v>
      </c>
      <c r="AI180">
        <v>96613.164820000005</v>
      </c>
      <c r="AJ180">
        <v>91454.402919999906</v>
      </c>
      <c r="AK180">
        <v>85487.021049999996</v>
      </c>
      <c r="AL180">
        <v>78867.361319999996</v>
      </c>
      <c r="AM180">
        <v>71135.733089999994</v>
      </c>
      <c r="AN180">
        <v>67079.362840000002</v>
      </c>
      <c r="AO180">
        <v>62581.16807</v>
      </c>
      <c r="AP180">
        <v>57408.286650000002</v>
      </c>
      <c r="AQ180">
        <v>51564.661</v>
      </c>
      <c r="AR180">
        <v>44851.449339999999</v>
      </c>
      <c r="AS180">
        <v>43316.525229999999</v>
      </c>
      <c r="AT180">
        <v>41691.507259999998</v>
      </c>
      <c r="AU180">
        <v>39959.690869999999</v>
      </c>
      <c r="AV180">
        <v>38097.095070000003</v>
      </c>
      <c r="AW180">
        <v>36093.980049999998</v>
      </c>
    </row>
    <row r="181" spans="2:49" x14ac:dyDescent="0.25">
      <c r="B181" t="s">
        <v>252</v>
      </c>
      <c r="C181">
        <v>7845653.0561234802</v>
      </c>
      <c r="D181">
        <v>7971617.5536879301</v>
      </c>
      <c r="E181">
        <v>8102887.0319999997</v>
      </c>
      <c r="F181">
        <v>8280463.4249999998</v>
      </c>
      <c r="G181">
        <v>7923592.7070000004</v>
      </c>
      <c r="H181">
        <v>7530970.4500000002</v>
      </c>
      <c r="I181">
        <v>7551265.0099999998</v>
      </c>
      <c r="J181">
        <v>7323131.3530000001</v>
      </c>
      <c r="K181">
        <v>6878561.1260000002</v>
      </c>
      <c r="L181">
        <v>6706161.7779999999</v>
      </c>
      <c r="M181">
        <v>6847427.1279999996</v>
      </c>
      <c r="N181">
        <v>7301554.7410000004</v>
      </c>
      <c r="O181">
        <v>6961851.6940000001</v>
      </c>
      <c r="P181">
        <v>6334921.1119999997</v>
      </c>
      <c r="Q181">
        <v>5648124.4110000003</v>
      </c>
      <c r="R181">
        <v>5319595.7690000003</v>
      </c>
      <c r="S181">
        <v>4936209.841</v>
      </c>
      <c r="T181">
        <v>5009754.8159999996</v>
      </c>
      <c r="U181">
        <v>5021221.9309999999</v>
      </c>
      <c r="V181">
        <v>5065224.2340000002</v>
      </c>
      <c r="W181">
        <v>4580625.3629999999</v>
      </c>
      <c r="X181">
        <v>4006156.1069999998</v>
      </c>
      <c r="Y181">
        <v>3540027.3339999998</v>
      </c>
      <c r="Z181">
        <v>3165964.429</v>
      </c>
      <c r="AA181">
        <v>2855384.0070000002</v>
      </c>
      <c r="AB181">
        <v>2588464.08</v>
      </c>
      <c r="AC181">
        <v>2360360.65</v>
      </c>
      <c r="AD181">
        <v>2287184.7319999998</v>
      </c>
      <c r="AE181">
        <v>2242391.0410000002</v>
      </c>
      <c r="AF181">
        <v>2197589.5249999999</v>
      </c>
      <c r="AG181">
        <v>2147072.537</v>
      </c>
      <c r="AH181">
        <v>2086596.811</v>
      </c>
      <c r="AI181">
        <v>2012985.365</v>
      </c>
      <c r="AJ181">
        <v>1925467.95</v>
      </c>
      <c r="AK181">
        <v>1819584.8370000001</v>
      </c>
      <c r="AL181">
        <v>1697377.692</v>
      </c>
      <c r="AM181">
        <v>1549142.7139999999</v>
      </c>
      <c r="AN181">
        <v>1478616.7220000001</v>
      </c>
      <c r="AO181">
        <v>1395536.11</v>
      </c>
      <c r="AP181">
        <v>1294624.3899999999</v>
      </c>
      <c r="AQ181">
        <v>1175561.2209999999</v>
      </c>
      <c r="AR181">
        <v>1032106.333</v>
      </c>
      <c r="AS181">
        <v>1006897.9570000001</v>
      </c>
      <c r="AT181">
        <v>979338.88780000003</v>
      </c>
      <c r="AU181">
        <v>948695.11970000004</v>
      </c>
      <c r="AV181">
        <v>914159.57330000005</v>
      </c>
      <c r="AW181">
        <v>875341.78319999995</v>
      </c>
    </row>
    <row r="182" spans="2:49" x14ac:dyDescent="0.25">
      <c r="B182" t="s">
        <v>253</v>
      </c>
      <c r="C182">
        <v>3.3990718667427999</v>
      </c>
      <c r="D182">
        <v>3.4536450650243098</v>
      </c>
      <c r="E182">
        <v>3.5105166080000001</v>
      </c>
      <c r="F182">
        <v>3.721947712</v>
      </c>
      <c r="G182">
        <v>3.649102353</v>
      </c>
      <c r="H182">
        <v>3.4028761329999999</v>
      </c>
      <c r="I182">
        <v>3.359993754</v>
      </c>
      <c r="J182">
        <v>3.359924286</v>
      </c>
      <c r="K182">
        <v>3.220373248</v>
      </c>
      <c r="L182">
        <v>3.2190964979999999</v>
      </c>
      <c r="M182">
        <v>3.2242167519999998</v>
      </c>
      <c r="N182">
        <v>3.304386413</v>
      </c>
      <c r="O182">
        <v>3.4867702290000002</v>
      </c>
      <c r="P182">
        <v>3.623630033</v>
      </c>
      <c r="Q182">
        <v>3.618991249</v>
      </c>
      <c r="R182">
        <v>3.7394495760000002</v>
      </c>
      <c r="S182">
        <v>3.7447865120000001</v>
      </c>
      <c r="T182">
        <v>3.8684616150000002</v>
      </c>
      <c r="U182">
        <v>3.8434516859999999</v>
      </c>
      <c r="V182">
        <v>3.89248729</v>
      </c>
      <c r="W182">
        <v>3.83175497</v>
      </c>
      <c r="X182">
        <v>3.7784943520000001</v>
      </c>
      <c r="Y182">
        <v>3.7420037829999999</v>
      </c>
      <c r="Z182">
        <v>3.7013466689999999</v>
      </c>
      <c r="AA182">
        <v>3.645037614</v>
      </c>
      <c r="AB182">
        <v>3.5632332670000002</v>
      </c>
      <c r="AC182">
        <v>3.4850403980000002</v>
      </c>
      <c r="AD182">
        <v>3.4150277070000001</v>
      </c>
      <c r="AE182">
        <v>3.3001932900000002</v>
      </c>
      <c r="AF182">
        <v>3.172560635</v>
      </c>
      <c r="AG182">
        <v>3.0362568599999999</v>
      </c>
      <c r="AH182">
        <v>2.8986604580000002</v>
      </c>
      <c r="AI182">
        <v>2.747999911</v>
      </c>
      <c r="AJ182">
        <v>2.574174513</v>
      </c>
      <c r="AK182">
        <v>2.3859415209999999</v>
      </c>
      <c r="AL182">
        <v>2.1835060049999999</v>
      </c>
      <c r="AM182">
        <v>1.9587966750000001</v>
      </c>
      <c r="AN182">
        <v>1.8502656070000001</v>
      </c>
      <c r="AO182">
        <v>1.720478041</v>
      </c>
      <c r="AP182">
        <v>1.5703224200000001</v>
      </c>
      <c r="AQ182">
        <v>1.4053867870000001</v>
      </c>
      <c r="AR182">
        <v>1.2136284260000001</v>
      </c>
      <c r="AS182">
        <v>1.162404467</v>
      </c>
      <c r="AT182">
        <v>1.116620969</v>
      </c>
      <c r="AU182">
        <v>1.0687853810000001</v>
      </c>
      <c r="AV182">
        <v>1.0174910639999999</v>
      </c>
      <c r="AW182">
        <v>0.96588100480000005</v>
      </c>
    </row>
    <row r="183" spans="2:49" x14ac:dyDescent="0.25">
      <c r="B183" t="s">
        <v>254</v>
      </c>
      <c r="C183">
        <v>600391.80946004798</v>
      </c>
      <c r="D183">
        <v>610031.29416316305</v>
      </c>
      <c r="E183">
        <v>620076.74470000004</v>
      </c>
      <c r="F183">
        <v>631924.70429999998</v>
      </c>
      <c r="G183">
        <v>594129.98840000003</v>
      </c>
      <c r="H183">
        <v>585118.74690000003</v>
      </c>
      <c r="I183">
        <v>592168.1459</v>
      </c>
      <c r="J183">
        <v>567195.75260000001</v>
      </c>
      <c r="K183">
        <v>533753.89850000001</v>
      </c>
      <c r="L183">
        <v>538502.46589999995</v>
      </c>
      <c r="M183">
        <v>547833.99269999994</v>
      </c>
      <c r="N183">
        <v>576907.3602</v>
      </c>
      <c r="O183">
        <v>610043.55350000004</v>
      </c>
      <c r="P183">
        <v>621587.74210000003</v>
      </c>
      <c r="Q183">
        <v>577325.47679999995</v>
      </c>
      <c r="R183">
        <v>594392.34180000005</v>
      </c>
      <c r="S183">
        <v>595286.54169999994</v>
      </c>
      <c r="T183">
        <v>595667.33129999996</v>
      </c>
      <c r="U183">
        <v>596054.24569999997</v>
      </c>
      <c r="V183">
        <v>596103.51800000004</v>
      </c>
      <c r="W183">
        <v>604076.46189999999</v>
      </c>
      <c r="X183">
        <v>609681.4301</v>
      </c>
      <c r="Y183">
        <v>616074.21600000001</v>
      </c>
      <c r="Z183">
        <v>620448.65919999999</v>
      </c>
      <c r="AA183">
        <v>624342.82079999999</v>
      </c>
      <c r="AB183">
        <v>600073.56669999997</v>
      </c>
      <c r="AC183">
        <v>574434.34140000003</v>
      </c>
      <c r="AD183">
        <v>555380.83889999997</v>
      </c>
      <c r="AE183">
        <v>538410.5037</v>
      </c>
      <c r="AF183">
        <v>521238.30979999999</v>
      </c>
      <c r="AG183">
        <v>503847.598</v>
      </c>
      <c r="AH183">
        <v>484466.0258</v>
      </c>
      <c r="AI183">
        <v>466869.24479999999</v>
      </c>
      <c r="AJ183">
        <v>447781.98220000003</v>
      </c>
      <c r="AK183">
        <v>424640.83799999999</v>
      </c>
      <c r="AL183">
        <v>398537.3714</v>
      </c>
      <c r="AM183">
        <v>366816.40139999997</v>
      </c>
      <c r="AN183">
        <v>346882.97139999998</v>
      </c>
      <c r="AO183">
        <v>324014.359</v>
      </c>
      <c r="AP183">
        <v>298340.90490000002</v>
      </c>
      <c r="AQ183">
        <v>269722.33240000001</v>
      </c>
      <c r="AR183">
        <v>236992.16519999999</v>
      </c>
      <c r="AS183">
        <v>230064.8383</v>
      </c>
      <c r="AT183">
        <v>222283.5257</v>
      </c>
      <c r="AU183">
        <v>213954.0594</v>
      </c>
      <c r="AV183">
        <v>205011.10620000001</v>
      </c>
      <c r="AW183">
        <v>195346.28109999999</v>
      </c>
    </row>
    <row r="184" spans="2:49" x14ac:dyDescent="0.25">
      <c r="B184" t="s">
        <v>255</v>
      </c>
      <c r="C184">
        <v>2139866.37253871</v>
      </c>
      <c r="D184">
        <v>2174222.6193092102</v>
      </c>
      <c r="E184">
        <v>2197623.4389999998</v>
      </c>
      <c r="F184">
        <v>2183234.6140000001</v>
      </c>
      <c r="G184">
        <v>2173370.6949999998</v>
      </c>
      <c r="H184">
        <v>2169365.6430000002</v>
      </c>
      <c r="I184">
        <v>2173392.0260000001</v>
      </c>
      <c r="J184">
        <v>2185571.9419999998</v>
      </c>
      <c r="K184">
        <v>2186233.1269999999</v>
      </c>
      <c r="L184">
        <v>2182851.0129999998</v>
      </c>
      <c r="M184">
        <v>2195741.8930000002</v>
      </c>
      <c r="N184">
        <v>2173728.6</v>
      </c>
      <c r="O184">
        <v>2202163.7140000002</v>
      </c>
      <c r="P184">
        <v>2221830.1749999998</v>
      </c>
      <c r="Q184">
        <v>2248758.8259999999</v>
      </c>
      <c r="R184">
        <v>2271216.378</v>
      </c>
      <c r="S184">
        <v>2251431.7740000002</v>
      </c>
      <c r="T184">
        <v>2216494.1060000001</v>
      </c>
      <c r="U184">
        <v>2201484.0010000002</v>
      </c>
      <c r="V184">
        <v>2181444.34</v>
      </c>
      <c r="W184">
        <v>2114880.9720000001</v>
      </c>
      <c r="X184">
        <v>2042222.0020000001</v>
      </c>
      <c r="Y184">
        <v>1978786.905</v>
      </c>
      <c r="Z184">
        <v>1916209.32</v>
      </c>
      <c r="AA184">
        <v>1854838.8659999999</v>
      </c>
      <c r="AB184">
        <v>1793215.0079999999</v>
      </c>
      <c r="AC184">
        <v>1730338.2779999999</v>
      </c>
      <c r="AD184">
        <v>1599797.64</v>
      </c>
      <c r="AE184">
        <v>1471041.5560000001</v>
      </c>
      <c r="AF184">
        <v>1342897.83</v>
      </c>
      <c r="AG184">
        <v>1216585.8899999999</v>
      </c>
      <c r="AH184">
        <v>1092067.1499999999</v>
      </c>
      <c r="AI184">
        <v>961287.70270000002</v>
      </c>
      <c r="AJ184">
        <v>833671.85930000001</v>
      </c>
      <c r="AK184">
        <v>709018.11040000001</v>
      </c>
      <c r="AL184">
        <v>590402.68090000004</v>
      </c>
      <c r="AM184">
        <v>476078.28399999999</v>
      </c>
      <c r="AN184">
        <v>403818.49829999998</v>
      </c>
      <c r="AO184">
        <v>335248.01409999997</v>
      </c>
      <c r="AP184">
        <v>270183.4718</v>
      </c>
      <c r="AQ184">
        <v>209494.16759999999</v>
      </c>
      <c r="AR184">
        <v>153969.26629999999</v>
      </c>
      <c r="AS184">
        <v>129547.9403</v>
      </c>
      <c r="AT184">
        <v>106405.4608</v>
      </c>
      <c r="AU184">
        <v>84659.958289999995</v>
      </c>
      <c r="AV184">
        <v>64366.2088</v>
      </c>
      <c r="AW184">
        <v>45569.011989999999</v>
      </c>
    </row>
    <row r="185" spans="2:49" x14ac:dyDescent="0.25">
      <c r="B185" t="s">
        <v>256</v>
      </c>
      <c r="C185">
        <v>48247577.676067904</v>
      </c>
      <c r="D185">
        <v>49022208.141778298</v>
      </c>
      <c r="E185">
        <v>49870581.009999998</v>
      </c>
      <c r="F185">
        <v>49558515.990000002</v>
      </c>
      <c r="G185">
        <v>48578599.630000003</v>
      </c>
      <c r="H185">
        <v>46823944.57</v>
      </c>
      <c r="I185">
        <v>46429944.979999997</v>
      </c>
      <c r="J185">
        <v>46127872.719999999</v>
      </c>
      <c r="K185">
        <v>45540578.649999999</v>
      </c>
      <c r="L185">
        <v>44684805.200000003</v>
      </c>
      <c r="M185">
        <v>44212832.920000002</v>
      </c>
      <c r="N185">
        <v>43679353.659999996</v>
      </c>
      <c r="O185">
        <v>43620131.409999996</v>
      </c>
      <c r="P185">
        <v>43772429.380000003</v>
      </c>
      <c r="Q185">
        <v>43160467.07</v>
      </c>
      <c r="R185">
        <v>42563923.979999997</v>
      </c>
      <c r="S185">
        <v>41961509.850000001</v>
      </c>
      <c r="T185">
        <v>42503183.409999996</v>
      </c>
      <c r="U185">
        <v>42533359.890000001</v>
      </c>
      <c r="V185">
        <v>42783486.130000003</v>
      </c>
      <c r="W185">
        <v>42403475.289999999</v>
      </c>
      <c r="X185">
        <v>41801936.619999997</v>
      </c>
      <c r="Y185">
        <v>40713218.200000003</v>
      </c>
      <c r="Z185">
        <v>39746676.039999999</v>
      </c>
      <c r="AA185">
        <v>38780388.009999998</v>
      </c>
      <c r="AB185">
        <v>37682780.619999997</v>
      </c>
      <c r="AC185">
        <v>36569696.880000003</v>
      </c>
      <c r="AD185">
        <v>34187450.909999996</v>
      </c>
      <c r="AE185">
        <v>31786141.460000001</v>
      </c>
      <c r="AF185">
        <v>29384457.550000001</v>
      </c>
      <c r="AG185">
        <v>26994845.25</v>
      </c>
      <c r="AH185">
        <v>24634409.850000001</v>
      </c>
      <c r="AI185">
        <v>22001873.870000001</v>
      </c>
      <c r="AJ185">
        <v>19388479.239999998</v>
      </c>
      <c r="AK185">
        <v>16759108.65</v>
      </c>
      <c r="AL185">
        <v>14257282.01</v>
      </c>
      <c r="AM185">
        <v>11754384.57</v>
      </c>
      <c r="AN185">
        <v>10404985.619999999</v>
      </c>
      <c r="AO185">
        <v>9099141.8690000009</v>
      </c>
      <c r="AP185">
        <v>7766458.716</v>
      </c>
      <c r="AQ185">
        <v>6454059.0640000002</v>
      </c>
      <c r="AR185">
        <v>5162084.8470000001</v>
      </c>
      <c r="AS185">
        <v>4793927.0619999999</v>
      </c>
      <c r="AT185">
        <v>4434188.46</v>
      </c>
      <c r="AU185">
        <v>4079185.0440000002</v>
      </c>
      <c r="AV185">
        <v>3726691.139</v>
      </c>
      <c r="AW185">
        <v>3376850.4169999999</v>
      </c>
    </row>
    <row r="186" spans="2:49" x14ac:dyDescent="0.25">
      <c r="B186" t="s">
        <v>257</v>
      </c>
      <c r="C186">
        <v>9181601.5739378203</v>
      </c>
      <c r="D186">
        <v>9329015.1570805702</v>
      </c>
      <c r="E186">
        <v>9482637.0470000003</v>
      </c>
      <c r="F186">
        <v>10802224.439999999</v>
      </c>
      <c r="G186">
        <v>9111171.0789999999</v>
      </c>
      <c r="H186">
        <v>6577795.2740000002</v>
      </c>
      <c r="I186">
        <v>7801189.6509999996</v>
      </c>
      <c r="J186">
        <v>6142684.0070000002</v>
      </c>
      <c r="K186">
        <v>7117471.909</v>
      </c>
      <c r="L186">
        <v>6391100.8159999996</v>
      </c>
      <c r="M186">
        <v>6430405.1900000004</v>
      </c>
      <c r="N186">
        <v>6611085.6289999997</v>
      </c>
      <c r="O186">
        <v>6037996.6459999997</v>
      </c>
      <c r="P186">
        <v>6400004.9019999998</v>
      </c>
      <c r="Q186">
        <v>6292888.9910000004</v>
      </c>
      <c r="R186">
        <v>6407012.7489999998</v>
      </c>
      <c r="S186">
        <v>6399355.9270000001</v>
      </c>
      <c r="T186">
        <v>6301128.7350000003</v>
      </c>
      <c r="U186">
        <v>6334066.3859999999</v>
      </c>
      <c r="V186">
        <v>6374207.4400000004</v>
      </c>
      <c r="W186">
        <v>6338505.0089999996</v>
      </c>
      <c r="X186">
        <v>6271022.074</v>
      </c>
      <c r="Y186">
        <v>6244005.6639999999</v>
      </c>
      <c r="Z186">
        <v>6220178.7759999996</v>
      </c>
      <c r="AA186">
        <v>6194611.3380000005</v>
      </c>
      <c r="AB186">
        <v>6003741.9079999998</v>
      </c>
      <c r="AC186">
        <v>5790884.8880000003</v>
      </c>
      <c r="AD186">
        <v>5583520.8609999996</v>
      </c>
      <c r="AE186">
        <v>5376874.4630000005</v>
      </c>
      <c r="AF186">
        <v>5167390.22</v>
      </c>
      <c r="AG186">
        <v>4953780.6129999999</v>
      </c>
      <c r="AH186">
        <v>4734709.4369999999</v>
      </c>
      <c r="AI186">
        <v>4518045.4960000003</v>
      </c>
      <c r="AJ186">
        <v>4284479.6009999998</v>
      </c>
      <c r="AK186">
        <v>4021386.4070000001</v>
      </c>
      <c r="AL186">
        <v>3735293.4219999998</v>
      </c>
      <c r="AM186">
        <v>3403279.0090000001</v>
      </c>
      <c r="AN186">
        <v>3221221.7230000002</v>
      </c>
      <c r="AO186">
        <v>3009324.9929999998</v>
      </c>
      <c r="AP186">
        <v>2767539.7859999998</v>
      </c>
      <c r="AQ186">
        <v>2494949.5520000001</v>
      </c>
      <c r="AR186">
        <v>2181232.6349999998</v>
      </c>
      <c r="AS186">
        <v>2114560.4550000001</v>
      </c>
      <c r="AT186">
        <v>2044267.899</v>
      </c>
      <c r="AU186">
        <v>1968622.567</v>
      </c>
      <c r="AV186">
        <v>1886302.6470000001</v>
      </c>
      <c r="AW186">
        <v>1796681.2720000001</v>
      </c>
    </row>
    <row r="187" spans="2:49" x14ac:dyDescent="0.25">
      <c r="B187" t="s">
        <v>258</v>
      </c>
      <c r="C187">
        <v>2568505.4482754301</v>
      </c>
      <c r="D187">
        <v>2609743.6340541099</v>
      </c>
      <c r="E187">
        <v>2652718.5619999999</v>
      </c>
      <c r="F187">
        <v>2753035.2259999998</v>
      </c>
      <c r="G187">
        <v>2735573.8480000002</v>
      </c>
      <c r="H187">
        <v>2257517.9879999999</v>
      </c>
      <c r="I187">
        <v>2329079.773</v>
      </c>
      <c r="J187">
        <v>2437989.5839999998</v>
      </c>
      <c r="K187">
        <v>2379071.6439999999</v>
      </c>
      <c r="L187">
        <v>2314590.1669999999</v>
      </c>
      <c r="M187">
        <v>2314603.1529999999</v>
      </c>
      <c r="N187">
        <v>2445846.8670000001</v>
      </c>
      <c r="O187">
        <v>2450306.915</v>
      </c>
      <c r="P187">
        <v>2449783.8620000002</v>
      </c>
      <c r="Q187">
        <v>2527284.696</v>
      </c>
      <c r="R187">
        <v>2568730.9389999998</v>
      </c>
      <c r="S187">
        <v>2539852.281</v>
      </c>
      <c r="T187">
        <v>2497412.088</v>
      </c>
      <c r="U187">
        <v>2470748.145</v>
      </c>
      <c r="V187">
        <v>2436563.071</v>
      </c>
      <c r="W187">
        <v>2394724.4679999999</v>
      </c>
      <c r="X187">
        <v>2338932.1179999998</v>
      </c>
      <c r="Y187">
        <v>2306370.54</v>
      </c>
      <c r="Z187">
        <v>2275105.1349999998</v>
      </c>
      <c r="AA187">
        <v>2248029.7769999998</v>
      </c>
      <c r="AB187">
        <v>2223867.85</v>
      </c>
      <c r="AC187">
        <v>2198879.2000000002</v>
      </c>
      <c r="AD187">
        <v>2129007.2659999998</v>
      </c>
      <c r="AE187">
        <v>2055233.862</v>
      </c>
      <c r="AF187">
        <v>1976591.0290000001</v>
      </c>
      <c r="AG187">
        <v>1893154.12</v>
      </c>
      <c r="AH187">
        <v>1804813.2960000001</v>
      </c>
      <c r="AI187">
        <v>1706846.2509999999</v>
      </c>
      <c r="AJ187">
        <v>1600751.13</v>
      </c>
      <c r="AK187">
        <v>1482268.36</v>
      </c>
      <c r="AL187">
        <v>1355842.8870000001</v>
      </c>
      <c r="AM187">
        <v>1212847.595</v>
      </c>
      <c r="AN187">
        <v>1134261.044</v>
      </c>
      <c r="AO187">
        <v>1049172.3589999999</v>
      </c>
      <c r="AP187">
        <v>954410.56960000005</v>
      </c>
      <c r="AQ187">
        <v>850095.62029999995</v>
      </c>
      <c r="AR187">
        <v>733077.0514</v>
      </c>
      <c r="AS187">
        <v>702639.59149999998</v>
      </c>
      <c r="AT187">
        <v>671646.01950000005</v>
      </c>
      <c r="AU187">
        <v>639713.72660000005</v>
      </c>
      <c r="AV187">
        <v>606287.46620000002</v>
      </c>
      <c r="AW187">
        <v>571174.6679</v>
      </c>
    </row>
    <row r="188" spans="2:49" x14ac:dyDescent="0.25">
      <c r="B188" t="s">
        <v>259</v>
      </c>
      <c r="C188">
        <v>12693844.6626458</v>
      </c>
      <c r="D188">
        <v>12897648.444645001</v>
      </c>
      <c r="E188">
        <v>13110035.4</v>
      </c>
      <c r="F188">
        <v>13388703.59</v>
      </c>
      <c r="G188">
        <v>12856888.6</v>
      </c>
      <c r="H188">
        <v>12585155.720000001</v>
      </c>
      <c r="I188">
        <v>12381787.050000001</v>
      </c>
      <c r="J188">
        <v>11819020.970000001</v>
      </c>
      <c r="K188">
        <v>11195465.4</v>
      </c>
      <c r="L188">
        <v>10947884.57</v>
      </c>
      <c r="M188">
        <v>10962823.84</v>
      </c>
      <c r="N188">
        <v>11251215.699999999</v>
      </c>
      <c r="O188">
        <v>10555955.859999999</v>
      </c>
      <c r="P188">
        <v>9815732.1559999995</v>
      </c>
      <c r="Q188">
        <v>9178036.2829999998</v>
      </c>
      <c r="R188">
        <v>8676433.7990000006</v>
      </c>
      <c r="S188">
        <v>8121157.7089999998</v>
      </c>
      <c r="T188">
        <v>8086954.227</v>
      </c>
      <c r="U188">
        <v>8075528.5470000003</v>
      </c>
      <c r="V188">
        <v>7965259.1160000004</v>
      </c>
      <c r="W188">
        <v>6646594.8099999996</v>
      </c>
      <c r="X188">
        <v>5673095.3059999999</v>
      </c>
      <c r="Y188">
        <v>5010918.1730000004</v>
      </c>
      <c r="Z188">
        <v>4471185.4400000004</v>
      </c>
      <c r="AA188">
        <v>4024609.6719999998</v>
      </c>
      <c r="AB188">
        <v>3693786.5410000002</v>
      </c>
      <c r="AC188">
        <v>3410727.5410000002</v>
      </c>
      <c r="AD188">
        <v>3277302.4709999999</v>
      </c>
      <c r="AE188">
        <v>3154809.3080000002</v>
      </c>
      <c r="AF188">
        <v>3026695.537</v>
      </c>
      <c r="AG188">
        <v>2900895.7390000001</v>
      </c>
      <c r="AH188">
        <v>2762975.182</v>
      </c>
      <c r="AI188">
        <v>2598564.6609999998</v>
      </c>
      <c r="AJ188">
        <v>2421994.12</v>
      </c>
      <c r="AK188">
        <v>2230545.6719999998</v>
      </c>
      <c r="AL188">
        <v>2051636.899</v>
      </c>
      <c r="AM188">
        <v>1847862.1</v>
      </c>
      <c r="AN188">
        <v>1715179.7320000001</v>
      </c>
      <c r="AO188">
        <v>1570792.6950000001</v>
      </c>
      <c r="AP188">
        <v>1415417.662</v>
      </c>
      <c r="AQ188">
        <v>1247331.764</v>
      </c>
      <c r="AR188">
        <v>1063291.76</v>
      </c>
      <c r="AS188">
        <v>1020429.122</v>
      </c>
      <c r="AT188">
        <v>976094.84900000005</v>
      </c>
      <c r="AU188">
        <v>929278.92229999998</v>
      </c>
      <c r="AV188">
        <v>879662.63370000001</v>
      </c>
      <c r="AW188">
        <v>826945.77500000002</v>
      </c>
    </row>
    <row r="189" spans="2:49" x14ac:dyDescent="0.25">
      <c r="B189" t="s">
        <v>260</v>
      </c>
      <c r="C189">
        <v>1234344.16589374</v>
      </c>
      <c r="D189">
        <v>1254161.9607370901</v>
      </c>
      <c r="E189">
        <v>1274814.3799999999</v>
      </c>
      <c r="F189">
        <v>1251616.0719999999</v>
      </c>
      <c r="G189">
        <v>1175537.1610000001</v>
      </c>
      <c r="H189">
        <v>1205449.808</v>
      </c>
      <c r="I189">
        <v>1138314.5249999999</v>
      </c>
      <c r="J189">
        <v>1055285.037</v>
      </c>
      <c r="K189">
        <v>989724.51280000003</v>
      </c>
      <c r="L189">
        <v>958040.77190000005</v>
      </c>
      <c r="M189">
        <v>934255.42819999997</v>
      </c>
      <c r="N189">
        <v>928016.19180000003</v>
      </c>
      <c r="O189">
        <v>848575.15630000003</v>
      </c>
      <c r="P189">
        <v>773115.59239999996</v>
      </c>
      <c r="Q189">
        <v>715345.92870000005</v>
      </c>
      <c r="R189">
        <v>668920.54090000002</v>
      </c>
      <c r="S189">
        <v>617953.14679999999</v>
      </c>
      <c r="T189">
        <v>615802.87609999999</v>
      </c>
      <c r="U189">
        <v>616416.40399999998</v>
      </c>
      <c r="V189">
        <v>606543.11580000003</v>
      </c>
      <c r="W189">
        <v>459893.67959999997</v>
      </c>
      <c r="X189">
        <v>366816.6372</v>
      </c>
      <c r="Y189">
        <v>309966.40509999997</v>
      </c>
      <c r="Z189">
        <v>266926.16989999998</v>
      </c>
      <c r="AA189">
        <v>233558.57639999999</v>
      </c>
      <c r="AB189">
        <v>210752.72210000001</v>
      </c>
      <c r="AC189">
        <v>192141.56479999999</v>
      </c>
      <c r="AD189">
        <v>184596.76459999999</v>
      </c>
      <c r="AE189">
        <v>178112.55859999999</v>
      </c>
      <c r="AF189">
        <v>171327.48079999999</v>
      </c>
      <c r="AG189">
        <v>164883.05850000001</v>
      </c>
      <c r="AH189">
        <v>157649.07190000001</v>
      </c>
      <c r="AI189">
        <v>148662.9191</v>
      </c>
      <c r="AJ189">
        <v>138934.9314</v>
      </c>
      <c r="AK189">
        <v>128298.5273</v>
      </c>
      <c r="AL189">
        <v>118994.97169999999</v>
      </c>
      <c r="AM189">
        <v>108150.47629999999</v>
      </c>
      <c r="AN189">
        <v>100646.04700000001</v>
      </c>
      <c r="AO189">
        <v>92322.917530000006</v>
      </c>
      <c r="AP189">
        <v>83309.895470000003</v>
      </c>
      <c r="AQ189">
        <v>73496.570449999999</v>
      </c>
      <c r="AR189">
        <v>62694.781210000001</v>
      </c>
      <c r="AS189">
        <v>60556.632360000003</v>
      </c>
      <c r="AT189">
        <v>58321.369140000003</v>
      </c>
      <c r="AU189">
        <v>55899.377050000003</v>
      </c>
      <c r="AV189">
        <v>53266.951999999997</v>
      </c>
      <c r="AW189">
        <v>50402.181049999999</v>
      </c>
    </row>
    <row r="190" spans="2:49" x14ac:dyDescent="0.25">
      <c r="B190" t="s">
        <v>261</v>
      </c>
      <c r="C190">
        <v>16278955.912495499</v>
      </c>
      <c r="D190">
        <v>16540319.8152481</v>
      </c>
      <c r="E190">
        <v>16805880</v>
      </c>
      <c r="F190">
        <v>16658584.560000001</v>
      </c>
      <c r="G190">
        <v>15812088.699999999</v>
      </c>
      <c r="H190">
        <v>15159741.34</v>
      </c>
      <c r="I190">
        <v>14681762.289999999</v>
      </c>
      <c r="J190">
        <v>12866795.859999999</v>
      </c>
      <c r="K190">
        <v>11218331.49</v>
      </c>
      <c r="L190">
        <v>9849260.1260000002</v>
      </c>
      <c r="M190">
        <v>8809318.5749999899</v>
      </c>
      <c r="N190">
        <v>7951911.9079999998</v>
      </c>
      <c r="O190">
        <v>7207298.3200000003</v>
      </c>
      <c r="P190">
        <v>6479462.9069999997</v>
      </c>
      <c r="Q190">
        <v>5721377.8909999998</v>
      </c>
      <c r="R190">
        <v>5083123.3569999998</v>
      </c>
      <c r="S190">
        <v>4445884.1330000004</v>
      </c>
      <c r="T190">
        <v>5230514.1809999999</v>
      </c>
      <c r="U190">
        <v>5971816.8990000002</v>
      </c>
      <c r="V190">
        <v>6666750.8159999996</v>
      </c>
      <c r="W190">
        <v>7415689.4359999998</v>
      </c>
      <c r="X190">
        <v>8045141.8490000004</v>
      </c>
      <c r="Y190">
        <v>7810169.6699999999</v>
      </c>
      <c r="Z190">
        <v>7586992.0089999996</v>
      </c>
      <c r="AA190">
        <v>7367425.5429999996</v>
      </c>
      <c r="AB190">
        <v>7149639.6679999996</v>
      </c>
      <c r="AC190">
        <v>6923908.3140000002</v>
      </c>
      <c r="AD190">
        <v>6693471.642</v>
      </c>
      <c r="AE190">
        <v>6445155.3420000002</v>
      </c>
      <c r="AF190">
        <v>6174704.159</v>
      </c>
      <c r="AG190">
        <v>5963073.0039999997</v>
      </c>
      <c r="AH190">
        <v>5719405.3550000004</v>
      </c>
      <c r="AI190">
        <v>5572359.591</v>
      </c>
      <c r="AJ190">
        <v>5361592.1809999999</v>
      </c>
      <c r="AK190">
        <v>5076714.3059999999</v>
      </c>
      <c r="AL190">
        <v>4975459.0279999999</v>
      </c>
      <c r="AM190">
        <v>4723046.2740000002</v>
      </c>
      <c r="AN190">
        <v>4653352.4160000002</v>
      </c>
      <c r="AO190">
        <v>4508623.4270000001</v>
      </c>
      <c r="AP190">
        <v>4273584.3779999996</v>
      </c>
      <c r="AQ190">
        <v>3948644.4750000001</v>
      </c>
      <c r="AR190">
        <v>3516054.6359999999</v>
      </c>
      <c r="AS190">
        <v>3136488.5720000002</v>
      </c>
      <c r="AT190">
        <v>2781806.898</v>
      </c>
      <c r="AU190">
        <v>2450647.1269999999</v>
      </c>
      <c r="AV190">
        <v>2141121.4470000002</v>
      </c>
      <c r="AW190">
        <v>1852393.693</v>
      </c>
    </row>
    <row r="191" spans="2:49" x14ac:dyDescent="0.25">
      <c r="B191" t="s">
        <v>262</v>
      </c>
      <c r="C191">
        <v>4315668.6239754204</v>
      </c>
      <c r="D191">
        <v>4384958.0796759203</v>
      </c>
      <c r="E191">
        <v>4455360</v>
      </c>
      <c r="F191">
        <v>4315156.4630000005</v>
      </c>
      <c r="G191">
        <v>4154505.8119999999</v>
      </c>
      <c r="H191">
        <v>3749140.0669999998</v>
      </c>
      <c r="I191">
        <v>3589265.8059999999</v>
      </c>
      <c r="J191">
        <v>3469867.7140000002</v>
      </c>
      <c r="K191">
        <v>3315827.585</v>
      </c>
      <c r="L191">
        <v>3117845.7960000001</v>
      </c>
      <c r="M191">
        <v>2920674.2829999998</v>
      </c>
      <c r="N191">
        <v>2702223.7420000001</v>
      </c>
      <c r="O191">
        <v>2368229.855</v>
      </c>
      <c r="P191">
        <v>2096270.923</v>
      </c>
      <c r="Q191">
        <v>1850410.49</v>
      </c>
      <c r="R191">
        <v>1551977.4979999999</v>
      </c>
      <c r="S191">
        <v>1243247.9669999999</v>
      </c>
      <c r="T191">
        <v>1548925.8629999999</v>
      </c>
      <c r="U191">
        <v>1920194.997</v>
      </c>
      <c r="V191">
        <v>2286299.6749999998</v>
      </c>
      <c r="W191">
        <v>1699140.713</v>
      </c>
      <c r="X191">
        <v>1031953.399</v>
      </c>
      <c r="Y191">
        <v>758530.35620000004</v>
      </c>
      <c r="Z191">
        <v>521860.96730000002</v>
      </c>
      <c r="AA191">
        <v>297414.17320000002</v>
      </c>
      <c r="AB191">
        <v>250221.62719999999</v>
      </c>
      <c r="AC191">
        <v>216790.73579999999</v>
      </c>
      <c r="AD191">
        <v>205578.31640000001</v>
      </c>
      <c r="AE191">
        <v>196489.64989999999</v>
      </c>
      <c r="AF191">
        <v>187245.0135</v>
      </c>
      <c r="AG191">
        <v>171299.1139</v>
      </c>
      <c r="AH191">
        <v>155059.49789999999</v>
      </c>
      <c r="AI191">
        <v>120369.3523</v>
      </c>
      <c r="AJ191">
        <v>86828.02162</v>
      </c>
      <c r="AK191">
        <v>56394.279560000003</v>
      </c>
      <c r="AL191">
        <v>53114.643799999998</v>
      </c>
      <c r="AM191">
        <v>50678.875</v>
      </c>
      <c r="AN191">
        <v>46295.084009999999</v>
      </c>
      <c r="AO191">
        <v>41392.603640000001</v>
      </c>
      <c r="AP191">
        <v>36323.984579999997</v>
      </c>
      <c r="AQ191">
        <v>31145.319950000001</v>
      </c>
      <c r="AR191">
        <v>25807.921310000002</v>
      </c>
      <c r="AS191">
        <v>24664.22495</v>
      </c>
      <c r="AT191">
        <v>23576.588629999998</v>
      </c>
      <c r="AU191">
        <v>22444.526310000001</v>
      </c>
      <c r="AV191">
        <v>21247.1067</v>
      </c>
      <c r="AW191">
        <v>19978.89716</v>
      </c>
    </row>
    <row r="192" spans="2:49" x14ac:dyDescent="0.25">
      <c r="B192" t="s">
        <v>263</v>
      </c>
      <c r="C192">
        <v>4315668.6239754204</v>
      </c>
      <c r="D192">
        <v>4384958.0796759203</v>
      </c>
      <c r="E192">
        <v>4455360</v>
      </c>
      <c r="F192">
        <v>4315156.4630000005</v>
      </c>
      <c r="G192">
        <v>4154505.8119999999</v>
      </c>
      <c r="H192">
        <v>3749140.0669999998</v>
      </c>
      <c r="I192">
        <v>3589265.8059999999</v>
      </c>
      <c r="J192">
        <v>3469867.7140000002</v>
      </c>
      <c r="K192">
        <v>3315827.585</v>
      </c>
      <c r="L192">
        <v>3117845.7960000001</v>
      </c>
      <c r="M192">
        <v>2920674.2829999998</v>
      </c>
      <c r="N192">
        <v>2702223.7420000001</v>
      </c>
      <c r="O192">
        <v>2368229.855</v>
      </c>
      <c r="P192">
        <v>2096270.923</v>
      </c>
      <c r="Q192">
        <v>1850410.49</v>
      </c>
      <c r="R192">
        <v>1551977.4979999999</v>
      </c>
      <c r="S192">
        <v>1243247.9669999999</v>
      </c>
      <c r="T192">
        <v>1548925.8629999999</v>
      </c>
      <c r="U192">
        <v>1920194.997</v>
      </c>
      <c r="V192">
        <v>2286299.6749999998</v>
      </c>
      <c r="W192">
        <v>1699140.713</v>
      </c>
      <c r="X192">
        <v>1031953.399</v>
      </c>
      <c r="Y192">
        <v>758530.35620000004</v>
      </c>
      <c r="Z192">
        <v>521860.96730000002</v>
      </c>
      <c r="AA192">
        <v>297414.17320000002</v>
      </c>
      <c r="AB192">
        <v>250221.62719999999</v>
      </c>
      <c r="AC192">
        <v>216790.73579999999</v>
      </c>
      <c r="AD192">
        <v>205578.31640000001</v>
      </c>
      <c r="AE192">
        <v>196489.64989999999</v>
      </c>
      <c r="AF192">
        <v>187245.0135</v>
      </c>
      <c r="AG192">
        <v>171299.1139</v>
      </c>
      <c r="AH192">
        <v>155059.49789999999</v>
      </c>
      <c r="AI192">
        <v>120369.3523</v>
      </c>
      <c r="AJ192">
        <v>86828.02162</v>
      </c>
      <c r="AK192">
        <v>56394.279560000003</v>
      </c>
      <c r="AL192">
        <v>53114.643799999998</v>
      </c>
      <c r="AM192">
        <v>50678.875</v>
      </c>
      <c r="AN192">
        <v>46295.084009999999</v>
      </c>
      <c r="AO192">
        <v>41392.603640000001</v>
      </c>
      <c r="AP192">
        <v>36323.984579999997</v>
      </c>
      <c r="AQ192">
        <v>31145.319950000001</v>
      </c>
      <c r="AR192">
        <v>25807.921310000002</v>
      </c>
      <c r="AS192">
        <v>24664.22495</v>
      </c>
      <c r="AT192">
        <v>23576.588629999998</v>
      </c>
      <c r="AU192">
        <v>22444.526310000001</v>
      </c>
      <c r="AV192">
        <v>21247.1067</v>
      </c>
      <c r="AW192">
        <v>19978.89716</v>
      </c>
    </row>
    <row r="193" spans="2:49" x14ac:dyDescent="0.25">
      <c r="B193" t="s">
        <v>264</v>
      </c>
      <c r="C193">
        <v>8232235.5397947598</v>
      </c>
      <c r="D193">
        <v>8364406.7441781899</v>
      </c>
      <c r="E193">
        <v>8498700</v>
      </c>
      <c r="F193">
        <v>8429925.4890000001</v>
      </c>
      <c r="G193">
        <v>8355638.3880000003</v>
      </c>
      <c r="H193">
        <v>7766801.6179999998</v>
      </c>
      <c r="I193">
        <v>7658938.3260000004</v>
      </c>
      <c r="J193">
        <v>7626227.5130000003</v>
      </c>
      <c r="K193">
        <v>7505918.8530000001</v>
      </c>
      <c r="L193">
        <v>7268829.8540000003</v>
      </c>
      <c r="M193">
        <v>7012542.523</v>
      </c>
      <c r="N193">
        <v>6681628.2869999995</v>
      </c>
      <c r="O193">
        <v>7007460.4519999996</v>
      </c>
      <c r="P193">
        <v>7598231.5449999999</v>
      </c>
      <c r="Q193">
        <v>8363432.767</v>
      </c>
      <c r="R193">
        <v>8969693.3780000005</v>
      </c>
      <c r="S193">
        <v>9553832.18899999</v>
      </c>
      <c r="T193">
        <v>8837295.6270000003</v>
      </c>
      <c r="U193">
        <v>8046110.5360000003</v>
      </c>
      <c r="V193">
        <v>7207122.7290000003</v>
      </c>
      <c r="W193">
        <v>7835652.1720000003</v>
      </c>
      <c r="X193">
        <v>8360161.3969999999</v>
      </c>
      <c r="Y193">
        <v>7822089.4730000002</v>
      </c>
      <c r="Z193">
        <v>7215705.3399999999</v>
      </c>
      <c r="AA193">
        <v>6635220.1600000001</v>
      </c>
      <c r="AB193">
        <v>6133877.4929999998</v>
      </c>
      <c r="AC193">
        <v>5665694.1179999998</v>
      </c>
      <c r="AD193">
        <v>4838895.51</v>
      </c>
      <c r="AE193">
        <v>4072940.5630000001</v>
      </c>
      <c r="AF193">
        <v>3374203.1069999998</v>
      </c>
      <c r="AG193">
        <v>2836775.8330000001</v>
      </c>
      <c r="AH193">
        <v>2354320.7710000002</v>
      </c>
      <c r="AI193">
        <v>1770724.7339999999</v>
      </c>
      <c r="AJ193">
        <v>1253502.746</v>
      </c>
      <c r="AK193">
        <v>811294.42229999998</v>
      </c>
      <c r="AL193">
        <v>603271.01060000004</v>
      </c>
      <c r="AM193">
        <v>287381.94270000001</v>
      </c>
      <c r="AN193">
        <v>240426.37539999999</v>
      </c>
      <c r="AO193">
        <v>214101.46830000001</v>
      </c>
      <c r="AP193">
        <v>185345.3572</v>
      </c>
      <c r="AQ193">
        <v>152329.87760000001</v>
      </c>
      <c r="AR193">
        <v>114949.4896</v>
      </c>
      <c r="AS193">
        <v>140707.90669999999</v>
      </c>
      <c r="AT193">
        <v>167682.26019999999</v>
      </c>
      <c r="AU193">
        <v>195875.18</v>
      </c>
      <c r="AV193">
        <v>225195.18650000001</v>
      </c>
      <c r="AW193">
        <v>255612.8799</v>
      </c>
    </row>
    <row r="194" spans="2:49" x14ac:dyDescent="0.25">
      <c r="B194" t="s">
        <v>265</v>
      </c>
      <c r="C194">
        <v>20174774.421468802</v>
      </c>
      <c r="D194">
        <v>20498686.950521201</v>
      </c>
      <c r="E194">
        <v>20827800</v>
      </c>
      <c r="F194">
        <v>19739636.949999999</v>
      </c>
      <c r="G194">
        <v>18547002.100000001</v>
      </c>
      <c r="H194">
        <v>16329994.84</v>
      </c>
      <c r="I194">
        <v>15253129.1</v>
      </c>
      <c r="J194">
        <v>14387147.84</v>
      </c>
      <c r="K194">
        <v>13414418.9</v>
      </c>
      <c r="L194">
        <v>12307263.810000001</v>
      </c>
      <c r="M194">
        <v>11249284.23</v>
      </c>
      <c r="N194">
        <v>10155588.609999999</v>
      </c>
      <c r="O194">
        <v>8597880.16599999</v>
      </c>
      <c r="P194">
        <v>7264500.2850000001</v>
      </c>
      <c r="Q194">
        <v>6001005.7359999996</v>
      </c>
      <c r="R194">
        <v>4543967.2010000004</v>
      </c>
      <c r="S194">
        <v>3040926.6150000002</v>
      </c>
      <c r="T194">
        <v>2793014.3760000002</v>
      </c>
      <c r="U194">
        <v>2646796.446</v>
      </c>
      <c r="V194">
        <v>2511642.202</v>
      </c>
      <c r="W194">
        <v>1680413.1370000001</v>
      </c>
      <c r="X194">
        <v>791892.41489999997</v>
      </c>
      <c r="Y194">
        <v>578273.6422</v>
      </c>
      <c r="Z194">
        <v>409133.44349999999</v>
      </c>
      <c r="AA194">
        <v>246625.3947</v>
      </c>
      <c r="AB194">
        <v>233369.98920000001</v>
      </c>
      <c r="AC194">
        <v>231795.3547</v>
      </c>
      <c r="AD194">
        <v>197062.66390000001</v>
      </c>
      <c r="AE194">
        <v>158849.93770000001</v>
      </c>
      <c r="AF194">
        <v>120080.56789999999</v>
      </c>
      <c r="AG194">
        <v>112626.05710000001</v>
      </c>
      <c r="AH194">
        <v>107934.0003</v>
      </c>
      <c r="AI194">
        <v>107405.4463</v>
      </c>
      <c r="AJ194">
        <v>107344.0837</v>
      </c>
      <c r="AK194">
        <v>107290.1988</v>
      </c>
      <c r="AL194">
        <v>107609.3726</v>
      </c>
      <c r="AM194">
        <v>107824.25440000001</v>
      </c>
      <c r="AN194">
        <v>107991.4672</v>
      </c>
      <c r="AO194">
        <v>108158.9991</v>
      </c>
      <c r="AP194">
        <v>108227.04210000001</v>
      </c>
      <c r="AQ194">
        <v>108246.42200000001</v>
      </c>
      <c r="AR194">
        <v>108198.1678</v>
      </c>
      <c r="AS194">
        <v>108447.3734</v>
      </c>
      <c r="AT194">
        <v>108736.32950000001</v>
      </c>
      <c r="AU194">
        <v>109000.9372</v>
      </c>
      <c r="AV194">
        <v>109216.9633</v>
      </c>
      <c r="AW194">
        <v>109397.86960000001</v>
      </c>
    </row>
    <row r="195" spans="2:49" x14ac:dyDescent="0.25">
      <c r="B195" t="s">
        <v>266</v>
      </c>
      <c r="C195">
        <v>463787.91773491597</v>
      </c>
      <c r="D195">
        <v>471234.182770602</v>
      </c>
      <c r="E195">
        <v>478800</v>
      </c>
      <c r="F195">
        <v>479393.00469999999</v>
      </c>
      <c r="G195">
        <v>463427.99369999999</v>
      </c>
      <c r="H195">
        <v>440917.91529999999</v>
      </c>
      <c r="I195">
        <v>447606.68329999998</v>
      </c>
      <c r="J195">
        <v>465319.94620000001</v>
      </c>
      <c r="K195">
        <v>466244.37770000001</v>
      </c>
      <c r="L195">
        <v>476511.55719999998</v>
      </c>
      <c r="M195">
        <v>499244.01789999998</v>
      </c>
      <c r="N195">
        <v>532647.17150000005</v>
      </c>
      <c r="O195">
        <v>509005.86050000001</v>
      </c>
      <c r="P195">
        <v>472867.05540000001</v>
      </c>
      <c r="Q195">
        <v>416216.29369999998</v>
      </c>
      <c r="R195">
        <v>368841.25520000001</v>
      </c>
      <c r="S195">
        <v>327394.4999</v>
      </c>
      <c r="T195">
        <v>304599.29790000001</v>
      </c>
      <c r="U195">
        <v>282899.3187</v>
      </c>
      <c r="V195">
        <v>263845.71899999998</v>
      </c>
      <c r="W195">
        <v>252946.78969999999</v>
      </c>
      <c r="X195">
        <v>241967.4106</v>
      </c>
      <c r="Y195">
        <v>230590.7868</v>
      </c>
      <c r="Z195">
        <v>220350.22949999999</v>
      </c>
      <c r="AA195">
        <v>210037.19680000001</v>
      </c>
      <c r="AB195">
        <v>196886.6446</v>
      </c>
      <c r="AC195">
        <v>184014.95120000001</v>
      </c>
      <c r="AD195">
        <v>174809.8939</v>
      </c>
      <c r="AE195">
        <v>163948.95430000001</v>
      </c>
      <c r="AF195">
        <v>151581.1624</v>
      </c>
      <c r="AG195">
        <v>141759.81299999999</v>
      </c>
      <c r="AH195">
        <v>131949.2034</v>
      </c>
      <c r="AI195">
        <v>121625.086</v>
      </c>
      <c r="AJ195">
        <v>111493.30190000001</v>
      </c>
      <c r="AK195">
        <v>101394.48669999999</v>
      </c>
      <c r="AL195">
        <v>94472.228260000004</v>
      </c>
      <c r="AM195">
        <v>80968.065530000007</v>
      </c>
      <c r="AN195">
        <v>81563.885399999999</v>
      </c>
      <c r="AO195">
        <v>78650.304000000004</v>
      </c>
      <c r="AP195">
        <v>72211.943589999995</v>
      </c>
      <c r="AQ195">
        <v>62416.240489999996</v>
      </c>
      <c r="AR195">
        <v>49264.591699999997</v>
      </c>
      <c r="AS195">
        <v>45546.765729999999</v>
      </c>
      <c r="AT195">
        <v>38541.594429999997</v>
      </c>
      <c r="AU195">
        <v>28475.388729999999</v>
      </c>
      <c r="AV195">
        <v>15560.54952</v>
      </c>
      <c r="AW195">
        <v>2441.520266</v>
      </c>
    </row>
    <row r="196" spans="2:49" x14ac:dyDescent="0.25">
      <c r="B196" s="274" t="s">
        <v>267</v>
      </c>
      <c r="C196">
        <v>748170.71461916296</v>
      </c>
      <c r="D196">
        <v>760182.83744504896</v>
      </c>
      <c r="E196">
        <v>772387.81880000001</v>
      </c>
      <c r="F196">
        <v>782926.54749999999</v>
      </c>
      <c r="G196">
        <v>744112.22820000001</v>
      </c>
      <c r="H196">
        <v>730157.02740000002</v>
      </c>
      <c r="I196">
        <v>757218.15969999996</v>
      </c>
      <c r="J196">
        <v>727996.23609999998</v>
      </c>
      <c r="K196">
        <v>696780.99659999995</v>
      </c>
      <c r="L196">
        <v>657039.05740000005</v>
      </c>
      <c r="M196">
        <v>674562.72369999997</v>
      </c>
      <c r="N196">
        <v>670271.23049999995</v>
      </c>
      <c r="O196">
        <v>669000.21389999997</v>
      </c>
      <c r="P196">
        <v>675128.51150000002</v>
      </c>
      <c r="Q196">
        <v>634385.99419999996</v>
      </c>
      <c r="R196">
        <v>617051.17000000004</v>
      </c>
      <c r="S196">
        <v>614806.17429999996</v>
      </c>
      <c r="T196">
        <v>597801.54890000005</v>
      </c>
      <c r="U196">
        <v>580883.27980000002</v>
      </c>
      <c r="V196">
        <v>572213.1324</v>
      </c>
      <c r="W196">
        <v>584787.43359999999</v>
      </c>
      <c r="X196">
        <v>580579.63870000001</v>
      </c>
      <c r="Y196">
        <v>560574.07090000005</v>
      </c>
      <c r="Z196">
        <v>544538.12809999997</v>
      </c>
      <c r="AA196">
        <v>528870.696</v>
      </c>
      <c r="AB196">
        <v>513026.07870000001</v>
      </c>
      <c r="AC196">
        <v>496366.26939999999</v>
      </c>
      <c r="AD196">
        <v>455116.58250000002</v>
      </c>
      <c r="AE196">
        <v>413228.98070000001</v>
      </c>
      <c r="AF196">
        <v>370408.33730000001</v>
      </c>
      <c r="AG196">
        <v>347916.02759999997</v>
      </c>
      <c r="AH196">
        <v>325475.33840000001</v>
      </c>
      <c r="AI196">
        <v>301807.99430000002</v>
      </c>
      <c r="AJ196">
        <v>278200.5294</v>
      </c>
      <c r="AK196">
        <v>254103.7371</v>
      </c>
      <c r="AL196">
        <v>299076.6888</v>
      </c>
      <c r="AM196">
        <v>342323.45880000002</v>
      </c>
      <c r="AN196">
        <v>300902.18280000001</v>
      </c>
      <c r="AO196">
        <v>258997.98079999999</v>
      </c>
      <c r="AP196">
        <v>215237.13740000001</v>
      </c>
      <c r="AQ196">
        <v>170259.29370000001</v>
      </c>
      <c r="AR196">
        <v>124027.84080000001</v>
      </c>
      <c r="AS196">
        <v>146299.23499999999</v>
      </c>
      <c r="AT196">
        <v>168519.89420000001</v>
      </c>
      <c r="AU196">
        <v>190799.24100000001</v>
      </c>
      <c r="AV196">
        <v>213091.46859999999</v>
      </c>
      <c r="AW196">
        <v>235448.80790000001</v>
      </c>
    </row>
    <row r="197" spans="2:49" x14ac:dyDescent="0.25">
      <c r="B197" s="274" t="s">
        <v>268</v>
      </c>
      <c r="C197">
        <v>5051155.6907064496</v>
      </c>
      <c r="D197">
        <v>5132253.62916335</v>
      </c>
      <c r="E197">
        <v>5214653.6210000003</v>
      </c>
      <c r="F197">
        <v>5247941.1540000001</v>
      </c>
      <c r="G197">
        <v>4938992.2</v>
      </c>
      <c r="H197">
        <v>4804060.375</v>
      </c>
      <c r="I197">
        <v>4767569.7939999998</v>
      </c>
      <c r="J197">
        <v>4676623.1950000003</v>
      </c>
      <c r="K197">
        <v>4371331.8909999998</v>
      </c>
      <c r="L197">
        <v>4177126.6349999998</v>
      </c>
      <c r="M197">
        <v>4160155.8309999998</v>
      </c>
      <c r="N197">
        <v>4106825.1809999999</v>
      </c>
      <c r="O197">
        <v>4079566.9789999998</v>
      </c>
      <c r="P197">
        <v>4078309.0639999998</v>
      </c>
      <c r="Q197">
        <v>3893871.7059999998</v>
      </c>
      <c r="R197">
        <v>3757853.253</v>
      </c>
      <c r="S197">
        <v>3757356.2069999999</v>
      </c>
      <c r="T197">
        <v>3623867.8730000001</v>
      </c>
      <c r="U197">
        <v>3513766.3080000002</v>
      </c>
      <c r="V197">
        <v>3431280.1740000001</v>
      </c>
      <c r="W197">
        <v>2827569.827</v>
      </c>
      <c r="X197">
        <v>2282850.9079999998</v>
      </c>
      <c r="Y197">
        <v>1852034.0970000001</v>
      </c>
      <c r="Z197">
        <v>1545759.72</v>
      </c>
      <c r="AA197">
        <v>1313893.777</v>
      </c>
      <c r="AB197">
        <v>1131559.905</v>
      </c>
      <c r="AC197">
        <v>982897.27170000004</v>
      </c>
      <c r="AD197">
        <v>883336.07649999997</v>
      </c>
      <c r="AE197">
        <v>801729.87040000001</v>
      </c>
      <c r="AF197">
        <v>721646.35450000002</v>
      </c>
      <c r="AG197">
        <v>683815.93599999999</v>
      </c>
      <c r="AH197">
        <v>644558.8517</v>
      </c>
      <c r="AI197">
        <v>601940.37939999998</v>
      </c>
      <c r="AJ197">
        <v>559665.55130000005</v>
      </c>
      <c r="AK197">
        <v>515896.83730000001</v>
      </c>
      <c r="AL197">
        <v>619801.01690000005</v>
      </c>
      <c r="AM197">
        <v>725088.8554</v>
      </c>
      <c r="AN197">
        <v>640163.69550000003</v>
      </c>
      <c r="AO197">
        <v>552930.95140000002</v>
      </c>
      <c r="AP197">
        <v>461621.29790000001</v>
      </c>
      <c r="AQ197">
        <v>366894.17580000003</v>
      </c>
      <c r="AR197">
        <v>268547.79100000003</v>
      </c>
      <c r="AS197">
        <v>321251.24410000001</v>
      </c>
      <c r="AT197">
        <v>374841.85580000002</v>
      </c>
      <c r="AU197">
        <v>429611.80099999998</v>
      </c>
      <c r="AV197">
        <v>485539.01299999998</v>
      </c>
      <c r="AW197">
        <v>542657.20660000003</v>
      </c>
    </row>
    <row r="198" spans="2:49" x14ac:dyDescent="0.25">
      <c r="B198" s="274" t="s">
        <v>269</v>
      </c>
      <c r="C198">
        <v>738109.45702439197</v>
      </c>
      <c r="D198">
        <v>749960.04310518701</v>
      </c>
      <c r="E198">
        <v>762000.89419999998</v>
      </c>
      <c r="F198">
        <v>807537.05989999999</v>
      </c>
      <c r="G198">
        <v>756804.08519999997</v>
      </c>
      <c r="H198">
        <v>642543.93759999995</v>
      </c>
      <c r="I198">
        <v>697946.98589999997</v>
      </c>
      <c r="J198">
        <v>684965.73840000003</v>
      </c>
      <c r="K198">
        <v>649921.59869999997</v>
      </c>
      <c r="L198">
        <v>633464.88470000005</v>
      </c>
      <c r="M198">
        <v>646322.35869999998</v>
      </c>
      <c r="N198">
        <v>683684.60369999998</v>
      </c>
      <c r="O198">
        <v>674627.26569999999</v>
      </c>
      <c r="P198">
        <v>666398.85089999996</v>
      </c>
      <c r="Q198">
        <v>613641.50159999996</v>
      </c>
      <c r="R198">
        <v>584573.57759999996</v>
      </c>
      <c r="S198">
        <v>534822.97389999998</v>
      </c>
      <c r="T198">
        <v>504626.22830000002</v>
      </c>
      <c r="U198">
        <v>486221.03279999999</v>
      </c>
      <c r="V198">
        <v>482078.842</v>
      </c>
      <c r="W198">
        <v>365104.48680000001</v>
      </c>
      <c r="X198">
        <v>271491.79229999997</v>
      </c>
      <c r="Y198">
        <v>203983.48929999999</v>
      </c>
      <c r="Z198">
        <v>159947.90760000001</v>
      </c>
      <c r="AA198">
        <v>128504.8003</v>
      </c>
      <c r="AB198">
        <v>104834.6424</v>
      </c>
      <c r="AC198">
        <v>86722.494680000003</v>
      </c>
      <c r="AD198">
        <v>75680.032040000006</v>
      </c>
      <c r="AE198">
        <v>67234.627049999996</v>
      </c>
      <c r="AF198">
        <v>59583.401180000001</v>
      </c>
      <c r="AG198">
        <v>55805.05025</v>
      </c>
      <c r="AH198">
        <v>52197.127800000002</v>
      </c>
      <c r="AI198">
        <v>48713.400549999998</v>
      </c>
      <c r="AJ198">
        <v>45090.016230000001</v>
      </c>
      <c r="AK198">
        <v>41255.289980000001</v>
      </c>
      <c r="AL198">
        <v>49190.966919999999</v>
      </c>
      <c r="AM198">
        <v>56971.453249999999</v>
      </c>
      <c r="AN198">
        <v>49844.590100000001</v>
      </c>
      <c r="AO198">
        <v>42666.610930000003</v>
      </c>
      <c r="AP198">
        <v>35249.792809999999</v>
      </c>
      <c r="AQ198">
        <v>27750.65281</v>
      </c>
      <c r="AR198">
        <v>20206.220549999998</v>
      </c>
      <c r="AS198">
        <v>23979.96285</v>
      </c>
      <c r="AT198">
        <v>27775.41131</v>
      </c>
      <c r="AU198">
        <v>31589.572380000001</v>
      </c>
      <c r="AV198">
        <v>35409.88839</v>
      </c>
      <c r="AW198">
        <v>39197.044349999996</v>
      </c>
    </row>
    <row r="199" spans="2:49" x14ac:dyDescent="0.25">
      <c r="B199" s="274" t="s">
        <v>270</v>
      </c>
      <c r="C199">
        <v>1453742.3069470399</v>
      </c>
      <c r="D199">
        <v>1477082.6099113501</v>
      </c>
      <c r="E199">
        <v>1500797.649</v>
      </c>
      <c r="F199">
        <v>1490658.3670000001</v>
      </c>
      <c r="G199">
        <v>1346665.8659999999</v>
      </c>
      <c r="H199">
        <v>1139656.862</v>
      </c>
      <c r="I199">
        <v>1151827.8419999999</v>
      </c>
      <c r="J199">
        <v>1246502.078</v>
      </c>
      <c r="K199">
        <v>1108611.2390000001</v>
      </c>
      <c r="L199">
        <v>1036633.186</v>
      </c>
      <c r="M199">
        <v>1039330.2659999999</v>
      </c>
      <c r="N199">
        <v>1029217.107</v>
      </c>
      <c r="O199">
        <v>1080021.193</v>
      </c>
      <c r="P199">
        <v>1120650.838</v>
      </c>
      <c r="Q199">
        <v>1102604.504</v>
      </c>
      <c r="R199">
        <v>1079902.996</v>
      </c>
      <c r="S199">
        <v>1062274.145</v>
      </c>
      <c r="T199">
        <v>1018779.75</v>
      </c>
      <c r="U199">
        <v>970763.22860000003</v>
      </c>
      <c r="V199">
        <v>931114.83700000006</v>
      </c>
      <c r="W199">
        <v>830690.65009999997</v>
      </c>
      <c r="X199">
        <v>722034.68810000003</v>
      </c>
      <c r="Y199">
        <v>645978.52679999999</v>
      </c>
      <c r="Z199">
        <v>600496.21490000002</v>
      </c>
      <c r="AA199">
        <v>572473.21189999999</v>
      </c>
      <c r="AB199">
        <v>556414.43310000002</v>
      </c>
      <c r="AC199">
        <v>549843.4841</v>
      </c>
      <c r="AD199">
        <v>492340.8959</v>
      </c>
      <c r="AE199">
        <v>444156.76949999999</v>
      </c>
      <c r="AF199">
        <v>397186.24849999999</v>
      </c>
      <c r="AG199">
        <v>373597.45370000001</v>
      </c>
      <c r="AH199">
        <v>349449.728</v>
      </c>
      <c r="AI199">
        <v>324111.75559999997</v>
      </c>
      <c r="AJ199">
        <v>299046.4767</v>
      </c>
      <c r="AK199">
        <v>273583.02039999998</v>
      </c>
      <c r="AL199">
        <v>325299.93349999998</v>
      </c>
      <c r="AM199">
        <v>376473.60800000001</v>
      </c>
      <c r="AN199">
        <v>329217.56290000002</v>
      </c>
      <c r="AO199">
        <v>281781.1434</v>
      </c>
      <c r="AP199">
        <v>233310.6612</v>
      </c>
      <c r="AQ199">
        <v>184148.3026</v>
      </c>
      <c r="AR199">
        <v>134056.0814</v>
      </c>
      <c r="AS199">
        <v>158738.54240000001</v>
      </c>
      <c r="AT199">
        <v>183211.91680000001</v>
      </c>
      <c r="AU199">
        <v>207595.74400000001</v>
      </c>
      <c r="AV199">
        <v>231868.49040000001</v>
      </c>
      <c r="AW199">
        <v>256036.21160000001</v>
      </c>
    </row>
    <row r="200" spans="2:49" x14ac:dyDescent="0.25">
      <c r="B200" s="274" t="s">
        <v>271</v>
      </c>
      <c r="C200">
        <v>1819036.8432423901</v>
      </c>
      <c r="D200">
        <v>1848242.0681447799</v>
      </c>
      <c r="E200">
        <v>1877916.192</v>
      </c>
      <c r="F200">
        <v>1868145.696</v>
      </c>
      <c r="G200">
        <v>1701660.5190000001</v>
      </c>
      <c r="H200">
        <v>1421610.149</v>
      </c>
      <c r="I200">
        <v>1466931.575</v>
      </c>
      <c r="J200">
        <v>1614280.6059999999</v>
      </c>
      <c r="K200">
        <v>1437624.1129999999</v>
      </c>
      <c r="L200">
        <v>1341088.298</v>
      </c>
      <c r="M200">
        <v>1339586.0970000001</v>
      </c>
      <c r="N200">
        <v>1308918.47</v>
      </c>
      <c r="O200">
        <v>1405372.1070000001</v>
      </c>
      <c r="P200">
        <v>1506169.5009999999</v>
      </c>
      <c r="Q200">
        <v>1521129.845</v>
      </c>
      <c r="R200">
        <v>1520865.6910000001</v>
      </c>
      <c r="S200">
        <v>1529369.943</v>
      </c>
      <c r="T200">
        <v>1501741.97</v>
      </c>
      <c r="U200">
        <v>1433263.3370000001</v>
      </c>
      <c r="V200">
        <v>1396266.1140000001</v>
      </c>
      <c r="W200">
        <v>1166498.551</v>
      </c>
      <c r="X200">
        <v>955389.16729999997</v>
      </c>
      <c r="Y200">
        <v>786086.58860000002</v>
      </c>
      <c r="Z200">
        <v>665877.87730000005</v>
      </c>
      <c r="AA200">
        <v>572334.99069999997</v>
      </c>
      <c r="AB200">
        <v>496550.13919999998</v>
      </c>
      <c r="AC200">
        <v>435251.5822</v>
      </c>
      <c r="AD200">
        <v>391035.04790000001</v>
      </c>
      <c r="AE200">
        <v>351875.77850000001</v>
      </c>
      <c r="AF200">
        <v>313643.9999</v>
      </c>
      <c r="AG200">
        <v>294114.67580000003</v>
      </c>
      <c r="AH200">
        <v>274817.68109999999</v>
      </c>
      <c r="AI200">
        <v>254720.1526</v>
      </c>
      <c r="AJ200">
        <v>234445.26550000001</v>
      </c>
      <c r="AK200">
        <v>214294.33919999999</v>
      </c>
      <c r="AL200">
        <v>254778.8602</v>
      </c>
      <c r="AM200">
        <v>295222.05810000002</v>
      </c>
      <c r="AN200">
        <v>258902.5784</v>
      </c>
      <c r="AO200">
        <v>221691.29</v>
      </c>
      <c r="AP200">
        <v>183514.5061</v>
      </c>
      <c r="AQ200">
        <v>144989.166</v>
      </c>
      <c r="AR200">
        <v>105481.6609</v>
      </c>
      <c r="AS200">
        <v>124785.0166</v>
      </c>
      <c r="AT200">
        <v>144318.36569999999</v>
      </c>
      <c r="AU200">
        <v>163890.54689999999</v>
      </c>
      <c r="AV200">
        <v>183465.97010000001</v>
      </c>
      <c r="AW200">
        <v>203384.90969999999</v>
      </c>
    </row>
    <row r="201" spans="2:49" x14ac:dyDescent="0.25">
      <c r="B201" s="274" t="s">
        <v>272</v>
      </c>
      <c r="C201">
        <v>2313078.33193391</v>
      </c>
      <c r="D201">
        <v>2350215.5527395001</v>
      </c>
      <c r="E201">
        <v>2387949.0240000002</v>
      </c>
      <c r="F201">
        <v>2353364.7919999999</v>
      </c>
      <c r="G201">
        <v>2172721.1340000001</v>
      </c>
      <c r="H201">
        <v>1906782.426</v>
      </c>
      <c r="I201">
        <v>1985324.3389999999</v>
      </c>
      <c r="J201">
        <v>1856404.493</v>
      </c>
      <c r="K201">
        <v>1674737.808</v>
      </c>
      <c r="L201">
        <v>1612073.45</v>
      </c>
      <c r="M201">
        <v>1572983.92</v>
      </c>
      <c r="N201">
        <v>1585533.7050000001</v>
      </c>
      <c r="O201">
        <v>1642813.192</v>
      </c>
      <c r="P201">
        <v>1681631.2209999999</v>
      </c>
      <c r="Q201">
        <v>1667407.405</v>
      </c>
      <c r="R201">
        <v>1630120.4790000001</v>
      </c>
      <c r="S201">
        <v>1637268.7220000001</v>
      </c>
      <c r="T201">
        <v>1587806.4180000001</v>
      </c>
      <c r="U201">
        <v>1515406.084</v>
      </c>
      <c r="V201">
        <v>1456259.503</v>
      </c>
      <c r="W201">
        <v>1254886.6629999999</v>
      </c>
      <c r="X201">
        <v>1055614.135</v>
      </c>
      <c r="Y201">
        <v>909009.66429999995</v>
      </c>
      <c r="Z201">
        <v>814374.46629999997</v>
      </c>
      <c r="AA201">
        <v>748202.53280000004</v>
      </c>
      <c r="AB201">
        <v>701690.40300000005</v>
      </c>
      <c r="AC201">
        <v>670267.76159999997</v>
      </c>
      <c r="AD201">
        <v>601038.48629999999</v>
      </c>
      <c r="AE201">
        <v>543316.89179999998</v>
      </c>
      <c r="AF201">
        <v>487049.08980000002</v>
      </c>
      <c r="AG201">
        <v>459730.25180000003</v>
      </c>
      <c r="AH201">
        <v>431494.97830000002</v>
      </c>
      <c r="AI201">
        <v>401486.21139999997</v>
      </c>
      <c r="AJ201">
        <v>371787.84210000001</v>
      </c>
      <c r="AK201">
        <v>341552.75650000002</v>
      </c>
      <c r="AL201">
        <v>408535.25089999998</v>
      </c>
      <c r="AM201">
        <v>475975.14559999999</v>
      </c>
      <c r="AN201">
        <v>418480.82870000001</v>
      </c>
      <c r="AO201">
        <v>359991.3726</v>
      </c>
      <c r="AP201">
        <v>299521.14199999999</v>
      </c>
      <c r="AQ201">
        <v>237455.97760000001</v>
      </c>
      <c r="AR201">
        <v>173452.00459999999</v>
      </c>
      <c r="AS201">
        <v>206771.23439999999</v>
      </c>
      <c r="AT201">
        <v>240371.28880000001</v>
      </c>
      <c r="AU201">
        <v>274386.74719999998</v>
      </c>
      <c r="AV201">
        <v>308791.72989999998</v>
      </c>
      <c r="AW201">
        <v>343613.66680000001</v>
      </c>
    </row>
    <row r="202" spans="2:49" x14ac:dyDescent="0.25">
      <c r="B202" s="274" t="s">
        <v>273</v>
      </c>
      <c r="C202">
        <v>4643279.3828946501</v>
      </c>
      <c r="D202">
        <v>4717828.7352982899</v>
      </c>
      <c r="E202">
        <v>4793575.0020000003</v>
      </c>
      <c r="F202">
        <v>4721817.835</v>
      </c>
      <c r="G202">
        <v>4596064.03</v>
      </c>
      <c r="H202">
        <v>4197117.3310000002</v>
      </c>
      <c r="I202">
        <v>4226702.602</v>
      </c>
      <c r="J202">
        <v>4142833.1349999998</v>
      </c>
      <c r="K202">
        <v>3888028.219</v>
      </c>
      <c r="L202">
        <v>3768445.5279999999</v>
      </c>
      <c r="M202">
        <v>3708381.0929999999</v>
      </c>
      <c r="N202">
        <v>3778422.9470000002</v>
      </c>
      <c r="O202">
        <v>3908822.98</v>
      </c>
      <c r="P202">
        <v>3985796.057</v>
      </c>
      <c r="Q202">
        <v>3927522.0440000002</v>
      </c>
      <c r="R202">
        <v>3930906.22</v>
      </c>
      <c r="S202">
        <v>3876544.6719999998</v>
      </c>
      <c r="T202">
        <v>3748643.5780000002</v>
      </c>
      <c r="U202">
        <v>3569714.17</v>
      </c>
      <c r="V202">
        <v>3412318.0430000001</v>
      </c>
      <c r="W202">
        <v>2976838.15</v>
      </c>
      <c r="X202">
        <v>2510441.29</v>
      </c>
      <c r="Y202">
        <v>2139676.523</v>
      </c>
      <c r="Z202">
        <v>1874887.267</v>
      </c>
      <c r="AA202">
        <v>1669206.06</v>
      </c>
      <c r="AB202">
        <v>1505866.473</v>
      </c>
      <c r="AC202">
        <v>1375660.8430000001</v>
      </c>
      <c r="AD202">
        <v>1240741.159</v>
      </c>
      <c r="AE202">
        <v>1125255.8870000001</v>
      </c>
      <c r="AF202">
        <v>1011604.36</v>
      </c>
      <c r="AG202">
        <v>957335.95689999999</v>
      </c>
      <c r="AH202">
        <v>901498.61219999997</v>
      </c>
      <c r="AI202">
        <v>841602.62899999996</v>
      </c>
      <c r="AJ202">
        <v>781691.23869999999</v>
      </c>
      <c r="AK202">
        <v>720152.43649999995</v>
      </c>
      <c r="AL202">
        <v>863423.99369999999</v>
      </c>
      <c r="AM202">
        <v>1007698.985</v>
      </c>
      <c r="AN202">
        <v>887790.10820000002</v>
      </c>
      <c r="AO202">
        <v>765946.81299999997</v>
      </c>
      <c r="AP202">
        <v>639342.42039999994</v>
      </c>
      <c r="AQ202">
        <v>508725.31719999999</v>
      </c>
      <c r="AR202">
        <v>373300.78779999999</v>
      </c>
      <c r="AS202">
        <v>446519.41509999998</v>
      </c>
      <c r="AT202">
        <v>520580.50949999999</v>
      </c>
      <c r="AU202">
        <v>595804.99439999997</v>
      </c>
      <c r="AV202">
        <v>672152.05070000002</v>
      </c>
      <c r="AW202">
        <v>749643.0037</v>
      </c>
    </row>
    <row r="203" spans="2:49" x14ac:dyDescent="0.25">
      <c r="B203" s="274" t="s">
        <v>274</v>
      </c>
      <c r="C203">
        <v>3833938.33697946</v>
      </c>
      <c r="D203">
        <v>3895493.45710216</v>
      </c>
      <c r="E203">
        <v>3971700.6740000001</v>
      </c>
      <c r="F203">
        <v>3915107.1159999999</v>
      </c>
      <c r="G203">
        <v>3855697.352</v>
      </c>
      <c r="H203">
        <v>3485404.301</v>
      </c>
      <c r="I203">
        <v>3575706.875</v>
      </c>
      <c r="J203">
        <v>3583985.8220000002</v>
      </c>
      <c r="K203">
        <v>3459740.4169999999</v>
      </c>
      <c r="L203">
        <v>3380001.835</v>
      </c>
      <c r="M203">
        <v>3320921.358</v>
      </c>
      <c r="N203">
        <v>3320977.6320000002</v>
      </c>
      <c r="O203">
        <v>3426660.7289999998</v>
      </c>
      <c r="P203">
        <v>3590093.3909999998</v>
      </c>
      <c r="Q203">
        <v>3674151.301</v>
      </c>
      <c r="R203">
        <v>3806509.5419999999</v>
      </c>
      <c r="S203">
        <v>3865953.56</v>
      </c>
      <c r="T203">
        <v>3719372.023</v>
      </c>
      <c r="U203">
        <v>3591546.22</v>
      </c>
      <c r="V203">
        <v>3457241.0520000001</v>
      </c>
      <c r="W203">
        <v>3319515.3330000001</v>
      </c>
      <c r="X203">
        <v>3159774.54</v>
      </c>
      <c r="Y203">
        <v>2973329.429</v>
      </c>
      <c r="Z203">
        <v>2824397.6609999998</v>
      </c>
      <c r="AA203">
        <v>2694101.628</v>
      </c>
      <c r="AB203">
        <v>2580561.4479999999</v>
      </c>
      <c r="AC203">
        <v>2487644.159</v>
      </c>
      <c r="AD203">
        <v>2248884.16</v>
      </c>
      <c r="AE203">
        <v>2018686.702</v>
      </c>
      <c r="AF203">
        <v>1792972.6569999999</v>
      </c>
      <c r="AG203">
        <v>1677928.6029999999</v>
      </c>
      <c r="AH203">
        <v>1565137.311</v>
      </c>
      <c r="AI203">
        <v>1447225.496</v>
      </c>
      <c r="AJ203">
        <v>1330515.7890000001</v>
      </c>
      <c r="AK203">
        <v>1213363.08</v>
      </c>
      <c r="AL203">
        <v>1445942.3</v>
      </c>
      <c r="AM203">
        <v>1678584.094</v>
      </c>
      <c r="AN203">
        <v>1464785.6950000001</v>
      </c>
      <c r="AO203">
        <v>1249490.9839999999</v>
      </c>
      <c r="AP203">
        <v>1031187.68</v>
      </c>
      <c r="AQ203">
        <v>810424.95409999997</v>
      </c>
      <c r="AR203">
        <v>587093.04740000004</v>
      </c>
      <c r="AS203">
        <v>696916.88329999999</v>
      </c>
      <c r="AT203">
        <v>807375.37379999994</v>
      </c>
      <c r="AU203">
        <v>918575.11250000005</v>
      </c>
      <c r="AV203">
        <v>1030439.675</v>
      </c>
      <c r="AW203">
        <v>1143047.121</v>
      </c>
    </row>
    <row r="204" spans="2:49" x14ac:dyDescent="0.25">
      <c r="B204" s="274" t="s">
        <v>275</v>
      </c>
      <c r="C204">
        <v>271678.64339116903</v>
      </c>
      <c r="D204">
        <v>276040.53188776103</v>
      </c>
      <c r="E204">
        <v>280472.45189999999</v>
      </c>
      <c r="F204">
        <v>284858.40509999997</v>
      </c>
      <c r="G204">
        <v>265190.09989999997</v>
      </c>
      <c r="H204">
        <v>226762.9099</v>
      </c>
      <c r="I204">
        <v>232494.25169999999</v>
      </c>
      <c r="J204">
        <v>229832.21090000001</v>
      </c>
      <c r="K204">
        <v>207308.86989999999</v>
      </c>
      <c r="L204">
        <v>190798.0379</v>
      </c>
      <c r="M204">
        <v>185696.12609999999</v>
      </c>
      <c r="N204">
        <v>194714.02009999999</v>
      </c>
      <c r="O204">
        <v>195162.6061</v>
      </c>
      <c r="P204">
        <v>195782.3928</v>
      </c>
      <c r="Q204">
        <v>186206.44579999999</v>
      </c>
      <c r="R204">
        <v>175853.54300000001</v>
      </c>
      <c r="S204">
        <v>170881.83470000001</v>
      </c>
      <c r="T204">
        <v>164138.52069999999</v>
      </c>
      <c r="U204">
        <v>155968.15979999999</v>
      </c>
      <c r="V204">
        <v>150492.20610000001</v>
      </c>
      <c r="W204">
        <v>115038.9734</v>
      </c>
      <c r="X204">
        <v>87232.216450000007</v>
      </c>
      <c r="Y204">
        <v>68483.846520000006</v>
      </c>
      <c r="Z204">
        <v>56291.441749999998</v>
      </c>
      <c r="AA204">
        <v>47579.047680000003</v>
      </c>
      <c r="AB204">
        <v>41020.656360000001</v>
      </c>
      <c r="AC204">
        <v>35922.31828</v>
      </c>
      <c r="AD204">
        <v>31952.791740000001</v>
      </c>
      <c r="AE204">
        <v>28720.58354</v>
      </c>
      <c r="AF204">
        <v>25623.419239999999</v>
      </c>
      <c r="AG204">
        <v>24075.563590000002</v>
      </c>
      <c r="AH204">
        <v>22524.220130000002</v>
      </c>
      <c r="AI204">
        <v>20909.68015</v>
      </c>
      <c r="AJ204">
        <v>19297.12313</v>
      </c>
      <c r="AK204">
        <v>17656.97421</v>
      </c>
      <c r="AL204">
        <v>21052.0252</v>
      </c>
      <c r="AM204">
        <v>24438.558550000002</v>
      </c>
      <c r="AN204">
        <v>21393.10615</v>
      </c>
      <c r="AO204">
        <v>18314.292809999999</v>
      </c>
      <c r="AP204">
        <v>15158.398740000001</v>
      </c>
      <c r="AQ204">
        <v>11956.826370000001</v>
      </c>
      <c r="AR204">
        <v>8695.2276220000003</v>
      </c>
      <c r="AS204">
        <v>10317.72971</v>
      </c>
      <c r="AT204">
        <v>11944.347229999999</v>
      </c>
      <c r="AU204">
        <v>13576.787340000001</v>
      </c>
      <c r="AV204">
        <v>15213.022440000001</v>
      </c>
      <c r="AW204">
        <v>16856.329880000001</v>
      </c>
    </row>
    <row r="205" spans="2:49" x14ac:dyDescent="0.25">
      <c r="B205" s="274" t="s">
        <v>276</v>
      </c>
      <c r="C205">
        <v>2033071.8879050901</v>
      </c>
      <c r="D205">
        <v>2065713.51468114</v>
      </c>
      <c r="E205">
        <v>2098879.213</v>
      </c>
      <c r="F205">
        <v>2053979.362</v>
      </c>
      <c r="G205">
        <v>1814152.007</v>
      </c>
      <c r="H205">
        <v>1457817.6780000001</v>
      </c>
      <c r="I205">
        <v>1526415.5020000001</v>
      </c>
      <c r="J205">
        <v>1490459.29</v>
      </c>
      <c r="K205">
        <v>1348553.7709999999</v>
      </c>
      <c r="L205">
        <v>1314413.5900000001</v>
      </c>
      <c r="M205">
        <v>1306765.7919999999</v>
      </c>
      <c r="N205">
        <v>1318577.0859999999</v>
      </c>
      <c r="O205">
        <v>1292556.605</v>
      </c>
      <c r="P205">
        <v>1336218.743</v>
      </c>
      <c r="Q205">
        <v>1299722.9550000001</v>
      </c>
      <c r="R205">
        <v>1238773.6640000001</v>
      </c>
      <c r="S205">
        <v>1212609.5900000001</v>
      </c>
      <c r="T205">
        <v>1164698.8740000001</v>
      </c>
      <c r="U205">
        <v>1097578.0530000001</v>
      </c>
      <c r="V205">
        <v>1043154.203</v>
      </c>
      <c r="W205">
        <v>842214.84809999994</v>
      </c>
      <c r="X205">
        <v>664525.76089999999</v>
      </c>
      <c r="Y205">
        <v>540793.62490000005</v>
      </c>
      <c r="Z205">
        <v>456313.79859999998</v>
      </c>
      <c r="AA205">
        <v>392390.76390000002</v>
      </c>
      <c r="AB205">
        <v>341762.28039999999</v>
      </c>
      <c r="AC205">
        <v>300740.99479999999</v>
      </c>
      <c r="AD205">
        <v>268444.46909999999</v>
      </c>
      <c r="AE205">
        <v>241177.2959</v>
      </c>
      <c r="AF205">
        <v>214819.09460000001</v>
      </c>
      <c r="AG205">
        <v>201476.389</v>
      </c>
      <c r="AH205">
        <v>187939.1219</v>
      </c>
      <c r="AI205">
        <v>173808.9002</v>
      </c>
      <c r="AJ205">
        <v>159832.18969999999</v>
      </c>
      <c r="AK205">
        <v>145804.65820000001</v>
      </c>
      <c r="AL205">
        <v>173251.77609999999</v>
      </c>
      <c r="AM205">
        <v>200493.1232</v>
      </c>
      <c r="AN205">
        <v>174554.5729</v>
      </c>
      <c r="AO205">
        <v>148503.05429999999</v>
      </c>
      <c r="AP205">
        <v>122119.4434</v>
      </c>
      <c r="AQ205">
        <v>95641.774059999996</v>
      </c>
      <c r="AR205">
        <v>68960.208329999994</v>
      </c>
      <c r="AS205">
        <v>81361.438989999995</v>
      </c>
      <c r="AT205">
        <v>93647.885649999997</v>
      </c>
      <c r="AU205">
        <v>105803.38959999999</v>
      </c>
      <c r="AV205">
        <v>117802.5389</v>
      </c>
      <c r="AW205">
        <v>129660.93610000001</v>
      </c>
    </row>
    <row r="206" spans="2:49" x14ac:dyDescent="0.25">
      <c r="B206" s="274" t="s">
        <v>277</v>
      </c>
      <c r="C206">
        <v>611949.61832884501</v>
      </c>
      <c r="D206">
        <v>621774.66739182698</v>
      </c>
      <c r="E206">
        <v>631757.4608</v>
      </c>
      <c r="F206">
        <v>620214.48329999996</v>
      </c>
      <c r="G206">
        <v>558611.66760000004</v>
      </c>
      <c r="H206">
        <v>469573.71919999999</v>
      </c>
      <c r="I206">
        <v>504172.85749999998</v>
      </c>
      <c r="J206">
        <v>488322.46830000001</v>
      </c>
      <c r="K206">
        <v>440987.8161</v>
      </c>
      <c r="L206">
        <v>419144.03080000001</v>
      </c>
      <c r="M206">
        <v>418180.50099999999</v>
      </c>
      <c r="N206">
        <v>419172.27789999999</v>
      </c>
      <c r="O206">
        <v>388014.70400000003</v>
      </c>
      <c r="P206">
        <v>374818.78460000001</v>
      </c>
      <c r="Q206">
        <v>333382.76140000002</v>
      </c>
      <c r="R206">
        <v>307001.61930000002</v>
      </c>
      <c r="S206">
        <v>295055.23879999999</v>
      </c>
      <c r="T206">
        <v>292945.22450000001</v>
      </c>
      <c r="U206">
        <v>282727.42440000002</v>
      </c>
      <c r="V206">
        <v>279181.82419999997</v>
      </c>
      <c r="W206">
        <v>216260.9308</v>
      </c>
      <c r="X206">
        <v>164774.1171</v>
      </c>
      <c r="Y206">
        <v>127354.5855</v>
      </c>
      <c r="Z206">
        <v>103947.60890000001</v>
      </c>
      <c r="AA206">
        <v>87735.956850000002</v>
      </c>
      <c r="AB206">
        <v>75982.92611</v>
      </c>
      <c r="AC206">
        <v>67178.106549999997</v>
      </c>
      <c r="AD206">
        <v>59700.837919999998</v>
      </c>
      <c r="AE206">
        <v>53847.622609999999</v>
      </c>
      <c r="AF206">
        <v>48253.667549999998</v>
      </c>
      <c r="AG206">
        <v>45553.491150000002</v>
      </c>
      <c r="AH206">
        <v>42837.354209999998</v>
      </c>
      <c r="AI206">
        <v>39961.407330000002</v>
      </c>
      <c r="AJ206">
        <v>37037.228309999999</v>
      </c>
      <c r="AK206">
        <v>34039.367460000001</v>
      </c>
      <c r="AL206">
        <v>40737.419029999997</v>
      </c>
      <c r="AM206">
        <v>47464.061710000002</v>
      </c>
      <c r="AN206">
        <v>41758.109649999999</v>
      </c>
      <c r="AO206">
        <v>35930.321960000001</v>
      </c>
      <c r="AP206">
        <v>29881.24872</v>
      </c>
      <c r="AQ206">
        <v>23671.818480000002</v>
      </c>
      <c r="AR206">
        <v>17266.702990000002</v>
      </c>
      <c r="AS206">
        <v>20590.34302</v>
      </c>
      <c r="AT206">
        <v>23961.631450000001</v>
      </c>
      <c r="AU206">
        <v>27379.533650000001</v>
      </c>
      <c r="AV206">
        <v>30841.347900000001</v>
      </c>
      <c r="AW206">
        <v>34356.604780000001</v>
      </c>
    </row>
    <row r="207" spans="2:49" x14ac:dyDescent="0.25">
      <c r="B207" s="274" t="s">
        <v>278</v>
      </c>
      <c r="C207">
        <v>8749188.7351059392</v>
      </c>
      <c r="D207">
        <v>8889659.7902533505</v>
      </c>
      <c r="E207">
        <v>9032386.1539999899</v>
      </c>
      <c r="F207">
        <v>9098797.3430000003</v>
      </c>
      <c r="G207">
        <v>8693077.6030000001</v>
      </c>
      <c r="H207">
        <v>7702716.5049999999</v>
      </c>
      <c r="I207">
        <v>7802753.7240000004</v>
      </c>
      <c r="J207">
        <v>7714317.7860000003</v>
      </c>
      <c r="K207">
        <v>7228698.2570000002</v>
      </c>
      <c r="L207">
        <v>6841544.665</v>
      </c>
      <c r="M207">
        <v>6668647.6009999998</v>
      </c>
      <c r="N207">
        <v>6572846.0149999997</v>
      </c>
      <c r="O207">
        <v>6804702.6919999998</v>
      </c>
      <c r="P207">
        <v>7011508.4000000004</v>
      </c>
      <c r="Q207">
        <v>6839115.051</v>
      </c>
      <c r="R207">
        <v>6929170.3210000005</v>
      </c>
      <c r="S207">
        <v>7020264.7290000003</v>
      </c>
      <c r="T207">
        <v>6974819.8370000003</v>
      </c>
      <c r="U207">
        <v>6752882.6260000002</v>
      </c>
      <c r="V207">
        <v>6648563.9390000002</v>
      </c>
      <c r="W207">
        <v>5310211.8090000004</v>
      </c>
      <c r="X207">
        <v>4205509.32</v>
      </c>
      <c r="Y207">
        <v>3357249.2119999998</v>
      </c>
      <c r="Z207">
        <v>2789312.1979999999</v>
      </c>
      <c r="AA207">
        <v>2367101.6710000001</v>
      </c>
      <c r="AB207">
        <v>2038765.433</v>
      </c>
      <c r="AC207">
        <v>1775962.1710000001</v>
      </c>
      <c r="AD207">
        <v>1594360.0830000001</v>
      </c>
      <c r="AE207">
        <v>1442317.209</v>
      </c>
      <c r="AF207">
        <v>1294060.405</v>
      </c>
      <c r="AG207">
        <v>1221904.602</v>
      </c>
      <c r="AH207">
        <v>1148467.0689999999</v>
      </c>
      <c r="AI207">
        <v>1071549.2749999999</v>
      </c>
      <c r="AJ207">
        <v>993396.67489999998</v>
      </c>
      <c r="AK207">
        <v>913202.92220000003</v>
      </c>
      <c r="AL207">
        <v>1093388.8400000001</v>
      </c>
      <c r="AM207">
        <v>1274519.0870000001</v>
      </c>
      <c r="AN207">
        <v>1123073.27</v>
      </c>
      <c r="AO207">
        <v>967575.02480000001</v>
      </c>
      <c r="AP207">
        <v>805456.64179999998</v>
      </c>
      <c r="AQ207">
        <v>638582.47149999999</v>
      </c>
      <c r="AR207">
        <v>465958.62709999998</v>
      </c>
      <c r="AS207">
        <v>555231.19279999996</v>
      </c>
      <c r="AT207">
        <v>646167.21420000005</v>
      </c>
      <c r="AU207">
        <v>738671.27339999995</v>
      </c>
      <c r="AV207">
        <v>832543.39410000003</v>
      </c>
      <c r="AW207">
        <v>928008.679</v>
      </c>
    </row>
    <row r="208" spans="2:49" x14ac:dyDescent="0.25">
      <c r="B208" s="274" t="s">
        <v>279</v>
      </c>
      <c r="C208">
        <v>583434.83019375498</v>
      </c>
      <c r="D208">
        <v>592802.06510985899</v>
      </c>
      <c r="E208">
        <v>602319.69400000002</v>
      </c>
      <c r="F208">
        <v>629496.45059999998</v>
      </c>
      <c r="G208">
        <v>616286.38040000002</v>
      </c>
      <c r="H208">
        <v>535645.08849999995</v>
      </c>
      <c r="I208">
        <v>534423.03509999998</v>
      </c>
      <c r="J208">
        <v>544912.10889999999</v>
      </c>
      <c r="K208">
        <v>521061.1225</v>
      </c>
      <c r="L208">
        <v>505597.58760000003</v>
      </c>
      <c r="M208">
        <v>470276.50300000003</v>
      </c>
      <c r="N208">
        <v>429840.97879999998</v>
      </c>
      <c r="O208">
        <v>414852.68349999998</v>
      </c>
      <c r="P208">
        <v>414354.8763</v>
      </c>
      <c r="Q208">
        <v>398927.97879999998</v>
      </c>
      <c r="R208">
        <v>399320.80800000002</v>
      </c>
      <c r="S208">
        <v>398513.48019999999</v>
      </c>
      <c r="T208">
        <v>401202.55800000002</v>
      </c>
      <c r="U208">
        <v>389906.77860000002</v>
      </c>
      <c r="V208">
        <v>389699.68709999998</v>
      </c>
      <c r="W208">
        <v>394801.66369999998</v>
      </c>
      <c r="X208">
        <v>394054.80849999998</v>
      </c>
      <c r="Y208">
        <v>379778.47749999998</v>
      </c>
      <c r="Z208">
        <v>367003.93900000001</v>
      </c>
      <c r="AA208">
        <v>352758.10889999999</v>
      </c>
      <c r="AB208">
        <v>336961.8394</v>
      </c>
      <c r="AC208">
        <v>322075.75819999998</v>
      </c>
      <c r="AD208">
        <v>297749.79840000003</v>
      </c>
      <c r="AE208">
        <v>269820.94260000001</v>
      </c>
      <c r="AF208">
        <v>240934.59700000001</v>
      </c>
      <c r="AG208">
        <v>224568.89600000001</v>
      </c>
      <c r="AH208">
        <v>208728.7936</v>
      </c>
      <c r="AI208">
        <v>192576.1251</v>
      </c>
      <c r="AJ208">
        <v>175833.94529999999</v>
      </c>
      <c r="AK208">
        <v>159373.69570000001</v>
      </c>
      <c r="AL208">
        <v>184485.2647</v>
      </c>
      <c r="AM208">
        <v>207938.2384</v>
      </c>
      <c r="AN208">
        <v>183245.6814</v>
      </c>
      <c r="AO208">
        <v>157627.11139999999</v>
      </c>
      <c r="AP208">
        <v>130749.6695</v>
      </c>
      <c r="AQ208">
        <v>103425.7022</v>
      </c>
      <c r="AR208">
        <v>75111.210640000005</v>
      </c>
      <c r="AS208">
        <v>87462.212549999997</v>
      </c>
      <c r="AT208">
        <v>100000.99739999999</v>
      </c>
      <c r="AU208">
        <v>112410.5916</v>
      </c>
      <c r="AV208">
        <v>124625.1728</v>
      </c>
      <c r="AW208">
        <v>137174.85750000001</v>
      </c>
    </row>
    <row r="209" spans="2:49" x14ac:dyDescent="0.25">
      <c r="B209" s="274" t="s">
        <v>280</v>
      </c>
      <c r="C209">
        <v>40605.282443966003</v>
      </c>
      <c r="D209">
        <v>41257.2133877546</v>
      </c>
      <c r="E209">
        <v>41919.611290000001</v>
      </c>
      <c r="F209">
        <v>42111.678769999999</v>
      </c>
      <c r="G209">
        <v>39515.192060000001</v>
      </c>
      <c r="H209">
        <v>36310.796170000001</v>
      </c>
      <c r="I209">
        <v>37101.86767</v>
      </c>
      <c r="J209">
        <v>36206.71312</v>
      </c>
      <c r="K209">
        <v>33984.239049999996</v>
      </c>
      <c r="L209">
        <v>33292.153899999998</v>
      </c>
      <c r="M209">
        <v>33377.118219999997</v>
      </c>
      <c r="N209">
        <v>33873.394460000003</v>
      </c>
      <c r="O209">
        <v>36010.999510000001</v>
      </c>
      <c r="P209">
        <v>38175.298519999997</v>
      </c>
      <c r="Q209">
        <v>37278.285150000003</v>
      </c>
      <c r="R209">
        <v>37482.336750000002</v>
      </c>
      <c r="S209">
        <v>37130.094100000002</v>
      </c>
      <c r="T209">
        <v>35657.31609</v>
      </c>
      <c r="U209">
        <v>34322.905839999999</v>
      </c>
      <c r="V209">
        <v>33388.99525</v>
      </c>
      <c r="W209">
        <v>34442.929270000001</v>
      </c>
      <c r="X209">
        <v>34731.919829999999</v>
      </c>
      <c r="Y209">
        <v>33639.801679999997</v>
      </c>
      <c r="Z209">
        <v>32637.305550000001</v>
      </c>
      <c r="AA209">
        <v>31626.5524</v>
      </c>
      <c r="AB209">
        <v>30790.308679999998</v>
      </c>
      <c r="AC209">
        <v>29979.19656</v>
      </c>
      <c r="AD209">
        <v>27453.59907</v>
      </c>
      <c r="AE209">
        <v>24844.602989999999</v>
      </c>
      <c r="AF209">
        <v>22200.077000000001</v>
      </c>
      <c r="AG209">
        <v>20816.852790000001</v>
      </c>
      <c r="AH209">
        <v>19402.590469999999</v>
      </c>
      <c r="AI209">
        <v>17894.873090000001</v>
      </c>
      <c r="AJ209">
        <v>16395.868299999998</v>
      </c>
      <c r="AK209">
        <v>14876.954809999999</v>
      </c>
      <c r="AL209">
        <v>17413.019960000001</v>
      </c>
      <c r="AM209">
        <v>19831.809939999999</v>
      </c>
      <c r="AN209">
        <v>17318.704150000001</v>
      </c>
      <c r="AO209">
        <v>14795.45997</v>
      </c>
      <c r="AP209">
        <v>12212.115529999999</v>
      </c>
      <c r="AQ209">
        <v>9598.0510470000008</v>
      </c>
      <c r="AR209">
        <v>6948.7047890000003</v>
      </c>
      <c r="AS209">
        <v>8165.1077379999997</v>
      </c>
      <c r="AT209">
        <v>9372.2311310000005</v>
      </c>
      <c r="AU209">
        <v>10569.705260000001</v>
      </c>
      <c r="AV209">
        <v>11754.75661</v>
      </c>
      <c r="AW209">
        <v>12929.01512</v>
      </c>
    </row>
    <row r="210" spans="2:49" x14ac:dyDescent="0.25">
      <c r="B210" s="274" t="s">
        <v>281</v>
      </c>
      <c r="C210">
        <v>55091.732691944802</v>
      </c>
      <c r="D210">
        <v>55976.248280239903</v>
      </c>
      <c r="E210">
        <v>56874.994919999997</v>
      </c>
      <c r="F210">
        <v>59887.101949999997</v>
      </c>
      <c r="G210">
        <v>61058.299379999997</v>
      </c>
      <c r="H210">
        <v>61306.028610000001</v>
      </c>
      <c r="I210">
        <v>64200.17815</v>
      </c>
      <c r="J210">
        <v>66294.867190000004</v>
      </c>
      <c r="K210">
        <v>67682.348450000005</v>
      </c>
      <c r="L210">
        <v>69463.671650000004</v>
      </c>
      <c r="M210">
        <v>71344.262390000004</v>
      </c>
      <c r="N210">
        <v>72295.658259999997</v>
      </c>
      <c r="O210">
        <v>71718.279569999999</v>
      </c>
      <c r="P210">
        <v>74537.172850000003</v>
      </c>
      <c r="Q210">
        <v>76515.723740000001</v>
      </c>
      <c r="R210">
        <v>83595.030419999996</v>
      </c>
      <c r="S210">
        <v>99301.946299999996</v>
      </c>
      <c r="T210">
        <v>109965.18240000001</v>
      </c>
      <c r="U210">
        <v>117215.4958</v>
      </c>
      <c r="V210">
        <v>120302.08900000001</v>
      </c>
      <c r="W210">
        <v>149910.7855</v>
      </c>
      <c r="X210">
        <v>177979.09820000001</v>
      </c>
      <c r="Y210">
        <v>177885.8567</v>
      </c>
      <c r="Z210">
        <v>177517.35740000001</v>
      </c>
      <c r="AA210">
        <v>176891.21849999999</v>
      </c>
      <c r="AB210">
        <v>176189.26980000001</v>
      </c>
      <c r="AC210">
        <v>174995.4852</v>
      </c>
      <c r="AD210">
        <v>160314.66080000001</v>
      </c>
      <c r="AE210">
        <v>145441.46059999999</v>
      </c>
      <c r="AF210">
        <v>130260.9146</v>
      </c>
      <c r="AG210">
        <v>122704.6468</v>
      </c>
      <c r="AH210">
        <v>115007.311</v>
      </c>
      <c r="AI210">
        <v>106940.2938</v>
      </c>
      <c r="AJ210">
        <v>98755.520749999996</v>
      </c>
      <c r="AK210">
        <v>90374.359270000001</v>
      </c>
      <c r="AL210">
        <v>108111.5282</v>
      </c>
      <c r="AM210">
        <v>125904.9662</v>
      </c>
      <c r="AN210">
        <v>111541.9135</v>
      </c>
      <c r="AO210">
        <v>96559.128049999999</v>
      </c>
      <c r="AP210">
        <v>80809.058680000002</v>
      </c>
      <c r="AQ210">
        <v>64370.954059999996</v>
      </c>
      <c r="AR210">
        <v>47304.9401</v>
      </c>
      <c r="AS210">
        <v>57566.5916</v>
      </c>
      <c r="AT210">
        <v>68290.153030000001</v>
      </c>
      <c r="AU210">
        <v>79487.311329999997</v>
      </c>
      <c r="AV210">
        <v>91127.523660000006</v>
      </c>
      <c r="AW210">
        <v>103035.4972</v>
      </c>
    </row>
    <row r="211" spans="2:49" x14ac:dyDescent="0.25">
      <c r="B211" s="274" t="s">
        <v>282</v>
      </c>
      <c r="C211">
        <v>53959.065015136701</v>
      </c>
      <c r="D211">
        <v>54825.395257508797</v>
      </c>
      <c r="E211">
        <v>55842.153270000003</v>
      </c>
      <c r="F211">
        <v>63905.2523</v>
      </c>
      <c r="G211">
        <v>70438.047460000002</v>
      </c>
      <c r="H211">
        <v>75638.896340000007</v>
      </c>
      <c r="I211">
        <v>82829.635039999994</v>
      </c>
      <c r="J211">
        <v>88943.319640000002</v>
      </c>
      <c r="K211">
        <v>93888.866179999997</v>
      </c>
      <c r="L211">
        <v>98125.302259999997</v>
      </c>
      <c r="M211">
        <v>100701.98360000001</v>
      </c>
      <c r="N211">
        <v>100865.1602</v>
      </c>
      <c r="O211">
        <v>110738.9134</v>
      </c>
      <c r="P211">
        <v>122483.7533</v>
      </c>
      <c r="Q211">
        <v>134973.57769999999</v>
      </c>
      <c r="R211">
        <v>149519.655</v>
      </c>
      <c r="S211">
        <v>166917.16029999999</v>
      </c>
      <c r="T211">
        <v>246072.73860000001</v>
      </c>
      <c r="U211">
        <v>300881.7121</v>
      </c>
      <c r="V211">
        <v>338435.5331</v>
      </c>
      <c r="W211">
        <v>324738.53490000003</v>
      </c>
      <c r="X211">
        <v>305353.05229999998</v>
      </c>
      <c r="Y211">
        <v>344587.54920000001</v>
      </c>
      <c r="Z211">
        <v>381417.36719999998</v>
      </c>
      <c r="AA211">
        <v>414959.23930000002</v>
      </c>
      <c r="AB211">
        <v>444501.83559999999</v>
      </c>
      <c r="AC211">
        <v>470472.22200000001</v>
      </c>
      <c r="AD211">
        <v>485127.25829999999</v>
      </c>
      <c r="AE211">
        <v>487655.8504</v>
      </c>
      <c r="AF211">
        <v>478530.31459999998</v>
      </c>
      <c r="AG211">
        <v>489345.93520000001</v>
      </c>
      <c r="AH211">
        <v>494609.48149999999</v>
      </c>
      <c r="AI211">
        <v>500122.46710000001</v>
      </c>
      <c r="AJ211">
        <v>498352.17450000002</v>
      </c>
      <c r="AK211">
        <v>488151.62290000002</v>
      </c>
      <c r="AL211">
        <v>623391.22239999997</v>
      </c>
      <c r="AM211">
        <v>769615.0649</v>
      </c>
      <c r="AN211">
        <v>699865.95700000005</v>
      </c>
      <c r="AO211">
        <v>622579.95779999997</v>
      </c>
      <c r="AP211">
        <v>532879.68370000005</v>
      </c>
      <c r="AQ211">
        <v>433615.76640000002</v>
      </c>
      <c r="AR211">
        <v>324713.88170000003</v>
      </c>
      <c r="AS211">
        <v>389436.43810000003</v>
      </c>
      <c r="AT211">
        <v>456185.03619999997</v>
      </c>
      <c r="AU211">
        <v>524787.60120000003</v>
      </c>
      <c r="AV211">
        <v>595050.67240000004</v>
      </c>
      <c r="AW211">
        <v>667017.30220000003</v>
      </c>
    </row>
    <row r="212" spans="2:49" x14ac:dyDescent="0.25">
      <c r="B212" s="274" t="s">
        <v>283</v>
      </c>
      <c r="C212">
        <v>216238.436565001</v>
      </c>
      <c r="D212">
        <v>219710.21460835601</v>
      </c>
      <c r="E212">
        <v>223237.73319999999</v>
      </c>
      <c r="F212">
        <v>250678.70980000001</v>
      </c>
      <c r="G212">
        <v>211045.2757</v>
      </c>
      <c r="H212">
        <v>142129.31270000001</v>
      </c>
      <c r="I212">
        <v>170216.81779999999</v>
      </c>
      <c r="J212">
        <v>136579.27989999999</v>
      </c>
      <c r="K212">
        <v>157854.38990000001</v>
      </c>
      <c r="L212">
        <v>137624.21419999999</v>
      </c>
      <c r="M212">
        <v>110834.7944</v>
      </c>
      <c r="N212">
        <v>89775.088969999997</v>
      </c>
      <c r="O212">
        <v>68018.271599999905</v>
      </c>
      <c r="P212">
        <v>64950.891810000001</v>
      </c>
      <c r="Q212">
        <v>58554.580320000001</v>
      </c>
      <c r="R212">
        <v>58053.961900000002</v>
      </c>
      <c r="S212">
        <v>58070.932959999998</v>
      </c>
      <c r="T212">
        <v>56574.76859</v>
      </c>
      <c r="U212">
        <v>56479.16934</v>
      </c>
      <c r="V212">
        <v>56712.332249999999</v>
      </c>
      <c r="W212">
        <v>58062.141499999998</v>
      </c>
      <c r="X212">
        <v>58420.507830000002</v>
      </c>
      <c r="Y212">
        <v>57562.058069999999</v>
      </c>
      <c r="Z212">
        <v>56847.087339999998</v>
      </c>
      <c r="AA212">
        <v>56099.850140000002</v>
      </c>
      <c r="AB212">
        <v>47359.372219999997</v>
      </c>
      <c r="AC212">
        <v>40623.488189999996</v>
      </c>
      <c r="AD212">
        <v>36593.881220000003</v>
      </c>
      <c r="AE212">
        <v>33502.439230000004</v>
      </c>
      <c r="AF212">
        <v>30688.051869999999</v>
      </c>
      <c r="AG212">
        <v>28953.00056</v>
      </c>
      <c r="AH212">
        <v>27178.773980000002</v>
      </c>
      <c r="AI212">
        <v>25813.58625</v>
      </c>
      <c r="AJ212">
        <v>24484.921170000001</v>
      </c>
      <c r="AK212">
        <v>23083.703300000001</v>
      </c>
      <c r="AL212">
        <v>25164.697639999999</v>
      </c>
      <c r="AM212">
        <v>26295.526819999999</v>
      </c>
      <c r="AN212">
        <v>23336.465359999998</v>
      </c>
      <c r="AO212">
        <v>20885.915799999999</v>
      </c>
      <c r="AP212">
        <v>18396.438600000001</v>
      </c>
      <c r="AQ212">
        <v>15720.39191</v>
      </c>
      <c r="AR212">
        <v>12685.84136</v>
      </c>
      <c r="AS212">
        <v>14227.037630000001</v>
      </c>
      <c r="AT212">
        <v>15176.275900000001</v>
      </c>
      <c r="AU212">
        <v>15876.239149999999</v>
      </c>
      <c r="AV212">
        <v>16421.099579999998</v>
      </c>
      <c r="AW212">
        <v>16849.705259999999</v>
      </c>
    </row>
    <row r="213" spans="2:49" x14ac:dyDescent="0.25">
      <c r="B213" s="274" t="s">
        <v>284</v>
      </c>
      <c r="C213">
        <v>215538.66868192199</v>
      </c>
      <c r="D213">
        <v>218999.21172556799</v>
      </c>
      <c r="E213">
        <v>222515.3149</v>
      </c>
      <c r="F213">
        <v>227639.1298</v>
      </c>
      <c r="G213">
        <v>225826.46979999999</v>
      </c>
      <c r="H213">
        <v>173765.40410000001</v>
      </c>
      <c r="I213">
        <v>128392.08319999999</v>
      </c>
      <c r="J213">
        <v>129663.3461</v>
      </c>
      <c r="K213">
        <v>126982.9408</v>
      </c>
      <c r="L213">
        <v>120336.18700000001</v>
      </c>
      <c r="M213">
        <v>115530.3844</v>
      </c>
      <c r="N213">
        <v>112539.9507</v>
      </c>
      <c r="O213">
        <v>101633.67630000001</v>
      </c>
      <c r="P213">
        <v>95939.096829999995</v>
      </c>
      <c r="Q213">
        <v>96065.943650000001</v>
      </c>
      <c r="R213">
        <v>87703.693589999995</v>
      </c>
      <c r="S213">
        <v>79255.324699999997</v>
      </c>
      <c r="T213">
        <v>68249.215580000004</v>
      </c>
      <c r="U213">
        <v>58809.223720000002</v>
      </c>
      <c r="V213">
        <v>50529.139600000002</v>
      </c>
      <c r="W213">
        <v>44331.464220000002</v>
      </c>
      <c r="X213">
        <v>38077.038860000001</v>
      </c>
      <c r="Y213">
        <v>36158.236129999998</v>
      </c>
      <c r="Z213">
        <v>35186.377039999999</v>
      </c>
      <c r="AA213">
        <v>34455.552669999997</v>
      </c>
      <c r="AB213">
        <v>33829.506110000002</v>
      </c>
      <c r="AC213">
        <v>33263.88147</v>
      </c>
      <c r="AD213">
        <v>31569.770079999998</v>
      </c>
      <c r="AE213">
        <v>29936.443299999999</v>
      </c>
      <c r="AF213">
        <v>28217.127519999998</v>
      </c>
      <c r="AG213">
        <v>27296.452120000002</v>
      </c>
      <c r="AH213">
        <v>26211.811880000001</v>
      </c>
      <c r="AI213">
        <v>25014.55876</v>
      </c>
      <c r="AJ213">
        <v>23774.877410000001</v>
      </c>
      <c r="AK213">
        <v>22450.244019999998</v>
      </c>
      <c r="AL213">
        <v>24638.80848</v>
      </c>
      <c r="AM213">
        <v>25944.997650000001</v>
      </c>
      <c r="AN213">
        <v>22713.403730000002</v>
      </c>
      <c r="AO213">
        <v>20004.5946</v>
      </c>
      <c r="AP213">
        <v>17345.467140000001</v>
      </c>
      <c r="AQ213">
        <v>14629.571550000001</v>
      </c>
      <c r="AR213">
        <v>11708.823119999999</v>
      </c>
      <c r="AS213">
        <v>12992.80034</v>
      </c>
      <c r="AT213">
        <v>13701.637580000001</v>
      </c>
      <c r="AU213">
        <v>14172.837450000001</v>
      </c>
      <c r="AV213">
        <v>14499.069509999999</v>
      </c>
      <c r="AW213">
        <v>14721.320729999999</v>
      </c>
    </row>
    <row r="214" spans="2:49" x14ac:dyDescent="0.25">
      <c r="B214" s="274" t="s">
        <v>285</v>
      </c>
      <c r="C214">
        <v>7946676.0051002903</v>
      </c>
      <c r="D214">
        <v>8074262.4587873695</v>
      </c>
      <c r="E214">
        <v>8203897.3540000003</v>
      </c>
      <c r="F214">
        <v>8823952.2709999997</v>
      </c>
      <c r="G214">
        <v>9103719.56399999</v>
      </c>
      <c r="H214">
        <v>9112191.7919999994</v>
      </c>
      <c r="I214">
        <v>9881100.182</v>
      </c>
      <c r="J214">
        <v>10291794.15</v>
      </c>
      <c r="K214">
        <v>10280413.59</v>
      </c>
      <c r="L214">
        <v>10556658.060000001</v>
      </c>
      <c r="M214">
        <v>11297286.85</v>
      </c>
      <c r="N214">
        <v>12601006.810000001</v>
      </c>
      <c r="O214">
        <v>13231993.49</v>
      </c>
      <c r="P214">
        <v>13067186.49</v>
      </c>
      <c r="Q214">
        <v>11963897.51</v>
      </c>
      <c r="R214">
        <v>11194233.85</v>
      </c>
      <c r="S214">
        <v>10703310.25</v>
      </c>
      <c r="T214">
        <v>10172320.689999999</v>
      </c>
      <c r="U214">
        <v>9664715.659</v>
      </c>
      <c r="V214">
        <v>9260385.9480000008</v>
      </c>
      <c r="W214">
        <v>11287407.939999999</v>
      </c>
      <c r="X214">
        <v>12765480.84</v>
      </c>
      <c r="Y214">
        <v>13310142.42</v>
      </c>
      <c r="Z214">
        <v>13495459.98</v>
      </c>
      <c r="AA214">
        <v>13367375.619999999</v>
      </c>
      <c r="AB214">
        <v>12747275.43</v>
      </c>
      <c r="AC214">
        <v>11981797.939999999</v>
      </c>
      <c r="AD214">
        <v>10669366.119999999</v>
      </c>
      <c r="AE214">
        <v>9356831.0859999899</v>
      </c>
      <c r="AF214">
        <v>8102635.6200000001</v>
      </c>
      <c r="AG214">
        <v>7347078.7259999998</v>
      </c>
      <c r="AH214">
        <v>6631284.017</v>
      </c>
      <c r="AI214">
        <v>5948983.6210000003</v>
      </c>
      <c r="AJ214">
        <v>5303290.6189999999</v>
      </c>
      <c r="AK214">
        <v>4688298.466</v>
      </c>
      <c r="AL214">
        <v>5304845.5729999999</v>
      </c>
      <c r="AM214">
        <v>5835140.71</v>
      </c>
      <c r="AN214">
        <v>4935355.0829999996</v>
      </c>
      <c r="AO214">
        <v>4092552.1979999999</v>
      </c>
      <c r="AP214">
        <v>3286972.9079999998</v>
      </c>
      <c r="AQ214">
        <v>2517646.8679999998</v>
      </c>
      <c r="AR214">
        <v>1780077.504</v>
      </c>
      <c r="AS214">
        <v>2020348.6470000001</v>
      </c>
      <c r="AT214">
        <v>2233803.8820000002</v>
      </c>
      <c r="AU214">
        <v>2425133.1680000001</v>
      </c>
      <c r="AV214">
        <v>2596153.63</v>
      </c>
      <c r="AW214">
        <v>2748601.6140000001</v>
      </c>
    </row>
    <row r="215" spans="2:49" x14ac:dyDescent="0.25">
      <c r="B215" s="274" t="s">
        <v>286</v>
      </c>
      <c r="C215">
        <v>4498800.2848123703</v>
      </c>
      <c r="D215">
        <v>4571029.97856321</v>
      </c>
      <c r="E215">
        <v>4644419.3430000003</v>
      </c>
      <c r="F215">
        <v>4803484.8640000001</v>
      </c>
      <c r="G215">
        <v>4831786.8269999996</v>
      </c>
      <c r="H215">
        <v>5090907.3169999998</v>
      </c>
      <c r="I215">
        <v>5282207.5360000003</v>
      </c>
      <c r="J215">
        <v>5326017.0449999999</v>
      </c>
      <c r="K215">
        <v>5266137.7309999997</v>
      </c>
      <c r="L215">
        <v>5365104.8260000004</v>
      </c>
      <c r="M215">
        <v>5598389.2800000003</v>
      </c>
      <c r="N215">
        <v>6060448.6059999997</v>
      </c>
      <c r="O215">
        <v>6209603.341</v>
      </c>
      <c r="P215">
        <v>5995727.7719999999</v>
      </c>
      <c r="Q215">
        <v>5424297.5970000001</v>
      </c>
      <c r="R215">
        <v>5033552.892</v>
      </c>
      <c r="S215">
        <v>4750874.5959999999</v>
      </c>
      <c r="T215">
        <v>4515226.5070000002</v>
      </c>
      <c r="U215">
        <v>4296119.2340000002</v>
      </c>
      <c r="V215">
        <v>4102399.1290000002</v>
      </c>
      <c r="W215">
        <v>4563244.3310000002</v>
      </c>
      <c r="X215">
        <v>4832638.72</v>
      </c>
      <c r="Y215">
        <v>4827909.5</v>
      </c>
      <c r="Z215">
        <v>4732280.2869999995</v>
      </c>
      <c r="AA215">
        <v>4563837.8839999996</v>
      </c>
      <c r="AB215">
        <v>4285573.318</v>
      </c>
      <c r="AC215">
        <v>3983001.2209999999</v>
      </c>
      <c r="AD215">
        <v>3546776.9580000001</v>
      </c>
      <c r="AE215">
        <v>3117570.1860000002</v>
      </c>
      <c r="AF215">
        <v>2706554.213</v>
      </c>
      <c r="AG215">
        <v>2464053.4079999998</v>
      </c>
      <c r="AH215">
        <v>2232436.446</v>
      </c>
      <c r="AI215">
        <v>2007994.963</v>
      </c>
      <c r="AJ215">
        <v>1794769.5919999999</v>
      </c>
      <c r="AK215">
        <v>1590858.3419999999</v>
      </c>
      <c r="AL215">
        <v>1815159.169</v>
      </c>
      <c r="AM215">
        <v>2014690.118</v>
      </c>
      <c r="AN215">
        <v>1708271.4269999999</v>
      </c>
      <c r="AO215">
        <v>1418691.308</v>
      </c>
      <c r="AP215">
        <v>1140926.909</v>
      </c>
      <c r="AQ215">
        <v>874725.15209999995</v>
      </c>
      <c r="AR215">
        <v>618796.45799999998</v>
      </c>
      <c r="AS215">
        <v>706783.87890000001</v>
      </c>
      <c r="AT215">
        <v>786717.42700000003</v>
      </c>
      <c r="AU215">
        <v>859786.03300000005</v>
      </c>
      <c r="AV215">
        <v>926446.57669999998</v>
      </c>
      <c r="AW215">
        <v>987153.73190000001</v>
      </c>
    </row>
    <row r="216" spans="2:49" x14ac:dyDescent="0.25">
      <c r="B216" s="274" t="s">
        <v>287</v>
      </c>
      <c r="C216">
        <v>0.96864644472622397</v>
      </c>
      <c r="D216">
        <v>0.984198376713873</v>
      </c>
      <c r="E216">
        <v>1</v>
      </c>
      <c r="F216">
        <v>0.97585693689999997</v>
      </c>
      <c r="G216">
        <v>0.92578550209999999</v>
      </c>
      <c r="H216">
        <v>0.87898131700000004</v>
      </c>
      <c r="I216">
        <v>0.84762733999999995</v>
      </c>
      <c r="J216">
        <v>0.80751508230000002</v>
      </c>
      <c r="K216">
        <v>0.7636409783</v>
      </c>
      <c r="L216">
        <v>0.72897701920000002</v>
      </c>
      <c r="M216">
        <v>0.70364321090000004</v>
      </c>
      <c r="N216">
        <v>0.68710814409999998</v>
      </c>
      <c r="O216">
        <v>0.67408637709999997</v>
      </c>
      <c r="P216">
        <v>0.65865944219999994</v>
      </c>
      <c r="Q216">
        <v>0.63848739720000003</v>
      </c>
      <c r="R216">
        <v>0.62780034200000001</v>
      </c>
      <c r="S216">
        <v>0.60241380649999998</v>
      </c>
      <c r="T216">
        <v>0.57013266279999997</v>
      </c>
      <c r="U216">
        <v>0.53728714050000004</v>
      </c>
      <c r="V216">
        <v>0.50007612440000004</v>
      </c>
      <c r="W216">
        <v>0.47644561680000003</v>
      </c>
      <c r="X216">
        <v>0.44758698409999997</v>
      </c>
      <c r="Y216">
        <v>0.41406047979999999</v>
      </c>
      <c r="Z216">
        <v>0.38365249509999999</v>
      </c>
      <c r="AA216">
        <v>0.35536301809999998</v>
      </c>
      <c r="AB216">
        <v>0.32740759660000002</v>
      </c>
      <c r="AC216">
        <v>0.3012443507</v>
      </c>
      <c r="AD216">
        <v>0.25930518000000002</v>
      </c>
      <c r="AE216">
        <v>0.2206158107</v>
      </c>
      <c r="AF216">
        <v>0.18508860090000001</v>
      </c>
      <c r="AG216">
        <v>0.16313588700000001</v>
      </c>
      <c r="AH216">
        <v>0.1427673133</v>
      </c>
      <c r="AI216">
        <v>0.1231180541</v>
      </c>
      <c r="AJ216">
        <v>0.10487317760000001</v>
      </c>
      <c r="AK216">
        <v>8.7945384000000001E-2</v>
      </c>
      <c r="AL216">
        <v>9.5748169199999997E-2</v>
      </c>
      <c r="AM216">
        <v>0.1001688211</v>
      </c>
      <c r="AN216">
        <v>8.1233093699999995E-2</v>
      </c>
      <c r="AO216">
        <v>6.4246451800000007E-2</v>
      </c>
      <c r="AP216">
        <v>4.8784640599999998E-2</v>
      </c>
      <c r="AQ216">
        <v>3.4930757100000001E-2</v>
      </c>
      <c r="AR216">
        <v>2.2915020299999998E-2</v>
      </c>
      <c r="AS216">
        <v>2.6541909900000001E-2</v>
      </c>
      <c r="AT216">
        <v>3.0178455900000001E-2</v>
      </c>
      <c r="AU216" s="39">
        <v>3.3648876000000001E-2</v>
      </c>
      <c r="AV216">
        <v>3.6903886400000002E-2</v>
      </c>
      <c r="AW216">
        <v>3.99156175E-2</v>
      </c>
    </row>
    <row r="217" spans="2:49" x14ac:dyDescent="0.25">
      <c r="B217" s="275" t="s">
        <v>288</v>
      </c>
      <c r="C217">
        <v>8232235.5397947598</v>
      </c>
      <c r="D217">
        <v>8364406.7441781899</v>
      </c>
      <c r="E217">
        <v>8498700</v>
      </c>
      <c r="F217">
        <v>8429925.4890000001</v>
      </c>
      <c r="G217">
        <v>8355638.3880000003</v>
      </c>
      <c r="H217">
        <v>7766801.6179999998</v>
      </c>
      <c r="I217">
        <v>7658938.3260000004</v>
      </c>
      <c r="J217">
        <v>7626227.5130000003</v>
      </c>
      <c r="K217">
        <v>7505918.8530000001</v>
      </c>
      <c r="L217">
        <v>7268829.8540000003</v>
      </c>
      <c r="M217">
        <v>7012542.523</v>
      </c>
      <c r="N217">
        <v>6681628.2869999995</v>
      </c>
      <c r="O217">
        <v>7007460.4519999996</v>
      </c>
      <c r="P217">
        <v>7598231.5449999999</v>
      </c>
      <c r="Q217">
        <v>8363432.767</v>
      </c>
      <c r="R217">
        <v>8969693.3780000005</v>
      </c>
      <c r="S217">
        <v>9553832.18899999</v>
      </c>
      <c r="T217">
        <v>8837295.6270000003</v>
      </c>
      <c r="U217">
        <v>8046110.5360000003</v>
      </c>
      <c r="V217">
        <v>7207122.7290000003</v>
      </c>
      <c r="W217">
        <v>7835652.1720000003</v>
      </c>
      <c r="X217">
        <v>8360161.3969999999</v>
      </c>
      <c r="Y217">
        <v>7822089.4730000002</v>
      </c>
      <c r="Z217">
        <v>7215705.3399999999</v>
      </c>
      <c r="AA217">
        <v>6635220.1600000001</v>
      </c>
      <c r="AB217">
        <v>6133877.4929999998</v>
      </c>
      <c r="AC217">
        <v>5665694.1179999998</v>
      </c>
      <c r="AD217">
        <v>4838895.51</v>
      </c>
      <c r="AE217">
        <v>4072940.5630000001</v>
      </c>
      <c r="AF217">
        <v>3374203.1069999998</v>
      </c>
      <c r="AG217">
        <v>2836775.8330000001</v>
      </c>
      <c r="AH217">
        <v>2354320.7710000002</v>
      </c>
      <c r="AI217">
        <v>1770724.7339999999</v>
      </c>
      <c r="AJ217">
        <v>1253502.746</v>
      </c>
      <c r="AK217">
        <v>811294.42229999998</v>
      </c>
      <c r="AL217">
        <v>603271.01060000004</v>
      </c>
      <c r="AM217">
        <v>287381.94270000001</v>
      </c>
      <c r="AN217">
        <v>240426.37539999999</v>
      </c>
      <c r="AO217">
        <v>214101.46830000001</v>
      </c>
      <c r="AP217">
        <v>185345.3572</v>
      </c>
      <c r="AQ217">
        <v>152329.87760000001</v>
      </c>
      <c r="AR217">
        <v>114949.4896</v>
      </c>
      <c r="AS217">
        <v>140707.90669999999</v>
      </c>
      <c r="AT217">
        <v>167682.26019999999</v>
      </c>
      <c r="AU217">
        <v>195875.18</v>
      </c>
      <c r="AV217">
        <v>225195.18650000001</v>
      </c>
      <c r="AW217">
        <v>255612.8799</v>
      </c>
    </row>
    <row r="218" spans="2:49" x14ac:dyDescent="0.25">
      <c r="B218" s="274" t="s">
        <v>289</v>
      </c>
      <c r="C218">
        <v>463787.91773491597</v>
      </c>
      <c r="D218">
        <v>471234.182770602</v>
      </c>
      <c r="E218">
        <v>478800</v>
      </c>
      <c r="F218">
        <v>479393.00469999999</v>
      </c>
      <c r="G218">
        <v>463427.99369999999</v>
      </c>
      <c r="H218">
        <v>440917.91529999999</v>
      </c>
      <c r="I218">
        <v>447606.68329999998</v>
      </c>
      <c r="J218">
        <v>465319.94620000001</v>
      </c>
      <c r="K218">
        <v>466244.37770000001</v>
      </c>
      <c r="L218">
        <v>476511.55719999998</v>
      </c>
      <c r="M218">
        <v>499244.01789999998</v>
      </c>
      <c r="N218">
        <v>532647.17150000005</v>
      </c>
      <c r="O218">
        <v>509005.86050000001</v>
      </c>
      <c r="P218">
        <v>472867.05540000001</v>
      </c>
      <c r="Q218">
        <v>416216.29369999998</v>
      </c>
      <c r="R218">
        <v>368841.25520000001</v>
      </c>
      <c r="S218">
        <v>327394.4999</v>
      </c>
      <c r="T218">
        <v>304599.29790000001</v>
      </c>
      <c r="U218">
        <v>282899.3187</v>
      </c>
      <c r="V218">
        <v>263845.71899999998</v>
      </c>
      <c r="W218">
        <v>252946.78969999999</v>
      </c>
      <c r="X218">
        <v>241967.4106</v>
      </c>
      <c r="Y218">
        <v>230590.7868</v>
      </c>
      <c r="Z218">
        <v>220350.22949999999</v>
      </c>
      <c r="AA218">
        <v>210037.19680000001</v>
      </c>
      <c r="AB218">
        <v>196886.6446</v>
      </c>
      <c r="AC218">
        <v>184014.95120000001</v>
      </c>
      <c r="AD218">
        <v>174809.8939</v>
      </c>
      <c r="AE218">
        <v>163948.95430000001</v>
      </c>
      <c r="AF218">
        <v>151581.1624</v>
      </c>
      <c r="AG218">
        <v>141759.81299999999</v>
      </c>
      <c r="AH218">
        <v>131949.2034</v>
      </c>
      <c r="AI218">
        <v>121625.086</v>
      </c>
      <c r="AJ218">
        <v>111493.30190000001</v>
      </c>
      <c r="AK218">
        <v>101394.48669999999</v>
      </c>
      <c r="AL218">
        <v>94472.228260000004</v>
      </c>
      <c r="AM218">
        <v>80968.065530000007</v>
      </c>
      <c r="AN218">
        <v>81563.885399999999</v>
      </c>
      <c r="AO218">
        <v>78650.304000000004</v>
      </c>
      <c r="AP218">
        <v>72211.943589999995</v>
      </c>
      <c r="AQ218">
        <v>62416.240489999996</v>
      </c>
      <c r="AR218">
        <v>49264.591699999997</v>
      </c>
      <c r="AS218">
        <v>45546.765729999999</v>
      </c>
      <c r="AT218">
        <v>38541.594429999997</v>
      </c>
      <c r="AU218">
        <v>28475.388729999999</v>
      </c>
      <c r="AV218">
        <v>15560.54952</v>
      </c>
      <c r="AW218">
        <v>2441.520266</v>
      </c>
    </row>
    <row r="219" spans="2:49" x14ac:dyDescent="0.25">
      <c r="B219" t="s">
        <v>290</v>
      </c>
      <c r="C219">
        <v>247860837.32111701</v>
      </c>
      <c r="D219">
        <v>251840323.237167</v>
      </c>
      <c r="E219">
        <v>255969216</v>
      </c>
      <c r="F219">
        <v>257702438.09999999</v>
      </c>
      <c r="G219">
        <v>242694868.59999999</v>
      </c>
      <c r="H219">
        <v>225841595.19999999</v>
      </c>
      <c r="I219">
        <v>222198535.5</v>
      </c>
      <c r="J219">
        <v>215448575.5</v>
      </c>
      <c r="K219">
        <v>205893325.80000001</v>
      </c>
      <c r="L219">
        <v>200149161.5</v>
      </c>
      <c r="M219">
        <v>199305216.59999999</v>
      </c>
      <c r="N219">
        <v>200883611.40000001</v>
      </c>
      <c r="O219">
        <v>192230511.59999999</v>
      </c>
      <c r="P219">
        <v>184418056.69999999</v>
      </c>
      <c r="Q219">
        <v>173370445.80000001</v>
      </c>
      <c r="R219">
        <v>165771387.19999999</v>
      </c>
      <c r="S219">
        <v>158749379.90000001</v>
      </c>
      <c r="T219">
        <v>157463915.59999999</v>
      </c>
      <c r="U219">
        <v>155346911.30000001</v>
      </c>
      <c r="V219">
        <v>153779878.30000001</v>
      </c>
      <c r="W219">
        <v>147756103.69999999</v>
      </c>
      <c r="X219">
        <v>140351238.5</v>
      </c>
      <c r="Y219">
        <v>133014926.2</v>
      </c>
      <c r="Z219">
        <v>126848770.40000001</v>
      </c>
      <c r="AA219">
        <v>121204439.3</v>
      </c>
      <c r="AB219">
        <v>115631269</v>
      </c>
      <c r="AC219">
        <v>110359045.40000001</v>
      </c>
      <c r="AD219">
        <v>103321564.8</v>
      </c>
      <c r="AE219">
        <v>96582223.379999995</v>
      </c>
      <c r="AF219">
        <v>89936888.799999997</v>
      </c>
      <c r="AG219">
        <v>84510304.75</v>
      </c>
      <c r="AH219">
        <v>79081353.349999994</v>
      </c>
      <c r="AI219">
        <v>73233703.870000005</v>
      </c>
      <c r="AJ219">
        <v>67325683.239999995</v>
      </c>
      <c r="AK219">
        <v>61233439.030000001</v>
      </c>
      <c r="AL219">
        <v>58458916.939999998</v>
      </c>
      <c r="AM219">
        <v>55026011</v>
      </c>
      <c r="AN219">
        <v>50600005.100000001</v>
      </c>
      <c r="AO219">
        <v>46063537.979999997</v>
      </c>
      <c r="AP219">
        <v>41225897.149999999</v>
      </c>
      <c r="AQ219">
        <v>36143074.939999998</v>
      </c>
      <c r="AR219">
        <v>30720687.109999999</v>
      </c>
      <c r="AS219">
        <v>30399593.550000001</v>
      </c>
      <c r="AT219">
        <v>30054352.510000002</v>
      </c>
      <c r="AU219">
        <v>29681025.079999998</v>
      </c>
      <c r="AV219">
        <v>29269247.940000001</v>
      </c>
      <c r="AW219">
        <v>28821699.149999999</v>
      </c>
    </row>
    <row r="220" spans="2:49" x14ac:dyDescent="0.25">
      <c r="B220" t="s">
        <v>291</v>
      </c>
      <c r="C220">
        <v>41023493.601484403</v>
      </c>
      <c r="D220">
        <v>41682139.060681202</v>
      </c>
      <c r="E220">
        <v>42351359.289999999</v>
      </c>
      <c r="F220">
        <v>41485206.240000002</v>
      </c>
      <c r="G220">
        <v>36470100.25</v>
      </c>
      <c r="H220">
        <v>31864376.300000001</v>
      </c>
      <c r="I220">
        <v>30281470.219999999</v>
      </c>
      <c r="J220">
        <v>28708826.32</v>
      </c>
      <c r="K220">
        <v>27224157.969999999</v>
      </c>
      <c r="L220">
        <v>27124947.690000001</v>
      </c>
      <c r="M220">
        <v>26495540.18</v>
      </c>
      <c r="N220">
        <v>25693137.57</v>
      </c>
      <c r="O220">
        <v>20505965.030000001</v>
      </c>
      <c r="P220">
        <v>17095947.420000002</v>
      </c>
      <c r="Q220">
        <v>14510234.01</v>
      </c>
      <c r="R220">
        <v>12213935</v>
      </c>
      <c r="S220">
        <v>9987241.13199999</v>
      </c>
      <c r="T220">
        <v>9676177.6720000003</v>
      </c>
      <c r="U220">
        <v>9428675.0429999996</v>
      </c>
      <c r="V220">
        <v>9273117.4340000004</v>
      </c>
      <c r="W220">
        <v>7870210.4299999997</v>
      </c>
      <c r="X220">
        <v>6249307.477</v>
      </c>
      <c r="Y220">
        <v>5537540.665</v>
      </c>
      <c r="Z220">
        <v>5007714.8830000004</v>
      </c>
      <c r="AA220">
        <v>4554513.1550000003</v>
      </c>
      <c r="AB220">
        <v>4292350.1059999997</v>
      </c>
      <c r="AC220">
        <v>4084940.0649999999</v>
      </c>
      <c r="AD220">
        <v>4038489.1719999998</v>
      </c>
      <c r="AE220">
        <v>4035077.4920000001</v>
      </c>
      <c r="AF220">
        <v>4042203.412</v>
      </c>
      <c r="AG220">
        <v>4086502.8059999999</v>
      </c>
      <c r="AH220">
        <v>4132971.8939999999</v>
      </c>
      <c r="AI220">
        <v>4190418.9720000001</v>
      </c>
      <c r="AJ220">
        <v>4253111.585</v>
      </c>
      <c r="AK220">
        <v>4317567.17</v>
      </c>
      <c r="AL220">
        <v>4384595.3150000004</v>
      </c>
      <c r="AM220">
        <v>4452097.8169999998</v>
      </c>
      <c r="AN220">
        <v>4498981.2309999997</v>
      </c>
      <c r="AO220">
        <v>4540650.4270000001</v>
      </c>
      <c r="AP220">
        <v>4573641.727</v>
      </c>
      <c r="AQ220">
        <v>4603604.0990000004</v>
      </c>
      <c r="AR220">
        <v>4625266.3909999998</v>
      </c>
      <c r="AS220">
        <v>4660499.6320000002</v>
      </c>
      <c r="AT220">
        <v>4698180.7609999999</v>
      </c>
      <c r="AU220">
        <v>4735056.0760000004</v>
      </c>
      <c r="AV220">
        <v>4770135.5959999999</v>
      </c>
      <c r="AW220">
        <v>4804227.9009999996</v>
      </c>
    </row>
    <row r="221" spans="2:49" x14ac:dyDescent="0.25">
      <c r="B221" t="s">
        <v>292</v>
      </c>
      <c r="C221">
        <v>156021257.172526</v>
      </c>
      <c r="D221">
        <v>158526228.92293701</v>
      </c>
      <c r="E221">
        <v>161156797.19999999</v>
      </c>
      <c r="F221">
        <v>162997929</v>
      </c>
      <c r="G221">
        <v>154581500.09999999</v>
      </c>
      <c r="H221">
        <v>145772357.90000001</v>
      </c>
      <c r="I221">
        <v>142438702.59999999</v>
      </c>
      <c r="J221">
        <v>137084064.90000001</v>
      </c>
      <c r="K221">
        <v>131028650.59999999</v>
      </c>
      <c r="L221">
        <v>126334632.59999999</v>
      </c>
      <c r="M221">
        <v>125713732.09999999</v>
      </c>
      <c r="N221">
        <v>126740056.5</v>
      </c>
      <c r="O221">
        <v>121752594.8</v>
      </c>
      <c r="P221">
        <v>116672124.5</v>
      </c>
      <c r="Q221">
        <v>109797479.90000001</v>
      </c>
      <c r="R221">
        <v>105327374.5</v>
      </c>
      <c r="S221">
        <v>100799411.3</v>
      </c>
      <c r="T221">
        <v>101786972.2</v>
      </c>
      <c r="U221">
        <v>102240584.09999999</v>
      </c>
      <c r="V221">
        <v>102812781.40000001</v>
      </c>
      <c r="W221">
        <v>98389004.810000002</v>
      </c>
      <c r="X221">
        <v>93338479.799999997</v>
      </c>
      <c r="Y221">
        <v>89018069.700000003</v>
      </c>
      <c r="Z221">
        <v>85472230.439999998</v>
      </c>
      <c r="AA221">
        <v>82339915.269999996</v>
      </c>
      <c r="AB221">
        <v>79363283.010000005</v>
      </c>
      <c r="AC221">
        <v>76579362.030000001</v>
      </c>
      <c r="AD221">
        <v>72891920.709999904</v>
      </c>
      <c r="AE221">
        <v>69305916.920000002</v>
      </c>
      <c r="AF221">
        <v>65661914.700000003</v>
      </c>
      <c r="AG221">
        <v>62033396.229999997</v>
      </c>
      <c r="AH221">
        <v>58305638.600000001</v>
      </c>
      <c r="AI221">
        <v>54226089.520000003</v>
      </c>
      <c r="AJ221">
        <v>49974970.090000004</v>
      </c>
      <c r="AK221">
        <v>45438167.719999999</v>
      </c>
      <c r="AL221">
        <v>41105657.710000001</v>
      </c>
      <c r="AM221">
        <v>36331139.990000002</v>
      </c>
      <c r="AN221">
        <v>33811658.990000002</v>
      </c>
      <c r="AO221">
        <v>31115269.960000001</v>
      </c>
      <c r="AP221">
        <v>28120026.010000002</v>
      </c>
      <c r="AQ221">
        <v>24869885.57</v>
      </c>
      <c r="AR221">
        <v>21285876.870000001</v>
      </c>
      <c r="AS221">
        <v>20150432.43</v>
      </c>
      <c r="AT221">
        <v>19020210.91</v>
      </c>
      <c r="AU221">
        <v>17887541.98</v>
      </c>
      <c r="AV221">
        <v>16741197.59</v>
      </c>
      <c r="AW221">
        <v>15577065.560000001</v>
      </c>
    </row>
    <row r="222" spans="2:49" x14ac:dyDescent="0.25">
      <c r="B222" t="s">
        <v>293</v>
      </c>
      <c r="C222">
        <v>50816086.547106199</v>
      </c>
      <c r="D222">
        <v>51631955.253548898</v>
      </c>
      <c r="E222">
        <v>52461059.539999999</v>
      </c>
      <c r="F222">
        <v>53219302.840000004</v>
      </c>
      <c r="G222">
        <v>51643268.25</v>
      </c>
      <c r="H222">
        <v>48204860.990000002</v>
      </c>
      <c r="I222">
        <v>49478362.700000003</v>
      </c>
      <c r="J222">
        <v>49655684.280000001</v>
      </c>
      <c r="K222">
        <v>47640517.329999998</v>
      </c>
      <c r="L222">
        <v>46689581.18</v>
      </c>
      <c r="M222">
        <v>47095944.340000004</v>
      </c>
      <c r="N222">
        <v>48450417.259999998</v>
      </c>
      <c r="O222">
        <v>49971951.859999999</v>
      </c>
      <c r="P222">
        <v>50649984.840000004</v>
      </c>
      <c r="Q222">
        <v>49062731.829999998</v>
      </c>
      <c r="R222">
        <v>48230077.710000001</v>
      </c>
      <c r="S222">
        <v>47962727.479999997</v>
      </c>
      <c r="T222">
        <v>46000765.719999999</v>
      </c>
      <c r="U222">
        <v>43677652.25</v>
      </c>
      <c r="V222">
        <v>41693979.539999999</v>
      </c>
      <c r="W222">
        <v>41496888.509999998</v>
      </c>
      <c r="X222">
        <v>40763451.170000002</v>
      </c>
      <c r="Y222">
        <v>38459315.82</v>
      </c>
      <c r="Z222">
        <v>36368825.109999999</v>
      </c>
      <c r="AA222">
        <v>34310010.850000001</v>
      </c>
      <c r="AB222">
        <v>31975635.84</v>
      </c>
      <c r="AC222">
        <v>29694743.300000001</v>
      </c>
      <c r="AD222">
        <v>26391154.879999999</v>
      </c>
      <c r="AE222">
        <v>23241228.969999999</v>
      </c>
      <c r="AF222">
        <v>20232770.690000001</v>
      </c>
      <c r="AG222">
        <v>18390405.710000001</v>
      </c>
      <c r="AH222">
        <v>16642742.859999999</v>
      </c>
      <c r="AI222">
        <v>14817195.369999999</v>
      </c>
      <c r="AJ222">
        <v>13097601.560000001</v>
      </c>
      <c r="AK222">
        <v>11477704.140000001</v>
      </c>
      <c r="AL222">
        <v>12968663.91</v>
      </c>
      <c r="AM222">
        <v>14242773.189999999</v>
      </c>
      <c r="AN222">
        <v>12289364.880000001</v>
      </c>
      <c r="AO222">
        <v>10407617.59</v>
      </c>
      <c r="AP222">
        <v>8532229.4130000006</v>
      </c>
      <c r="AQ222">
        <v>6669585.2709999997</v>
      </c>
      <c r="AR222">
        <v>4809543.8540000003</v>
      </c>
      <c r="AS222">
        <v>5588661.4910000004</v>
      </c>
      <c r="AT222">
        <v>6335960.8430000003</v>
      </c>
      <c r="AU222">
        <v>7058427.0269999998</v>
      </c>
      <c r="AV222">
        <v>7757914.7549999999</v>
      </c>
      <c r="AW222">
        <v>8440405.6850000005</v>
      </c>
    </row>
    <row r="223" spans="2:49" x14ac:dyDescent="0.25">
      <c r="B223" t="s">
        <v>294</v>
      </c>
      <c r="C223">
        <v>392773953.478827</v>
      </c>
      <c r="D223">
        <v>399080066.34826499</v>
      </c>
      <c r="E223">
        <v>405572940.80000001</v>
      </c>
      <c r="F223">
        <v>405143396.89999998</v>
      </c>
      <c r="G223">
        <v>386507843.10000002</v>
      </c>
      <c r="H223">
        <v>369386142.89999998</v>
      </c>
      <c r="I223">
        <v>363581037.19999999</v>
      </c>
      <c r="J223">
        <v>353960531.10000002</v>
      </c>
      <c r="K223">
        <v>340743493.80000001</v>
      </c>
      <c r="L223">
        <v>332224468.30000001</v>
      </c>
      <c r="M223">
        <v>329200567.5</v>
      </c>
      <c r="N223">
        <v>329328922.5</v>
      </c>
      <c r="O223">
        <v>320628943.60000002</v>
      </c>
      <c r="P223">
        <v>312098922.80000001</v>
      </c>
      <c r="Q223">
        <v>299150293.5</v>
      </c>
      <c r="R223">
        <v>290578924.80000001</v>
      </c>
      <c r="S223">
        <v>281961452.19999999</v>
      </c>
      <c r="T223">
        <v>277460282.19999999</v>
      </c>
      <c r="U223">
        <v>272093278.5</v>
      </c>
      <c r="V223">
        <v>266422335.19999999</v>
      </c>
      <c r="W223">
        <v>257026479.19999999</v>
      </c>
      <c r="X223">
        <v>245616854</v>
      </c>
      <c r="Y223">
        <v>234029438.90000001</v>
      </c>
      <c r="Z223">
        <v>223283522.19999999</v>
      </c>
      <c r="AA223">
        <v>212894222.90000001</v>
      </c>
      <c r="AB223">
        <v>202171697.30000001</v>
      </c>
      <c r="AC223">
        <v>191673384.19999999</v>
      </c>
      <c r="AD223">
        <v>177803319.40000001</v>
      </c>
      <c r="AE223">
        <v>164368235.59999999</v>
      </c>
      <c r="AF223">
        <v>151247761.5</v>
      </c>
      <c r="AG223">
        <v>140245873.30000001</v>
      </c>
      <c r="AH223">
        <v>129445480.2</v>
      </c>
      <c r="AI223">
        <v>118329833.8</v>
      </c>
      <c r="AJ223">
        <v>107400893.90000001</v>
      </c>
      <c r="AK223">
        <v>96472729.090000004</v>
      </c>
      <c r="AL223">
        <v>90790464.189999998</v>
      </c>
      <c r="AM223">
        <v>84417744.140000001</v>
      </c>
      <c r="AN223">
        <v>76340448.879999995</v>
      </c>
      <c r="AO223">
        <v>68301872.390000001</v>
      </c>
      <c r="AP223">
        <v>60092235.939999998</v>
      </c>
      <c r="AQ223">
        <v>51752278.75</v>
      </c>
      <c r="AR223">
        <v>43120727.380000003</v>
      </c>
      <c r="AS223">
        <v>42273193.439999998</v>
      </c>
      <c r="AT223">
        <v>41428245.43</v>
      </c>
      <c r="AU223">
        <v>40576417.299999997</v>
      </c>
      <c r="AV223">
        <v>39702416.829999998</v>
      </c>
      <c r="AW223">
        <v>38807022.670000002</v>
      </c>
    </row>
    <row r="224" spans="2:49" x14ac:dyDescent="0.25">
      <c r="B224" t="s">
        <v>295</v>
      </c>
      <c r="C224">
        <v>42122345.501310699</v>
      </c>
      <c r="D224">
        <v>42798633.383193001</v>
      </c>
      <c r="E224">
        <v>43485779.289999999</v>
      </c>
      <c r="F224">
        <v>42610380.049999997</v>
      </c>
      <c r="G224">
        <v>37583330.390000001</v>
      </c>
      <c r="H224">
        <v>32964466.109999999</v>
      </c>
      <c r="I224">
        <v>31374913.559999999</v>
      </c>
      <c r="J224">
        <v>29795345.52</v>
      </c>
      <c r="K224">
        <v>28299710.379999999</v>
      </c>
      <c r="L224">
        <v>28184872.800000001</v>
      </c>
      <c r="M224">
        <v>27540026.260000002</v>
      </c>
      <c r="N224">
        <v>26726509.969999999</v>
      </c>
      <c r="O224">
        <v>21537288.170000002</v>
      </c>
      <c r="P224">
        <v>18128619.43</v>
      </c>
      <c r="Q224">
        <v>15540878.65</v>
      </c>
      <c r="R224">
        <v>13230251.380000001</v>
      </c>
      <c r="S224">
        <v>10984948.210000001</v>
      </c>
      <c r="T224">
        <v>10649711.92</v>
      </c>
      <c r="U224">
        <v>10377383.67</v>
      </c>
      <c r="V224">
        <v>10196896.619999999</v>
      </c>
      <c r="W224">
        <v>8768863.6439999994</v>
      </c>
      <c r="X224">
        <v>7118414.5539999995</v>
      </c>
      <c r="Y224">
        <v>6374556.6469999999</v>
      </c>
      <c r="Z224">
        <v>5812950.2769999998</v>
      </c>
      <c r="AA224">
        <v>5329702.1239999998</v>
      </c>
      <c r="AB224">
        <v>5039632.3159999996</v>
      </c>
      <c r="AC224">
        <v>4804818.4850000003</v>
      </c>
      <c r="AD224">
        <v>4730677.3609999996</v>
      </c>
      <c r="AE224">
        <v>4700893.72</v>
      </c>
      <c r="AF224">
        <v>4683525.4390000002</v>
      </c>
      <c r="AG224">
        <v>4705073.3640000001</v>
      </c>
      <c r="AH224">
        <v>4730416.0719999997</v>
      </c>
      <c r="AI224">
        <v>4768331.8</v>
      </c>
      <c r="AJ224">
        <v>4812970.5329999998</v>
      </c>
      <c r="AK224">
        <v>4860775.2410000004</v>
      </c>
      <c r="AL224">
        <v>4912198.6370000001</v>
      </c>
      <c r="AM224">
        <v>4963979.0820000004</v>
      </c>
      <c r="AN224">
        <v>4995240.8949999996</v>
      </c>
      <c r="AO224">
        <v>5021989.1689999998</v>
      </c>
      <c r="AP224">
        <v>5040923.6789999995</v>
      </c>
      <c r="AQ224">
        <v>5057725.5219999999</v>
      </c>
      <c r="AR224">
        <v>5067105.4740000004</v>
      </c>
      <c r="AS224">
        <v>5090685.3150000004</v>
      </c>
      <c r="AT224">
        <v>5116650.5259999996</v>
      </c>
      <c r="AU224">
        <v>5141576.7419999996</v>
      </c>
      <c r="AV224">
        <v>5164478.1260000002</v>
      </c>
      <c r="AW224">
        <v>5186294.5379999997</v>
      </c>
    </row>
    <row r="225" spans="2:49" x14ac:dyDescent="0.25">
      <c r="B225" t="s">
        <v>296</v>
      </c>
      <c r="C225">
        <v>261896523.70399499</v>
      </c>
      <c r="D225">
        <v>266101357.10489401</v>
      </c>
      <c r="E225">
        <v>270459078.89999998</v>
      </c>
      <c r="F225">
        <v>270874259.89999998</v>
      </c>
      <c r="G225">
        <v>260111729.30000001</v>
      </c>
      <c r="H225">
        <v>252102381</v>
      </c>
      <c r="I225">
        <v>246836869.90000001</v>
      </c>
      <c r="J225">
        <v>239547897.5</v>
      </c>
      <c r="K225">
        <v>231413682.69999999</v>
      </c>
      <c r="L225">
        <v>225153892.90000001</v>
      </c>
      <c r="M225">
        <v>223136480.59999999</v>
      </c>
      <c r="N225">
        <v>223205869.30000001</v>
      </c>
      <c r="O225">
        <v>217554019.09999999</v>
      </c>
      <c r="P225">
        <v>211709058.40000001</v>
      </c>
      <c r="Q225">
        <v>203933539.30000001</v>
      </c>
      <c r="R225">
        <v>199298490.69999999</v>
      </c>
      <c r="S225">
        <v>193802018.69999999</v>
      </c>
      <c r="T225">
        <v>193456419.09999999</v>
      </c>
      <c r="U225">
        <v>192179338.09999999</v>
      </c>
      <c r="V225">
        <v>190126718.90000001</v>
      </c>
      <c r="W225">
        <v>182695791.59999999</v>
      </c>
      <c r="X225">
        <v>174474658</v>
      </c>
      <c r="Y225">
        <v>167283013.09999999</v>
      </c>
      <c r="Z225">
        <v>160505095</v>
      </c>
      <c r="AA225">
        <v>153944214.30000001</v>
      </c>
      <c r="AB225">
        <v>147305957.90000001</v>
      </c>
      <c r="AC225">
        <v>140689865.09999999</v>
      </c>
      <c r="AD225">
        <v>132145497.8</v>
      </c>
      <c r="AE225">
        <v>123732598.5</v>
      </c>
      <c r="AF225">
        <v>115362282.2</v>
      </c>
      <c r="AG225">
        <v>107204141.40000001</v>
      </c>
      <c r="AH225">
        <v>99094719.349999994</v>
      </c>
      <c r="AI225">
        <v>90690435.540000007</v>
      </c>
      <c r="AJ225">
        <v>82298222.310000002</v>
      </c>
      <c r="AK225">
        <v>73758631.159999996</v>
      </c>
      <c r="AL225">
        <v>65659468.030000001</v>
      </c>
      <c r="AM225">
        <v>57164617.380000003</v>
      </c>
      <c r="AN225">
        <v>52202783.5</v>
      </c>
      <c r="AO225">
        <v>47174721.170000002</v>
      </c>
      <c r="AP225">
        <v>41931253.710000001</v>
      </c>
      <c r="AQ225">
        <v>36500147.5</v>
      </c>
      <c r="AR225">
        <v>30743979.920000002</v>
      </c>
      <c r="AS225">
        <v>28738673.25</v>
      </c>
      <c r="AT225">
        <v>26788793.800000001</v>
      </c>
      <c r="AU225">
        <v>24885733.449999999</v>
      </c>
      <c r="AV225">
        <v>23013349.350000001</v>
      </c>
      <c r="AW225">
        <v>21163490.039999999</v>
      </c>
    </row>
    <row r="226" spans="2:49" x14ac:dyDescent="0.25">
      <c r="B226" t="s">
        <v>297</v>
      </c>
      <c r="C226">
        <v>88755084.273521304</v>
      </c>
      <c r="D226">
        <v>90180075.860178098</v>
      </c>
      <c r="E226">
        <v>91628082.700000003</v>
      </c>
      <c r="F226">
        <v>91658757.010000005</v>
      </c>
      <c r="G226">
        <v>88812783.390000001</v>
      </c>
      <c r="H226">
        <v>84319295.840000004</v>
      </c>
      <c r="I226">
        <v>85369253.719999999</v>
      </c>
      <c r="J226">
        <v>84617288.109999999</v>
      </c>
      <c r="K226">
        <v>81030100.769999996</v>
      </c>
      <c r="L226">
        <v>78885702.540000007</v>
      </c>
      <c r="M226">
        <v>78524060.629999995</v>
      </c>
      <c r="N226">
        <v>79396543.219999999</v>
      </c>
      <c r="O226">
        <v>81537636.280000001</v>
      </c>
      <c r="P226">
        <v>82261244.969999999</v>
      </c>
      <c r="Q226">
        <v>79675875.620000005</v>
      </c>
      <c r="R226">
        <v>78050182.719999999</v>
      </c>
      <c r="S226">
        <v>77174485.25</v>
      </c>
      <c r="T226">
        <v>73354151.189999998</v>
      </c>
      <c r="U226">
        <v>69536556.760000005</v>
      </c>
      <c r="V226">
        <v>66098719.640000001</v>
      </c>
      <c r="W226">
        <v>65561823.880000003</v>
      </c>
      <c r="X226">
        <v>64023781.409999996</v>
      </c>
      <c r="Y226">
        <v>60371869.189999998</v>
      </c>
      <c r="Z226">
        <v>56965476.920000002</v>
      </c>
      <c r="AA226">
        <v>53620306.5</v>
      </c>
      <c r="AB226">
        <v>49826107.030000001</v>
      </c>
      <c r="AC226">
        <v>46178700.600000001</v>
      </c>
      <c r="AD226">
        <v>40927144.170000002</v>
      </c>
      <c r="AE226">
        <v>35934743.380000003</v>
      </c>
      <c r="AF226">
        <v>31201953.890000001</v>
      </c>
      <c r="AG226">
        <v>28336658.449999999</v>
      </c>
      <c r="AH226">
        <v>25620344.780000001</v>
      </c>
      <c r="AI226">
        <v>22871066.449999999</v>
      </c>
      <c r="AJ226">
        <v>20289701.050000001</v>
      </c>
      <c r="AK226">
        <v>17853322.699999999</v>
      </c>
      <c r="AL226">
        <v>20218797.52</v>
      </c>
      <c r="AM226">
        <v>22289147.68</v>
      </c>
      <c r="AN226">
        <v>19142424.48</v>
      </c>
      <c r="AO226">
        <v>16105162.050000001</v>
      </c>
      <c r="AP226">
        <v>13120058.539999999</v>
      </c>
      <c r="AQ226">
        <v>10194405.720000001</v>
      </c>
      <c r="AR226">
        <v>7309641.9910000004</v>
      </c>
      <c r="AS226">
        <v>8443834.8719999995</v>
      </c>
      <c r="AT226">
        <v>9522801.102</v>
      </c>
      <c r="AU226">
        <v>10549107.109999999</v>
      </c>
      <c r="AV226">
        <v>11524589.35</v>
      </c>
      <c r="AW226">
        <v>12457238.09</v>
      </c>
    </row>
    <row r="227" spans="2:49" x14ac:dyDescent="0.25">
      <c r="B227" t="s">
        <v>298</v>
      </c>
      <c r="C227">
        <v>419119515.24800497</v>
      </c>
      <c r="D227">
        <v>425848614.63336003</v>
      </c>
      <c r="E227">
        <v>432800620.5</v>
      </c>
      <c r="F227">
        <v>432724485.89999998</v>
      </c>
      <c r="G227">
        <v>413414044.69999999</v>
      </c>
      <c r="H227">
        <v>393528736.19999999</v>
      </c>
      <c r="I227">
        <v>388595120.89999998</v>
      </c>
      <c r="J227">
        <v>379597437.39999998</v>
      </c>
      <c r="K227">
        <v>365733189</v>
      </c>
      <c r="L227">
        <v>356946832.89999998</v>
      </c>
      <c r="M227">
        <v>353967741.80000001</v>
      </c>
      <c r="N227">
        <v>354465473.10000002</v>
      </c>
      <c r="O227">
        <v>345863526.19999999</v>
      </c>
      <c r="P227">
        <v>338112991.5</v>
      </c>
      <c r="Q227">
        <v>325330507.19999999</v>
      </c>
      <c r="R227">
        <v>317044705.80000001</v>
      </c>
      <c r="S227">
        <v>308361629.10000002</v>
      </c>
      <c r="T227">
        <v>304227722.30000001</v>
      </c>
      <c r="U227">
        <v>298835645.69999999</v>
      </c>
      <c r="V227">
        <v>293499421.39999998</v>
      </c>
      <c r="W227">
        <v>284049584.60000002</v>
      </c>
      <c r="X227">
        <v>272511122.60000002</v>
      </c>
      <c r="Y227">
        <v>260714830.40000001</v>
      </c>
      <c r="Z227">
        <v>249915231.19999999</v>
      </c>
      <c r="AA227">
        <v>239519969.69999999</v>
      </c>
      <c r="AB227">
        <v>228798989.09999999</v>
      </c>
      <c r="AC227">
        <v>218420657.40000001</v>
      </c>
      <c r="AD227">
        <v>204268793.90000001</v>
      </c>
      <c r="AE227">
        <v>190509320</v>
      </c>
      <c r="AF227">
        <v>177049606.80000001</v>
      </c>
      <c r="AG227">
        <v>165803944.19999999</v>
      </c>
      <c r="AH227">
        <v>154781912.69999999</v>
      </c>
      <c r="AI227">
        <v>143441454.5</v>
      </c>
      <c r="AJ227">
        <v>132241222.59999999</v>
      </c>
      <c r="AK227">
        <v>121017160.7</v>
      </c>
      <c r="AL227">
        <v>115356305.3</v>
      </c>
      <c r="AM227">
        <v>108952985.3</v>
      </c>
      <c r="AN227">
        <v>100650008.5</v>
      </c>
      <c r="AO227">
        <v>92350118.450000003</v>
      </c>
      <c r="AP227">
        <v>83815552.670000002</v>
      </c>
      <c r="AQ227">
        <v>75127869.239999995</v>
      </c>
      <c r="AR227">
        <v>66066695.909999996</v>
      </c>
      <c r="AS227">
        <v>65351402.630000003</v>
      </c>
      <c r="AT227">
        <v>64678965.130000003</v>
      </c>
      <c r="AU227">
        <v>64000578.560000002</v>
      </c>
      <c r="AV227">
        <v>63293418.560000002</v>
      </c>
      <c r="AW227">
        <v>62582261.600000001</v>
      </c>
    </row>
    <row r="228" spans="2:49" x14ac:dyDescent="0.25">
      <c r="B228" t="s">
        <v>299</v>
      </c>
      <c r="C228">
        <v>255.88316116441601</v>
      </c>
      <c r="D228">
        <v>259.991448084664</v>
      </c>
      <c r="E228">
        <v>264.99072790000002</v>
      </c>
      <c r="F228">
        <v>273.27071610000002</v>
      </c>
      <c r="G228">
        <v>275.14558419999997</v>
      </c>
      <c r="H228">
        <v>265.75480950000002</v>
      </c>
      <c r="I228">
        <v>274.30369810000002</v>
      </c>
      <c r="J228">
        <v>276.20865809999998</v>
      </c>
      <c r="K228">
        <v>273.54320460000002</v>
      </c>
      <c r="L228">
        <v>270.71848970000002</v>
      </c>
      <c r="M228">
        <v>270.31665179999999</v>
      </c>
      <c r="N228">
        <v>269.77137060000001</v>
      </c>
      <c r="O228">
        <v>260.54985140000002</v>
      </c>
      <c r="P228">
        <v>255.7950079</v>
      </c>
      <c r="Q228">
        <v>250.3706206</v>
      </c>
      <c r="R228">
        <v>243.01942969999999</v>
      </c>
      <c r="S228">
        <v>235.89896780000001</v>
      </c>
      <c r="T228">
        <v>234.04462839999999</v>
      </c>
      <c r="U228">
        <v>231.9188479</v>
      </c>
      <c r="V228">
        <v>228.8735629</v>
      </c>
      <c r="W228">
        <v>235.70254259999999</v>
      </c>
      <c r="X228">
        <v>240.25235789999999</v>
      </c>
      <c r="Y228">
        <v>235.46126849999999</v>
      </c>
      <c r="Z228">
        <v>230.8259578</v>
      </c>
      <c r="AA228">
        <v>226.24710060000001</v>
      </c>
      <c r="AB228">
        <v>221.853477</v>
      </c>
      <c r="AC228">
        <v>217.71144620000001</v>
      </c>
      <c r="AD228">
        <v>214.829545</v>
      </c>
      <c r="AE228">
        <v>211.97560809999999</v>
      </c>
      <c r="AF228">
        <v>209.15815559999999</v>
      </c>
      <c r="AG228">
        <v>197.30919470000001</v>
      </c>
      <c r="AH228">
        <v>185.8398152</v>
      </c>
      <c r="AI228">
        <v>183.43149030000001</v>
      </c>
      <c r="AJ228">
        <v>181.0351575</v>
      </c>
      <c r="AK228">
        <v>178.6111267</v>
      </c>
      <c r="AL228">
        <v>176.4022713</v>
      </c>
      <c r="AM228">
        <v>174.00782380000001</v>
      </c>
      <c r="AN228">
        <v>169.7097067</v>
      </c>
      <c r="AO228">
        <v>165.6247339</v>
      </c>
      <c r="AP228">
        <v>161.4873388</v>
      </c>
      <c r="AQ228">
        <v>157.4687012</v>
      </c>
      <c r="AR228">
        <v>153.49135100000001</v>
      </c>
      <c r="AS228">
        <v>149.3251076</v>
      </c>
      <c r="AT228">
        <v>145.3184072</v>
      </c>
      <c r="AU228">
        <v>141.4257284</v>
      </c>
      <c r="AV228">
        <v>137.61966609999999</v>
      </c>
      <c r="AW228">
        <v>133.92674249999999</v>
      </c>
    </row>
    <row r="229" spans="2:49" x14ac:dyDescent="0.25">
      <c r="B229" t="s">
        <v>300</v>
      </c>
      <c r="C229">
        <v>5.5705789795526002</v>
      </c>
      <c r="D229">
        <v>5.6600164269241402</v>
      </c>
      <c r="E229">
        <v>5.7508898210000003</v>
      </c>
      <c r="F229">
        <v>5.8033766030000002</v>
      </c>
      <c r="G229">
        <v>4.8438632970000004</v>
      </c>
      <c r="H229">
        <v>4.2423983029999999</v>
      </c>
      <c r="I229">
        <v>4.113720421</v>
      </c>
      <c r="J229">
        <v>3.9347963959999999</v>
      </c>
      <c r="K229">
        <v>3.8032346389999998</v>
      </c>
      <c r="L229">
        <v>4.0501238769999999</v>
      </c>
      <c r="M229">
        <v>4.1522313320000004</v>
      </c>
      <c r="N229">
        <v>4.2214297710000004</v>
      </c>
      <c r="O229">
        <v>3.3133953649999999</v>
      </c>
      <c r="P229">
        <v>2.794675877</v>
      </c>
      <c r="Q229">
        <v>2.4634599189999999</v>
      </c>
      <c r="R229">
        <v>2.2489715270000001</v>
      </c>
      <c r="S229">
        <v>2.0619886350000001</v>
      </c>
      <c r="T229">
        <v>2.0383166699999999</v>
      </c>
      <c r="U229">
        <v>2.0048984239999998</v>
      </c>
      <c r="V229">
        <v>1.7046678310000001</v>
      </c>
      <c r="W229">
        <v>1.317978573</v>
      </c>
      <c r="X229">
        <v>0.9619542485</v>
      </c>
      <c r="Y229">
        <v>0.72000583520000005</v>
      </c>
      <c r="Z229">
        <v>0.55713873039999995</v>
      </c>
      <c r="AA229">
        <v>0.44324080300000002</v>
      </c>
      <c r="AB229">
        <v>0.36088030929999998</v>
      </c>
      <c r="AC229">
        <v>0.30087888940000002</v>
      </c>
      <c r="AD229">
        <v>0.26641941279999998</v>
      </c>
      <c r="AE229">
        <v>0.24145158859999999</v>
      </c>
      <c r="AF229">
        <v>0.22147920809999999</v>
      </c>
      <c r="AG229">
        <v>0.2050270626</v>
      </c>
      <c r="AH229">
        <v>0.19125711279999999</v>
      </c>
      <c r="AI229">
        <v>0.18006111180000001</v>
      </c>
      <c r="AJ229">
        <v>0.17048768759999999</v>
      </c>
      <c r="AK229">
        <v>0.16219564349999999</v>
      </c>
      <c r="AL229">
        <v>0.15496398259999999</v>
      </c>
      <c r="AM229">
        <v>0.14842834420000001</v>
      </c>
      <c r="AN229">
        <v>0.1419325736</v>
      </c>
      <c r="AO229">
        <v>0.135990422</v>
      </c>
      <c r="AP229">
        <v>0.13026112000000001</v>
      </c>
      <c r="AQ229">
        <v>0.12499586579999999</v>
      </c>
      <c r="AR229">
        <v>0.1198993698</v>
      </c>
      <c r="AS229">
        <v>0.11553079450000001</v>
      </c>
      <c r="AT229">
        <v>0.1116093708</v>
      </c>
      <c r="AU229">
        <v>0.1079549844</v>
      </c>
      <c r="AV229">
        <v>0.10449801390000001</v>
      </c>
      <c r="AW229">
        <v>0.1012603856</v>
      </c>
    </row>
    <row r="230" spans="2:49" x14ac:dyDescent="0.25">
      <c r="B230" t="s">
        <v>301</v>
      </c>
      <c r="C230">
        <v>5.5705789795526002</v>
      </c>
      <c r="D230">
        <v>5.6600164269241402</v>
      </c>
      <c r="E230">
        <v>5.7508898210000003</v>
      </c>
      <c r="F230">
        <v>5.8033766030000002</v>
      </c>
      <c r="G230">
        <v>4.8438632970000004</v>
      </c>
      <c r="H230">
        <v>4.2423983029999999</v>
      </c>
      <c r="I230">
        <v>4.113720421</v>
      </c>
      <c r="J230">
        <v>3.9347963959999999</v>
      </c>
      <c r="K230">
        <v>3.8032346389999998</v>
      </c>
      <c r="L230">
        <v>4.0501238769999999</v>
      </c>
      <c r="M230">
        <v>4.1522313320000004</v>
      </c>
      <c r="N230">
        <v>4.2214297710000004</v>
      </c>
      <c r="O230">
        <v>3.3133953649999999</v>
      </c>
      <c r="P230">
        <v>2.794675877</v>
      </c>
      <c r="Q230">
        <v>2.4634599189999999</v>
      </c>
      <c r="R230">
        <v>2.2489715270000001</v>
      </c>
      <c r="S230">
        <v>2.0619886350000001</v>
      </c>
      <c r="T230">
        <v>2.0383166699999999</v>
      </c>
      <c r="U230">
        <v>2.0048984239999998</v>
      </c>
      <c r="V230">
        <v>1.7046678310000001</v>
      </c>
      <c r="W230">
        <v>1.317978573</v>
      </c>
      <c r="X230">
        <v>0.9619542485</v>
      </c>
      <c r="Y230">
        <v>0.72000583520000005</v>
      </c>
      <c r="Z230">
        <v>0.55713873039999995</v>
      </c>
      <c r="AA230">
        <v>0.44324080300000002</v>
      </c>
      <c r="AB230">
        <v>0.36088030929999998</v>
      </c>
      <c r="AC230">
        <v>0.30087888940000002</v>
      </c>
      <c r="AD230">
        <v>0.26641941279999998</v>
      </c>
      <c r="AE230">
        <v>0.24145158859999999</v>
      </c>
      <c r="AF230">
        <v>0.22147920809999999</v>
      </c>
      <c r="AG230">
        <v>0.2050270626</v>
      </c>
      <c r="AH230">
        <v>0.19125711279999999</v>
      </c>
      <c r="AI230">
        <v>0.18006111180000001</v>
      </c>
      <c r="AJ230">
        <v>0.17048768759999999</v>
      </c>
      <c r="AK230">
        <v>0.16219564349999999</v>
      </c>
      <c r="AL230">
        <v>0.15496398259999999</v>
      </c>
      <c r="AM230">
        <v>0.14842834420000001</v>
      </c>
      <c r="AN230">
        <v>0.1419325736</v>
      </c>
      <c r="AO230">
        <v>0.135990422</v>
      </c>
      <c r="AP230">
        <v>0.13026112000000001</v>
      </c>
      <c r="AQ230">
        <v>0.12499586579999999</v>
      </c>
      <c r="AR230">
        <v>0.1198993698</v>
      </c>
      <c r="AS230">
        <v>0.11553079450000001</v>
      </c>
      <c r="AT230">
        <v>0.1116093708</v>
      </c>
      <c r="AU230">
        <v>0.1079549844</v>
      </c>
      <c r="AV230">
        <v>0.10449801390000001</v>
      </c>
      <c r="AW230">
        <v>0.1012603856</v>
      </c>
    </row>
    <row r="231" spans="2:49" x14ac:dyDescent="0.25">
      <c r="B231" t="s">
        <v>302</v>
      </c>
      <c r="C231">
        <v>82.165927612137295</v>
      </c>
      <c r="D231">
        <v>83.485128157272499</v>
      </c>
      <c r="E231">
        <v>84.844832760000003</v>
      </c>
      <c r="F231">
        <v>85.05497407</v>
      </c>
      <c r="G231">
        <v>81.649145509999997</v>
      </c>
      <c r="H231">
        <v>79.169562780000007</v>
      </c>
      <c r="I231">
        <v>77.544666289999995</v>
      </c>
      <c r="J231">
        <v>75.2963314</v>
      </c>
      <c r="K231">
        <v>72.777845189999894</v>
      </c>
      <c r="L231">
        <v>70.869227890000005</v>
      </c>
      <c r="M231">
        <v>70.335552789999994</v>
      </c>
      <c r="N231">
        <v>70.478946260000001</v>
      </c>
      <c r="O231">
        <v>68.775365280000003</v>
      </c>
      <c r="P231">
        <v>66.989019440000007</v>
      </c>
      <c r="Q231">
        <v>64.564472789999996</v>
      </c>
      <c r="R231">
        <v>63.170605870000003</v>
      </c>
      <c r="S231">
        <v>61.510142100000003</v>
      </c>
      <c r="T231">
        <v>61.286114060000003</v>
      </c>
      <c r="U231">
        <v>60.743086419999997</v>
      </c>
      <c r="V231">
        <v>59.963233510000002</v>
      </c>
      <c r="W231">
        <v>57.736344690000003</v>
      </c>
      <c r="X231">
        <v>55.283910229999996</v>
      </c>
      <c r="Y231">
        <v>53.069664209999999</v>
      </c>
      <c r="Z231">
        <v>50.984160269999997</v>
      </c>
      <c r="AA231">
        <v>48.96872183</v>
      </c>
      <c r="AB231">
        <v>46.873353109999996</v>
      </c>
      <c r="AC231">
        <v>44.78370872</v>
      </c>
      <c r="AD231">
        <v>42.07068847</v>
      </c>
      <c r="AE231">
        <v>39.400320700000002</v>
      </c>
      <c r="AF231">
        <v>36.743282100000002</v>
      </c>
      <c r="AG231">
        <v>34.152604770000003</v>
      </c>
      <c r="AH231">
        <v>31.576970549999999</v>
      </c>
      <c r="AI231">
        <v>28.905977610000001</v>
      </c>
      <c r="AJ231">
        <v>26.238245259999999</v>
      </c>
      <c r="AK231">
        <v>23.521971950000001</v>
      </c>
      <c r="AL231">
        <v>20.930214790000001</v>
      </c>
      <c r="AM231">
        <v>18.2137441</v>
      </c>
      <c r="AN231">
        <v>16.629122160000001</v>
      </c>
      <c r="AO231">
        <v>15.024221199999999</v>
      </c>
      <c r="AP231">
        <v>13.351046930000001</v>
      </c>
      <c r="AQ231">
        <v>11.61892031</v>
      </c>
      <c r="AR231">
        <v>9.7844166480000005</v>
      </c>
      <c r="AS231">
        <v>9.1559570590000003</v>
      </c>
      <c r="AT231">
        <v>8.5438802729999903</v>
      </c>
      <c r="AU231">
        <v>7.9454657299999996</v>
      </c>
      <c r="AV231">
        <v>7.3555791719999997</v>
      </c>
      <c r="AW231">
        <v>6.7716458959999999</v>
      </c>
    </row>
    <row r="232" spans="2:49" x14ac:dyDescent="0.25">
      <c r="B232" t="s">
        <v>303</v>
      </c>
      <c r="C232">
        <v>0.67805251130835598</v>
      </c>
      <c r="D232">
        <v>0.68893886369971102</v>
      </c>
      <c r="E232">
        <v>0.66746531460000003</v>
      </c>
      <c r="F232">
        <v>1.0031459579999999</v>
      </c>
      <c r="G232">
        <v>1.285375334</v>
      </c>
      <c r="H232">
        <v>1.560641422</v>
      </c>
      <c r="I232">
        <v>1.8381216220000001</v>
      </c>
      <c r="J232">
        <v>2.0973498660000001</v>
      </c>
      <c r="K232">
        <v>2.3325438809999999</v>
      </c>
      <c r="L232">
        <v>2.5715879410000002</v>
      </c>
      <c r="M232">
        <v>2.8527627999999998</v>
      </c>
      <c r="N232">
        <v>3.1620853210000002</v>
      </c>
      <c r="O232">
        <v>3.145149558</v>
      </c>
      <c r="P232">
        <v>3.125004906</v>
      </c>
      <c r="Q232">
        <v>3.0750336389999999</v>
      </c>
      <c r="R232">
        <v>3.074537732</v>
      </c>
      <c r="S232">
        <v>3.0623263839999999</v>
      </c>
      <c r="T232">
        <v>3.2082875300000002</v>
      </c>
      <c r="U232">
        <v>3.329834768</v>
      </c>
      <c r="V232">
        <v>3.4297052859999999</v>
      </c>
      <c r="W232">
        <v>3.674796519</v>
      </c>
      <c r="X232">
        <v>3.9013990820000002</v>
      </c>
      <c r="Y232">
        <v>3.913496023</v>
      </c>
      <c r="Z232">
        <v>3.9372378750000001</v>
      </c>
      <c r="AA232">
        <v>3.9696122530000002</v>
      </c>
      <c r="AB232">
        <v>3.9950398109999998</v>
      </c>
      <c r="AC232">
        <v>4.0247852249999996</v>
      </c>
      <c r="AD232">
        <v>4.6566970430000003</v>
      </c>
      <c r="AE232">
        <v>5.303914818</v>
      </c>
      <c r="AF232">
        <v>5.9679646259999997</v>
      </c>
      <c r="AG232">
        <v>6.6471221680000001</v>
      </c>
      <c r="AH232">
        <v>7.3586499290000003</v>
      </c>
      <c r="AI232">
        <v>8.1796879679999996</v>
      </c>
      <c r="AJ232">
        <v>9.0562539510000004</v>
      </c>
      <c r="AK232">
        <v>9.9921357270000009</v>
      </c>
      <c r="AL232">
        <v>10.99886205</v>
      </c>
      <c r="AM232">
        <v>12.10908373</v>
      </c>
      <c r="AN232">
        <v>12.33270954</v>
      </c>
      <c r="AO232">
        <v>12.6189816</v>
      </c>
      <c r="AP232">
        <v>12.9517533</v>
      </c>
      <c r="AQ232">
        <v>13.369670859999999</v>
      </c>
      <c r="AR232">
        <v>13.873279370000001</v>
      </c>
      <c r="AS232">
        <v>13.51397324</v>
      </c>
      <c r="AT232">
        <v>13.185276890000001</v>
      </c>
      <c r="AU232">
        <v>12.889309770000001</v>
      </c>
      <c r="AV232">
        <v>12.62562806</v>
      </c>
      <c r="AW232">
        <v>12.399861899999999</v>
      </c>
    </row>
    <row r="233" spans="2:49" x14ac:dyDescent="0.25">
      <c r="B233" t="s">
        <v>304</v>
      </c>
      <c r="C233">
        <v>82.165927612137295</v>
      </c>
      <c r="D233">
        <v>83.485128157272499</v>
      </c>
      <c r="E233">
        <v>84.844832760000003</v>
      </c>
      <c r="F233">
        <v>85.05497407</v>
      </c>
      <c r="G233">
        <v>81.649145509999997</v>
      </c>
      <c r="H233">
        <v>79.169562780000007</v>
      </c>
      <c r="I233">
        <v>77.544666289999995</v>
      </c>
      <c r="J233">
        <v>75.2963314</v>
      </c>
      <c r="K233">
        <v>72.777845189999894</v>
      </c>
      <c r="L233">
        <v>70.869227890000005</v>
      </c>
      <c r="M233">
        <v>70.335552789999994</v>
      </c>
      <c r="N233">
        <v>70.478946260000001</v>
      </c>
      <c r="O233">
        <v>68.775365280000003</v>
      </c>
      <c r="P233">
        <v>66.989019440000007</v>
      </c>
      <c r="Q233">
        <v>64.564472789999996</v>
      </c>
      <c r="R233">
        <v>63.170605870000003</v>
      </c>
      <c r="S233">
        <v>61.510142100000003</v>
      </c>
      <c r="T233">
        <v>61.286114060000003</v>
      </c>
      <c r="U233">
        <v>60.743086419999997</v>
      </c>
      <c r="V233">
        <v>59.963233510000002</v>
      </c>
      <c r="W233">
        <v>57.736344690000003</v>
      </c>
      <c r="X233">
        <v>55.283910229999996</v>
      </c>
      <c r="Y233">
        <v>53.069664209999999</v>
      </c>
      <c r="Z233">
        <v>50.984160269999997</v>
      </c>
      <c r="AA233">
        <v>48.96872183</v>
      </c>
      <c r="AB233">
        <v>46.873353109999996</v>
      </c>
      <c r="AC233">
        <v>44.78370872</v>
      </c>
      <c r="AD233">
        <v>42.07068847</v>
      </c>
      <c r="AE233">
        <v>39.400320700000002</v>
      </c>
      <c r="AF233">
        <v>36.743282100000002</v>
      </c>
      <c r="AG233">
        <v>34.152604770000003</v>
      </c>
      <c r="AH233">
        <v>31.576970549999999</v>
      </c>
      <c r="AI233">
        <v>28.905977610000001</v>
      </c>
      <c r="AJ233">
        <v>26.238245259999999</v>
      </c>
      <c r="AK233">
        <v>23.521971950000001</v>
      </c>
      <c r="AL233">
        <v>20.930214790000001</v>
      </c>
      <c r="AM233">
        <v>18.2137441</v>
      </c>
      <c r="AN233">
        <v>16.629122160000001</v>
      </c>
      <c r="AO233">
        <v>15.024221199999999</v>
      </c>
      <c r="AP233">
        <v>13.351046930000001</v>
      </c>
      <c r="AQ233">
        <v>11.61892031</v>
      </c>
      <c r="AR233">
        <v>9.7844166480000005</v>
      </c>
      <c r="AS233">
        <v>9.1559570590000003</v>
      </c>
      <c r="AT233">
        <v>8.5438802729999903</v>
      </c>
      <c r="AU233">
        <v>7.9454657299999996</v>
      </c>
      <c r="AV233">
        <v>7.3555791719999997</v>
      </c>
      <c r="AW233">
        <v>6.7716458959999999</v>
      </c>
    </row>
    <row r="234" spans="2:49" x14ac:dyDescent="0.25">
      <c r="B234" t="s">
        <v>305</v>
      </c>
      <c r="C234">
        <v>0.67805251130835598</v>
      </c>
      <c r="D234">
        <v>0.68893886369971102</v>
      </c>
      <c r="E234">
        <v>0.66746531460000003</v>
      </c>
      <c r="F234">
        <v>1.0031459579999999</v>
      </c>
      <c r="G234">
        <v>1.285375334</v>
      </c>
      <c r="H234">
        <v>1.560641422</v>
      </c>
      <c r="I234">
        <v>1.8381216220000001</v>
      </c>
      <c r="J234">
        <v>2.0973498660000001</v>
      </c>
      <c r="K234">
        <v>2.3325438809999999</v>
      </c>
      <c r="L234">
        <v>2.5715879410000002</v>
      </c>
      <c r="M234">
        <v>2.8527627999999998</v>
      </c>
      <c r="N234">
        <v>3.1620853210000002</v>
      </c>
      <c r="O234">
        <v>3.145149558</v>
      </c>
      <c r="P234">
        <v>3.125004906</v>
      </c>
      <c r="Q234">
        <v>3.0750336389999999</v>
      </c>
      <c r="R234">
        <v>3.074537732</v>
      </c>
      <c r="S234">
        <v>3.0623263839999999</v>
      </c>
      <c r="T234">
        <v>3.2082875300000002</v>
      </c>
      <c r="U234">
        <v>3.329834768</v>
      </c>
      <c r="V234">
        <v>3.4297052859999999</v>
      </c>
      <c r="W234">
        <v>3.674796519</v>
      </c>
      <c r="X234">
        <v>3.9013990820000002</v>
      </c>
      <c r="Y234">
        <v>3.913496023</v>
      </c>
      <c r="Z234">
        <v>3.9372378750000001</v>
      </c>
      <c r="AA234">
        <v>3.9696122530000002</v>
      </c>
      <c r="AB234">
        <v>3.9950398109999998</v>
      </c>
      <c r="AC234">
        <v>4.0247852249999996</v>
      </c>
      <c r="AD234">
        <v>4.6566970430000003</v>
      </c>
      <c r="AE234">
        <v>5.303914818</v>
      </c>
      <c r="AF234">
        <v>5.9679646259999997</v>
      </c>
      <c r="AG234">
        <v>6.6471221680000001</v>
      </c>
      <c r="AH234">
        <v>7.3586499290000003</v>
      </c>
      <c r="AI234">
        <v>8.1796879679999996</v>
      </c>
      <c r="AJ234">
        <v>9.0562539510000004</v>
      </c>
      <c r="AK234">
        <v>9.9921357270000009</v>
      </c>
      <c r="AL234">
        <v>10.99886205</v>
      </c>
      <c r="AM234">
        <v>12.10908373</v>
      </c>
      <c r="AN234">
        <v>12.33270954</v>
      </c>
      <c r="AO234">
        <v>12.6189816</v>
      </c>
      <c r="AP234">
        <v>12.9517533</v>
      </c>
      <c r="AQ234">
        <v>13.369670859999999</v>
      </c>
      <c r="AR234">
        <v>13.873279370000001</v>
      </c>
      <c r="AS234">
        <v>13.51397324</v>
      </c>
      <c r="AT234">
        <v>13.185276890000001</v>
      </c>
      <c r="AU234">
        <v>12.889309770000001</v>
      </c>
      <c r="AV234">
        <v>12.62562806</v>
      </c>
      <c r="AW234">
        <v>12.399861899999999</v>
      </c>
    </row>
    <row r="235" spans="2:49" x14ac:dyDescent="0.25">
      <c r="B235" t="s">
        <v>306</v>
      </c>
      <c r="C235">
        <v>114.221490567207</v>
      </c>
      <c r="D235">
        <v>116.055353544252</v>
      </c>
      <c r="E235">
        <v>118.4724696</v>
      </c>
      <c r="F235">
        <v>124.3119562</v>
      </c>
      <c r="G235">
        <v>129.82589830000001</v>
      </c>
      <c r="H235">
        <v>124.8348149</v>
      </c>
      <c r="I235">
        <v>132.15520330000001</v>
      </c>
      <c r="J235">
        <v>134.6951287</v>
      </c>
      <c r="K235">
        <v>134.71645090000001</v>
      </c>
      <c r="L235">
        <v>132.97966479999999</v>
      </c>
      <c r="M235">
        <v>131.31180470000001</v>
      </c>
      <c r="N235">
        <v>128.18297179999999</v>
      </c>
      <c r="O235">
        <v>120.657076</v>
      </c>
      <c r="P235">
        <v>117.6280435</v>
      </c>
      <c r="Q235">
        <v>116.2571525</v>
      </c>
      <c r="R235">
        <v>111.63418830000001</v>
      </c>
      <c r="S235">
        <v>107.0291629</v>
      </c>
      <c r="T235">
        <v>105.2255311</v>
      </c>
      <c r="U235">
        <v>103.43075279999999</v>
      </c>
      <c r="V235">
        <v>100.6957586</v>
      </c>
      <c r="W235">
        <v>109.31943649999999</v>
      </c>
      <c r="X235">
        <v>116.1941473</v>
      </c>
      <c r="Y235">
        <v>114.3106792</v>
      </c>
      <c r="Z235">
        <v>112.25752180000001</v>
      </c>
      <c r="AA235">
        <v>110.19382160000001</v>
      </c>
      <c r="AB235">
        <v>108.78543639999999</v>
      </c>
      <c r="AC235">
        <v>107.56529810000001</v>
      </c>
      <c r="AD235">
        <v>106.21312</v>
      </c>
      <c r="AE235">
        <v>104.8073619</v>
      </c>
      <c r="AF235">
        <v>103.371374</v>
      </c>
      <c r="AG235">
        <v>94.96698859</v>
      </c>
      <c r="AH235">
        <v>86.940180960000006</v>
      </c>
      <c r="AI235">
        <v>86.473040639999894</v>
      </c>
      <c r="AJ235">
        <v>85.938548819999994</v>
      </c>
      <c r="AK235">
        <v>85.370639490000002</v>
      </c>
      <c r="AL235">
        <v>85.203328850000005</v>
      </c>
      <c r="AM235">
        <v>84.910474620000002</v>
      </c>
      <c r="AN235">
        <v>81.156529890000002</v>
      </c>
      <c r="AO235">
        <v>77.534909830000004</v>
      </c>
      <c r="AP235">
        <v>73.923943499999893</v>
      </c>
      <c r="AQ235">
        <v>70.388171259999893</v>
      </c>
      <c r="AR235">
        <v>66.909669710000003</v>
      </c>
      <c r="AS235">
        <v>63.44881582</v>
      </c>
      <c r="AT235">
        <v>60.093715119999999</v>
      </c>
      <c r="AU235">
        <v>56.814433870000002</v>
      </c>
      <c r="AV235">
        <v>53.598790889999997</v>
      </c>
      <c r="AW235">
        <v>50.45532936</v>
      </c>
    </row>
    <row r="236" spans="2:49" x14ac:dyDescent="0.25">
      <c r="B236" t="s">
        <v>307</v>
      </c>
      <c r="C236">
        <v>1.2736350545564401</v>
      </c>
      <c r="D236">
        <v>1.2940836773262701</v>
      </c>
      <c r="E236">
        <v>1.3210359060000001</v>
      </c>
      <c r="F236">
        <v>1.3113661169999999</v>
      </c>
      <c r="G236">
        <v>1.2956716660000001</v>
      </c>
      <c r="H236">
        <v>1.178693252</v>
      </c>
      <c r="I236">
        <v>1.180564859</v>
      </c>
      <c r="J236">
        <v>1.1133944259999999</v>
      </c>
      <c r="K236">
        <v>1.0305946939999999</v>
      </c>
      <c r="L236">
        <v>0.9417181255</v>
      </c>
      <c r="M236">
        <v>0.8610385465</v>
      </c>
      <c r="N236">
        <v>0.77850334659999998</v>
      </c>
      <c r="O236">
        <v>0.67231032319999995</v>
      </c>
      <c r="P236">
        <v>0.59236320060000003</v>
      </c>
      <c r="Q236">
        <v>0.51856873270000003</v>
      </c>
      <c r="R236">
        <v>0.42877603190000002</v>
      </c>
      <c r="S236">
        <v>0.33939343519999998</v>
      </c>
      <c r="T236">
        <v>0.44271166249999999</v>
      </c>
      <c r="U236">
        <v>0.54539850069999996</v>
      </c>
      <c r="V236">
        <v>0.64142760659999998</v>
      </c>
      <c r="W236">
        <v>0.38408962279999997</v>
      </c>
      <c r="X236">
        <v>0.18325449369999999</v>
      </c>
      <c r="Y236">
        <v>0.16983375680000001</v>
      </c>
      <c r="Z236">
        <v>0.13849984269999999</v>
      </c>
      <c r="AA236">
        <v>9.0295811500000003E-2</v>
      </c>
      <c r="AB236">
        <v>8.07894168E-2</v>
      </c>
      <c r="AC236">
        <v>7.1450823799999896E-2</v>
      </c>
      <c r="AD236">
        <v>7.1070463200000003E-2</v>
      </c>
      <c r="AE236">
        <v>7.0661478799999997E-2</v>
      </c>
      <c r="AF236">
        <v>7.0239347100000002E-2</v>
      </c>
      <c r="AG236">
        <v>6.5019024100000003E-2</v>
      </c>
      <c r="AH236">
        <v>5.9988645799999997E-2</v>
      </c>
      <c r="AI236">
        <v>4.8632316299999999E-2</v>
      </c>
      <c r="AJ236">
        <v>3.7284679100000002E-2</v>
      </c>
      <c r="AK236">
        <v>2.5982279399999999E-2</v>
      </c>
      <c r="AL236">
        <v>1.9787554400000001E-2</v>
      </c>
      <c r="AM236">
        <v>1.25051664E-2</v>
      </c>
      <c r="AN236">
        <v>1.13832767E-2</v>
      </c>
      <c r="AO236">
        <v>1.03259774E-2</v>
      </c>
      <c r="AP236">
        <v>9.3159044999999996E-3</v>
      </c>
      <c r="AQ236" s="39">
        <v>8.3612885500000001E-3</v>
      </c>
      <c r="AR236" s="39">
        <v>7.4592888499999998E-3</v>
      </c>
      <c r="AS236" s="39">
        <v>7.4052905699999996E-3</v>
      </c>
      <c r="AT236" s="39">
        <v>7.3538080099999998E-3</v>
      </c>
      <c r="AU236" s="39">
        <v>7.3014914000000004E-3</v>
      </c>
      <c r="AV236" s="39">
        <v>7.2466823200000004E-3</v>
      </c>
      <c r="AW236" s="39">
        <v>7.1903212900000001E-3</v>
      </c>
    </row>
    <row r="237" spans="2:49" x14ac:dyDescent="0.25">
      <c r="B237" t="s">
        <v>308</v>
      </c>
      <c r="C237">
        <v>3.4574974609126801</v>
      </c>
      <c r="D237">
        <v>3.51300870100687</v>
      </c>
      <c r="E237">
        <v>3.5861750790000002</v>
      </c>
      <c r="F237">
        <v>3.7427898800000001</v>
      </c>
      <c r="G237">
        <v>3.8880943989999999</v>
      </c>
      <c r="H237">
        <v>3.7190315960000002</v>
      </c>
      <c r="I237">
        <v>3.916734677</v>
      </c>
      <c r="J237">
        <v>4.0680674650000004</v>
      </c>
      <c r="K237">
        <v>4.1525747559999999</v>
      </c>
      <c r="L237">
        <v>4.1892358500000002</v>
      </c>
      <c r="M237">
        <v>4.2328667319999997</v>
      </c>
      <c r="N237">
        <v>4.2326772850000003</v>
      </c>
      <c r="O237">
        <v>4.4511285389999999</v>
      </c>
      <c r="P237">
        <v>4.8290844030000004</v>
      </c>
      <c r="Q237">
        <v>5.2950727449999997</v>
      </c>
      <c r="R237">
        <v>5.6275162400000003</v>
      </c>
      <c r="S237">
        <v>5.9611367199999998</v>
      </c>
      <c r="T237">
        <v>5.6769858529999997</v>
      </c>
      <c r="U237">
        <v>5.3925308210000003</v>
      </c>
      <c r="V237">
        <v>5.0600588130000004</v>
      </c>
      <c r="W237">
        <v>5.772383423</v>
      </c>
      <c r="X237">
        <v>6.3912801129999997</v>
      </c>
      <c r="Y237">
        <v>6.1323726409999999</v>
      </c>
      <c r="Z237">
        <v>5.869289094</v>
      </c>
      <c r="AA237">
        <v>5.6108468230000001</v>
      </c>
      <c r="AB237">
        <v>5.3948263599999997</v>
      </c>
      <c r="AC237">
        <v>5.1911285759999997</v>
      </c>
      <c r="AD237">
        <v>4.9124282810000004</v>
      </c>
      <c r="AE237">
        <v>4.632935743</v>
      </c>
      <c r="AF237">
        <v>4.3537235430000001</v>
      </c>
      <c r="AG237">
        <v>3.7918642380000001</v>
      </c>
      <c r="AH237">
        <v>3.2800529599999999</v>
      </c>
      <c r="AI237">
        <v>2.6760231600000002</v>
      </c>
      <c r="AJ237">
        <v>2.0752786369999998</v>
      </c>
      <c r="AK237">
        <v>1.4797144689999999</v>
      </c>
      <c r="AL237">
        <v>0.92009637720000004</v>
      </c>
      <c r="AM237">
        <v>0.3652404682</v>
      </c>
      <c r="AN237">
        <v>0.3844017045</v>
      </c>
      <c r="AO237">
        <v>0.40293339480000001</v>
      </c>
      <c r="AP237">
        <v>0.42023183390000002</v>
      </c>
      <c r="AQ237">
        <v>0.43660660880000002</v>
      </c>
      <c r="AR237">
        <v>0.45194051689999998</v>
      </c>
      <c r="AS237">
        <v>0.46475467999999998</v>
      </c>
      <c r="AT237">
        <v>0.47736330069999999</v>
      </c>
      <c r="AU237">
        <v>0.48956085630000001</v>
      </c>
      <c r="AV237">
        <v>0.50123016090000005</v>
      </c>
      <c r="AW237">
        <v>0.51242541279999998</v>
      </c>
    </row>
    <row r="238" spans="2:49" x14ac:dyDescent="0.25">
      <c r="B238" t="s">
        <v>309</v>
      </c>
      <c r="C238">
        <v>5.0750954082325404</v>
      </c>
      <c r="D238">
        <v>5.1565777065978304</v>
      </c>
      <c r="E238">
        <v>5.2639751380000002</v>
      </c>
      <c r="F238">
        <v>5.078583031</v>
      </c>
      <c r="G238">
        <v>4.8767776219999996</v>
      </c>
      <c r="H238">
        <v>4.3117957469999997</v>
      </c>
      <c r="I238">
        <v>4.1972672800000002</v>
      </c>
      <c r="J238">
        <v>4.1089872459999999</v>
      </c>
      <c r="K238">
        <v>3.9534789090000002</v>
      </c>
      <c r="L238">
        <v>3.7594281839999999</v>
      </c>
      <c r="M238">
        <v>3.5806081299999999</v>
      </c>
      <c r="N238">
        <v>3.375082988</v>
      </c>
      <c r="O238">
        <v>2.8088150359999999</v>
      </c>
      <c r="P238">
        <v>2.3552220030000002</v>
      </c>
      <c r="Q238">
        <v>1.9222641540000001</v>
      </c>
      <c r="R238">
        <v>1.427278407</v>
      </c>
      <c r="S238">
        <v>0.93538426279999998</v>
      </c>
      <c r="T238">
        <v>0.89093076380000003</v>
      </c>
      <c r="U238">
        <v>0.84635741360000005</v>
      </c>
      <c r="V238">
        <v>0.79417612920000002</v>
      </c>
      <c r="W238">
        <v>0.32843079320000002</v>
      </c>
      <c r="X238">
        <v>6.1408452500000002E-2</v>
      </c>
      <c r="Y238">
        <v>4.71683242E-2</v>
      </c>
      <c r="Z238">
        <v>3.3213885700000001E-2</v>
      </c>
      <c r="AA238">
        <v>1.9637482299999998E-2</v>
      </c>
      <c r="AB238">
        <v>1.9465080499999999E-2</v>
      </c>
      <c r="AC238">
        <v>1.93249713E-2</v>
      </c>
      <c r="AD238">
        <v>1.6026809100000001E-2</v>
      </c>
      <c r="AE238">
        <v>1.27580221E-2</v>
      </c>
      <c r="AF238">
        <v>9.5218331E-3</v>
      </c>
      <c r="AG238">
        <v>8.8140796500000007E-3</v>
      </c>
      <c r="AH238">
        <v>8.1339697700000008E-3</v>
      </c>
      <c r="AI238">
        <v>8.0650809099999995E-3</v>
      </c>
      <c r="AJ238">
        <v>7.9908458000000002E-3</v>
      </c>
      <c r="AK238">
        <v>7.9144454100000001E-3</v>
      </c>
      <c r="AL238">
        <v>7.8737717299999996E-3</v>
      </c>
      <c r="AM238">
        <v>7.8221878100000006E-3</v>
      </c>
      <c r="AN238">
        <v>7.7510717800000004E-3</v>
      </c>
      <c r="AO238">
        <v>7.68471781E-3</v>
      </c>
      <c r="AP238">
        <v>7.6112376999999997E-3</v>
      </c>
      <c r="AQ238">
        <v>7.5367699100000003E-3</v>
      </c>
      <c r="AR238">
        <v>7.4592888499999998E-3</v>
      </c>
      <c r="AS238">
        <v>7.4052905699999996E-3</v>
      </c>
      <c r="AT238">
        <v>7.3538080099999998E-3</v>
      </c>
      <c r="AU238">
        <v>7.3014914000000004E-3</v>
      </c>
      <c r="AV238">
        <v>7.2466823200000004E-3</v>
      </c>
      <c r="AW238">
        <v>7.1903212900000001E-3</v>
      </c>
    </row>
    <row r="239" spans="2:49" x14ac:dyDescent="0.25">
      <c r="B239" t="s">
        <v>310</v>
      </c>
      <c r="C239">
        <v>0.35516190417563898</v>
      </c>
      <c r="D239">
        <v>0.36086414342755202</v>
      </c>
      <c r="E239">
        <v>0.36837995810000002</v>
      </c>
      <c r="F239">
        <v>0.78418168330000004</v>
      </c>
      <c r="G239">
        <v>1.183142371</v>
      </c>
      <c r="H239">
        <v>1.4389789820000001</v>
      </c>
      <c r="I239">
        <v>1.7899502039999999</v>
      </c>
      <c r="J239">
        <v>2.1193386539999999</v>
      </c>
      <c r="K239">
        <v>2.3703721400000002</v>
      </c>
      <c r="L239">
        <v>2.5317209159999998</v>
      </c>
      <c r="M239">
        <v>2.61917701</v>
      </c>
      <c r="N239">
        <v>2.5844070079999999</v>
      </c>
      <c r="O239">
        <v>2.7472634839999999</v>
      </c>
      <c r="P239">
        <v>3.0097415650000001</v>
      </c>
      <c r="Q239">
        <v>3.3297394169999999</v>
      </c>
      <c r="R239">
        <v>3.5680928650000001</v>
      </c>
      <c r="S239">
        <v>3.808802021</v>
      </c>
      <c r="T239">
        <v>3.9789814589999999</v>
      </c>
      <c r="U239">
        <v>4.1488265770000003</v>
      </c>
      <c r="V239">
        <v>4.2780529669999998</v>
      </c>
      <c r="W239">
        <v>4.6908801499999999</v>
      </c>
      <c r="X239">
        <v>5.022787976</v>
      </c>
      <c r="Y239">
        <v>5.3113291709999997</v>
      </c>
      <c r="Z239">
        <v>5.5825299480000004</v>
      </c>
      <c r="AA239">
        <v>5.8430187299999998</v>
      </c>
      <c r="AB239">
        <v>6.1184144009999999</v>
      </c>
      <c r="AC239">
        <v>6.3992127749999996</v>
      </c>
      <c r="AD239">
        <v>7.1746490869999997</v>
      </c>
      <c r="AE239">
        <v>7.9435386430000001</v>
      </c>
      <c r="AF239">
        <v>8.7074322019999997</v>
      </c>
      <c r="AG239">
        <v>8.7682473020000007</v>
      </c>
      <c r="AH239">
        <v>8.7467430240000006</v>
      </c>
      <c r="AI239">
        <v>9.337107005</v>
      </c>
      <c r="AJ239">
        <v>9.9115265170000004</v>
      </c>
      <c r="AK239">
        <v>10.47282863</v>
      </c>
      <c r="AL239">
        <v>11.0430715</v>
      </c>
      <c r="AM239">
        <v>11.59245022</v>
      </c>
      <c r="AN239">
        <v>12.20901409</v>
      </c>
      <c r="AO239">
        <v>12.822516050000001</v>
      </c>
      <c r="AP239">
        <v>13.413282329999999</v>
      </c>
      <c r="AQ239">
        <v>13.990639809999999</v>
      </c>
      <c r="AR239">
        <v>14.550293590000001</v>
      </c>
      <c r="AS239">
        <v>15.13817309</v>
      </c>
      <c r="AT239">
        <v>15.72356529</v>
      </c>
      <c r="AU239">
        <v>16.299653920000001</v>
      </c>
      <c r="AV239">
        <v>16.862296350000001</v>
      </c>
      <c r="AW239">
        <v>17.413013320000001</v>
      </c>
    </row>
    <row r="240" spans="2:49" x14ac:dyDescent="0.25">
      <c r="B240" t="s">
        <v>311</v>
      </c>
      <c r="C240">
        <v>7.99114284395189E-2</v>
      </c>
      <c r="D240">
        <v>8.1194432271199296E-2</v>
      </c>
      <c r="E240">
        <v>8.28854906E-2</v>
      </c>
      <c r="F240">
        <v>0.11307033330000001</v>
      </c>
      <c r="G240">
        <v>0.1534937656</v>
      </c>
      <c r="H240">
        <v>0.19181385349999999</v>
      </c>
      <c r="I240">
        <v>0.26385595220000002</v>
      </c>
      <c r="J240">
        <v>0.36283524280000001</v>
      </c>
      <c r="K240">
        <v>0.48931903580000002</v>
      </c>
      <c r="L240">
        <v>0.6509922038</v>
      </c>
      <c r="M240">
        <v>0.86612096729999999</v>
      </c>
      <c r="N240">
        <v>1.1389614219999999</v>
      </c>
      <c r="O240">
        <v>1.2107331059999999</v>
      </c>
      <c r="P240">
        <v>1.326408542</v>
      </c>
      <c r="Q240">
        <v>1.4674332370000001</v>
      </c>
      <c r="R240">
        <v>1.5724768229999999</v>
      </c>
      <c r="S240">
        <v>1.678558583</v>
      </c>
      <c r="T240">
        <v>1.729456807</v>
      </c>
      <c r="U240">
        <v>1.780279669</v>
      </c>
      <c r="V240">
        <v>1.813942929</v>
      </c>
      <c r="W240">
        <v>2.1476730599999998</v>
      </c>
      <c r="X240">
        <v>2.4457978069999999</v>
      </c>
      <c r="Y240">
        <v>2.8626298289999998</v>
      </c>
      <c r="Z240">
        <v>3.263586433</v>
      </c>
      <c r="AA240">
        <v>3.6517059129999998</v>
      </c>
      <c r="AB240">
        <v>4.0387307970000004</v>
      </c>
      <c r="AC240">
        <v>4.4263700549999996</v>
      </c>
      <c r="AD240">
        <v>4.8668745099999997</v>
      </c>
      <c r="AE240">
        <v>5.3035341269999998</v>
      </c>
      <c r="AF240">
        <v>5.7373989700000001</v>
      </c>
      <c r="AG240">
        <v>5.7126621929999999</v>
      </c>
      <c r="AH240">
        <v>5.6435310059999999</v>
      </c>
      <c r="AI240">
        <v>5.8854028649999997</v>
      </c>
      <c r="AJ240">
        <v>6.1191116079999999</v>
      </c>
      <c r="AK240">
        <v>6.3466057679999999</v>
      </c>
      <c r="AL240">
        <v>6.5877073529999999</v>
      </c>
      <c r="AM240">
        <v>6.8172337729999999</v>
      </c>
      <c r="AN240">
        <v>7.0901882240000003</v>
      </c>
      <c r="AO240">
        <v>7.362591042</v>
      </c>
      <c r="AP240">
        <v>7.6231279729999999</v>
      </c>
      <c r="AQ240">
        <v>7.8772556099999997</v>
      </c>
      <c r="AR240">
        <v>8.1226090109999998</v>
      </c>
      <c r="AS240">
        <v>8.3145686540000003</v>
      </c>
      <c r="AT240">
        <v>8.5065767290000007</v>
      </c>
      <c r="AU240">
        <v>8.6948838879999997</v>
      </c>
      <c r="AV240">
        <v>8.8773562639999994</v>
      </c>
      <c r="AW240">
        <v>9.0549048699999997</v>
      </c>
    </row>
    <row r="241" spans="2:49" x14ac:dyDescent="0.25">
      <c r="B241" t="s">
        <v>312</v>
      </c>
      <c r="C241">
        <v>4.4799793836545803</v>
      </c>
      <c r="D241">
        <v>4.5519069017495504</v>
      </c>
      <c r="E241">
        <v>4.6467106920000001</v>
      </c>
      <c r="F241">
        <v>4.6134700219999996</v>
      </c>
      <c r="G241">
        <v>4.5585362500000004</v>
      </c>
      <c r="H241">
        <v>4.1468172509999999</v>
      </c>
      <c r="I241">
        <v>4.1528626300000004</v>
      </c>
      <c r="J241">
        <v>4.0744386229999998</v>
      </c>
      <c r="K241">
        <v>3.9278784280000001</v>
      </c>
      <c r="L241">
        <v>3.7419054049999998</v>
      </c>
      <c r="M241">
        <v>3.5703462140000002</v>
      </c>
      <c r="N241">
        <v>3.3716782219999999</v>
      </c>
      <c r="O241">
        <v>3.5889310440000002</v>
      </c>
      <c r="P241">
        <v>3.937053363</v>
      </c>
      <c r="Q241">
        <v>4.3614144369999996</v>
      </c>
      <c r="R241">
        <v>4.6797861310000002</v>
      </c>
      <c r="S241">
        <v>5.0020583179999996</v>
      </c>
      <c r="T241">
        <v>5.2042330400000001</v>
      </c>
      <c r="U241">
        <v>5.4062894620000002</v>
      </c>
      <c r="V241">
        <v>5.5559058979999998</v>
      </c>
      <c r="W241">
        <v>5.741360749</v>
      </c>
      <c r="X241">
        <v>5.8253041550000004</v>
      </c>
      <c r="Y241">
        <v>5.7873518519999996</v>
      </c>
      <c r="Z241">
        <v>5.7393379370000002</v>
      </c>
      <c r="AA241">
        <v>5.6892039470000002</v>
      </c>
      <c r="AB241">
        <v>5.6671971809999997</v>
      </c>
      <c r="AC241">
        <v>5.6541717069999997</v>
      </c>
      <c r="AD241">
        <v>5.698079302</v>
      </c>
      <c r="AE241">
        <v>5.7407929969999998</v>
      </c>
      <c r="AF241">
        <v>5.783531548</v>
      </c>
      <c r="AG241">
        <v>5.3904788430000004</v>
      </c>
      <c r="AH241">
        <v>5.0086106560000001</v>
      </c>
      <c r="AI241">
        <v>4.9375043569999999</v>
      </c>
      <c r="AJ241">
        <v>4.8635119299999996</v>
      </c>
      <c r="AK241">
        <v>4.7886187250000001</v>
      </c>
      <c r="AL241">
        <v>4.7420098660000001</v>
      </c>
      <c r="AM241">
        <v>4.6889975330000002</v>
      </c>
      <c r="AN241">
        <v>4.6747916070000004</v>
      </c>
      <c r="AO241">
        <v>4.6629876320000001</v>
      </c>
      <c r="AP241">
        <v>4.6463798860000001</v>
      </c>
      <c r="AQ241">
        <v>4.6286586879999998</v>
      </c>
      <c r="AR241">
        <v>4.6085606879999998</v>
      </c>
      <c r="AS241">
        <v>4.5692566880000003</v>
      </c>
      <c r="AT241">
        <v>4.5315667670000002</v>
      </c>
      <c r="AU241">
        <v>4.4934238439999996</v>
      </c>
      <c r="AV241">
        <v>4.4538111560000004</v>
      </c>
      <c r="AW241">
        <v>4.4133125709999996</v>
      </c>
    </row>
    <row r="242" spans="2:49" x14ac:dyDescent="0.25">
      <c r="B242" t="s">
        <v>313</v>
      </c>
      <c r="C242">
        <v>1.4169855567767899</v>
      </c>
      <c r="D242">
        <v>1.4397357182278101</v>
      </c>
      <c r="E242">
        <v>1.469721482</v>
      </c>
      <c r="F242">
        <v>1.735331245</v>
      </c>
      <c r="G242">
        <v>2.0391606430000002</v>
      </c>
      <c r="H242">
        <v>2.2060488089999999</v>
      </c>
      <c r="I242">
        <v>2.627372228</v>
      </c>
      <c r="J242">
        <v>2.9336702429999999</v>
      </c>
      <c r="K242">
        <v>3.2132146659999998</v>
      </c>
      <c r="L242">
        <v>3.4724697</v>
      </c>
      <c r="M242">
        <v>3.7531645149999999</v>
      </c>
      <c r="N242">
        <v>4.0095819019999999</v>
      </c>
      <c r="O242">
        <v>3.6500381900000001</v>
      </c>
      <c r="P242">
        <v>3.4303927280000002</v>
      </c>
      <c r="Q242">
        <v>3.2561184110000001</v>
      </c>
      <c r="R242">
        <v>2.9892534500000001</v>
      </c>
      <c r="S242">
        <v>2.7250496279999998</v>
      </c>
      <c r="T242">
        <v>2.8591710360000002</v>
      </c>
      <c r="U242">
        <v>2.9939005710000002</v>
      </c>
      <c r="V242">
        <v>3.1000430329999999</v>
      </c>
      <c r="W242">
        <v>3.4399079549999998</v>
      </c>
      <c r="X242">
        <v>3.6165879030000001</v>
      </c>
      <c r="Y242">
        <v>3.4320767230000002</v>
      </c>
      <c r="Z242">
        <v>3.2485664359999999</v>
      </c>
      <c r="AA242">
        <v>3.070969957</v>
      </c>
      <c r="AB242">
        <v>2.9240475140000002</v>
      </c>
      <c r="AC242">
        <v>2.7862182639999999</v>
      </c>
      <c r="AD242">
        <v>2.7939179689999998</v>
      </c>
      <c r="AE242">
        <v>2.7920555560000002</v>
      </c>
      <c r="AF242">
        <v>2.781361108</v>
      </c>
      <c r="AG242">
        <v>2.5895495770000001</v>
      </c>
      <c r="AH242">
        <v>2.3980257429999998</v>
      </c>
      <c r="AI242">
        <v>2.4196331340000001</v>
      </c>
      <c r="AJ242">
        <v>2.430217984</v>
      </c>
      <c r="AK242">
        <v>2.4309331570000001</v>
      </c>
      <c r="AL242">
        <v>2.4543505219999999</v>
      </c>
      <c r="AM242">
        <v>2.467794847</v>
      </c>
      <c r="AN242">
        <v>2.4483175780000002</v>
      </c>
      <c r="AO242">
        <v>2.4299275599999999</v>
      </c>
      <c r="AP242">
        <v>2.4088765250000002</v>
      </c>
      <c r="AQ242">
        <v>2.3871130150000002</v>
      </c>
      <c r="AR242">
        <v>2.364004972</v>
      </c>
      <c r="AS242">
        <v>2.345666037</v>
      </c>
      <c r="AT242">
        <v>2.3277466699999998</v>
      </c>
      <c r="AU242">
        <v>2.3091941010000001</v>
      </c>
      <c r="AV242">
        <v>2.2894934779999998</v>
      </c>
      <c r="AW242">
        <v>2.2689528619999999</v>
      </c>
    </row>
    <row r="243" spans="2:49" x14ac:dyDescent="0.25">
      <c r="B243" t="s">
        <v>314</v>
      </c>
      <c r="C243">
        <v>114.221490567207</v>
      </c>
      <c r="D243">
        <v>116.055353544252</v>
      </c>
      <c r="E243">
        <v>118.4724696</v>
      </c>
      <c r="F243">
        <v>124.3119562</v>
      </c>
      <c r="G243">
        <v>129.82589830000001</v>
      </c>
      <c r="H243">
        <v>124.8348149</v>
      </c>
      <c r="I243">
        <v>132.15520330000001</v>
      </c>
      <c r="J243">
        <v>134.6951287</v>
      </c>
      <c r="K243">
        <v>134.71645090000001</v>
      </c>
      <c r="L243">
        <v>132.97966479999999</v>
      </c>
      <c r="M243">
        <v>131.31180470000001</v>
      </c>
      <c r="N243">
        <v>128.18297179999999</v>
      </c>
      <c r="O243">
        <v>120.657076</v>
      </c>
      <c r="P243">
        <v>117.6280435</v>
      </c>
      <c r="Q243">
        <v>116.2571525</v>
      </c>
      <c r="R243">
        <v>111.63418830000001</v>
      </c>
      <c r="S243">
        <v>107.0291629</v>
      </c>
      <c r="T243">
        <v>105.2255311</v>
      </c>
      <c r="U243">
        <v>103.43075279999999</v>
      </c>
      <c r="V243">
        <v>100.6957586</v>
      </c>
      <c r="W243">
        <v>109.31943649999999</v>
      </c>
      <c r="X243">
        <v>116.1941473</v>
      </c>
      <c r="Y243">
        <v>114.3106792</v>
      </c>
      <c r="Z243">
        <v>112.25752180000001</v>
      </c>
      <c r="AA243">
        <v>110.19382160000001</v>
      </c>
      <c r="AB243">
        <v>108.78543639999999</v>
      </c>
      <c r="AC243">
        <v>107.56529810000001</v>
      </c>
      <c r="AD243">
        <v>106.21312</v>
      </c>
      <c r="AE243">
        <v>104.8073619</v>
      </c>
      <c r="AF243">
        <v>103.371374</v>
      </c>
      <c r="AG243">
        <v>94.96698859</v>
      </c>
      <c r="AH243">
        <v>86.940180960000006</v>
      </c>
      <c r="AI243">
        <v>86.473040639999894</v>
      </c>
      <c r="AJ243">
        <v>85.938548819999994</v>
      </c>
      <c r="AK243">
        <v>85.370639490000002</v>
      </c>
      <c r="AL243">
        <v>85.203328850000005</v>
      </c>
      <c r="AM243">
        <v>84.910474620000002</v>
      </c>
      <c r="AN243">
        <v>81.156529890000002</v>
      </c>
      <c r="AO243">
        <v>77.534909830000004</v>
      </c>
      <c r="AP243">
        <v>73.923943499999893</v>
      </c>
      <c r="AQ243">
        <v>70.388171259999893</v>
      </c>
      <c r="AR243">
        <v>66.909669710000003</v>
      </c>
      <c r="AS243">
        <v>63.44881582</v>
      </c>
      <c r="AT243">
        <v>60.093715119999999</v>
      </c>
      <c r="AU243">
        <v>56.814433870000002</v>
      </c>
      <c r="AV243">
        <v>53.598790889999997</v>
      </c>
      <c r="AW243">
        <v>50.45532936</v>
      </c>
    </row>
    <row r="244" spans="2:49" x14ac:dyDescent="0.25">
      <c r="B244" t="s">
        <v>315</v>
      </c>
      <c r="C244">
        <v>1.2736350545564401</v>
      </c>
      <c r="D244">
        <v>1.2940836773262701</v>
      </c>
      <c r="E244">
        <v>1.3210359060000001</v>
      </c>
      <c r="F244">
        <v>1.3113661169999999</v>
      </c>
      <c r="G244">
        <v>1.2956716660000001</v>
      </c>
      <c r="H244">
        <v>1.178693252</v>
      </c>
      <c r="I244">
        <v>1.180564859</v>
      </c>
      <c r="J244">
        <v>1.1133944259999999</v>
      </c>
      <c r="K244">
        <v>1.0305946939999999</v>
      </c>
      <c r="L244">
        <v>0.9417181255</v>
      </c>
      <c r="M244">
        <v>0.8610385465</v>
      </c>
      <c r="N244">
        <v>0.77850334659999998</v>
      </c>
      <c r="O244">
        <v>0.67231032319999995</v>
      </c>
      <c r="P244">
        <v>0.59236320060000003</v>
      </c>
      <c r="Q244">
        <v>0.51856873270000003</v>
      </c>
      <c r="R244">
        <v>0.42877603190000002</v>
      </c>
      <c r="S244">
        <v>0.33939343519999998</v>
      </c>
      <c r="T244">
        <v>0.44271166249999999</v>
      </c>
      <c r="U244">
        <v>0.54539850069999996</v>
      </c>
      <c r="V244">
        <v>0.64142760659999998</v>
      </c>
      <c r="W244">
        <v>0.38408962279999997</v>
      </c>
      <c r="X244">
        <v>0.18325449369999999</v>
      </c>
      <c r="Y244">
        <v>0.16983375680000001</v>
      </c>
      <c r="Z244">
        <v>0.13849984269999999</v>
      </c>
      <c r="AA244">
        <v>9.0295811500000003E-2</v>
      </c>
      <c r="AB244">
        <v>8.07894168E-2</v>
      </c>
      <c r="AC244">
        <v>7.1450823799999896E-2</v>
      </c>
      <c r="AD244">
        <v>7.1070463200000003E-2</v>
      </c>
      <c r="AE244">
        <v>7.0661478799999997E-2</v>
      </c>
      <c r="AF244">
        <v>7.0239347100000002E-2</v>
      </c>
      <c r="AG244">
        <v>6.5019024100000003E-2</v>
      </c>
      <c r="AH244">
        <v>5.9988645799999997E-2</v>
      </c>
      <c r="AI244">
        <v>4.8632316299999999E-2</v>
      </c>
      <c r="AJ244">
        <v>3.7284679100000002E-2</v>
      </c>
      <c r="AK244">
        <v>2.5982279399999999E-2</v>
      </c>
      <c r="AL244">
        <v>1.9787554400000001E-2</v>
      </c>
      <c r="AM244">
        <v>1.25051664E-2</v>
      </c>
      <c r="AN244">
        <v>1.13832767E-2</v>
      </c>
      <c r="AO244">
        <v>1.03259774E-2</v>
      </c>
      <c r="AP244">
        <v>9.3159044999999996E-3</v>
      </c>
      <c r="AQ244" s="39">
        <v>8.3612885500000001E-3</v>
      </c>
      <c r="AR244" s="39">
        <v>7.4592888499999998E-3</v>
      </c>
      <c r="AS244" s="39">
        <v>7.4052905699999996E-3</v>
      </c>
      <c r="AT244" s="39">
        <v>7.3538080099999998E-3</v>
      </c>
      <c r="AU244" s="39">
        <v>7.3014914000000004E-3</v>
      </c>
      <c r="AV244" s="39">
        <v>7.2466823200000004E-3</v>
      </c>
      <c r="AW244" s="39">
        <v>7.1903212900000001E-3</v>
      </c>
    </row>
    <row r="245" spans="2:49" x14ac:dyDescent="0.25">
      <c r="B245" t="s">
        <v>316</v>
      </c>
      <c r="C245">
        <v>3.4574974609126801</v>
      </c>
      <c r="D245">
        <v>3.51300870100687</v>
      </c>
      <c r="E245">
        <v>3.5861750790000002</v>
      </c>
      <c r="F245">
        <v>3.7427898800000001</v>
      </c>
      <c r="G245">
        <v>3.8880943989999999</v>
      </c>
      <c r="H245">
        <v>3.7190315960000002</v>
      </c>
      <c r="I245">
        <v>3.916734677</v>
      </c>
      <c r="J245">
        <v>4.0680674650000004</v>
      </c>
      <c r="K245">
        <v>4.1525747559999999</v>
      </c>
      <c r="L245">
        <v>4.1892358500000002</v>
      </c>
      <c r="M245">
        <v>4.2328667319999997</v>
      </c>
      <c r="N245">
        <v>4.2326772850000003</v>
      </c>
      <c r="O245">
        <v>4.4511285389999999</v>
      </c>
      <c r="P245">
        <v>4.8290844030000004</v>
      </c>
      <c r="Q245">
        <v>5.2950727449999997</v>
      </c>
      <c r="R245">
        <v>5.6275162400000003</v>
      </c>
      <c r="S245">
        <v>5.9611367199999998</v>
      </c>
      <c r="T245">
        <v>5.6769858529999997</v>
      </c>
      <c r="U245">
        <v>5.3925308210000003</v>
      </c>
      <c r="V245">
        <v>5.0600588130000004</v>
      </c>
      <c r="W245">
        <v>5.772383423</v>
      </c>
      <c r="X245">
        <v>6.3912801129999997</v>
      </c>
      <c r="Y245">
        <v>6.1323726409999999</v>
      </c>
      <c r="Z245">
        <v>5.869289094</v>
      </c>
      <c r="AA245">
        <v>5.6108468230000001</v>
      </c>
      <c r="AB245">
        <v>5.3948263599999997</v>
      </c>
      <c r="AC245">
        <v>5.1911285759999997</v>
      </c>
      <c r="AD245">
        <v>4.9124282810000004</v>
      </c>
      <c r="AE245">
        <v>4.632935743</v>
      </c>
      <c r="AF245">
        <v>4.3537235430000001</v>
      </c>
      <c r="AG245">
        <v>3.7918642380000001</v>
      </c>
      <c r="AH245">
        <v>3.2800529599999999</v>
      </c>
      <c r="AI245">
        <v>2.6760231600000002</v>
      </c>
      <c r="AJ245">
        <v>2.0752786369999998</v>
      </c>
      <c r="AK245">
        <v>1.4797144689999999</v>
      </c>
      <c r="AL245">
        <v>0.92009637720000004</v>
      </c>
      <c r="AM245">
        <v>0.3652404682</v>
      </c>
      <c r="AN245">
        <v>0.3844017045</v>
      </c>
      <c r="AO245">
        <v>0.40293339480000001</v>
      </c>
      <c r="AP245">
        <v>0.42023183390000002</v>
      </c>
      <c r="AQ245">
        <v>0.43660660880000002</v>
      </c>
      <c r="AR245">
        <v>0.45194051689999998</v>
      </c>
      <c r="AS245">
        <v>0.46475467999999998</v>
      </c>
      <c r="AT245">
        <v>0.47736330069999999</v>
      </c>
      <c r="AU245">
        <v>0.48956085630000001</v>
      </c>
      <c r="AV245">
        <v>0.50123016090000005</v>
      </c>
      <c r="AW245">
        <v>0.51242541279999998</v>
      </c>
    </row>
    <row r="246" spans="2:49" x14ac:dyDescent="0.25">
      <c r="B246" t="s">
        <v>317</v>
      </c>
      <c r="C246">
        <v>5.0750954082325404</v>
      </c>
      <c r="D246">
        <v>5.1565777065978304</v>
      </c>
      <c r="E246">
        <v>5.2639751380000002</v>
      </c>
      <c r="F246">
        <v>5.078583031</v>
      </c>
      <c r="G246">
        <v>4.8767776219999996</v>
      </c>
      <c r="H246">
        <v>4.3117957469999997</v>
      </c>
      <c r="I246">
        <v>4.1972672800000002</v>
      </c>
      <c r="J246">
        <v>4.1089872459999999</v>
      </c>
      <c r="K246">
        <v>3.9534789090000002</v>
      </c>
      <c r="L246">
        <v>3.7594281839999999</v>
      </c>
      <c r="M246">
        <v>3.5806081299999999</v>
      </c>
      <c r="N246">
        <v>3.375082988</v>
      </c>
      <c r="O246">
        <v>2.8088150359999999</v>
      </c>
      <c r="P246">
        <v>2.3552220030000002</v>
      </c>
      <c r="Q246">
        <v>1.9222641540000001</v>
      </c>
      <c r="R246">
        <v>1.427278407</v>
      </c>
      <c r="S246">
        <v>0.93538426279999998</v>
      </c>
      <c r="T246">
        <v>0.89093076380000003</v>
      </c>
      <c r="U246">
        <v>0.84635741360000005</v>
      </c>
      <c r="V246">
        <v>0.79417612920000002</v>
      </c>
      <c r="W246">
        <v>0.32843079320000002</v>
      </c>
      <c r="X246">
        <v>6.1408452500000002E-2</v>
      </c>
      <c r="Y246">
        <v>4.71683242E-2</v>
      </c>
      <c r="Z246">
        <v>3.3213885700000001E-2</v>
      </c>
      <c r="AA246">
        <v>1.9637482299999998E-2</v>
      </c>
      <c r="AB246">
        <v>1.9465080499999999E-2</v>
      </c>
      <c r="AC246">
        <v>1.93249713E-2</v>
      </c>
      <c r="AD246">
        <v>1.6026809100000001E-2</v>
      </c>
      <c r="AE246">
        <v>1.27580221E-2</v>
      </c>
      <c r="AF246">
        <v>9.5218331E-3</v>
      </c>
      <c r="AG246">
        <v>8.8140796500000007E-3</v>
      </c>
      <c r="AH246">
        <v>8.1339697700000008E-3</v>
      </c>
      <c r="AI246">
        <v>8.0650809099999995E-3</v>
      </c>
      <c r="AJ246">
        <v>7.9908458000000002E-3</v>
      </c>
      <c r="AK246">
        <v>7.9144454100000001E-3</v>
      </c>
      <c r="AL246">
        <v>7.8737717299999996E-3</v>
      </c>
      <c r="AM246">
        <v>7.8221878100000006E-3</v>
      </c>
      <c r="AN246">
        <v>7.7510717800000004E-3</v>
      </c>
      <c r="AO246">
        <v>7.68471781E-3</v>
      </c>
      <c r="AP246">
        <v>7.6112376999999997E-3</v>
      </c>
      <c r="AQ246">
        <v>7.5367699100000003E-3</v>
      </c>
      <c r="AR246">
        <v>7.4592888499999998E-3</v>
      </c>
      <c r="AS246">
        <v>7.4052905699999996E-3</v>
      </c>
      <c r="AT246">
        <v>7.3538080099999998E-3</v>
      </c>
      <c r="AU246">
        <v>7.3014914000000004E-3</v>
      </c>
      <c r="AV246">
        <v>7.2466823200000004E-3</v>
      </c>
      <c r="AW246">
        <v>7.1903212900000001E-3</v>
      </c>
    </row>
    <row r="247" spans="2:49" x14ac:dyDescent="0.25">
      <c r="B247" t="s">
        <v>318</v>
      </c>
      <c r="C247">
        <v>0.35516190417563898</v>
      </c>
      <c r="D247">
        <v>0.36086414342755202</v>
      </c>
      <c r="E247">
        <v>0.36837995810000002</v>
      </c>
      <c r="F247">
        <v>0.78418168330000004</v>
      </c>
      <c r="G247">
        <v>1.183142371</v>
      </c>
      <c r="H247">
        <v>1.4389789820000001</v>
      </c>
      <c r="I247">
        <v>1.7899502039999999</v>
      </c>
      <c r="J247">
        <v>2.1193386539999999</v>
      </c>
      <c r="K247">
        <v>2.3703721400000002</v>
      </c>
      <c r="L247">
        <v>2.5317209159999998</v>
      </c>
      <c r="M247">
        <v>2.61917701</v>
      </c>
      <c r="N247">
        <v>2.5844070079999999</v>
      </c>
      <c r="O247">
        <v>2.7472634839999999</v>
      </c>
      <c r="P247">
        <v>3.0097415650000001</v>
      </c>
      <c r="Q247">
        <v>3.3297394169999999</v>
      </c>
      <c r="R247">
        <v>3.5680928650000001</v>
      </c>
      <c r="S247">
        <v>3.808802021</v>
      </c>
      <c r="T247">
        <v>3.9789814589999999</v>
      </c>
      <c r="U247">
        <v>4.1488265770000003</v>
      </c>
      <c r="V247">
        <v>4.2780529669999998</v>
      </c>
      <c r="W247">
        <v>4.6908801499999999</v>
      </c>
      <c r="X247">
        <v>5.022787976</v>
      </c>
      <c r="Y247">
        <v>5.3113291709999997</v>
      </c>
      <c r="Z247">
        <v>5.5825299480000004</v>
      </c>
      <c r="AA247">
        <v>5.8430187299999998</v>
      </c>
      <c r="AB247">
        <v>6.1184144009999999</v>
      </c>
      <c r="AC247">
        <v>6.3992127749999996</v>
      </c>
      <c r="AD247">
        <v>7.1746490869999997</v>
      </c>
      <c r="AE247">
        <v>7.9435386430000001</v>
      </c>
      <c r="AF247">
        <v>8.7074322019999997</v>
      </c>
      <c r="AG247">
        <v>8.7682473020000007</v>
      </c>
      <c r="AH247">
        <v>8.7467430240000006</v>
      </c>
      <c r="AI247">
        <v>9.337107005</v>
      </c>
      <c r="AJ247">
        <v>9.9115265170000004</v>
      </c>
      <c r="AK247">
        <v>10.47282863</v>
      </c>
      <c r="AL247">
        <v>11.0430715</v>
      </c>
      <c r="AM247">
        <v>11.59245022</v>
      </c>
      <c r="AN247">
        <v>12.20901409</v>
      </c>
      <c r="AO247">
        <v>12.822516050000001</v>
      </c>
      <c r="AP247">
        <v>13.413282329999999</v>
      </c>
      <c r="AQ247">
        <v>13.990639809999999</v>
      </c>
      <c r="AR247">
        <v>14.550293590000001</v>
      </c>
      <c r="AS247">
        <v>15.13817309</v>
      </c>
      <c r="AT247">
        <v>15.72356529</v>
      </c>
      <c r="AU247">
        <v>16.299653920000001</v>
      </c>
      <c r="AV247">
        <v>16.862296350000001</v>
      </c>
      <c r="AW247">
        <v>17.413013320000001</v>
      </c>
    </row>
    <row r="248" spans="2:49" x14ac:dyDescent="0.25">
      <c r="B248" t="s">
        <v>319</v>
      </c>
      <c r="C248">
        <v>7.99114284395189E-2</v>
      </c>
      <c r="D248">
        <v>8.1194432271199296E-2</v>
      </c>
      <c r="E248">
        <v>8.28854906E-2</v>
      </c>
      <c r="F248">
        <v>0.11307033330000001</v>
      </c>
      <c r="G248">
        <v>0.1534937656</v>
      </c>
      <c r="H248">
        <v>0.19181385349999999</v>
      </c>
      <c r="I248">
        <v>0.26385595220000002</v>
      </c>
      <c r="J248">
        <v>0.36283524280000001</v>
      </c>
      <c r="K248">
        <v>0.48931903580000002</v>
      </c>
      <c r="L248">
        <v>0.6509922038</v>
      </c>
      <c r="M248">
        <v>0.86612096729999999</v>
      </c>
      <c r="N248">
        <v>1.1389614219999999</v>
      </c>
      <c r="O248">
        <v>1.2107331059999999</v>
      </c>
      <c r="P248">
        <v>1.326408542</v>
      </c>
      <c r="Q248">
        <v>1.4674332370000001</v>
      </c>
      <c r="R248">
        <v>1.5724768229999999</v>
      </c>
      <c r="S248">
        <v>1.678558583</v>
      </c>
      <c r="T248">
        <v>1.729456807</v>
      </c>
      <c r="U248">
        <v>1.780279669</v>
      </c>
      <c r="V248">
        <v>1.813942929</v>
      </c>
      <c r="W248">
        <v>2.1476730599999998</v>
      </c>
      <c r="X248">
        <v>2.4457978069999999</v>
      </c>
      <c r="Y248">
        <v>2.8626298289999998</v>
      </c>
      <c r="Z248">
        <v>3.263586433</v>
      </c>
      <c r="AA248">
        <v>3.6517059129999998</v>
      </c>
      <c r="AB248">
        <v>4.0387307970000004</v>
      </c>
      <c r="AC248">
        <v>4.4263700549999996</v>
      </c>
      <c r="AD248">
        <v>4.8668745099999997</v>
      </c>
      <c r="AE248">
        <v>5.3035341269999998</v>
      </c>
      <c r="AF248">
        <v>5.7373989700000001</v>
      </c>
      <c r="AG248">
        <v>5.7126621929999999</v>
      </c>
      <c r="AH248">
        <v>5.6435310059999999</v>
      </c>
      <c r="AI248">
        <v>5.8854028649999997</v>
      </c>
      <c r="AJ248">
        <v>6.1191116079999999</v>
      </c>
      <c r="AK248">
        <v>6.3466057679999999</v>
      </c>
      <c r="AL248">
        <v>6.5877073529999999</v>
      </c>
      <c r="AM248">
        <v>6.8172337729999999</v>
      </c>
      <c r="AN248">
        <v>7.0901882240000003</v>
      </c>
      <c r="AO248">
        <v>7.362591042</v>
      </c>
      <c r="AP248">
        <v>7.6231279729999999</v>
      </c>
      <c r="AQ248">
        <v>7.8772556099999997</v>
      </c>
      <c r="AR248">
        <v>8.1226090109999998</v>
      </c>
      <c r="AS248">
        <v>8.3145686540000003</v>
      </c>
      <c r="AT248">
        <v>8.5065767290000007</v>
      </c>
      <c r="AU248">
        <v>8.6948838879999997</v>
      </c>
      <c r="AV248">
        <v>8.8773562639999994</v>
      </c>
      <c r="AW248">
        <v>9.0549048699999997</v>
      </c>
    </row>
    <row r="249" spans="2:49" x14ac:dyDescent="0.25">
      <c r="B249" t="s">
        <v>320</v>
      </c>
      <c r="C249">
        <v>4.4799793836545803</v>
      </c>
      <c r="D249">
        <v>4.5519069017495504</v>
      </c>
      <c r="E249">
        <v>4.6467106920000001</v>
      </c>
      <c r="F249">
        <v>4.6134700219999996</v>
      </c>
      <c r="G249">
        <v>4.5585362500000004</v>
      </c>
      <c r="H249">
        <v>4.1468172509999999</v>
      </c>
      <c r="I249">
        <v>4.1528626300000004</v>
      </c>
      <c r="J249">
        <v>4.0744386229999998</v>
      </c>
      <c r="K249">
        <v>3.9278784280000001</v>
      </c>
      <c r="L249">
        <v>3.7419054049999998</v>
      </c>
      <c r="M249">
        <v>3.5703462140000002</v>
      </c>
      <c r="N249">
        <v>3.3716782219999999</v>
      </c>
      <c r="O249">
        <v>3.5889310440000002</v>
      </c>
      <c r="P249">
        <v>3.937053363</v>
      </c>
      <c r="Q249">
        <v>4.3614144369999996</v>
      </c>
      <c r="R249">
        <v>4.6797861310000002</v>
      </c>
      <c r="S249">
        <v>5.0020583179999996</v>
      </c>
      <c r="T249">
        <v>5.2042330400000001</v>
      </c>
      <c r="U249">
        <v>5.4062894620000002</v>
      </c>
      <c r="V249">
        <v>5.5559058979999998</v>
      </c>
      <c r="W249">
        <v>5.741360749</v>
      </c>
      <c r="X249">
        <v>5.8253041550000004</v>
      </c>
      <c r="Y249">
        <v>5.7873518519999996</v>
      </c>
      <c r="Z249">
        <v>5.7393379370000002</v>
      </c>
      <c r="AA249">
        <v>5.6892039470000002</v>
      </c>
      <c r="AB249">
        <v>5.6671971809999997</v>
      </c>
      <c r="AC249">
        <v>5.6541717069999997</v>
      </c>
      <c r="AD249">
        <v>5.698079302</v>
      </c>
      <c r="AE249">
        <v>5.7407929969999998</v>
      </c>
      <c r="AF249">
        <v>5.783531548</v>
      </c>
      <c r="AG249">
        <v>5.3904788430000004</v>
      </c>
      <c r="AH249">
        <v>5.0086106560000001</v>
      </c>
      <c r="AI249">
        <v>4.9375043569999999</v>
      </c>
      <c r="AJ249">
        <v>4.8635119299999996</v>
      </c>
      <c r="AK249">
        <v>4.7886187250000001</v>
      </c>
      <c r="AL249">
        <v>4.7420098660000001</v>
      </c>
      <c r="AM249">
        <v>4.6889975330000002</v>
      </c>
      <c r="AN249">
        <v>4.6747916070000004</v>
      </c>
      <c r="AO249">
        <v>4.6629876320000001</v>
      </c>
      <c r="AP249">
        <v>4.6463798860000001</v>
      </c>
      <c r="AQ249">
        <v>4.6286586879999998</v>
      </c>
      <c r="AR249">
        <v>4.6085606879999998</v>
      </c>
      <c r="AS249">
        <v>4.5692566880000003</v>
      </c>
      <c r="AT249">
        <v>4.5315667670000002</v>
      </c>
      <c r="AU249">
        <v>4.4934238439999996</v>
      </c>
      <c r="AV249">
        <v>4.4538111560000004</v>
      </c>
      <c r="AW249">
        <v>4.4133125709999996</v>
      </c>
    </row>
    <row r="250" spans="2:49" x14ac:dyDescent="0.25">
      <c r="B250" t="s">
        <v>321</v>
      </c>
      <c r="C250">
        <v>1.4169855567767899</v>
      </c>
      <c r="D250">
        <v>1.4397357182278101</v>
      </c>
      <c r="E250">
        <v>1.469721482</v>
      </c>
      <c r="F250">
        <v>1.735331245</v>
      </c>
      <c r="G250">
        <v>2.0391606430000002</v>
      </c>
      <c r="H250">
        <v>2.2060488089999999</v>
      </c>
      <c r="I250">
        <v>2.627372228</v>
      </c>
      <c r="J250">
        <v>2.9336702429999999</v>
      </c>
      <c r="K250">
        <v>3.2132146659999998</v>
      </c>
      <c r="L250">
        <v>3.4724697</v>
      </c>
      <c r="M250">
        <v>3.7531645149999999</v>
      </c>
      <c r="N250">
        <v>4.0095819019999999</v>
      </c>
      <c r="O250">
        <v>3.6500381900000001</v>
      </c>
      <c r="P250">
        <v>3.4303927280000002</v>
      </c>
      <c r="Q250">
        <v>3.2561184110000001</v>
      </c>
      <c r="R250">
        <v>2.9892534500000001</v>
      </c>
      <c r="S250">
        <v>2.7250496279999998</v>
      </c>
      <c r="T250">
        <v>2.8591710360000002</v>
      </c>
      <c r="U250">
        <v>2.9939005710000002</v>
      </c>
      <c r="V250">
        <v>3.1000430329999999</v>
      </c>
      <c r="W250">
        <v>3.4399079549999998</v>
      </c>
      <c r="X250">
        <v>3.6165879030000001</v>
      </c>
      <c r="Y250">
        <v>3.4320767230000002</v>
      </c>
      <c r="Z250">
        <v>3.2485664359999999</v>
      </c>
      <c r="AA250">
        <v>3.070969957</v>
      </c>
      <c r="AB250">
        <v>2.9240475140000002</v>
      </c>
      <c r="AC250">
        <v>2.7862182639999999</v>
      </c>
      <c r="AD250">
        <v>2.7939179689999998</v>
      </c>
      <c r="AE250">
        <v>2.7920555560000002</v>
      </c>
      <c r="AF250">
        <v>2.781361108</v>
      </c>
      <c r="AG250">
        <v>2.5895495770000001</v>
      </c>
      <c r="AH250">
        <v>2.3980257429999998</v>
      </c>
      <c r="AI250">
        <v>2.4196331340000001</v>
      </c>
      <c r="AJ250">
        <v>2.430217984</v>
      </c>
      <c r="AK250">
        <v>2.4309331570000001</v>
      </c>
      <c r="AL250">
        <v>2.4543505219999999</v>
      </c>
      <c r="AM250">
        <v>2.467794847</v>
      </c>
      <c r="AN250">
        <v>2.4483175780000002</v>
      </c>
      <c r="AO250">
        <v>2.4299275599999999</v>
      </c>
      <c r="AP250">
        <v>2.4088765250000002</v>
      </c>
      <c r="AQ250">
        <v>2.3871130150000002</v>
      </c>
      <c r="AR250">
        <v>2.364004972</v>
      </c>
      <c r="AS250">
        <v>2.345666037</v>
      </c>
      <c r="AT250">
        <v>2.3277466699999998</v>
      </c>
      <c r="AU250">
        <v>2.3091941010000001</v>
      </c>
      <c r="AV250">
        <v>2.2894934779999998</v>
      </c>
      <c r="AW250">
        <v>2.2689528619999999</v>
      </c>
    </row>
    <row r="251" spans="2:49" x14ac:dyDescent="0.25">
      <c r="B251" t="s">
        <v>322</v>
      </c>
      <c r="C251">
        <v>34.067295461021303</v>
      </c>
      <c r="D251">
        <v>34.614256909026899</v>
      </c>
      <c r="E251">
        <v>35.359286990000001</v>
      </c>
      <c r="F251">
        <v>35.403080279999998</v>
      </c>
      <c r="G251">
        <v>34.224067310000002</v>
      </c>
      <c r="H251">
        <v>32.561702390000001</v>
      </c>
      <c r="I251">
        <v>33.055666619999997</v>
      </c>
      <c r="J251">
        <v>32.787169509999998</v>
      </c>
      <c r="K251">
        <v>31.347134669999999</v>
      </c>
      <c r="L251">
        <v>30.571736170000001</v>
      </c>
      <c r="M251">
        <v>30.567069549999999</v>
      </c>
      <c r="N251">
        <v>31.124913289999999</v>
      </c>
      <c r="O251">
        <v>31.840809910000001</v>
      </c>
      <c r="P251">
        <v>31.83600564</v>
      </c>
      <c r="Q251">
        <v>30.347653869999998</v>
      </c>
      <c r="R251">
        <v>29.340423680000001</v>
      </c>
      <c r="S251">
        <v>28.664414659999998</v>
      </c>
      <c r="T251">
        <v>27.336777949999998</v>
      </c>
      <c r="U251">
        <v>26.042521189999999</v>
      </c>
      <c r="V251">
        <v>24.930737140000002</v>
      </c>
      <c r="W251">
        <v>24.427668000000001</v>
      </c>
      <c r="X251">
        <v>23.551538040000001</v>
      </c>
      <c r="Y251">
        <v>22.23773413</v>
      </c>
      <c r="Z251">
        <v>21.05652186</v>
      </c>
      <c r="AA251">
        <v>19.88985134</v>
      </c>
      <c r="AB251">
        <v>18.498719789999999</v>
      </c>
      <c r="AC251">
        <v>17.155223360000001</v>
      </c>
      <c r="AD251">
        <v>15.299943900000001</v>
      </c>
      <c r="AE251">
        <v>13.524343399999999</v>
      </c>
      <c r="AF251">
        <v>11.82617984</v>
      </c>
      <c r="AG251">
        <v>10.84183743</v>
      </c>
      <c r="AH251">
        <v>9.8965812619999998</v>
      </c>
      <c r="AI251">
        <v>8.978793757</v>
      </c>
      <c r="AJ251">
        <v>8.103517085</v>
      </c>
      <c r="AK251">
        <v>7.2573654620000001</v>
      </c>
      <c r="AL251">
        <v>8.3165032599999904</v>
      </c>
      <c r="AM251">
        <v>9.286823944</v>
      </c>
      <c r="AN251">
        <v>7.9984924289999997</v>
      </c>
      <c r="AO251">
        <v>6.7412691640000002</v>
      </c>
      <c r="AP251">
        <v>5.5008468610000003</v>
      </c>
      <c r="AQ251">
        <v>4.2813020850000001</v>
      </c>
      <c r="AR251">
        <v>3.0749629949999999</v>
      </c>
      <c r="AS251">
        <v>3.5299622749999999</v>
      </c>
      <c r="AT251">
        <v>3.9560239109999999</v>
      </c>
      <c r="AU251">
        <v>4.3546006339999996</v>
      </c>
      <c r="AV251">
        <v>4.7268488199999998</v>
      </c>
      <c r="AW251">
        <v>5.0805016250000001</v>
      </c>
    </row>
    <row r="252" spans="2:49" x14ac:dyDescent="0.25">
      <c r="B252" t="s">
        <v>323</v>
      </c>
      <c r="C252">
        <v>1.54983431156195</v>
      </c>
      <c r="D252">
        <v>1.57471740274219</v>
      </c>
      <c r="E252">
        <v>1.6086112930000001</v>
      </c>
      <c r="F252">
        <v>2.645540338</v>
      </c>
      <c r="G252">
        <v>3.5527501400000001</v>
      </c>
      <c r="H252">
        <v>4.3113839140000003</v>
      </c>
      <c r="I252">
        <v>5.2912877969999998</v>
      </c>
      <c r="J252">
        <v>6.0966236279999997</v>
      </c>
      <c r="K252">
        <v>6.5642731870000004</v>
      </c>
      <c r="L252">
        <v>7.0131119689999997</v>
      </c>
      <c r="M252">
        <v>7.4745659260000004</v>
      </c>
      <c r="N252">
        <v>7.8734087690000001</v>
      </c>
      <c r="O252">
        <v>8.2024200109999903</v>
      </c>
      <c r="P252">
        <v>8.3506645230000007</v>
      </c>
      <c r="Q252">
        <v>8.1042927030000005</v>
      </c>
      <c r="R252">
        <v>7.976060994</v>
      </c>
      <c r="S252">
        <v>7.9312811950000004</v>
      </c>
      <c r="T252">
        <v>8.0971548070000008</v>
      </c>
      <c r="U252">
        <v>8.2804340449999998</v>
      </c>
      <c r="V252">
        <v>8.8315488630000001</v>
      </c>
      <c r="W252">
        <v>8.3854940520000003</v>
      </c>
      <c r="X252">
        <v>8.1960579229999997</v>
      </c>
      <c r="Y252">
        <v>8.1129241309999998</v>
      </c>
      <c r="Z252">
        <v>8.0629486729999904</v>
      </c>
      <c r="AA252">
        <v>8.0088626709999904</v>
      </c>
      <c r="AB252">
        <v>7.8620954620000001</v>
      </c>
      <c r="AC252">
        <v>7.718038054</v>
      </c>
      <c r="AD252">
        <v>8.2000889190000006</v>
      </c>
      <c r="AE252">
        <v>8.6697419809999996</v>
      </c>
      <c r="AF252">
        <v>9.1312583069999995</v>
      </c>
      <c r="AG252">
        <v>9.1474761850000004</v>
      </c>
      <c r="AH252">
        <v>9.1652597500000006</v>
      </c>
      <c r="AI252">
        <v>9.2235343410000006</v>
      </c>
      <c r="AJ252">
        <v>9.2904731149999904</v>
      </c>
      <c r="AK252">
        <v>9.3589261080000004</v>
      </c>
      <c r="AL252">
        <v>8.0726663980000009</v>
      </c>
      <c r="AM252">
        <v>6.8676623929999998</v>
      </c>
      <c r="AN252">
        <v>7.462136933</v>
      </c>
      <c r="AO252">
        <v>8.0509864229999994</v>
      </c>
      <c r="AP252">
        <v>8.6307145910000003</v>
      </c>
      <c r="AQ252">
        <v>9.2094664500000007</v>
      </c>
      <c r="AR252">
        <v>9.7884140819999903</v>
      </c>
      <c r="AS252">
        <v>9.1025076830000007</v>
      </c>
      <c r="AT252">
        <v>8.4478375210000003</v>
      </c>
      <c r="AU252">
        <v>7.8226470260000003</v>
      </c>
      <c r="AV252">
        <v>7.2253054570000002</v>
      </c>
      <c r="AW252">
        <v>6.6551333990000003</v>
      </c>
    </row>
    <row r="253" spans="2:49" x14ac:dyDescent="0.25">
      <c r="B253" t="s">
        <v>324</v>
      </c>
      <c r="C253">
        <v>0.19372928894524399</v>
      </c>
      <c r="D253">
        <v>0.196839675342774</v>
      </c>
      <c r="E253">
        <v>0.20107641170000001</v>
      </c>
      <c r="F253">
        <v>0.19521040200000001</v>
      </c>
      <c r="G253">
        <v>0.1829775491</v>
      </c>
      <c r="H253">
        <v>0.16880199139999999</v>
      </c>
      <c r="I253">
        <v>0.1661577726</v>
      </c>
      <c r="J253">
        <v>0.1595796998</v>
      </c>
      <c r="K253">
        <v>0.14772073429999999</v>
      </c>
      <c r="L253">
        <v>0.13947718179999999</v>
      </c>
      <c r="M253">
        <v>0.13500332670000001</v>
      </c>
      <c r="N253">
        <v>0.1330678381</v>
      </c>
      <c r="O253">
        <v>0.20580874939999999</v>
      </c>
      <c r="P253">
        <v>0.27625535649999999</v>
      </c>
      <c r="Q253">
        <v>0.33130338349999999</v>
      </c>
      <c r="R253">
        <v>0.38677940389999999</v>
      </c>
      <c r="S253">
        <v>0.44356504749999998</v>
      </c>
      <c r="T253">
        <v>0.68700526340000001</v>
      </c>
      <c r="U253">
        <v>0.93522336719999999</v>
      </c>
      <c r="V253">
        <v>1.2212061089999999</v>
      </c>
      <c r="W253">
        <v>1.3032120330000001</v>
      </c>
      <c r="X253">
        <v>1.3872040729999999</v>
      </c>
      <c r="Y253">
        <v>1.786515345</v>
      </c>
      <c r="Z253">
        <v>2.1763291790000001</v>
      </c>
      <c r="AA253">
        <v>2.5490970229999999</v>
      </c>
      <c r="AB253">
        <v>2.805921863</v>
      </c>
      <c r="AC253">
        <v>3.038098406</v>
      </c>
      <c r="AD253">
        <v>3.5732545990000002</v>
      </c>
      <c r="AE253">
        <v>4.089297052</v>
      </c>
      <c r="AF253">
        <v>4.590351729</v>
      </c>
      <c r="AG253">
        <v>4.9544630319999996</v>
      </c>
      <c r="AH253">
        <v>5.3032604489999997</v>
      </c>
      <c r="AI253">
        <v>5.7537961759999998</v>
      </c>
      <c r="AJ253">
        <v>6.1978460330000003</v>
      </c>
      <c r="AK253">
        <v>6.6309114129999998</v>
      </c>
      <c r="AL253">
        <v>6.719480914</v>
      </c>
      <c r="AM253">
        <v>6.7968093329999997</v>
      </c>
      <c r="AN253">
        <v>7.1400539959999998</v>
      </c>
      <c r="AO253">
        <v>7.4882642270000002</v>
      </c>
      <c r="AP253">
        <v>7.8333391929999996</v>
      </c>
      <c r="AQ253">
        <v>8.1867604570000001</v>
      </c>
      <c r="AR253">
        <v>8.5483298100000003</v>
      </c>
      <c r="AS253">
        <v>8.699474554</v>
      </c>
      <c r="AT253">
        <v>8.8412950109999997</v>
      </c>
      <c r="AU253">
        <v>8.9740679629999995</v>
      </c>
      <c r="AV253">
        <v>9.0977198730000008</v>
      </c>
      <c r="AW253">
        <v>9.2150301849999998</v>
      </c>
    </row>
    <row r="254" spans="2:49" x14ac:dyDescent="0.25">
      <c r="B254" t="s">
        <v>325</v>
      </c>
      <c r="C254">
        <v>0.71679836909740502</v>
      </c>
      <c r="D254">
        <v>0.72830679876826598</v>
      </c>
      <c r="E254">
        <v>0.74398272320000003</v>
      </c>
      <c r="F254">
        <v>0.73699812470000003</v>
      </c>
      <c r="G254">
        <v>0.70489257490000001</v>
      </c>
      <c r="H254">
        <v>0.66353585979999996</v>
      </c>
      <c r="I254">
        <v>0.66645249370000004</v>
      </c>
      <c r="J254">
        <v>0.66727960990000001</v>
      </c>
      <c r="K254">
        <v>0.64511287559999997</v>
      </c>
      <c r="L254">
        <v>0.63736647280000003</v>
      </c>
      <c r="M254">
        <v>0.6468368739</v>
      </c>
      <c r="N254">
        <v>0.66989003530000002</v>
      </c>
      <c r="O254">
        <v>0.97235890989999996</v>
      </c>
      <c r="P254">
        <v>1.2376578030000001</v>
      </c>
      <c r="Q254">
        <v>1.4118956650000001</v>
      </c>
      <c r="R254">
        <v>1.5688217330000001</v>
      </c>
      <c r="S254">
        <v>1.711267184</v>
      </c>
      <c r="T254">
        <v>1.757983547</v>
      </c>
      <c r="U254">
        <v>1.8077539659999999</v>
      </c>
      <c r="V254">
        <v>1.898136134</v>
      </c>
      <c r="W254">
        <v>1.5956263500000001</v>
      </c>
      <c r="X254">
        <v>1.358280428</v>
      </c>
      <c r="Y254">
        <v>1.375726043</v>
      </c>
      <c r="Z254">
        <v>1.397345412</v>
      </c>
      <c r="AA254">
        <v>1.416541506</v>
      </c>
      <c r="AB254">
        <v>1.402102612</v>
      </c>
      <c r="AC254">
        <v>1.385961073</v>
      </c>
      <c r="AD254">
        <v>1.4175181320000001</v>
      </c>
      <c r="AE254">
        <v>1.448114345</v>
      </c>
      <c r="AF254">
        <v>1.478424618</v>
      </c>
      <c r="AG254">
        <v>1.458536464</v>
      </c>
      <c r="AH254">
        <v>1.439550487</v>
      </c>
      <c r="AI254">
        <v>1.4405903819999999</v>
      </c>
      <c r="AJ254">
        <v>1.4433239309999999</v>
      </c>
      <c r="AK254">
        <v>1.4464007839999999</v>
      </c>
      <c r="AL254">
        <v>1.302355827</v>
      </c>
      <c r="AM254">
        <v>1.1648205229999999</v>
      </c>
      <c r="AN254">
        <v>1.213158352</v>
      </c>
      <c r="AO254">
        <v>1.261075344</v>
      </c>
      <c r="AP254">
        <v>1.30752545</v>
      </c>
      <c r="AQ254">
        <v>1.35403177</v>
      </c>
      <c r="AR254">
        <v>1.4005598509999999</v>
      </c>
      <c r="AS254">
        <v>1.3185047190000001</v>
      </c>
      <c r="AT254">
        <v>1.2397013349999999</v>
      </c>
      <c r="AU254">
        <v>1.163971426</v>
      </c>
      <c r="AV254">
        <v>1.0911320920000001</v>
      </c>
      <c r="AW254">
        <v>1.0212392589999999</v>
      </c>
    </row>
    <row r="255" spans="2:49" x14ac:dyDescent="0.25">
      <c r="B255" t="s">
        <v>326</v>
      </c>
      <c r="C255">
        <v>0.19372928894524399</v>
      </c>
      <c r="D255">
        <v>0.196839675342774</v>
      </c>
      <c r="E255">
        <v>0.20107641170000001</v>
      </c>
      <c r="F255">
        <v>0.20706667030000001</v>
      </c>
      <c r="G255">
        <v>0.2058791157</v>
      </c>
      <c r="H255">
        <v>0.20146485619999999</v>
      </c>
      <c r="I255">
        <v>0.21035344950000001</v>
      </c>
      <c r="J255">
        <v>0.21429590109999999</v>
      </c>
      <c r="K255">
        <v>0.21041898549999999</v>
      </c>
      <c r="L255">
        <v>0.21074334659999999</v>
      </c>
      <c r="M255">
        <v>0.21637267939999999</v>
      </c>
      <c r="N255">
        <v>0.2262238026</v>
      </c>
      <c r="O255">
        <v>0.27041142470000001</v>
      </c>
      <c r="P255">
        <v>0.30979850869999997</v>
      </c>
      <c r="Q255">
        <v>0.33333396259999998</v>
      </c>
      <c r="R255">
        <v>0.35945283690000002</v>
      </c>
      <c r="S255">
        <v>0.38791739289999999</v>
      </c>
      <c r="T255">
        <v>0.45905963220000001</v>
      </c>
      <c r="U255">
        <v>0.53207721720000001</v>
      </c>
      <c r="V255">
        <v>0.63877437619999999</v>
      </c>
      <c r="W255">
        <v>0.60007964439999995</v>
      </c>
      <c r="X255">
        <v>0.59250059909999997</v>
      </c>
      <c r="Y255">
        <v>0.62901695349999998</v>
      </c>
      <c r="Z255">
        <v>0.66639198820000001</v>
      </c>
      <c r="AA255">
        <v>0.70194063770000004</v>
      </c>
      <c r="AB255">
        <v>0.72921042790000001</v>
      </c>
      <c r="AC255">
        <v>0.75385056429999997</v>
      </c>
      <c r="AD255">
        <v>0.87584927479999997</v>
      </c>
      <c r="AE255">
        <v>0.99366584020000004</v>
      </c>
      <c r="AF255">
        <v>1.1081334549999999</v>
      </c>
      <c r="AG255">
        <v>1.16571509</v>
      </c>
      <c r="AH255">
        <v>1.2210864450000001</v>
      </c>
      <c r="AI255">
        <v>1.245327903</v>
      </c>
      <c r="AJ255">
        <v>1.270330666</v>
      </c>
      <c r="AK255">
        <v>1.2950683519999999</v>
      </c>
      <c r="AL255">
        <v>1.1430571430000001</v>
      </c>
      <c r="AM255">
        <v>1.0002710880000001</v>
      </c>
      <c r="AN255">
        <v>1.0892649759999999</v>
      </c>
      <c r="AO255">
        <v>1.1777549380000001</v>
      </c>
      <c r="AP255">
        <v>1.2649908519999999</v>
      </c>
      <c r="AQ255">
        <v>1.3524733170000001</v>
      </c>
      <c r="AR255">
        <v>1.4403643349999999</v>
      </c>
      <c r="AS255">
        <v>1.3592013000000001</v>
      </c>
      <c r="AT255">
        <v>1.281575715</v>
      </c>
      <c r="AU255">
        <v>1.2072853450000001</v>
      </c>
      <c r="AV255">
        <v>1.136125659</v>
      </c>
      <c r="AW255">
        <v>1.0681326440000001</v>
      </c>
    </row>
    <row r="256" spans="2:49" x14ac:dyDescent="0.25">
      <c r="B256" t="s">
        <v>327</v>
      </c>
      <c r="C256">
        <v>0.38745857789048899</v>
      </c>
      <c r="D256">
        <v>0.39367935068554899</v>
      </c>
      <c r="E256">
        <v>0.40215282340000003</v>
      </c>
      <c r="F256">
        <v>0.53057511420000003</v>
      </c>
      <c r="G256">
        <v>0.67585829939999997</v>
      </c>
      <c r="H256">
        <v>0.84732366459999997</v>
      </c>
      <c r="I256">
        <v>1.133460412</v>
      </c>
      <c r="J256">
        <v>1.4793715519999999</v>
      </c>
      <c r="K256">
        <v>1.8610369760000001</v>
      </c>
      <c r="L256">
        <v>2.3879797109999998</v>
      </c>
      <c r="M256">
        <v>3.1411296630000001</v>
      </c>
      <c r="N256">
        <v>4.2075416099999998</v>
      </c>
      <c r="O256">
        <v>4.0378364250000001</v>
      </c>
      <c r="P256">
        <v>3.7676165620000002</v>
      </c>
      <c r="Q256">
        <v>3.3314110270000001</v>
      </c>
      <c r="R256">
        <v>2.966407652</v>
      </c>
      <c r="S256">
        <v>2.6465192900000001</v>
      </c>
      <c r="T256">
        <v>3.165927215</v>
      </c>
      <c r="U256">
        <v>3.6986826449999999</v>
      </c>
      <c r="V256">
        <v>4.3161876719999999</v>
      </c>
      <c r="W256">
        <v>4.8371805139999999</v>
      </c>
      <c r="X256">
        <v>5.2789450349999996</v>
      </c>
      <c r="Y256">
        <v>5.5627442990000002</v>
      </c>
      <c r="Z256">
        <v>5.8553383720000003</v>
      </c>
      <c r="AA256">
        <v>6.1297322699999999</v>
      </c>
      <c r="AB256">
        <v>6.2972464769999998</v>
      </c>
      <c r="AC256">
        <v>6.4377266569999998</v>
      </c>
      <c r="AD256">
        <v>6.7229188100000004</v>
      </c>
      <c r="AE256">
        <v>7.0011198940000003</v>
      </c>
      <c r="AF256">
        <v>7.2764991840000004</v>
      </c>
      <c r="AG256">
        <v>7.4427886169999997</v>
      </c>
      <c r="AH256">
        <v>7.6019322020000004</v>
      </c>
      <c r="AI256">
        <v>7.7383124959999998</v>
      </c>
      <c r="AJ256">
        <v>7.8812087030000004</v>
      </c>
      <c r="AK256">
        <v>8.0229142840000005</v>
      </c>
      <c r="AL256">
        <v>7.7859410889999996</v>
      </c>
      <c r="AM256">
        <v>7.5576615499999997</v>
      </c>
      <c r="AN256">
        <v>7.7204583089999996</v>
      </c>
      <c r="AO256">
        <v>7.8923143390000003</v>
      </c>
      <c r="AP256">
        <v>8.0640912809999996</v>
      </c>
      <c r="AQ256">
        <v>8.2467370800000008</v>
      </c>
      <c r="AR256">
        <v>8.4391275050000001</v>
      </c>
      <c r="AS256">
        <v>8.2339503890000003</v>
      </c>
      <c r="AT256">
        <v>8.0359657200000001</v>
      </c>
      <c r="AU256">
        <v>7.8446720790000004</v>
      </c>
      <c r="AV256">
        <v>7.6593573150000003</v>
      </c>
      <c r="AW256">
        <v>7.4816182070000004</v>
      </c>
    </row>
    <row r="257" spans="2:49" x14ac:dyDescent="0.25">
      <c r="B257" t="s">
        <v>328</v>
      </c>
      <c r="C257">
        <v>34.067295461021303</v>
      </c>
      <c r="D257">
        <v>34.614256909026899</v>
      </c>
      <c r="E257">
        <v>35.359286990000001</v>
      </c>
      <c r="F257">
        <v>35.403080279999998</v>
      </c>
      <c r="G257">
        <v>34.224067310000002</v>
      </c>
      <c r="H257">
        <v>32.561702390000001</v>
      </c>
      <c r="I257">
        <v>33.055666619999997</v>
      </c>
      <c r="J257">
        <v>32.787169509999998</v>
      </c>
      <c r="K257">
        <v>31.347134669999999</v>
      </c>
      <c r="L257">
        <v>30.571736170000001</v>
      </c>
      <c r="M257">
        <v>30.567069549999999</v>
      </c>
      <c r="N257">
        <v>31.124913289999999</v>
      </c>
      <c r="O257">
        <v>31.840809910000001</v>
      </c>
      <c r="P257">
        <v>31.83600564</v>
      </c>
      <c r="Q257">
        <v>30.347653869999998</v>
      </c>
      <c r="R257">
        <v>29.340423680000001</v>
      </c>
      <c r="S257">
        <v>28.664414659999998</v>
      </c>
      <c r="T257">
        <v>27.336777949999998</v>
      </c>
      <c r="U257">
        <v>26.042521189999999</v>
      </c>
      <c r="V257">
        <v>24.930737140000002</v>
      </c>
      <c r="W257">
        <v>24.427668000000001</v>
      </c>
      <c r="X257">
        <v>23.551538040000001</v>
      </c>
      <c r="Y257">
        <v>22.23773413</v>
      </c>
      <c r="Z257">
        <v>21.05652186</v>
      </c>
      <c r="AA257">
        <v>19.88985134</v>
      </c>
      <c r="AB257">
        <v>18.498719789999999</v>
      </c>
      <c r="AC257">
        <v>17.155223360000001</v>
      </c>
      <c r="AD257">
        <v>15.299943900000001</v>
      </c>
      <c r="AE257">
        <v>13.524343399999999</v>
      </c>
      <c r="AF257">
        <v>11.82617984</v>
      </c>
      <c r="AG257">
        <v>10.84183743</v>
      </c>
      <c r="AH257">
        <v>9.8965812619999998</v>
      </c>
      <c r="AI257">
        <v>8.978793757</v>
      </c>
      <c r="AJ257">
        <v>8.103517085</v>
      </c>
      <c r="AK257">
        <v>7.2573654620000001</v>
      </c>
      <c r="AL257">
        <v>8.3165032599999904</v>
      </c>
      <c r="AM257">
        <v>9.286823944</v>
      </c>
      <c r="AN257">
        <v>7.9984924289999997</v>
      </c>
      <c r="AO257">
        <v>6.7412691640000002</v>
      </c>
      <c r="AP257">
        <v>5.5008468610000003</v>
      </c>
      <c r="AQ257">
        <v>4.2813020850000001</v>
      </c>
      <c r="AR257">
        <v>3.0749629949999999</v>
      </c>
      <c r="AS257">
        <v>3.5299622749999999</v>
      </c>
      <c r="AT257">
        <v>3.9560239109999999</v>
      </c>
      <c r="AU257">
        <v>4.3546006339999996</v>
      </c>
      <c r="AV257">
        <v>4.7268488199999998</v>
      </c>
      <c r="AW257">
        <v>5.0805016250000001</v>
      </c>
    </row>
    <row r="258" spans="2:49" x14ac:dyDescent="0.25">
      <c r="B258" t="s">
        <v>329</v>
      </c>
      <c r="C258">
        <v>1.54983431156195</v>
      </c>
      <c r="D258">
        <v>1.57471740274219</v>
      </c>
      <c r="E258">
        <v>1.6086112930000001</v>
      </c>
      <c r="F258">
        <v>2.645540338</v>
      </c>
      <c r="G258">
        <v>3.5527501400000001</v>
      </c>
      <c r="H258">
        <v>4.3113839140000003</v>
      </c>
      <c r="I258">
        <v>5.2912877969999998</v>
      </c>
      <c r="J258">
        <v>6.0966236279999997</v>
      </c>
      <c r="K258">
        <v>6.5642731870000004</v>
      </c>
      <c r="L258">
        <v>7.0131119689999997</v>
      </c>
      <c r="M258">
        <v>7.4745659260000004</v>
      </c>
      <c r="N258">
        <v>7.8734087690000001</v>
      </c>
      <c r="O258">
        <v>8.2024200109999903</v>
      </c>
      <c r="P258">
        <v>8.3506645230000007</v>
      </c>
      <c r="Q258">
        <v>8.1042927030000005</v>
      </c>
      <c r="R258">
        <v>7.976060994</v>
      </c>
      <c r="S258">
        <v>7.9312811950000004</v>
      </c>
      <c r="T258">
        <v>8.0971548070000008</v>
      </c>
      <c r="U258">
        <v>8.2804340449999998</v>
      </c>
      <c r="V258">
        <v>8.8315488630000001</v>
      </c>
      <c r="W258">
        <v>8.3854940520000003</v>
      </c>
      <c r="X258">
        <v>8.1960579229999997</v>
      </c>
      <c r="Y258">
        <v>8.1129241309999998</v>
      </c>
      <c r="Z258">
        <v>8.0629486729999904</v>
      </c>
      <c r="AA258">
        <v>8.0088626709999904</v>
      </c>
      <c r="AB258">
        <v>7.8620954620000001</v>
      </c>
      <c r="AC258">
        <v>7.718038054</v>
      </c>
      <c r="AD258">
        <v>8.2000889190000006</v>
      </c>
      <c r="AE258">
        <v>8.6697419809999996</v>
      </c>
      <c r="AF258">
        <v>9.1312583069999995</v>
      </c>
      <c r="AG258">
        <v>9.1474761850000004</v>
      </c>
      <c r="AH258">
        <v>9.1652597500000006</v>
      </c>
      <c r="AI258">
        <v>9.2235343410000006</v>
      </c>
      <c r="AJ258">
        <v>9.2904731149999904</v>
      </c>
      <c r="AK258">
        <v>9.3589261080000004</v>
      </c>
      <c r="AL258">
        <v>8.0726663980000009</v>
      </c>
      <c r="AM258">
        <v>6.8676623929999998</v>
      </c>
      <c r="AN258">
        <v>7.462136933</v>
      </c>
      <c r="AO258">
        <v>8.0509864229999994</v>
      </c>
      <c r="AP258">
        <v>8.6307145910000003</v>
      </c>
      <c r="AQ258">
        <v>9.2094664500000007</v>
      </c>
      <c r="AR258">
        <v>9.7884140819999903</v>
      </c>
      <c r="AS258">
        <v>9.1025076830000007</v>
      </c>
      <c r="AT258">
        <v>8.4478375210000003</v>
      </c>
      <c r="AU258">
        <v>7.8226470260000003</v>
      </c>
      <c r="AV258">
        <v>7.2253054570000002</v>
      </c>
      <c r="AW258">
        <v>6.6551333990000003</v>
      </c>
    </row>
    <row r="259" spans="2:49" x14ac:dyDescent="0.25">
      <c r="B259" t="s">
        <v>330</v>
      </c>
      <c r="C259">
        <v>0.19372928894524399</v>
      </c>
      <c r="D259">
        <v>0.196839675342774</v>
      </c>
      <c r="E259">
        <v>0.20107641170000001</v>
      </c>
      <c r="F259">
        <v>0.19521040200000001</v>
      </c>
      <c r="G259">
        <v>0.1829775491</v>
      </c>
      <c r="H259">
        <v>0.16880199139999999</v>
      </c>
      <c r="I259">
        <v>0.1661577726</v>
      </c>
      <c r="J259">
        <v>0.1595796998</v>
      </c>
      <c r="K259">
        <v>0.14772073429999999</v>
      </c>
      <c r="L259">
        <v>0.13947718179999999</v>
      </c>
      <c r="M259">
        <v>0.13500332670000001</v>
      </c>
      <c r="N259">
        <v>0.1330678381</v>
      </c>
      <c r="O259">
        <v>0.20580874939999999</v>
      </c>
      <c r="P259">
        <v>0.27625535649999999</v>
      </c>
      <c r="Q259">
        <v>0.33130338349999999</v>
      </c>
      <c r="R259">
        <v>0.38677940389999999</v>
      </c>
      <c r="S259">
        <v>0.44356504749999998</v>
      </c>
      <c r="T259">
        <v>0.68700526340000001</v>
      </c>
      <c r="U259">
        <v>0.93522336719999999</v>
      </c>
      <c r="V259">
        <v>1.2212061089999999</v>
      </c>
      <c r="W259">
        <v>1.3032120330000001</v>
      </c>
      <c r="X259">
        <v>1.3872040729999999</v>
      </c>
      <c r="Y259">
        <v>1.786515345</v>
      </c>
      <c r="Z259">
        <v>2.1763291790000001</v>
      </c>
      <c r="AA259">
        <v>2.5490970229999999</v>
      </c>
      <c r="AB259">
        <v>2.805921863</v>
      </c>
      <c r="AC259">
        <v>3.038098406</v>
      </c>
      <c r="AD259">
        <v>3.5732545990000002</v>
      </c>
      <c r="AE259">
        <v>4.089297052</v>
      </c>
      <c r="AF259">
        <v>4.590351729</v>
      </c>
      <c r="AG259">
        <v>4.9544630319999996</v>
      </c>
      <c r="AH259">
        <v>5.3032604489999997</v>
      </c>
      <c r="AI259">
        <v>5.7537961759999998</v>
      </c>
      <c r="AJ259">
        <v>6.1978460330000003</v>
      </c>
      <c r="AK259">
        <v>6.6309114129999998</v>
      </c>
      <c r="AL259">
        <v>6.719480914</v>
      </c>
      <c r="AM259">
        <v>6.7968093329999997</v>
      </c>
      <c r="AN259">
        <v>7.1400539959999998</v>
      </c>
      <c r="AO259">
        <v>7.4882642270000002</v>
      </c>
      <c r="AP259">
        <v>7.8333391929999996</v>
      </c>
      <c r="AQ259">
        <v>8.1867604570000001</v>
      </c>
      <c r="AR259">
        <v>8.5483298100000003</v>
      </c>
      <c r="AS259">
        <v>8.699474554</v>
      </c>
      <c r="AT259">
        <v>8.8412950109999997</v>
      </c>
      <c r="AU259">
        <v>8.9740679629999995</v>
      </c>
      <c r="AV259">
        <v>9.0977198730000008</v>
      </c>
      <c r="AW259">
        <v>9.2150301849999998</v>
      </c>
    </row>
    <row r="260" spans="2:49" x14ac:dyDescent="0.25">
      <c r="B260" t="s">
        <v>331</v>
      </c>
      <c r="C260">
        <v>0.71679836909740502</v>
      </c>
      <c r="D260">
        <v>0.72830679876826598</v>
      </c>
      <c r="E260">
        <v>0.74398272320000003</v>
      </c>
      <c r="F260">
        <v>0.73699812470000003</v>
      </c>
      <c r="G260">
        <v>0.70489257490000001</v>
      </c>
      <c r="H260">
        <v>0.66353585979999996</v>
      </c>
      <c r="I260">
        <v>0.66645249370000004</v>
      </c>
      <c r="J260">
        <v>0.66727960990000001</v>
      </c>
      <c r="K260">
        <v>0.64511287559999997</v>
      </c>
      <c r="L260">
        <v>0.63736647280000003</v>
      </c>
      <c r="M260">
        <v>0.6468368739</v>
      </c>
      <c r="N260">
        <v>0.66989003530000002</v>
      </c>
      <c r="O260">
        <v>0.97235890989999996</v>
      </c>
      <c r="P260">
        <v>1.2376578030000001</v>
      </c>
      <c r="Q260">
        <v>1.4118956650000001</v>
      </c>
      <c r="R260">
        <v>1.5688217330000001</v>
      </c>
      <c r="S260">
        <v>1.711267184</v>
      </c>
      <c r="T260">
        <v>1.757983547</v>
      </c>
      <c r="U260">
        <v>1.8077539659999999</v>
      </c>
      <c r="V260">
        <v>1.898136134</v>
      </c>
      <c r="W260">
        <v>1.5956263500000001</v>
      </c>
      <c r="X260">
        <v>1.358280428</v>
      </c>
      <c r="Y260">
        <v>1.375726043</v>
      </c>
      <c r="Z260">
        <v>1.397345412</v>
      </c>
      <c r="AA260">
        <v>1.416541506</v>
      </c>
      <c r="AB260">
        <v>1.402102612</v>
      </c>
      <c r="AC260">
        <v>1.385961073</v>
      </c>
      <c r="AD260">
        <v>1.4175181320000001</v>
      </c>
      <c r="AE260">
        <v>1.448114345</v>
      </c>
      <c r="AF260">
        <v>1.478424618</v>
      </c>
      <c r="AG260">
        <v>1.458536464</v>
      </c>
      <c r="AH260">
        <v>1.439550487</v>
      </c>
      <c r="AI260">
        <v>1.4405903819999999</v>
      </c>
      <c r="AJ260">
        <v>1.4433239309999999</v>
      </c>
      <c r="AK260">
        <v>1.4464007839999999</v>
      </c>
      <c r="AL260">
        <v>1.302355827</v>
      </c>
      <c r="AM260">
        <v>1.1648205229999999</v>
      </c>
      <c r="AN260">
        <v>1.213158352</v>
      </c>
      <c r="AO260">
        <v>1.261075344</v>
      </c>
      <c r="AP260">
        <v>1.30752545</v>
      </c>
      <c r="AQ260">
        <v>1.35403177</v>
      </c>
      <c r="AR260">
        <v>1.4005598509999999</v>
      </c>
      <c r="AS260">
        <v>1.3185047190000001</v>
      </c>
      <c r="AT260">
        <v>1.2397013349999999</v>
      </c>
      <c r="AU260">
        <v>1.163971426</v>
      </c>
      <c r="AV260">
        <v>1.0911320920000001</v>
      </c>
      <c r="AW260">
        <v>1.0212392589999999</v>
      </c>
    </row>
    <row r="261" spans="2:49" x14ac:dyDescent="0.25">
      <c r="B261" t="s">
        <v>332</v>
      </c>
      <c r="C261">
        <v>0.19372928894524399</v>
      </c>
      <c r="D261">
        <v>0.196839675342774</v>
      </c>
      <c r="E261">
        <v>0.20107641170000001</v>
      </c>
      <c r="F261">
        <v>0.20706667030000001</v>
      </c>
      <c r="G261">
        <v>0.2058791157</v>
      </c>
      <c r="H261">
        <v>0.20146485619999999</v>
      </c>
      <c r="I261">
        <v>0.21035344950000001</v>
      </c>
      <c r="J261">
        <v>0.21429590109999999</v>
      </c>
      <c r="K261">
        <v>0.21041898549999999</v>
      </c>
      <c r="L261">
        <v>0.21074334659999999</v>
      </c>
      <c r="M261">
        <v>0.21637267939999999</v>
      </c>
      <c r="N261">
        <v>0.2262238026</v>
      </c>
      <c r="O261">
        <v>0.27041142470000001</v>
      </c>
      <c r="P261">
        <v>0.30979850869999997</v>
      </c>
      <c r="Q261">
        <v>0.33333396259999998</v>
      </c>
      <c r="R261">
        <v>0.35945283690000002</v>
      </c>
      <c r="S261">
        <v>0.38791739289999999</v>
      </c>
      <c r="T261">
        <v>0.45905963220000001</v>
      </c>
      <c r="U261">
        <v>0.53207721720000001</v>
      </c>
      <c r="V261">
        <v>0.63877437619999999</v>
      </c>
      <c r="W261">
        <v>0.60007964439999995</v>
      </c>
      <c r="X261">
        <v>0.59250059909999997</v>
      </c>
      <c r="Y261">
        <v>0.62901695349999998</v>
      </c>
      <c r="Z261">
        <v>0.66639198820000001</v>
      </c>
      <c r="AA261">
        <v>0.70194063770000004</v>
      </c>
      <c r="AB261">
        <v>0.72921042790000001</v>
      </c>
      <c r="AC261">
        <v>0.75385056429999997</v>
      </c>
      <c r="AD261">
        <v>0.87584927479999997</v>
      </c>
      <c r="AE261">
        <v>0.99366584020000004</v>
      </c>
      <c r="AF261">
        <v>1.1081334549999999</v>
      </c>
      <c r="AG261">
        <v>1.16571509</v>
      </c>
      <c r="AH261">
        <v>1.2210864450000001</v>
      </c>
      <c r="AI261">
        <v>1.245327903</v>
      </c>
      <c r="AJ261">
        <v>1.270330666</v>
      </c>
      <c r="AK261">
        <v>1.2950683519999999</v>
      </c>
      <c r="AL261">
        <v>1.1430571430000001</v>
      </c>
      <c r="AM261">
        <v>1.0002710880000001</v>
      </c>
      <c r="AN261">
        <v>1.0892649759999999</v>
      </c>
      <c r="AO261">
        <v>1.1777549380000001</v>
      </c>
      <c r="AP261">
        <v>1.2649908519999999</v>
      </c>
      <c r="AQ261">
        <v>1.3524733170000001</v>
      </c>
      <c r="AR261">
        <v>1.4403643349999999</v>
      </c>
      <c r="AS261">
        <v>1.3592013000000001</v>
      </c>
      <c r="AT261">
        <v>1.281575715</v>
      </c>
      <c r="AU261">
        <v>1.2072853450000001</v>
      </c>
      <c r="AV261">
        <v>1.136125659</v>
      </c>
      <c r="AW261">
        <v>1.0681326440000001</v>
      </c>
    </row>
    <row r="262" spans="2:49" x14ac:dyDescent="0.25">
      <c r="B262" t="s">
        <v>333</v>
      </c>
      <c r="C262">
        <v>0.38745857789048899</v>
      </c>
      <c r="D262">
        <v>0.39367935068554899</v>
      </c>
      <c r="E262">
        <v>0.40215282340000003</v>
      </c>
      <c r="F262">
        <v>0.53057511420000003</v>
      </c>
      <c r="G262">
        <v>0.67585829939999997</v>
      </c>
      <c r="H262">
        <v>0.84732366459999997</v>
      </c>
      <c r="I262">
        <v>1.133460412</v>
      </c>
      <c r="J262">
        <v>1.4793715519999999</v>
      </c>
      <c r="K262">
        <v>1.8610369760000001</v>
      </c>
      <c r="L262">
        <v>2.3879797109999998</v>
      </c>
      <c r="M262">
        <v>3.1411296630000001</v>
      </c>
      <c r="N262">
        <v>4.2075416099999998</v>
      </c>
      <c r="O262">
        <v>4.0378364250000001</v>
      </c>
      <c r="P262">
        <v>3.7676165620000002</v>
      </c>
      <c r="Q262">
        <v>3.3314110270000001</v>
      </c>
      <c r="R262">
        <v>2.966407652</v>
      </c>
      <c r="S262">
        <v>2.6465192900000001</v>
      </c>
      <c r="T262">
        <v>3.165927215</v>
      </c>
      <c r="U262">
        <v>3.6986826449999999</v>
      </c>
      <c r="V262">
        <v>4.3161876719999999</v>
      </c>
      <c r="W262">
        <v>4.8371805139999999</v>
      </c>
      <c r="X262">
        <v>5.2789450349999996</v>
      </c>
      <c r="Y262">
        <v>5.5627442990000002</v>
      </c>
      <c r="Z262">
        <v>5.8553383720000003</v>
      </c>
      <c r="AA262">
        <v>6.1297322699999999</v>
      </c>
      <c r="AB262">
        <v>6.2972464769999998</v>
      </c>
      <c r="AC262">
        <v>6.4377266569999998</v>
      </c>
      <c r="AD262">
        <v>6.7229188100000004</v>
      </c>
      <c r="AE262">
        <v>7.0011198940000003</v>
      </c>
      <c r="AF262">
        <v>7.2764991840000004</v>
      </c>
      <c r="AG262">
        <v>7.4427886169999997</v>
      </c>
      <c r="AH262">
        <v>7.6019322020000004</v>
      </c>
      <c r="AI262">
        <v>7.7383124959999998</v>
      </c>
      <c r="AJ262">
        <v>7.8812087030000004</v>
      </c>
      <c r="AK262">
        <v>8.0229142840000005</v>
      </c>
      <c r="AL262">
        <v>7.7859410889999996</v>
      </c>
      <c r="AM262">
        <v>7.5576615499999997</v>
      </c>
      <c r="AN262">
        <v>7.7204583089999996</v>
      </c>
      <c r="AO262">
        <v>7.8923143390000003</v>
      </c>
      <c r="AP262">
        <v>8.0640912809999996</v>
      </c>
      <c r="AQ262">
        <v>8.2467370800000008</v>
      </c>
      <c r="AR262">
        <v>8.4391275050000001</v>
      </c>
      <c r="AS262">
        <v>8.2339503890000003</v>
      </c>
      <c r="AT262">
        <v>8.0359657200000001</v>
      </c>
      <c r="AU262">
        <v>7.8446720790000004</v>
      </c>
      <c r="AV262">
        <v>7.6593573150000003</v>
      </c>
      <c r="AW262">
        <v>7.4816182070000004</v>
      </c>
    </row>
    <row r="263" spans="2:49" x14ac:dyDescent="0.25">
      <c r="B263" t="s">
        <v>334</v>
      </c>
      <c r="C263">
        <v>1.1905732046364299</v>
      </c>
      <c r="D263">
        <v>1.2096882425386799</v>
      </c>
      <c r="E263">
        <v>1.232138969</v>
      </c>
      <c r="F263">
        <v>1.238886113</v>
      </c>
      <c r="G263">
        <v>1.1448556059999999</v>
      </c>
      <c r="H263">
        <v>0.9287623478</v>
      </c>
      <c r="I263">
        <v>1.012374753</v>
      </c>
      <c r="J263">
        <v>1.0367333219999999</v>
      </c>
      <c r="K263">
        <v>0.98057942949999999</v>
      </c>
      <c r="L263">
        <v>0.97793255670000001</v>
      </c>
      <c r="M263">
        <v>0.98439747850000003</v>
      </c>
      <c r="N263">
        <v>0.99420088409999996</v>
      </c>
      <c r="O263">
        <v>0.94034024910000003</v>
      </c>
      <c r="P263">
        <v>0.9567643817</v>
      </c>
      <c r="Q263">
        <v>0.93796486759999997</v>
      </c>
      <c r="R263">
        <v>0.88962403339999996</v>
      </c>
      <c r="S263">
        <v>0.86351858130000003</v>
      </c>
      <c r="T263">
        <v>0.87619859180000004</v>
      </c>
      <c r="U263">
        <v>0.87869862789999997</v>
      </c>
      <c r="V263">
        <v>0.89615565890000004</v>
      </c>
      <c r="W263">
        <v>0.89074893050000004</v>
      </c>
      <c r="X263">
        <v>0.88046247079999995</v>
      </c>
      <c r="Y263">
        <v>0.87065758869999998</v>
      </c>
      <c r="Z263">
        <v>0.86928026690000004</v>
      </c>
      <c r="AA263">
        <v>0.87026369439999995</v>
      </c>
      <c r="AB263">
        <v>0.8714615725</v>
      </c>
      <c r="AC263">
        <v>0.87386457169999998</v>
      </c>
      <c r="AD263">
        <v>0.87517935629999999</v>
      </c>
      <c r="AE263">
        <v>0.8776172606</v>
      </c>
      <c r="AF263">
        <v>0.88031668969999999</v>
      </c>
      <c r="AG263">
        <v>0.88295933940000004</v>
      </c>
      <c r="AH263">
        <v>0.88681920520000002</v>
      </c>
      <c r="AI263">
        <v>0.89246172469999996</v>
      </c>
      <c r="AJ263">
        <v>0.89744438810000005</v>
      </c>
      <c r="AK263">
        <v>0.90225156220000002</v>
      </c>
      <c r="AL263">
        <v>0.90686691669999997</v>
      </c>
      <c r="AM263" s="39">
        <v>0.91067376850000004</v>
      </c>
      <c r="AN263" s="39">
        <v>0.91457303980000004</v>
      </c>
      <c r="AO263" s="39">
        <v>0.91875482090000005</v>
      </c>
      <c r="AP263" s="39">
        <v>0.92182720730000001</v>
      </c>
      <c r="AQ263" s="39">
        <v>0.92484077399999998</v>
      </c>
      <c r="AR263" s="39">
        <v>0.92695682960000003</v>
      </c>
      <c r="AS263" s="39">
        <v>0.92860905490000001</v>
      </c>
      <c r="AT263" s="39">
        <v>0.93064985410000001</v>
      </c>
      <c r="AU263" s="39">
        <v>0.93259438439999998</v>
      </c>
      <c r="AV263">
        <v>0.934257895</v>
      </c>
      <c r="AW263">
        <v>0.93586793079999997</v>
      </c>
    </row>
    <row r="264" spans="2:49" x14ac:dyDescent="0.25">
      <c r="B264" t="s">
        <v>335</v>
      </c>
      <c r="C264">
        <v>1.7112081308179601</v>
      </c>
      <c r="D264">
        <v>1.7386821308642</v>
      </c>
      <c r="E264">
        <v>1.7669981939999999</v>
      </c>
      <c r="F264">
        <v>1.7890882180000001</v>
      </c>
      <c r="G264">
        <v>1.807217267</v>
      </c>
      <c r="H264">
        <v>1.699833854</v>
      </c>
      <c r="I264">
        <v>1.775416683</v>
      </c>
      <c r="J264">
        <v>1.806897746</v>
      </c>
      <c r="K264">
        <v>1.7878774260000001</v>
      </c>
      <c r="L264">
        <v>1.7991383860000001</v>
      </c>
      <c r="M264">
        <v>1.818569162</v>
      </c>
      <c r="N264">
        <v>1.8954178779999999</v>
      </c>
      <c r="O264">
        <v>1.893711009</v>
      </c>
      <c r="P264">
        <v>1.898009327</v>
      </c>
      <c r="Q264">
        <v>1.8732817319999999</v>
      </c>
      <c r="R264">
        <v>1.8933191840000001</v>
      </c>
      <c r="S264">
        <v>1.875702033</v>
      </c>
      <c r="T264">
        <v>1.8798128350000001</v>
      </c>
      <c r="U264">
        <v>1.9045354729999999</v>
      </c>
      <c r="V264">
        <v>1.939717911</v>
      </c>
      <c r="W264">
        <v>1.9692074530000001</v>
      </c>
      <c r="X264">
        <v>1.9844690570000001</v>
      </c>
      <c r="Y264">
        <v>1.999614687</v>
      </c>
      <c r="Z264">
        <v>2.0160467999999998</v>
      </c>
      <c r="AA264">
        <v>2.0344582849999999</v>
      </c>
      <c r="AB264">
        <v>2.0553092749999999</v>
      </c>
      <c r="AC264">
        <v>2.089251661</v>
      </c>
      <c r="AD264">
        <v>2.1014354100000001</v>
      </c>
      <c r="AE264">
        <v>2.1175156450000001</v>
      </c>
      <c r="AF264">
        <v>2.1367734989999998</v>
      </c>
      <c r="AG264">
        <v>2.15936862</v>
      </c>
      <c r="AH264">
        <v>2.1852671410000002</v>
      </c>
      <c r="AI264">
        <v>2.214098667</v>
      </c>
      <c r="AJ264">
        <v>2.2456567280000002</v>
      </c>
      <c r="AK264">
        <v>2.2780346800000002</v>
      </c>
      <c r="AL264">
        <v>2.3118263460000001</v>
      </c>
      <c r="AM264">
        <v>2.3460969199999999</v>
      </c>
      <c r="AN264">
        <v>2.3804584150000001</v>
      </c>
      <c r="AO264">
        <v>2.4161080369999999</v>
      </c>
      <c r="AP264">
        <v>2.4514946599999998</v>
      </c>
      <c r="AQ264">
        <v>2.487092987</v>
      </c>
      <c r="AR264">
        <v>2.5233659369999999</v>
      </c>
      <c r="AS264">
        <v>2.5581798519999999</v>
      </c>
      <c r="AT264">
        <v>2.5929792979999999</v>
      </c>
      <c r="AU264">
        <v>2.6282754110000002</v>
      </c>
      <c r="AV264">
        <v>2.6639414019999998</v>
      </c>
      <c r="AW264">
        <v>2.700038894</v>
      </c>
    </row>
    <row r="265" spans="2:49" x14ac:dyDescent="0.25">
      <c r="B265" t="s">
        <v>336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</row>
    <row r="266" spans="2:49" x14ac:dyDescent="0.25">
      <c r="B266" t="s">
        <v>337</v>
      </c>
      <c r="C266">
        <v>1.5692072404564801</v>
      </c>
      <c r="D266">
        <v>1.5944013702764701</v>
      </c>
      <c r="E266">
        <v>1.625707523</v>
      </c>
      <c r="F266">
        <v>1.6520727200000001</v>
      </c>
      <c r="G266">
        <v>1.6776837579999999</v>
      </c>
      <c r="H266">
        <v>1.5628185750000001</v>
      </c>
      <c r="I266">
        <v>1.6529829330000001</v>
      </c>
      <c r="J266">
        <v>1.7084728179999999</v>
      </c>
      <c r="K266">
        <v>1.700683934</v>
      </c>
      <c r="L266">
        <v>1.7127913589999999</v>
      </c>
      <c r="M266">
        <v>1.7344790160000001</v>
      </c>
      <c r="N266">
        <v>1.787273307</v>
      </c>
      <c r="O266">
        <v>1.8515754010000001</v>
      </c>
      <c r="P266">
        <v>1.9484512570000001</v>
      </c>
      <c r="Q266">
        <v>2.003315733</v>
      </c>
      <c r="R266">
        <v>2.0845284180000001</v>
      </c>
      <c r="S266">
        <v>2.1263836719999998</v>
      </c>
      <c r="T266">
        <v>2.1320993760000002</v>
      </c>
      <c r="U266">
        <v>2.1517736080000001</v>
      </c>
      <c r="V266">
        <v>2.1936563250000001</v>
      </c>
      <c r="W266">
        <v>2.1182243180000002</v>
      </c>
      <c r="X266">
        <v>2.0556537850000001</v>
      </c>
      <c r="Y266">
        <v>2.0184416180000002</v>
      </c>
      <c r="Z266">
        <v>2.0029405929999999</v>
      </c>
      <c r="AA266">
        <v>1.998643932</v>
      </c>
      <c r="AB266">
        <v>2.0024372010000002</v>
      </c>
      <c r="AC266">
        <v>2.0227371729999999</v>
      </c>
      <c r="AD266">
        <v>2.0320834460000001</v>
      </c>
      <c r="AE266">
        <v>2.0470350060000002</v>
      </c>
      <c r="AF266">
        <v>2.065366123</v>
      </c>
      <c r="AG266">
        <v>2.0866855489999998</v>
      </c>
      <c r="AH266">
        <v>2.1112535800000001</v>
      </c>
      <c r="AI266">
        <v>2.1386165930000001</v>
      </c>
      <c r="AJ266">
        <v>2.1685012659999998</v>
      </c>
      <c r="AK266">
        <v>2.1991208310000001</v>
      </c>
      <c r="AL266">
        <v>2.2296213109999998</v>
      </c>
      <c r="AM266">
        <v>2.2603574860000002</v>
      </c>
      <c r="AN266">
        <v>2.2937813039999999</v>
      </c>
      <c r="AO266">
        <v>2.3285518230000002</v>
      </c>
      <c r="AP266">
        <v>2.362872973</v>
      </c>
      <c r="AQ266">
        <v>2.397368234</v>
      </c>
      <c r="AR266">
        <v>2.4325026950000002</v>
      </c>
      <c r="AS266">
        <v>2.4646428330000001</v>
      </c>
      <c r="AT266">
        <v>2.4969510009999998</v>
      </c>
      <c r="AU266" s="39">
        <v>2.5298119030000001</v>
      </c>
      <c r="AV266">
        <v>2.5630310270000001</v>
      </c>
      <c r="AW266">
        <v>2.5966750709999999</v>
      </c>
    </row>
    <row r="267" spans="2:49" x14ac:dyDescent="0.25">
      <c r="B267" t="s">
        <v>338</v>
      </c>
      <c r="C267">
        <v>0.99151022292981705</v>
      </c>
      <c r="D267">
        <v>0.99151022292981705</v>
      </c>
      <c r="E267">
        <v>0.9919034457</v>
      </c>
      <c r="F267">
        <v>0.98792096760000003</v>
      </c>
      <c r="G267">
        <v>0.98397025959999995</v>
      </c>
      <c r="H267">
        <v>0.98000795500000004</v>
      </c>
      <c r="I267">
        <v>0.97610686229999999</v>
      </c>
      <c r="J267">
        <v>0.97221838540000005</v>
      </c>
      <c r="K267">
        <v>0.96833652800000003</v>
      </c>
      <c r="L267">
        <v>0.96448219130000001</v>
      </c>
      <c r="M267">
        <v>0.96063486340000004</v>
      </c>
      <c r="N267">
        <v>0.9568291377</v>
      </c>
      <c r="O267">
        <v>0.95615788400000001</v>
      </c>
      <c r="P267">
        <v>0.95544970360000003</v>
      </c>
      <c r="Q267">
        <v>0.95468875249999996</v>
      </c>
      <c r="R267">
        <v>0.95388715670000002</v>
      </c>
      <c r="S267">
        <v>0.95300836779999998</v>
      </c>
      <c r="T267">
        <v>0.95054091890000003</v>
      </c>
      <c r="U267">
        <v>0.94817958300000005</v>
      </c>
      <c r="V267">
        <v>0.94591411179999996</v>
      </c>
      <c r="W267">
        <v>0.93999762679999999</v>
      </c>
      <c r="X267">
        <v>0.93370863260000003</v>
      </c>
      <c r="Y267">
        <v>0.9310190263</v>
      </c>
      <c r="Z267">
        <v>0.92808952180000004</v>
      </c>
      <c r="AA267">
        <v>0.9248898311</v>
      </c>
      <c r="AB267">
        <v>0.92145670909999999</v>
      </c>
      <c r="AC267">
        <v>0.91769901389999997</v>
      </c>
      <c r="AD267">
        <v>0.90071156460000001</v>
      </c>
      <c r="AE267">
        <v>0.88204390060000004</v>
      </c>
      <c r="AF267">
        <v>0.86143356039999996</v>
      </c>
      <c r="AG267">
        <v>0.83882393870000005</v>
      </c>
      <c r="AH267">
        <v>0.81357931579999998</v>
      </c>
      <c r="AI267">
        <v>0.78300101030000002</v>
      </c>
      <c r="AJ267">
        <v>0.74840730710000003</v>
      </c>
      <c r="AK267">
        <v>0.70893649000000003</v>
      </c>
      <c r="AL267">
        <v>0.66474725850000005</v>
      </c>
      <c r="AM267">
        <v>0.61323215949999998</v>
      </c>
      <c r="AN267">
        <v>0.58893496540000001</v>
      </c>
      <c r="AO267">
        <v>0.56124000689999998</v>
      </c>
      <c r="AP267">
        <v>0.52942493400000001</v>
      </c>
      <c r="AQ267">
        <v>0.49238551409999998</v>
      </c>
      <c r="AR267">
        <v>0.44877804360000001</v>
      </c>
      <c r="AS267">
        <v>0.44443214019999999</v>
      </c>
      <c r="AT267">
        <v>0.43942077509999999</v>
      </c>
      <c r="AU267">
        <v>0.43361412799999999</v>
      </c>
      <c r="AV267">
        <v>0.42684710650000002</v>
      </c>
      <c r="AW267">
        <v>0.41888212390000001</v>
      </c>
    </row>
    <row r="268" spans="2:49" x14ac:dyDescent="0.25">
      <c r="B268" t="s">
        <v>339</v>
      </c>
      <c r="C268">
        <v>8.4897770701825997E-3</v>
      </c>
      <c r="D268">
        <v>8.4897770701825997E-3</v>
      </c>
      <c r="E268">
        <v>8.0965543399999906E-3</v>
      </c>
      <c r="F268">
        <v>1.20790325E-2</v>
      </c>
      <c r="G268">
        <v>1.6029740800000001E-2</v>
      </c>
      <c r="H268">
        <v>1.9992044600000002E-2</v>
      </c>
      <c r="I268">
        <v>2.3893763799999999E-2</v>
      </c>
      <c r="J268">
        <v>2.7781614E-2</v>
      </c>
      <c r="K268">
        <v>3.1663471499999998E-2</v>
      </c>
      <c r="L268">
        <v>3.55178087E-2</v>
      </c>
      <c r="M268">
        <v>3.9365136699999997E-2</v>
      </c>
      <c r="N268">
        <v>4.3170863099999998E-2</v>
      </c>
      <c r="O268">
        <v>4.3842113699999997E-2</v>
      </c>
      <c r="P268">
        <v>4.4550288200000003E-2</v>
      </c>
      <c r="Q268">
        <v>4.53112471E-2</v>
      </c>
      <c r="R268">
        <v>4.6112842699999997E-2</v>
      </c>
      <c r="S268">
        <v>4.6991627600000002E-2</v>
      </c>
      <c r="T268">
        <v>4.9459080799999999E-2</v>
      </c>
      <c r="U268">
        <v>5.1820402299999999E-2</v>
      </c>
      <c r="V268">
        <v>5.4085861300000003E-2</v>
      </c>
      <c r="W268">
        <v>6.00023747E-2</v>
      </c>
      <c r="X268">
        <v>6.6291367599999998E-2</v>
      </c>
      <c r="Y268">
        <v>6.8980974099999995E-2</v>
      </c>
      <c r="Z268">
        <v>7.1910478200000003E-2</v>
      </c>
      <c r="AA268">
        <v>7.51101671E-2</v>
      </c>
      <c r="AB268">
        <v>7.8543290599999996E-2</v>
      </c>
      <c r="AC268">
        <v>8.2300986100000001E-2</v>
      </c>
      <c r="AD268">
        <v>9.9288435499999994E-2</v>
      </c>
      <c r="AE268">
        <v>0.11795609949999999</v>
      </c>
      <c r="AF268">
        <v>0.13856644679999999</v>
      </c>
      <c r="AG268">
        <v>0.16117606679999999</v>
      </c>
      <c r="AH268">
        <v>0.18642068419999999</v>
      </c>
      <c r="AI268">
        <v>0.21699898979999999</v>
      </c>
      <c r="AJ268">
        <v>0.25159269299999998</v>
      </c>
      <c r="AK268">
        <v>0.29106351009999998</v>
      </c>
      <c r="AL268">
        <v>0.33525274150000001</v>
      </c>
      <c r="AM268">
        <v>0.38676784040000001</v>
      </c>
      <c r="AN268">
        <v>0.4110650347</v>
      </c>
      <c r="AO268">
        <v>0.43875999329999998</v>
      </c>
      <c r="AP268">
        <v>0.4705750668</v>
      </c>
      <c r="AQ268">
        <v>0.50761448570000001</v>
      </c>
      <c r="AR268">
        <v>0.55122195600000001</v>
      </c>
      <c r="AS268">
        <v>0.55556785939999997</v>
      </c>
      <c r="AT268">
        <v>0.56057922439999996</v>
      </c>
      <c r="AU268">
        <v>0.56638587149999997</v>
      </c>
      <c r="AV268">
        <v>0.57315289290000004</v>
      </c>
      <c r="AW268">
        <v>0.58111787589999997</v>
      </c>
    </row>
    <row r="269" spans="2:49" x14ac:dyDescent="0.25">
      <c r="B269" t="s">
        <v>340</v>
      </c>
      <c r="C269">
        <v>0.79896379760487002</v>
      </c>
      <c r="D269">
        <v>0.79896379760486902</v>
      </c>
      <c r="E269">
        <v>0.79896379760000003</v>
      </c>
      <c r="F269">
        <v>0.79638418180000003</v>
      </c>
      <c r="G269">
        <v>0.79381289529999999</v>
      </c>
      <c r="H269">
        <v>0.79124990760000002</v>
      </c>
      <c r="I269">
        <v>0.78869464840000003</v>
      </c>
      <c r="J269">
        <v>0.78614873799999996</v>
      </c>
      <c r="K269">
        <v>0.78361049739999999</v>
      </c>
      <c r="L269">
        <v>0.78108045280000005</v>
      </c>
      <c r="M269">
        <v>0.77855857689999997</v>
      </c>
      <c r="N269">
        <v>0.77604484259999995</v>
      </c>
      <c r="O269">
        <v>0.76081534610000001</v>
      </c>
      <c r="P269">
        <v>0.74503572149999997</v>
      </c>
      <c r="Q269">
        <v>0.7286756056</v>
      </c>
      <c r="R269">
        <v>0.71170237979999995</v>
      </c>
      <c r="S269">
        <v>0.69408091360000002</v>
      </c>
      <c r="T269">
        <v>0.68549363870000002</v>
      </c>
      <c r="U269">
        <v>0.67684743800000002</v>
      </c>
      <c r="V269">
        <v>0.66814170159999997</v>
      </c>
      <c r="W269">
        <v>0.66600333789999999</v>
      </c>
      <c r="X269">
        <v>0.6640948015</v>
      </c>
      <c r="Y269">
        <v>0.65512635630000005</v>
      </c>
      <c r="Z269">
        <v>0.64638429330000002</v>
      </c>
      <c r="AA269">
        <v>0.6378601451</v>
      </c>
      <c r="AB269">
        <v>0.62939878490000001</v>
      </c>
      <c r="AC269">
        <v>0.62114143580000003</v>
      </c>
      <c r="AD269">
        <v>0.60190844489999995</v>
      </c>
      <c r="AE269">
        <v>0.58312393809999996</v>
      </c>
      <c r="AF269">
        <v>0.56477240890000002</v>
      </c>
      <c r="AG269">
        <v>0.54832211500000005</v>
      </c>
      <c r="AH269">
        <v>0.53224115780000003</v>
      </c>
      <c r="AI269">
        <v>0.52351370009999998</v>
      </c>
      <c r="AJ269">
        <v>0.51499765890000004</v>
      </c>
      <c r="AK269">
        <v>0.50668544419999995</v>
      </c>
      <c r="AL269">
        <v>0.49889154870000002</v>
      </c>
      <c r="AM269">
        <v>0.4912784744</v>
      </c>
      <c r="AN269">
        <v>0.47268430929999999</v>
      </c>
      <c r="AO269">
        <v>0.4544022143</v>
      </c>
      <c r="AP269">
        <v>0.43642439869999999</v>
      </c>
      <c r="AQ269">
        <v>0.41874332869999997</v>
      </c>
      <c r="AR269">
        <v>0.40135171720000001</v>
      </c>
      <c r="AS269">
        <v>0.38480951270000002</v>
      </c>
      <c r="AT269">
        <v>0.36843088210000002</v>
      </c>
      <c r="AU269">
        <v>0.35221341119999999</v>
      </c>
      <c r="AV269">
        <v>0.3361547332</v>
      </c>
      <c r="AW269">
        <v>0.3202525269</v>
      </c>
    </row>
    <row r="270" spans="2:49" x14ac:dyDescent="0.25">
      <c r="B270" t="s">
        <v>341</v>
      </c>
      <c r="C270">
        <v>1.02537481030392E-2</v>
      </c>
      <c r="D270">
        <v>1.02537481030392E-2</v>
      </c>
      <c r="E270">
        <v>1.02537481E-2</v>
      </c>
      <c r="F270">
        <v>9.6835705400000003E-3</v>
      </c>
      <c r="G270">
        <v>9.1450986999999997E-3</v>
      </c>
      <c r="H270">
        <v>8.6365694900000008E-3</v>
      </c>
      <c r="I270">
        <v>8.1563122799999995E-3</v>
      </c>
      <c r="J270">
        <v>7.7027716799999996E-3</v>
      </c>
      <c r="K270">
        <v>7.2744456000000002E-3</v>
      </c>
      <c r="L270">
        <v>6.8699373499999999E-3</v>
      </c>
      <c r="M270">
        <v>6.4879224899999999E-3</v>
      </c>
      <c r="N270">
        <v>6.1271502300000004E-3</v>
      </c>
      <c r="O270">
        <v>5.5291148999999998E-3</v>
      </c>
      <c r="P270">
        <v>4.9094770199999997E-3</v>
      </c>
      <c r="Q270">
        <v>4.2670445299999998E-3</v>
      </c>
      <c r="R270">
        <v>3.6005361200000001E-3</v>
      </c>
      <c r="S270">
        <v>2.9085724800000001E-3</v>
      </c>
      <c r="T270">
        <v>3.81905458E-3</v>
      </c>
      <c r="U270">
        <v>4.7357845600000002E-3</v>
      </c>
      <c r="V270">
        <v>5.6588269600000001E-3</v>
      </c>
      <c r="W270">
        <v>3.8630292900000002E-3</v>
      </c>
      <c r="X270">
        <v>2.2602297900000002E-3</v>
      </c>
      <c r="Y270">
        <v>1.7182461200000001E-3</v>
      </c>
      <c r="Z270">
        <v>1.1899431099999999E-3</v>
      </c>
      <c r="AA270">
        <v>6.74809234E-4</v>
      </c>
      <c r="AB270">
        <v>5.9819738399999995E-4</v>
      </c>
      <c r="AC270">
        <v>5.2343271699999995E-4</v>
      </c>
      <c r="AD270">
        <v>5.1095591800000002E-4</v>
      </c>
      <c r="AE270">
        <v>4.9877005900000003E-4</v>
      </c>
      <c r="AF270">
        <v>4.8686508100000001E-4</v>
      </c>
      <c r="AG270">
        <v>4.7618876499999998E-4</v>
      </c>
      <c r="AH270">
        <v>4.65752149E-4</v>
      </c>
      <c r="AI270" s="39">
        <v>3.73581352E-4</v>
      </c>
      <c r="AJ270" s="39">
        <v>2.8364332800000003E-4</v>
      </c>
      <c r="AK270" s="39">
        <v>1.9585791800000001E-4</v>
      </c>
      <c r="AL270" s="39">
        <v>2.08324792E-4</v>
      </c>
      <c r="AM270" s="39">
        <v>2.2050242899999999E-4</v>
      </c>
      <c r="AN270" s="39">
        <v>2.1180547200000001E-4</v>
      </c>
      <c r="AO270" s="39">
        <v>2.03254479E-4</v>
      </c>
      <c r="AP270" s="39">
        <v>1.94845805E-4</v>
      </c>
      <c r="AQ270" s="39">
        <v>1.8657592500000001E-4</v>
      </c>
      <c r="AR270" s="39">
        <v>1.78441433E-4</v>
      </c>
      <c r="AS270" s="39">
        <v>1.7755481E-4</v>
      </c>
      <c r="AT270" s="39">
        <v>1.76676954E-4</v>
      </c>
      <c r="AU270" s="39">
        <v>1.7580773600000001E-4</v>
      </c>
      <c r="AV270" s="39">
        <v>1.74947028E-4</v>
      </c>
      <c r="AW270" s="39">
        <v>1.7409470800000001E-4</v>
      </c>
    </row>
    <row r="271" spans="2:49" x14ac:dyDescent="0.25">
      <c r="B271" t="s">
        <v>342</v>
      </c>
      <c r="C271">
        <v>4.0949078402655603E-2</v>
      </c>
      <c r="D271">
        <v>4.0949078402655603E-2</v>
      </c>
      <c r="E271">
        <v>4.0949078399999998E-2</v>
      </c>
      <c r="F271">
        <v>4.08762326E-2</v>
      </c>
      <c r="G271">
        <v>4.0803516400000003E-2</v>
      </c>
      <c r="H271">
        <v>4.0730929300000003E-2</v>
      </c>
      <c r="I271">
        <v>4.06584433E-2</v>
      </c>
      <c r="J271">
        <v>4.0586142800000002E-2</v>
      </c>
      <c r="K271">
        <v>4.0513942599999998E-2</v>
      </c>
      <c r="L271">
        <v>4.0441870900000003E-2</v>
      </c>
      <c r="M271">
        <v>4.0369927299999997E-2</v>
      </c>
      <c r="N271">
        <v>4.02981117E-2</v>
      </c>
      <c r="O271">
        <v>4.4246306200000002E-2</v>
      </c>
      <c r="P271">
        <v>4.8337119400000003E-2</v>
      </c>
      <c r="Q271">
        <v>5.25784205E-2</v>
      </c>
      <c r="R271">
        <v>5.6978670100000003E-2</v>
      </c>
      <c r="S271">
        <v>6.1546973400000003E-2</v>
      </c>
      <c r="T271">
        <v>5.8760594999999999E-2</v>
      </c>
      <c r="U271">
        <v>5.5955096199999999E-2</v>
      </c>
      <c r="V271">
        <v>5.3130279400000001E-2</v>
      </c>
      <c r="W271">
        <v>5.6183854599999999E-2</v>
      </c>
      <c r="X271">
        <v>5.8909256799999997E-2</v>
      </c>
      <c r="Y271">
        <v>5.6639143699999998E-2</v>
      </c>
      <c r="Z271">
        <v>5.4426332700000003E-2</v>
      </c>
      <c r="AA271">
        <v>5.2268680800000002E-2</v>
      </c>
      <c r="AB271">
        <v>5.0196504000000003E-2</v>
      </c>
      <c r="AC271">
        <v>4.8174289299999999E-2</v>
      </c>
      <c r="AD271">
        <v>4.5049255199999999E-2</v>
      </c>
      <c r="AE271">
        <v>4.1997092E-2</v>
      </c>
      <c r="AF271">
        <v>3.9015280399999998E-2</v>
      </c>
      <c r="AG271">
        <v>3.6346307600000002E-2</v>
      </c>
      <c r="AH271">
        <v>3.3737257999999999E-2</v>
      </c>
      <c r="AI271">
        <v>2.7298170300000001E-2</v>
      </c>
      <c r="AJ271">
        <v>2.1015064999999999E-2</v>
      </c>
      <c r="AK271">
        <v>1.4882342099999999E-2</v>
      </c>
      <c r="AL271">
        <v>9.1889673799999995E-3</v>
      </c>
      <c r="AM271">
        <v>3.62768116E-3</v>
      </c>
      <c r="AN271">
        <v>3.8553466799999998E-3</v>
      </c>
      <c r="AO271">
        <v>4.0791912400000001E-3</v>
      </c>
      <c r="AP271">
        <v>4.2993102199999998E-3</v>
      </c>
      <c r="AQ271">
        <v>4.5157958800000004E-3</v>
      </c>
      <c r="AR271">
        <v>4.7287374200000003E-3</v>
      </c>
      <c r="AS271">
        <v>4.8924664499999998E-3</v>
      </c>
      <c r="AT271">
        <v>5.0545764799999997E-3</v>
      </c>
      <c r="AU271">
        <v>5.2150914E-3</v>
      </c>
      <c r="AV271">
        <v>5.3740346499999998E-3</v>
      </c>
      <c r="AW271">
        <v>5.5314292000000001E-3</v>
      </c>
    </row>
    <row r="272" spans="2:49" x14ac:dyDescent="0.25">
      <c r="B272" t="s">
        <v>343</v>
      </c>
      <c r="C272">
        <v>4.0858446639591303E-2</v>
      </c>
      <c r="D272">
        <v>4.0858446639591303E-2</v>
      </c>
      <c r="E272">
        <v>4.0858446600000001E-2</v>
      </c>
      <c r="F272">
        <v>3.7501973199999997E-2</v>
      </c>
      <c r="G272">
        <v>3.44212302E-2</v>
      </c>
      <c r="H272">
        <v>3.1593566400000002E-2</v>
      </c>
      <c r="I272">
        <v>2.8998171900000001E-2</v>
      </c>
      <c r="J272">
        <v>2.6616024700000001E-2</v>
      </c>
      <c r="K272">
        <v>2.4429549500000002E-2</v>
      </c>
      <c r="L272">
        <v>2.2422690700000001E-2</v>
      </c>
      <c r="M272">
        <v>2.0580693000000001E-2</v>
      </c>
      <c r="N272">
        <v>1.88900132E-2</v>
      </c>
      <c r="O272">
        <v>1.6445307199999998E-2</v>
      </c>
      <c r="P272">
        <v>1.3912292200000001E-2</v>
      </c>
      <c r="Q272">
        <v>1.12860953E-2</v>
      </c>
      <c r="R272">
        <v>8.5614784100000001E-3</v>
      </c>
      <c r="S272">
        <v>5.7328033000000004E-3</v>
      </c>
      <c r="T272">
        <v>5.47000478E-3</v>
      </c>
      <c r="U272">
        <v>5.2054029000000003E-3</v>
      </c>
      <c r="V272">
        <v>4.9389790300000003E-3</v>
      </c>
      <c r="W272">
        <v>3.0357646E-3</v>
      </c>
      <c r="X272">
        <v>1.3370926400000001E-3</v>
      </c>
      <c r="Y272">
        <v>1.02666791E-3</v>
      </c>
      <c r="Z272">
        <v>7.2407886999999995E-4</v>
      </c>
      <c r="AA272">
        <v>4.29032539E-4</v>
      </c>
      <c r="AB272">
        <v>4.2379723399999999E-4</v>
      </c>
      <c r="AC272">
        <v>4.1868815799999998E-4</v>
      </c>
      <c r="AD272">
        <v>3.4479082200000001E-4</v>
      </c>
      <c r="AE272">
        <v>2.7261665900000002E-4</v>
      </c>
      <c r="AF272">
        <v>2.0210609100000001E-4</v>
      </c>
      <c r="AG272">
        <v>1.9981150099999999E-4</v>
      </c>
      <c r="AH272">
        <v>1.9756842699999999E-4</v>
      </c>
      <c r="AI272">
        <v>1.9514610799999999E-4</v>
      </c>
      <c r="AJ272">
        <v>1.9278246900000001E-4</v>
      </c>
      <c r="AK272">
        <v>1.90475402E-4</v>
      </c>
      <c r="AL272">
        <v>1.88239918E-4</v>
      </c>
      <c r="AM272">
        <v>1.8605629800000001E-4</v>
      </c>
      <c r="AN272">
        <v>1.8448177199999999E-4</v>
      </c>
      <c r="AO272">
        <v>1.8293367100000001E-4</v>
      </c>
      <c r="AP272">
        <v>1.8141133599999999E-4</v>
      </c>
      <c r="AQ272">
        <v>1.7991412900000001E-4</v>
      </c>
      <c r="AR272">
        <v>1.78441433E-4</v>
      </c>
      <c r="AS272">
        <v>1.7755481E-4</v>
      </c>
      <c r="AT272" s="39">
        <v>1.76676954E-4</v>
      </c>
      <c r="AU272" s="39">
        <v>1.7580773600000001E-4</v>
      </c>
      <c r="AV272" s="39">
        <v>1.74947028E-4</v>
      </c>
      <c r="AW272" s="39">
        <v>1.7409470800000001E-4</v>
      </c>
    </row>
    <row r="273" spans="2:49" x14ac:dyDescent="0.25">
      <c r="B273" t="s">
        <v>344</v>
      </c>
      <c r="C273">
        <v>8.2546962733871607E-3</v>
      </c>
      <c r="D273">
        <v>8.2546962733871607E-3</v>
      </c>
      <c r="E273">
        <v>8.2546962700000004E-3</v>
      </c>
      <c r="F273">
        <v>1.7081659799999999E-2</v>
      </c>
      <c r="G273">
        <v>2.5176000800000001E-2</v>
      </c>
      <c r="H273">
        <v>3.2493267499999999E-2</v>
      </c>
      <c r="I273">
        <v>3.8964677500000003E-2</v>
      </c>
      <c r="J273">
        <v>4.4490436000000001E-2</v>
      </c>
      <c r="K273">
        <v>4.8930383399999999E-2</v>
      </c>
      <c r="L273">
        <v>5.2092196299999997E-2</v>
      </c>
      <c r="M273">
        <v>5.37152194E-2</v>
      </c>
      <c r="N273">
        <v>5.3449221200000001E-2</v>
      </c>
      <c r="O273">
        <v>5.9116927700000002E-2</v>
      </c>
      <c r="P273">
        <v>6.4989366100000001E-2</v>
      </c>
      <c r="Q273">
        <v>7.1077832699999996E-2</v>
      </c>
      <c r="R273">
        <v>7.7394472800000003E-2</v>
      </c>
      <c r="S273">
        <v>8.39523571E-2</v>
      </c>
      <c r="T273">
        <v>8.81391225E-2</v>
      </c>
      <c r="U273">
        <v>9.2354618200000002E-2</v>
      </c>
      <c r="V273">
        <v>9.6599141099999994E-2</v>
      </c>
      <c r="W273">
        <v>9.8516192700000005E-2</v>
      </c>
      <c r="X273">
        <v>0.1002272167</v>
      </c>
      <c r="Y273">
        <v>0.105868534</v>
      </c>
      <c r="Z273">
        <v>0.1113674544</v>
      </c>
      <c r="AA273">
        <v>0.1167293018</v>
      </c>
      <c r="AB273">
        <v>0.121714207</v>
      </c>
      <c r="AC273">
        <v>0.12657892139999999</v>
      </c>
      <c r="AD273">
        <v>0.14072423549999999</v>
      </c>
      <c r="AE273">
        <v>0.15453970249999999</v>
      </c>
      <c r="AF273">
        <v>0.16803672659999999</v>
      </c>
      <c r="AG273">
        <v>0.18048812920000001</v>
      </c>
      <c r="AH273">
        <v>0.1926599732</v>
      </c>
      <c r="AI273">
        <v>0.20455367099999999</v>
      </c>
      <c r="AJ273">
        <v>0.21615925229999999</v>
      </c>
      <c r="AK273">
        <v>0.22748706090000001</v>
      </c>
      <c r="AL273">
        <v>0.2379384169</v>
      </c>
      <c r="AM273">
        <v>0.24814729739999999</v>
      </c>
      <c r="AN273">
        <v>0.2610910622</v>
      </c>
      <c r="AO273">
        <v>0.2738175887</v>
      </c>
      <c r="AP273">
        <v>0.28633230040000002</v>
      </c>
      <c r="AQ273">
        <v>0.29864044159999997</v>
      </c>
      <c r="AR273">
        <v>0.31074708499999998</v>
      </c>
      <c r="AS273">
        <v>0.32349417860000002</v>
      </c>
      <c r="AT273">
        <v>0.3361152254</v>
      </c>
      <c r="AU273">
        <v>0.34861208570000002</v>
      </c>
      <c r="AV273">
        <v>0.36098658340000001</v>
      </c>
      <c r="AW273">
        <v>0.373240507</v>
      </c>
    </row>
    <row r="274" spans="2:49" x14ac:dyDescent="0.25">
      <c r="B274" t="s">
        <v>345</v>
      </c>
      <c r="C274">
        <v>1.85730666151211E-3</v>
      </c>
      <c r="D274">
        <v>1.85730666151211E-3</v>
      </c>
      <c r="E274">
        <v>1.8573066599999999E-3</v>
      </c>
      <c r="F274">
        <v>2.4629865900000002E-3</v>
      </c>
      <c r="G274">
        <v>3.26618272E-3</v>
      </c>
      <c r="H274">
        <v>4.3313063800000003E-3</v>
      </c>
      <c r="I274">
        <v>5.74376989E-3</v>
      </c>
      <c r="J274">
        <v>7.6168563700000002E-3</v>
      </c>
      <c r="K274">
        <v>1.0100763299999999E-2</v>
      </c>
      <c r="L274">
        <v>1.3394688700000001E-2</v>
      </c>
      <c r="M274">
        <v>1.7762784899999998E-2</v>
      </c>
      <c r="N274">
        <v>2.35553459E-2</v>
      </c>
      <c r="O274">
        <v>2.6053133199999998E-2</v>
      </c>
      <c r="P274">
        <v>2.8641146900000001E-2</v>
      </c>
      <c r="Q274">
        <v>3.1324365399999998E-2</v>
      </c>
      <c r="R274">
        <v>3.4108141000000002E-2</v>
      </c>
      <c r="S274">
        <v>3.6998234300000002E-2</v>
      </c>
      <c r="T274">
        <v>3.8309503799999998E-2</v>
      </c>
      <c r="U274">
        <v>3.9629771500000001E-2</v>
      </c>
      <c r="V274">
        <v>4.09591303E-2</v>
      </c>
      <c r="W274">
        <v>4.5104664000000003E-2</v>
      </c>
      <c r="X274">
        <v>4.8804669500000002E-2</v>
      </c>
      <c r="Y274">
        <v>5.7059619800000003E-2</v>
      </c>
      <c r="Z274">
        <v>6.51062003E-2</v>
      </c>
      <c r="AA274">
        <v>7.2952201800000005E-2</v>
      </c>
      <c r="AB274">
        <v>8.0342860799999999E-2</v>
      </c>
      <c r="AC274">
        <v>8.7555323899999996E-2</v>
      </c>
      <c r="AD274">
        <v>9.5459329999999995E-2</v>
      </c>
      <c r="AE274">
        <v>0.1031790268</v>
      </c>
      <c r="AF274">
        <v>0.1107207865</v>
      </c>
      <c r="AG274">
        <v>0.1175910848</v>
      </c>
      <c r="AH274">
        <v>0.1243071311</v>
      </c>
      <c r="AI274">
        <v>0.12893509310000001</v>
      </c>
      <c r="AJ274">
        <v>0.13345094599999999</v>
      </c>
      <c r="AK274">
        <v>0.13785871459999999</v>
      </c>
      <c r="AL274">
        <v>0.1419413665</v>
      </c>
      <c r="AM274">
        <v>0.1459292992</v>
      </c>
      <c r="AN274">
        <v>0.15162442779999999</v>
      </c>
      <c r="AO274">
        <v>0.15722397369999999</v>
      </c>
      <c r="AP274">
        <v>0.16273032309999999</v>
      </c>
      <c r="AQ274">
        <v>0.16814578359999999</v>
      </c>
      <c r="AR274">
        <v>0.17347258709999999</v>
      </c>
      <c r="AS274">
        <v>0.17767761939999999</v>
      </c>
      <c r="AT274">
        <v>0.18184107120000001</v>
      </c>
      <c r="AU274">
        <v>0.18596355610000001</v>
      </c>
      <c r="AV274">
        <v>0.19004567589999999</v>
      </c>
      <c r="AW274">
        <v>0.19408802050000001</v>
      </c>
    </row>
    <row r="275" spans="2:49" x14ac:dyDescent="0.25">
      <c r="B275" t="s">
        <v>346</v>
      </c>
      <c r="C275">
        <v>9.2848272947954696E-2</v>
      </c>
      <c r="D275">
        <v>9.2848272947954599E-2</v>
      </c>
      <c r="E275">
        <v>9.2848272900000001E-2</v>
      </c>
      <c r="F275">
        <v>8.9289128999999995E-2</v>
      </c>
      <c r="G275">
        <v>8.58664175E-2</v>
      </c>
      <c r="H275">
        <v>8.2574908099999997E-2</v>
      </c>
      <c r="I275">
        <v>7.9409516799999996E-2</v>
      </c>
      <c r="J275">
        <v>7.6365572800000003E-2</v>
      </c>
      <c r="K275">
        <v>7.34382586E-2</v>
      </c>
      <c r="L275">
        <v>7.0623156899999998E-2</v>
      </c>
      <c r="M275">
        <v>6.7915966199999997E-2</v>
      </c>
      <c r="N275">
        <v>6.5312549900000003E-2</v>
      </c>
      <c r="O275">
        <v>7.2238232999999999E-2</v>
      </c>
      <c r="P275">
        <v>7.9414089199999996E-2</v>
      </c>
      <c r="Q275">
        <v>8.6853922200000003E-2</v>
      </c>
      <c r="R275">
        <v>9.4572572899999999E-2</v>
      </c>
      <c r="S275">
        <v>0.1025860133</v>
      </c>
      <c r="T275">
        <v>0.10719493450000001</v>
      </c>
      <c r="U275">
        <v>0.11183548309999999</v>
      </c>
      <c r="V275">
        <v>0.11650798549999999</v>
      </c>
      <c r="W275">
        <v>0.111422562</v>
      </c>
      <c r="X275">
        <v>0.1068836817</v>
      </c>
      <c r="Y275">
        <v>0.10566576079999999</v>
      </c>
      <c r="Z275">
        <v>0.1044785828</v>
      </c>
      <c r="AA275">
        <v>0.10332099779999999</v>
      </c>
      <c r="AB275">
        <v>0.1021183978</v>
      </c>
      <c r="AC275">
        <v>0.10094479369999999</v>
      </c>
      <c r="AD275">
        <v>0.1008564004</v>
      </c>
      <c r="AE275">
        <v>0.1007700683</v>
      </c>
      <c r="AF275">
        <v>0.1006857261</v>
      </c>
      <c r="AG275">
        <v>0.10008071</v>
      </c>
      <c r="AH275">
        <v>9.9489276900000007E-2</v>
      </c>
      <c r="AI275">
        <v>9.7538915500000004E-2</v>
      </c>
      <c r="AJ275">
        <v>9.5635800300000004E-2</v>
      </c>
      <c r="AK275">
        <v>9.3778235000000001E-2</v>
      </c>
      <c r="AL275">
        <v>9.2106687100000001E-2</v>
      </c>
      <c r="AM275">
        <v>9.0473919700000002E-2</v>
      </c>
      <c r="AN275">
        <v>9.0195801699999995E-2</v>
      </c>
      <c r="AO275">
        <v>8.9922351400000003E-2</v>
      </c>
      <c r="AP275">
        <v>8.96534524E-2</v>
      </c>
      <c r="AQ275">
        <v>8.9388991799999998E-2</v>
      </c>
      <c r="AR275">
        <v>8.9128860700000007E-2</v>
      </c>
      <c r="AS275">
        <v>8.8476668300000005E-2</v>
      </c>
      <c r="AT275">
        <v>8.7830925000000004E-2</v>
      </c>
      <c r="AU275">
        <v>8.7191535599999995E-2</v>
      </c>
      <c r="AV275">
        <v>8.6558406700000007E-2</v>
      </c>
      <c r="AW275">
        <v>8.59314469E-2</v>
      </c>
    </row>
    <row r="276" spans="2:49" x14ac:dyDescent="0.25">
      <c r="B276" t="s">
        <v>347</v>
      </c>
      <c r="C276">
        <v>6.0146533669896496E-3</v>
      </c>
      <c r="D276">
        <v>6.0146533669896496E-3</v>
      </c>
      <c r="E276">
        <v>6.0146533700000003E-3</v>
      </c>
      <c r="F276">
        <v>6.72026664E-3</v>
      </c>
      <c r="G276">
        <v>7.50865942E-3</v>
      </c>
      <c r="H276">
        <v>8.3895430300000001E-3</v>
      </c>
      <c r="I276">
        <v>9.3737616099999997E-3</v>
      </c>
      <c r="J276">
        <v>1.04734583E-2</v>
      </c>
      <c r="K276">
        <v>1.17021594E-2</v>
      </c>
      <c r="L276">
        <v>1.30750064E-2</v>
      </c>
      <c r="M276">
        <v>1.4608909999999999E-2</v>
      </c>
      <c r="N276">
        <v>1.6322764399999998E-2</v>
      </c>
      <c r="O276">
        <v>1.55556346E-2</v>
      </c>
      <c r="P276">
        <v>1.4760794000000001E-2</v>
      </c>
      <c r="Q276">
        <v>1.3936713599999999E-2</v>
      </c>
      <c r="R276">
        <v>1.30817498E-2</v>
      </c>
      <c r="S276">
        <v>1.21941333E-2</v>
      </c>
      <c r="T276">
        <v>1.28131462E-2</v>
      </c>
      <c r="U276">
        <v>1.34364068E-2</v>
      </c>
      <c r="V276">
        <v>1.40639591E-2</v>
      </c>
      <c r="W276">
        <v>1.5870585900000001E-2</v>
      </c>
      <c r="X276">
        <v>1.7483051199999999E-2</v>
      </c>
      <c r="Y276">
        <v>1.68956691E-2</v>
      </c>
      <c r="Z276">
        <v>1.63231138E-2</v>
      </c>
      <c r="AA276">
        <v>1.5764830600000002E-2</v>
      </c>
      <c r="AB276">
        <v>1.5207251E-2</v>
      </c>
      <c r="AC276">
        <v>1.46631152E-2</v>
      </c>
      <c r="AD276">
        <v>1.51465873E-2</v>
      </c>
      <c r="AE276">
        <v>1.5618785499999999E-2</v>
      </c>
      <c r="AF276">
        <v>1.6080099699999999E-2</v>
      </c>
      <c r="AG276">
        <v>1.64956562E-2</v>
      </c>
      <c r="AH276">
        <v>1.69018825E-2</v>
      </c>
      <c r="AI276">
        <v>1.75917225E-2</v>
      </c>
      <c r="AJ276">
        <v>1.82648516E-2</v>
      </c>
      <c r="AK276">
        <v>1.8921869800000001E-2</v>
      </c>
      <c r="AL276">
        <v>1.9536448800000002E-2</v>
      </c>
      <c r="AM276">
        <v>2.0136769299999999E-2</v>
      </c>
      <c r="AN276">
        <v>2.0152765199999999E-2</v>
      </c>
      <c r="AO276">
        <v>2.0168492499999999E-2</v>
      </c>
      <c r="AP276">
        <v>2.01839581E-2</v>
      </c>
      <c r="AQ276">
        <v>2.0199168399999998E-2</v>
      </c>
      <c r="AR276">
        <v>2.0214129800000001E-2</v>
      </c>
      <c r="AS276">
        <v>2.02944449E-2</v>
      </c>
      <c r="AT276">
        <v>2.0373966E-2</v>
      </c>
      <c r="AU276">
        <v>2.0452704499999998E-2</v>
      </c>
      <c r="AV276">
        <v>2.0530672100000001E-2</v>
      </c>
      <c r="AW276">
        <v>2.0607879999999999E-2</v>
      </c>
    </row>
    <row r="277" spans="2:49" x14ac:dyDescent="0.25">
      <c r="B277" t="s">
        <v>348</v>
      </c>
      <c r="C277">
        <v>0.92287069498865704</v>
      </c>
      <c r="D277">
        <v>0.92287069498865704</v>
      </c>
      <c r="E277">
        <v>0.92286473899999999</v>
      </c>
      <c r="F277">
        <v>0.89638714809999998</v>
      </c>
      <c r="G277">
        <v>0.87085217589999997</v>
      </c>
      <c r="H277">
        <v>0.84567987970000003</v>
      </c>
      <c r="I277">
        <v>0.82160155749999997</v>
      </c>
      <c r="J277">
        <v>0.79828047619999998</v>
      </c>
      <c r="K277">
        <v>0.77567784230000003</v>
      </c>
      <c r="L277">
        <v>0.75369452569999995</v>
      </c>
      <c r="M277">
        <v>0.73216469049999999</v>
      </c>
      <c r="N277">
        <v>0.71124158410000005</v>
      </c>
      <c r="O277">
        <v>0.70845932310000004</v>
      </c>
      <c r="P277">
        <v>0.70615052700000003</v>
      </c>
      <c r="Q277">
        <v>0.70420063160000002</v>
      </c>
      <c r="R277">
        <v>0.70229971420000004</v>
      </c>
      <c r="S277">
        <v>0.70002330010000002</v>
      </c>
      <c r="T277">
        <v>0.67384973120000002</v>
      </c>
      <c r="U277">
        <v>0.64715418349999998</v>
      </c>
      <c r="V277">
        <v>0.61399148439999995</v>
      </c>
      <c r="W277">
        <v>0.6111674091</v>
      </c>
      <c r="X277">
        <v>0.60092588170000005</v>
      </c>
      <c r="Y277">
        <v>0.5784778371</v>
      </c>
      <c r="Z277">
        <v>0.55643809609999995</v>
      </c>
      <c r="AA277">
        <v>0.5347434982</v>
      </c>
      <c r="AB277">
        <v>0.51452269470000001</v>
      </c>
      <c r="AC277">
        <v>0.49470421199999998</v>
      </c>
      <c r="AD277">
        <v>0.45097669029999998</v>
      </c>
      <c r="AE277">
        <v>0.40827015329999999</v>
      </c>
      <c r="AF277">
        <v>0.36654850039999998</v>
      </c>
      <c r="AG277">
        <v>0.34439302669999999</v>
      </c>
      <c r="AH277">
        <v>0.32279262339999998</v>
      </c>
      <c r="AI277">
        <v>0.30050208589999999</v>
      </c>
      <c r="AJ277">
        <v>0.27877894269999998</v>
      </c>
      <c r="AK277">
        <v>0.25757913529999998</v>
      </c>
      <c r="AL277">
        <v>0.29346647450000002</v>
      </c>
      <c r="AM277">
        <v>0.32828668519999998</v>
      </c>
      <c r="AN277">
        <v>0.2921701948</v>
      </c>
      <c r="AO277">
        <v>0.25681479419999997</v>
      </c>
      <c r="AP277">
        <v>0.2221486292</v>
      </c>
      <c r="AQ277">
        <v>0.18811797229999999</v>
      </c>
      <c r="AR277">
        <v>0.1546817929</v>
      </c>
      <c r="AS277">
        <v>0.17083533000000001</v>
      </c>
      <c r="AT277">
        <v>0.18665387489999999</v>
      </c>
      <c r="AU277">
        <v>0.20215228260000001</v>
      </c>
      <c r="AV277">
        <v>0.2173317763</v>
      </c>
      <c r="AW277">
        <v>0.23219372760000001</v>
      </c>
    </row>
    <row r="278" spans="2:49" x14ac:dyDescent="0.25">
      <c r="B278" t="s">
        <v>349</v>
      </c>
      <c r="C278">
        <v>4.1245617653124303E-2</v>
      </c>
      <c r="D278">
        <v>4.1245617653124303E-2</v>
      </c>
      <c r="E278">
        <v>4.1248802600000002E-2</v>
      </c>
      <c r="F278">
        <v>6.5765972199999995E-2</v>
      </c>
      <c r="G278">
        <v>8.85536294E-2</v>
      </c>
      <c r="H278">
        <v>0.1097945377</v>
      </c>
      <c r="I278">
        <v>0.1287023786</v>
      </c>
      <c r="J278">
        <v>0.14515529660000001</v>
      </c>
      <c r="K278">
        <v>0.15872770929999999</v>
      </c>
      <c r="L278">
        <v>0.1689062264</v>
      </c>
      <c r="M278">
        <v>0.1750467638</v>
      </c>
      <c r="N278">
        <v>0.1760701033</v>
      </c>
      <c r="O278">
        <v>0.1780668537</v>
      </c>
      <c r="P278">
        <v>0.1797732718</v>
      </c>
      <c r="Q278">
        <v>0.18125818229999999</v>
      </c>
      <c r="R278">
        <v>0.18271080149999999</v>
      </c>
      <c r="S278">
        <v>0.1843919842</v>
      </c>
      <c r="T278">
        <v>0.189219264</v>
      </c>
      <c r="U278">
        <v>0.1941127963</v>
      </c>
      <c r="V278">
        <v>0.20403799759999999</v>
      </c>
      <c r="W278">
        <v>0.19696108549999999</v>
      </c>
      <c r="X278">
        <v>0.19619128199999999</v>
      </c>
      <c r="Y278">
        <v>0.19738324870000001</v>
      </c>
      <c r="Z278">
        <v>0.19850681889999999</v>
      </c>
      <c r="AA278">
        <v>0.1996416698</v>
      </c>
      <c r="AB278">
        <v>0.20133649270000001</v>
      </c>
      <c r="AC278">
        <v>0.203142242</v>
      </c>
      <c r="AD278">
        <v>0.21793440680000001</v>
      </c>
      <c r="AE278">
        <v>0.2324009417</v>
      </c>
      <c r="AF278">
        <v>0.2465336407</v>
      </c>
      <c r="AG278">
        <v>0.24935639100000001</v>
      </c>
      <c r="AH278">
        <v>0.25213860850000003</v>
      </c>
      <c r="AI278">
        <v>0.25511268910000001</v>
      </c>
      <c r="AJ278">
        <v>0.2579606297</v>
      </c>
      <c r="AK278">
        <v>0.26073332360000001</v>
      </c>
      <c r="AL278">
        <v>0.22890023100000001</v>
      </c>
      <c r="AM278">
        <v>0.19813593700000001</v>
      </c>
      <c r="AN278">
        <v>0.21537830059999999</v>
      </c>
      <c r="AO278">
        <v>0.2321510725</v>
      </c>
      <c r="AP278">
        <v>0.24856097890000001</v>
      </c>
      <c r="AQ278">
        <v>0.2645422851</v>
      </c>
      <c r="AR278">
        <v>0.28012472719999998</v>
      </c>
      <c r="AS278">
        <v>0.26356784779999998</v>
      </c>
      <c r="AT278">
        <v>0.2474278281</v>
      </c>
      <c r="AU278">
        <v>0.23169457130000001</v>
      </c>
      <c r="AV278">
        <v>0.21636671199999999</v>
      </c>
      <c r="AW278">
        <v>0.20141551539999999</v>
      </c>
    </row>
    <row r="279" spans="2:49" x14ac:dyDescent="0.25">
      <c r="B279" t="s">
        <v>350</v>
      </c>
      <c r="C279">
        <v>5.1557022066405396E-3</v>
      </c>
      <c r="D279">
        <v>5.1557022066405396E-3</v>
      </c>
      <c r="E279">
        <v>5.1561003299999998E-3</v>
      </c>
      <c r="F279">
        <v>4.8527711599999999E-3</v>
      </c>
      <c r="G279">
        <v>4.5607840199999999E-3</v>
      </c>
      <c r="H279">
        <v>4.2987442000000002E-3</v>
      </c>
      <c r="I279">
        <v>4.0415304099999999E-3</v>
      </c>
      <c r="J279">
        <v>3.7994536100000001E-3</v>
      </c>
      <c r="K279">
        <v>3.571968E-3</v>
      </c>
      <c r="L279">
        <v>3.3592169300000001E-3</v>
      </c>
      <c r="M279">
        <v>3.1616411799999999E-3</v>
      </c>
      <c r="N279">
        <v>2.97574643E-3</v>
      </c>
      <c r="O279">
        <v>4.4679151299999997E-3</v>
      </c>
      <c r="P279">
        <v>5.9472308099999998E-3</v>
      </c>
      <c r="Q279">
        <v>7.4098322099999999E-3</v>
      </c>
      <c r="R279">
        <v>8.8601096400000006E-3</v>
      </c>
      <c r="S279">
        <v>1.0312311100000001E-2</v>
      </c>
      <c r="T279">
        <v>1.6054359000000001E-2</v>
      </c>
      <c r="U279">
        <v>2.1923829400000001E-2</v>
      </c>
      <c r="V279">
        <v>2.8213901400000001E-2</v>
      </c>
      <c r="W279">
        <v>3.0610248499999999E-2</v>
      </c>
      <c r="X279">
        <v>3.32058836E-2</v>
      </c>
      <c r="Y279">
        <v>4.34649945E-2</v>
      </c>
      <c r="Z279">
        <v>5.3580420699999999E-2</v>
      </c>
      <c r="AA279">
        <v>6.3542853299999896E-2</v>
      </c>
      <c r="AB279">
        <v>7.1855457600000006E-2</v>
      </c>
      <c r="AC279">
        <v>7.996412E-2</v>
      </c>
      <c r="AD279">
        <v>9.4966667899999996E-2</v>
      </c>
      <c r="AE279">
        <v>0.1096176204</v>
      </c>
      <c r="AF279">
        <v>0.1239343019</v>
      </c>
      <c r="AG279">
        <v>0.13505659880000001</v>
      </c>
      <c r="AH279">
        <v>0.1458940332</v>
      </c>
      <c r="AI279">
        <v>0.15914359519999999</v>
      </c>
      <c r="AJ279">
        <v>0.17209029570000001</v>
      </c>
      <c r="AK279">
        <v>0.18473268740000001</v>
      </c>
      <c r="AL279">
        <v>0.1905306943</v>
      </c>
      <c r="AM279">
        <v>0.19609178620000001</v>
      </c>
      <c r="AN279">
        <v>0.20608207940000001</v>
      </c>
      <c r="AO279">
        <v>0.21592491659999999</v>
      </c>
      <c r="AP279">
        <v>0.2255969001</v>
      </c>
      <c r="AQ279">
        <v>0.2351650153</v>
      </c>
      <c r="AR279">
        <v>0.24463600899999999</v>
      </c>
      <c r="AS279">
        <v>0.25189781379999998</v>
      </c>
      <c r="AT279">
        <v>0.25895176330000003</v>
      </c>
      <c r="AU279">
        <v>0.26579785880000001</v>
      </c>
      <c r="AV279">
        <v>0.27243744190000002</v>
      </c>
      <c r="AW279">
        <v>0.27888998510000002</v>
      </c>
    </row>
    <row r="280" spans="2:49" x14ac:dyDescent="0.25">
      <c r="B280" t="s">
        <v>351</v>
      </c>
      <c r="C280">
        <v>1.5260878531656001E-2</v>
      </c>
      <c r="D280">
        <v>1.5260878531656001E-2</v>
      </c>
      <c r="E280">
        <v>1.5262057000000001E-2</v>
      </c>
      <c r="F280">
        <v>1.4656937199999999E-2</v>
      </c>
      <c r="G280">
        <v>1.4055769399999999E-2</v>
      </c>
      <c r="H280">
        <v>1.3518186200000001E-2</v>
      </c>
      <c r="I280">
        <v>1.29683396E-2</v>
      </c>
      <c r="J280">
        <v>1.2440028400000001E-2</v>
      </c>
      <c r="K280">
        <v>1.19335454E-2</v>
      </c>
      <c r="L280">
        <v>1.1451481600000001E-2</v>
      </c>
      <c r="M280">
        <v>1.09975999E-2</v>
      </c>
      <c r="N280">
        <v>1.0561922E-2</v>
      </c>
      <c r="O280">
        <v>1.5477883E-2</v>
      </c>
      <c r="P280">
        <v>2.0350296E-2</v>
      </c>
      <c r="Q280">
        <v>2.5166766199999999E-2</v>
      </c>
      <c r="R280">
        <v>2.9942565300000001E-2</v>
      </c>
      <c r="S280">
        <v>3.47256991E-2</v>
      </c>
      <c r="T280">
        <v>3.6165737199999999E-2</v>
      </c>
      <c r="U280">
        <v>3.7630256299999998E-2</v>
      </c>
      <c r="V280">
        <v>3.9280600200000002E-2</v>
      </c>
      <c r="W280">
        <v>3.3549200899999999E-2</v>
      </c>
      <c r="X280">
        <v>2.9130551099999999E-2</v>
      </c>
      <c r="Y280">
        <v>3.0031572499999999E-2</v>
      </c>
      <c r="Z280">
        <v>3.0912072299999999E-2</v>
      </c>
      <c r="AA280">
        <v>3.1774809399999999E-2</v>
      </c>
      <c r="AB280">
        <v>3.2348313199999999E-2</v>
      </c>
      <c r="AC280">
        <v>3.2903869600000003E-2</v>
      </c>
      <c r="AD280">
        <v>3.4169179100000002E-2</v>
      </c>
      <c r="AE280">
        <v>3.5403207399999997E-2</v>
      </c>
      <c r="AF280">
        <v>3.6607965200000002E-2</v>
      </c>
      <c r="AG280">
        <v>3.6529758099999997E-2</v>
      </c>
      <c r="AH280">
        <v>3.6451265599999998E-2</v>
      </c>
      <c r="AI280">
        <v>3.6764140200000003E-2</v>
      </c>
      <c r="AJ280">
        <v>3.7067157199999999E-2</v>
      </c>
      <c r="AK280">
        <v>3.7362187499999998E-2</v>
      </c>
      <c r="AL280">
        <v>3.3921103799999998E-2</v>
      </c>
      <c r="AM280">
        <v>3.0584404799999999E-2</v>
      </c>
      <c r="AN280">
        <v>3.2095984600000002E-2</v>
      </c>
      <c r="AO280">
        <v>3.3572778800000001E-2</v>
      </c>
      <c r="AP280">
        <v>3.5019819200000003E-2</v>
      </c>
      <c r="AQ280">
        <v>3.6437032000000001E-2</v>
      </c>
      <c r="AR280">
        <v>3.7826281400000002E-2</v>
      </c>
      <c r="AS280">
        <v>3.5924307900000001E-2</v>
      </c>
      <c r="AT280">
        <v>3.4066038600000001E-2</v>
      </c>
      <c r="AU280">
        <v>3.2250464399999998E-2</v>
      </c>
      <c r="AV280">
        <v>3.04773183E-2</v>
      </c>
      <c r="AW280">
        <v>2.8745256300000001E-2</v>
      </c>
    </row>
    <row r="281" spans="2:49" x14ac:dyDescent="0.25">
      <c r="B281" t="s">
        <v>352</v>
      </c>
      <c r="C281">
        <v>5.1557022066405396E-3</v>
      </c>
      <c r="D281">
        <v>5.1557022066405396E-3</v>
      </c>
      <c r="E281">
        <v>5.1561003299999998E-3</v>
      </c>
      <c r="F281">
        <v>5.1475083099999999E-3</v>
      </c>
      <c r="G281">
        <v>5.1316141599999998E-3</v>
      </c>
      <c r="H281">
        <v>5.1305430400000003E-3</v>
      </c>
      <c r="I281">
        <v>5.1165217900000001E-3</v>
      </c>
      <c r="J281">
        <v>5.1021986900000003E-3</v>
      </c>
      <c r="K281">
        <v>5.08804594E-3</v>
      </c>
      <c r="L281">
        <v>5.0756160099999998E-3</v>
      </c>
      <c r="M281">
        <v>5.0672290100000003E-3</v>
      </c>
      <c r="N281">
        <v>5.0589585100000002E-3</v>
      </c>
      <c r="O281">
        <v>5.8703786899999997E-3</v>
      </c>
      <c r="P281">
        <v>6.6693484500000002E-3</v>
      </c>
      <c r="Q281">
        <v>7.4552475300000004E-3</v>
      </c>
      <c r="R281">
        <v>8.2341290999999907E-3</v>
      </c>
      <c r="S281">
        <v>9.0185754399999905E-3</v>
      </c>
      <c r="T281">
        <v>1.07275861E-2</v>
      </c>
      <c r="U281">
        <v>1.2473138E-2</v>
      </c>
      <c r="V281">
        <v>1.4757801500000001E-2</v>
      </c>
      <c r="W281">
        <v>1.40948568E-2</v>
      </c>
      <c r="X281">
        <v>1.4182849000000001E-2</v>
      </c>
      <c r="Y281">
        <v>1.5303657199999999E-2</v>
      </c>
      <c r="Z281">
        <v>1.6406324699999999E-2</v>
      </c>
      <c r="AA281">
        <v>1.7497690600000001E-2</v>
      </c>
      <c r="AB281">
        <v>1.8673987199999999E-2</v>
      </c>
      <c r="AC281">
        <v>1.9841686800000001E-2</v>
      </c>
      <c r="AD281">
        <v>2.3277514900000001E-2</v>
      </c>
      <c r="AE281">
        <v>2.6636188000000002E-2</v>
      </c>
      <c r="AF281">
        <v>2.9918349300000001E-2</v>
      </c>
      <c r="AG281">
        <v>3.1776907799999997E-2</v>
      </c>
      <c r="AH281">
        <v>3.3592396199999999E-2</v>
      </c>
      <c r="AI281">
        <v>3.4444383100000003E-2</v>
      </c>
      <c r="AJ281">
        <v>3.5272186300000001E-2</v>
      </c>
      <c r="AK281">
        <v>3.60797245E-2</v>
      </c>
      <c r="AL281">
        <v>3.2411353499999997E-2</v>
      </c>
      <c r="AM281">
        <v>2.8858385600000001E-2</v>
      </c>
      <c r="AN281">
        <v>3.1439256800000003E-2</v>
      </c>
      <c r="AO281">
        <v>3.3960692200000003E-2</v>
      </c>
      <c r="AP281">
        <v>3.6431208700000002E-2</v>
      </c>
      <c r="AQ281">
        <v>3.88498491E-2</v>
      </c>
      <c r="AR281">
        <v>4.1220330800000003E-2</v>
      </c>
      <c r="AS281">
        <v>3.9356381099999997E-2</v>
      </c>
      <c r="AT281">
        <v>3.7535936899999997E-2</v>
      </c>
      <c r="AU281">
        <v>3.5757903899999999E-2</v>
      </c>
      <c r="AV281">
        <v>3.4022059700000003E-2</v>
      </c>
      <c r="AW281">
        <v>3.23266979E-2</v>
      </c>
    </row>
    <row r="282" spans="2:49" x14ac:dyDescent="0.25">
      <c r="B282" t="s">
        <v>353</v>
      </c>
      <c r="C282">
        <v>1.0311404413280999E-2</v>
      </c>
      <c r="D282">
        <v>1.0311404413280999E-2</v>
      </c>
      <c r="E282">
        <v>1.0312200699999999E-2</v>
      </c>
      <c r="F282">
        <v>1.3189664E-2</v>
      </c>
      <c r="G282">
        <v>1.6846021499999999E-2</v>
      </c>
      <c r="H282">
        <v>2.1578108499999998E-2</v>
      </c>
      <c r="I282">
        <v>2.75696686E-2</v>
      </c>
      <c r="J282">
        <v>3.5222547700000002E-2</v>
      </c>
      <c r="K282">
        <v>4.5000890100000003E-2</v>
      </c>
      <c r="L282">
        <v>5.7512933400000001E-2</v>
      </c>
      <c r="M282">
        <v>7.3562075399999996E-2</v>
      </c>
      <c r="N282">
        <v>9.4091683499999995E-2</v>
      </c>
      <c r="O282">
        <v>8.7657645800000003E-2</v>
      </c>
      <c r="P282">
        <v>8.1109324199999999E-2</v>
      </c>
      <c r="Q282">
        <v>7.4509340800000004E-2</v>
      </c>
      <c r="R282">
        <v>6.7952679899999896E-2</v>
      </c>
      <c r="S282">
        <v>6.1528135400000003E-2</v>
      </c>
      <c r="T282">
        <v>7.3983322700000007E-2</v>
      </c>
      <c r="U282">
        <v>8.6705796700000004E-2</v>
      </c>
      <c r="V282">
        <v>9.9718215200000002E-2</v>
      </c>
      <c r="W282">
        <v>0.1136171964</v>
      </c>
      <c r="X282">
        <v>0.12636355229999999</v>
      </c>
      <c r="Y282">
        <v>0.1353386922</v>
      </c>
      <c r="Z282">
        <v>0.14415626849999999</v>
      </c>
      <c r="AA282">
        <v>0.1527994718</v>
      </c>
      <c r="AB282">
        <v>0.16126305329999999</v>
      </c>
      <c r="AC282">
        <v>0.1694438687</v>
      </c>
      <c r="AD282">
        <v>0.17867554090000001</v>
      </c>
      <c r="AE282">
        <v>0.1876718892</v>
      </c>
      <c r="AF282">
        <v>0.19645724340000001</v>
      </c>
      <c r="AG282">
        <v>0.2028873179</v>
      </c>
      <c r="AH282">
        <v>0.20913107310000001</v>
      </c>
      <c r="AI282">
        <v>0.2140331067</v>
      </c>
      <c r="AJ282">
        <v>0.21883078880000001</v>
      </c>
      <c r="AK282">
        <v>0.2235129418</v>
      </c>
      <c r="AL282">
        <v>0.22077014289999999</v>
      </c>
      <c r="AM282">
        <v>0.2180428022</v>
      </c>
      <c r="AN282">
        <v>0.2228341835</v>
      </c>
      <c r="AO282">
        <v>0.2275757457</v>
      </c>
      <c r="AP282">
        <v>0.23224246400000001</v>
      </c>
      <c r="AQ282">
        <v>0.2368878462</v>
      </c>
      <c r="AR282">
        <v>0.2415108587</v>
      </c>
      <c r="AS282">
        <v>0.23841831929999999</v>
      </c>
      <c r="AT282">
        <v>0.23536455810000001</v>
      </c>
      <c r="AU282">
        <v>0.23234691900000001</v>
      </c>
      <c r="AV282">
        <v>0.22936469170000001</v>
      </c>
      <c r="AW282">
        <v>0.22642881770000001</v>
      </c>
    </row>
    <row r="283" spans="2:49" x14ac:dyDescent="0.25">
      <c r="B283" t="s">
        <v>354</v>
      </c>
      <c r="C283">
        <v>0.99132434052165697</v>
      </c>
      <c r="D283">
        <v>0.99132434052165697</v>
      </c>
      <c r="E283">
        <v>0.99172610110000003</v>
      </c>
      <c r="F283">
        <v>0.98765502360000001</v>
      </c>
      <c r="G283">
        <v>0.98360065809999997</v>
      </c>
      <c r="H283">
        <v>0.97956293589999999</v>
      </c>
      <c r="I283">
        <v>0.97554178869999997</v>
      </c>
      <c r="J283">
        <v>0.97153714849999995</v>
      </c>
      <c r="K283">
        <v>0.96754894749999998</v>
      </c>
      <c r="L283">
        <v>0.96357711820000003</v>
      </c>
      <c r="M283">
        <v>0.95962159349999998</v>
      </c>
      <c r="N283">
        <v>0.95568230639999996</v>
      </c>
      <c r="O283">
        <v>0.95496918220000004</v>
      </c>
      <c r="P283">
        <v>0.95421073860000005</v>
      </c>
      <c r="Q283">
        <v>0.95340251369999995</v>
      </c>
      <c r="R283">
        <v>0.95253944010000002</v>
      </c>
      <c r="S283">
        <v>0.95161573820000001</v>
      </c>
      <c r="T283">
        <v>0.94906485620000003</v>
      </c>
      <c r="U283">
        <v>0.94659676530000003</v>
      </c>
      <c r="V283">
        <v>0.93773224229999996</v>
      </c>
      <c r="W283">
        <v>0.92478049080000002</v>
      </c>
      <c r="X283">
        <v>0.9110597668</v>
      </c>
      <c r="Y283">
        <v>0.90069203190000002</v>
      </c>
      <c r="Z283">
        <v>0.88976132149999998</v>
      </c>
      <c r="AA283">
        <v>0.87822522680000004</v>
      </c>
      <c r="AB283">
        <v>0.86596526119999995</v>
      </c>
      <c r="AC283">
        <v>0.8529294744</v>
      </c>
      <c r="AD283">
        <v>0.82659829669999996</v>
      </c>
      <c r="AE283">
        <v>0.79845960319999998</v>
      </c>
      <c r="AF283">
        <v>0.76827988189999996</v>
      </c>
      <c r="AG283">
        <v>0.73612926170000004</v>
      </c>
      <c r="AH283">
        <v>0.70149296620000001</v>
      </c>
      <c r="AI283">
        <v>0.66182678049999999</v>
      </c>
      <c r="AJ283">
        <v>0.61876135759999995</v>
      </c>
      <c r="AK283">
        <v>0.57159778910000003</v>
      </c>
      <c r="AL283">
        <v>0.52109797729999996</v>
      </c>
      <c r="AM283">
        <v>0.46487218699999999</v>
      </c>
      <c r="AN283">
        <v>0.43334122209999998</v>
      </c>
      <c r="AO283">
        <v>0.39938772919999999</v>
      </c>
      <c r="AP283">
        <v>0.36235219590000001</v>
      </c>
      <c r="AQ283">
        <v>0.32176673729999999</v>
      </c>
      <c r="AR283">
        <v>0.27665126299999998</v>
      </c>
      <c r="AS283">
        <v>0.26475444069999998</v>
      </c>
      <c r="AT283">
        <v>0.25246419660000002</v>
      </c>
      <c r="AU283">
        <v>0.23972942010000001</v>
      </c>
      <c r="AV283">
        <v>0.22645859639999999</v>
      </c>
      <c r="AW283">
        <v>0.2125614032</v>
      </c>
    </row>
    <row r="284" spans="2:49" x14ac:dyDescent="0.25">
      <c r="B284" t="s">
        <v>355</v>
      </c>
      <c r="C284">
        <v>0.91950930808135101</v>
      </c>
      <c r="D284">
        <v>0.91950930808135101</v>
      </c>
      <c r="E284">
        <v>0.91950930809999998</v>
      </c>
      <c r="F284">
        <v>0.89194960639999998</v>
      </c>
      <c r="G284">
        <v>0.8652159291</v>
      </c>
      <c r="H284">
        <v>0.83928351850000005</v>
      </c>
      <c r="I284">
        <v>0.81412835890000002</v>
      </c>
      <c r="J284">
        <v>0.78972715429999996</v>
      </c>
      <c r="K284">
        <v>0.76605730719999998</v>
      </c>
      <c r="L284">
        <v>0.74309689700000003</v>
      </c>
      <c r="M284">
        <v>0.72082466040000004</v>
      </c>
      <c r="N284">
        <v>0.69921997140000003</v>
      </c>
      <c r="O284">
        <v>0.69624978999999998</v>
      </c>
      <c r="P284">
        <v>0.69328496819999996</v>
      </c>
      <c r="Q284">
        <v>0.69032549160000001</v>
      </c>
      <c r="R284">
        <v>0.68737134560000002</v>
      </c>
      <c r="S284">
        <v>0.68442251590000003</v>
      </c>
      <c r="T284">
        <v>0.65674744659999995</v>
      </c>
      <c r="U284">
        <v>0.62841022120000001</v>
      </c>
      <c r="V284">
        <v>0.59338388740000003</v>
      </c>
      <c r="W284">
        <v>0.59080870780000005</v>
      </c>
      <c r="X284">
        <v>0.58027245449999998</v>
      </c>
      <c r="Y284">
        <v>0.55670885349999999</v>
      </c>
      <c r="Z284">
        <v>0.53343079439999996</v>
      </c>
      <c r="AA284">
        <v>0.51034838110000003</v>
      </c>
      <c r="AB284">
        <v>0.48828209900000002</v>
      </c>
      <c r="AC284">
        <v>0.46628982730000001</v>
      </c>
      <c r="AD284">
        <v>0.4196328963</v>
      </c>
      <c r="AE284">
        <v>0.3739151349</v>
      </c>
      <c r="AF284">
        <v>0.3291396157</v>
      </c>
      <c r="AG284">
        <v>0.3048514631</v>
      </c>
      <c r="AH284">
        <v>0.28103429070000002</v>
      </c>
      <c r="AI284">
        <v>0.25652418780000003</v>
      </c>
      <c r="AJ284">
        <v>0.23257135640000001</v>
      </c>
      <c r="AK284">
        <v>0.20912540239999999</v>
      </c>
      <c r="AL284">
        <v>0.24578431780000001</v>
      </c>
      <c r="AM284">
        <v>0.28142665649999998</v>
      </c>
      <c r="AN284">
        <v>0.2419858755</v>
      </c>
      <c r="AO284">
        <v>0.2033226538</v>
      </c>
      <c r="AP284">
        <v>0.16535096639999999</v>
      </c>
      <c r="AQ284">
        <v>0.12807317009999999</v>
      </c>
      <c r="AR284">
        <v>9.1433444399999994E-2</v>
      </c>
      <c r="AS284">
        <v>0.1071145451</v>
      </c>
      <c r="AT284">
        <v>0.1224781234</v>
      </c>
      <c r="AU284">
        <v>0.1375280602</v>
      </c>
      <c r="AV284">
        <v>0.15226679800000001</v>
      </c>
      <c r="AW284">
        <v>0.1667072929</v>
      </c>
    </row>
    <row r="285" spans="2:49" x14ac:dyDescent="0.25">
      <c r="B285" t="s">
        <v>476</v>
      </c>
      <c r="C285">
        <v>383714635.27038902</v>
      </c>
      <c r="D285">
        <v>389875297.85567099</v>
      </c>
      <c r="E285">
        <v>396134871.89999998</v>
      </c>
      <c r="F285">
        <v>414200486.10000002</v>
      </c>
      <c r="G285">
        <v>424578074.19999999</v>
      </c>
      <c r="H285">
        <v>439325338</v>
      </c>
      <c r="I285">
        <v>452732887.10000002</v>
      </c>
      <c r="J285">
        <v>471803799.69999999</v>
      </c>
      <c r="K285">
        <v>493820166.89999998</v>
      </c>
      <c r="L285">
        <v>518744313.80000001</v>
      </c>
      <c r="M285">
        <v>548553754.5</v>
      </c>
      <c r="N285">
        <v>576565812.29999995</v>
      </c>
      <c r="O285">
        <v>580736666.70000005</v>
      </c>
      <c r="P285">
        <v>579484180.70000005</v>
      </c>
      <c r="Q285">
        <v>576242150.39999998</v>
      </c>
      <c r="R285">
        <v>575521897.5</v>
      </c>
      <c r="S285">
        <v>581036867.5</v>
      </c>
      <c r="T285">
        <v>583278512.10000002</v>
      </c>
      <c r="U285">
        <v>583903566.29999995</v>
      </c>
      <c r="V285">
        <v>584070257.29999995</v>
      </c>
      <c r="W285">
        <v>576385143.39999998</v>
      </c>
      <c r="X285">
        <v>567305965.20000005</v>
      </c>
      <c r="Y285">
        <v>560316917.79999995</v>
      </c>
      <c r="Z285">
        <v>552242266.10000002</v>
      </c>
      <c r="AA285">
        <v>543510909.79999995</v>
      </c>
      <c r="AB285">
        <v>534046821.69999999</v>
      </c>
      <c r="AC285">
        <v>524091206</v>
      </c>
      <c r="AD285">
        <v>517565941.89999998</v>
      </c>
      <c r="AE285">
        <v>511043609.69999999</v>
      </c>
      <c r="AF285">
        <v>504632746.19999999</v>
      </c>
      <c r="AG285">
        <v>498421699.30000001</v>
      </c>
      <c r="AH285">
        <v>492423452.39999998</v>
      </c>
      <c r="AI285">
        <v>485968102.19999999</v>
      </c>
      <c r="AJ285">
        <v>480124475.80000001</v>
      </c>
      <c r="AK285">
        <v>474588661.60000002</v>
      </c>
      <c r="AL285">
        <v>469293236.19999999</v>
      </c>
      <c r="AM285">
        <v>464083668.5</v>
      </c>
      <c r="AN285">
        <v>458877773.30000001</v>
      </c>
      <c r="AO285">
        <v>453869642.80000001</v>
      </c>
      <c r="AP285">
        <v>448955169.30000001</v>
      </c>
      <c r="AQ285">
        <v>444086466.60000002</v>
      </c>
      <c r="AR285">
        <v>438125874.60000002</v>
      </c>
      <c r="AS285">
        <v>432312153.39999998</v>
      </c>
      <c r="AT285">
        <v>426769313.19999999</v>
      </c>
      <c r="AU285">
        <v>421451701.89999998</v>
      </c>
      <c r="AV285">
        <v>416289179.80000001</v>
      </c>
      <c r="AW285">
        <v>410998260.60000002</v>
      </c>
    </row>
    <row r="286" spans="2:49" x14ac:dyDescent="0.25">
      <c r="B286" t="s">
        <v>477</v>
      </c>
      <c r="C286">
        <v>13020.598862561899</v>
      </c>
      <c r="D286">
        <v>13229.6487889324</v>
      </c>
      <c r="E286">
        <v>13442.05508</v>
      </c>
      <c r="F286">
        <v>13722.81287</v>
      </c>
      <c r="G286">
        <v>14096.83547</v>
      </c>
      <c r="H286">
        <v>13574.7979</v>
      </c>
      <c r="I286">
        <v>13067.91574</v>
      </c>
      <c r="J286">
        <v>13345.89464</v>
      </c>
      <c r="K286">
        <v>13560.866379999999</v>
      </c>
      <c r="L286">
        <v>13430.80559</v>
      </c>
      <c r="M286">
        <v>13600.12976</v>
      </c>
      <c r="N286">
        <v>13988.516680000001</v>
      </c>
      <c r="O286">
        <v>14218.74951</v>
      </c>
      <c r="P286">
        <v>14465.768389999999</v>
      </c>
      <c r="Q286">
        <v>14820.502130000001</v>
      </c>
      <c r="R286">
        <v>15189.15755</v>
      </c>
      <c r="S286">
        <v>14847.02563</v>
      </c>
      <c r="T286">
        <v>14261.44808</v>
      </c>
      <c r="U286">
        <v>14104.25749</v>
      </c>
      <c r="V286">
        <v>13928.4944</v>
      </c>
      <c r="W286">
        <v>13773.076650000001</v>
      </c>
      <c r="X286">
        <v>13554.16588</v>
      </c>
      <c r="Y286">
        <v>13384.935649999999</v>
      </c>
      <c r="Z286">
        <v>13172.66633</v>
      </c>
      <c r="AA286">
        <v>12989.50546</v>
      </c>
      <c r="AB286">
        <v>12802.720009999999</v>
      </c>
      <c r="AC286">
        <v>12577.395490000001</v>
      </c>
      <c r="AD286">
        <v>12138.42308</v>
      </c>
      <c r="AE286">
        <v>11745.3595</v>
      </c>
      <c r="AF286">
        <v>11367.341850000001</v>
      </c>
      <c r="AG286">
        <v>11003.08812</v>
      </c>
      <c r="AH286">
        <v>10647.690930000001</v>
      </c>
      <c r="AI286">
        <v>10325.12557</v>
      </c>
      <c r="AJ286">
        <v>10047.42571</v>
      </c>
      <c r="AK286">
        <v>9764.6568979999902</v>
      </c>
      <c r="AL286">
        <v>9510.2646499999901</v>
      </c>
      <c r="AM286">
        <v>9244.2671119999995</v>
      </c>
      <c r="AN286">
        <v>8998.3089290000007</v>
      </c>
      <c r="AO286">
        <v>8777.0311320000001</v>
      </c>
      <c r="AP286">
        <v>8545.3707190000005</v>
      </c>
      <c r="AQ286">
        <v>8319.76548</v>
      </c>
      <c r="AR286">
        <v>8097.5123110000004</v>
      </c>
      <c r="AS286">
        <v>7868.7135989999997</v>
      </c>
      <c r="AT286">
        <v>7639.8278849999997</v>
      </c>
      <c r="AU286">
        <v>7423.9300190000004</v>
      </c>
      <c r="AV286">
        <v>7216.7032259999996</v>
      </c>
      <c r="AW286">
        <v>7018.3772369999997</v>
      </c>
    </row>
    <row r="287" spans="2:49" x14ac:dyDescent="0.25">
      <c r="B287" t="s">
        <v>478</v>
      </c>
      <c r="C287">
        <v>158336.21117690401</v>
      </c>
      <c r="D287">
        <v>160878.35026264799</v>
      </c>
      <c r="E287">
        <v>163461.30420000001</v>
      </c>
      <c r="F287">
        <v>173850.61290000001</v>
      </c>
      <c r="G287">
        <v>181614.35490000001</v>
      </c>
      <c r="H287">
        <v>189712.6238</v>
      </c>
      <c r="I287">
        <v>197581.39600000001</v>
      </c>
      <c r="J287">
        <v>207731.50080000001</v>
      </c>
      <c r="K287">
        <v>223635.23190000001</v>
      </c>
      <c r="L287">
        <v>240065.74299999999</v>
      </c>
      <c r="M287">
        <v>257629.97409999999</v>
      </c>
      <c r="N287">
        <v>282472.80469999998</v>
      </c>
      <c r="O287">
        <v>284279.66859999998</v>
      </c>
      <c r="P287">
        <v>280035.9448</v>
      </c>
      <c r="Q287">
        <v>275071.4583</v>
      </c>
      <c r="R287">
        <v>274677.01870000002</v>
      </c>
      <c r="S287">
        <v>278103.9032</v>
      </c>
      <c r="T287">
        <v>282057.05599999998</v>
      </c>
      <c r="U287">
        <v>281608.5258</v>
      </c>
      <c r="V287">
        <v>280582.02409999998</v>
      </c>
      <c r="W287">
        <v>273503.03960000002</v>
      </c>
      <c r="X287">
        <v>265266.51400000002</v>
      </c>
      <c r="Y287">
        <v>264987.26130000001</v>
      </c>
      <c r="Z287">
        <v>263465.51850000001</v>
      </c>
      <c r="AA287">
        <v>260871.4418</v>
      </c>
      <c r="AB287">
        <v>257252.5882</v>
      </c>
      <c r="AC287">
        <v>253003.16080000001</v>
      </c>
      <c r="AD287">
        <v>250691.28109999999</v>
      </c>
      <c r="AE287">
        <v>248186.60029999999</v>
      </c>
      <c r="AF287">
        <v>245892.65729999999</v>
      </c>
      <c r="AG287">
        <v>243777.47219999999</v>
      </c>
      <c r="AH287">
        <v>241880.7083</v>
      </c>
      <c r="AI287">
        <v>238916.35219999999</v>
      </c>
      <c r="AJ287">
        <v>236503.69500000001</v>
      </c>
      <c r="AK287">
        <v>234567.58319999999</v>
      </c>
      <c r="AL287">
        <v>232775.70129999999</v>
      </c>
      <c r="AM287">
        <v>231177.73430000001</v>
      </c>
      <c r="AN287">
        <v>229567.13029999999</v>
      </c>
      <c r="AO287">
        <v>227913.3713</v>
      </c>
      <c r="AP287">
        <v>226407.50320000001</v>
      </c>
      <c r="AQ287">
        <v>224902.48130000001</v>
      </c>
      <c r="AR287">
        <v>221640.16529999999</v>
      </c>
      <c r="AS287">
        <v>218916.07459999999</v>
      </c>
      <c r="AT287">
        <v>216424.897</v>
      </c>
      <c r="AU287">
        <v>214010.0877</v>
      </c>
      <c r="AV287">
        <v>211709.09210000001</v>
      </c>
      <c r="AW287">
        <v>210036.74110000001</v>
      </c>
    </row>
    <row r="288" spans="2:49" x14ac:dyDescent="0.25">
      <c r="B288" t="s">
        <v>479</v>
      </c>
      <c r="C288">
        <v>516755.579312385</v>
      </c>
      <c r="D288">
        <v>525052.257287574</v>
      </c>
      <c r="E288">
        <v>533482.14110000001</v>
      </c>
      <c r="F288">
        <v>548933.17799999996</v>
      </c>
      <c r="G288">
        <v>553284.51399999997</v>
      </c>
      <c r="H288">
        <v>564082.01509999996</v>
      </c>
      <c r="I288">
        <v>572443.19079999998</v>
      </c>
      <c r="J288">
        <v>587585.80200000003</v>
      </c>
      <c r="K288">
        <v>602377.31019999995</v>
      </c>
      <c r="L288">
        <v>620555.54040000006</v>
      </c>
      <c r="M288">
        <v>644546.1128</v>
      </c>
      <c r="N288">
        <v>669020.35369999998</v>
      </c>
      <c r="O288">
        <v>672094.98140000005</v>
      </c>
      <c r="P288">
        <v>671441.94350000005</v>
      </c>
      <c r="Q288">
        <v>668317.33319999999</v>
      </c>
      <c r="R288">
        <v>665594.32799999998</v>
      </c>
      <c r="S288">
        <v>669429.31850000005</v>
      </c>
      <c r="T288">
        <v>669841.82380000001</v>
      </c>
      <c r="U288">
        <v>671125.33649999998</v>
      </c>
      <c r="V288">
        <v>672150.93700000003</v>
      </c>
      <c r="W288">
        <v>665858.96089999995</v>
      </c>
      <c r="X288">
        <v>658330.26569999999</v>
      </c>
      <c r="Y288">
        <v>652577.34779999999</v>
      </c>
      <c r="Z288">
        <v>645985.48970000003</v>
      </c>
      <c r="AA288">
        <v>639059.10259999998</v>
      </c>
      <c r="AB288">
        <v>631628.6335</v>
      </c>
      <c r="AC288">
        <v>623753.78570000001</v>
      </c>
      <c r="AD288">
        <v>617721.55090000003</v>
      </c>
      <c r="AE288">
        <v>611779.5233</v>
      </c>
      <c r="AF288">
        <v>605793.83310000005</v>
      </c>
      <c r="AG288">
        <v>599929.00210000004</v>
      </c>
      <c r="AH288">
        <v>594178.35719999997</v>
      </c>
      <c r="AI288">
        <v>588454.45620000002</v>
      </c>
      <c r="AJ288">
        <v>583225.98789999995</v>
      </c>
      <c r="AK288">
        <v>578074.60629999998</v>
      </c>
      <c r="AL288">
        <v>573147.37879999995</v>
      </c>
      <c r="AM288">
        <v>568162.97739999997</v>
      </c>
      <c r="AN288">
        <v>563146.37040000001</v>
      </c>
      <c r="AO288">
        <v>558432.84649999999</v>
      </c>
      <c r="AP288">
        <v>553713.21270000003</v>
      </c>
      <c r="AQ288">
        <v>549022.07109999994</v>
      </c>
      <c r="AR288">
        <v>543838.95539999998</v>
      </c>
      <c r="AS288">
        <v>538434.78280000004</v>
      </c>
      <c r="AT288">
        <v>533243.94400000002</v>
      </c>
      <c r="AU288">
        <v>528313.41029999999</v>
      </c>
      <c r="AV288">
        <v>523502.9754</v>
      </c>
      <c r="AW288">
        <v>517960.43670000002</v>
      </c>
    </row>
    <row r="289" spans="2:49" x14ac:dyDescent="0.25">
      <c r="B289" t="s">
        <v>480</v>
      </c>
      <c r="C289">
        <v>82711.5521017555</v>
      </c>
      <c r="D289">
        <v>84039.512824558697</v>
      </c>
      <c r="E289">
        <v>85388.794389999995</v>
      </c>
      <c r="F289">
        <v>93009.712629999995</v>
      </c>
      <c r="G289">
        <v>97459.601599999995</v>
      </c>
      <c r="H289">
        <v>105513.5346</v>
      </c>
      <c r="I289">
        <v>111221.7874</v>
      </c>
      <c r="J289">
        <v>122711.4235</v>
      </c>
      <c r="K289">
        <v>131981.77799999999</v>
      </c>
      <c r="L289">
        <v>141054.14490000001</v>
      </c>
      <c r="M289">
        <v>152999.29670000001</v>
      </c>
      <c r="N289">
        <v>160166.47949999999</v>
      </c>
      <c r="O289">
        <v>157105.08249999999</v>
      </c>
      <c r="P289">
        <v>157111.60769999999</v>
      </c>
      <c r="Q289">
        <v>160190.26079999999</v>
      </c>
      <c r="R289">
        <v>157554.4577</v>
      </c>
      <c r="S289">
        <v>157560.56719999999</v>
      </c>
      <c r="T289">
        <v>156747.38329999999</v>
      </c>
      <c r="U289">
        <v>157669.37340000001</v>
      </c>
      <c r="V289">
        <v>158707.07930000001</v>
      </c>
      <c r="W289">
        <v>167617.1354</v>
      </c>
      <c r="X289">
        <v>177050.3498</v>
      </c>
      <c r="Y289">
        <v>180305.34899999999</v>
      </c>
      <c r="Z289">
        <v>183784.8659</v>
      </c>
      <c r="AA289">
        <v>187597.77489999999</v>
      </c>
      <c r="AB289">
        <v>191691.54519999999</v>
      </c>
      <c r="AC289">
        <v>195852.27350000001</v>
      </c>
      <c r="AD289">
        <v>199055.32079999999</v>
      </c>
      <c r="AE289">
        <v>202455.9118</v>
      </c>
      <c r="AF289">
        <v>205832.68849999999</v>
      </c>
      <c r="AG289">
        <v>209204.19029999999</v>
      </c>
      <c r="AH289">
        <v>212557.68299999999</v>
      </c>
      <c r="AI289">
        <v>216119.3265</v>
      </c>
      <c r="AJ289">
        <v>219789.9994</v>
      </c>
      <c r="AK289">
        <v>223397.02220000001</v>
      </c>
      <c r="AL289">
        <v>227106.44029999999</v>
      </c>
      <c r="AM289">
        <v>230784.41810000001</v>
      </c>
      <c r="AN289">
        <v>234426.65890000001</v>
      </c>
      <c r="AO289">
        <v>238223.0448</v>
      </c>
      <c r="AP289">
        <v>241999.22140000001</v>
      </c>
      <c r="AQ289">
        <v>245814.45929999999</v>
      </c>
      <c r="AR289">
        <v>249792.44949999999</v>
      </c>
      <c r="AS289">
        <v>253674.05249999999</v>
      </c>
      <c r="AT289">
        <v>257581.1937</v>
      </c>
      <c r="AU289">
        <v>261608.93640000001</v>
      </c>
      <c r="AV289">
        <v>265736.47710000002</v>
      </c>
      <c r="AW289">
        <v>269952.53860000003</v>
      </c>
    </row>
    <row r="290" spans="2:49" x14ac:dyDescent="0.25">
      <c r="B290" t="s">
        <v>481</v>
      </c>
      <c r="C290">
        <v>45689.201708803201</v>
      </c>
      <c r="D290">
        <v>46422.756620829103</v>
      </c>
      <c r="E290">
        <v>47168.089</v>
      </c>
      <c r="F290">
        <v>48340.077310000001</v>
      </c>
      <c r="G290">
        <v>48150.356659999998</v>
      </c>
      <c r="H290">
        <v>49180.408499999998</v>
      </c>
      <c r="I290">
        <v>49789.817490000001</v>
      </c>
      <c r="J290">
        <v>51234.149850000002</v>
      </c>
      <c r="K290">
        <v>51676.634530000003</v>
      </c>
      <c r="L290">
        <v>52676.492980000003</v>
      </c>
      <c r="M290">
        <v>54535.777620000001</v>
      </c>
      <c r="N290">
        <v>55449.988640000003</v>
      </c>
      <c r="O290">
        <v>55541.989950000003</v>
      </c>
      <c r="P290">
        <v>55961.59375</v>
      </c>
      <c r="Q290">
        <v>56214.762139999999</v>
      </c>
      <c r="R290">
        <v>55743.440360000001</v>
      </c>
      <c r="S290">
        <v>55805.044009999998</v>
      </c>
      <c r="T290">
        <v>55486.123399999997</v>
      </c>
      <c r="U290">
        <v>55825.478600000002</v>
      </c>
      <c r="V290">
        <v>56209.5599</v>
      </c>
      <c r="W290">
        <v>58209.712650000001</v>
      </c>
      <c r="X290">
        <v>60199.744709999999</v>
      </c>
      <c r="Y290">
        <v>60839.754079999999</v>
      </c>
      <c r="Z290">
        <v>61522.473250000003</v>
      </c>
      <c r="AA290">
        <v>62296.787929999999</v>
      </c>
      <c r="AB290">
        <v>63130.320290000003</v>
      </c>
      <c r="AC290">
        <v>63974.037620000003</v>
      </c>
      <c r="AD290">
        <v>64339.029240000003</v>
      </c>
      <c r="AE290">
        <v>64731.774270000002</v>
      </c>
      <c r="AF290">
        <v>65068.585959999997</v>
      </c>
      <c r="AG290">
        <v>65385.683349999999</v>
      </c>
      <c r="AH290">
        <v>65676.58021</v>
      </c>
      <c r="AI290">
        <v>66139.289629999999</v>
      </c>
      <c r="AJ290">
        <v>66593.630170000004</v>
      </c>
      <c r="AK290">
        <v>66979.03933</v>
      </c>
      <c r="AL290">
        <v>67370.150030000004</v>
      </c>
      <c r="AM290">
        <v>67710.933139999906</v>
      </c>
      <c r="AN290">
        <v>68055.687279999998</v>
      </c>
      <c r="AO290">
        <v>68453.315409999996</v>
      </c>
      <c r="AP290">
        <v>68820.067729999995</v>
      </c>
      <c r="AQ290">
        <v>69181.909820000001</v>
      </c>
      <c r="AR290">
        <v>69705.453389999995</v>
      </c>
      <c r="AS290">
        <v>70090.631210000007</v>
      </c>
      <c r="AT290">
        <v>70473.996799999906</v>
      </c>
      <c r="AU290">
        <v>70888.263319999998</v>
      </c>
      <c r="AV290">
        <v>71295.937380000003</v>
      </c>
      <c r="AW290">
        <v>71395.615420000002</v>
      </c>
    </row>
    <row r="291" spans="2:49" x14ac:dyDescent="0.25">
      <c r="B291" t="s">
        <v>482</v>
      </c>
      <c r="C291">
        <v>562444.78102118801</v>
      </c>
      <c r="D291">
        <v>571475.01390840299</v>
      </c>
      <c r="E291">
        <v>580650.23010000004</v>
      </c>
      <c r="F291">
        <v>597272.89769999997</v>
      </c>
      <c r="G291">
        <v>601431.39139999996</v>
      </c>
      <c r="H291">
        <v>613258.79949999996</v>
      </c>
      <c r="I291">
        <v>622229.19920000003</v>
      </c>
      <c r="J291">
        <v>638815.89569999999</v>
      </c>
      <c r="K291">
        <v>654043.44090000005</v>
      </c>
      <c r="L291">
        <v>673218.49439999997</v>
      </c>
      <c r="M291">
        <v>699067.56660000002</v>
      </c>
      <c r="N291">
        <v>724444.45979999995</v>
      </c>
      <c r="O291">
        <v>727610.75549999997</v>
      </c>
      <c r="P291">
        <v>727375.47340000002</v>
      </c>
      <c r="Q291">
        <v>724501.96970000002</v>
      </c>
      <c r="R291">
        <v>721307.29059999995</v>
      </c>
      <c r="S291">
        <v>725203.16399999999</v>
      </c>
      <c r="T291">
        <v>727418.88769999996</v>
      </c>
      <c r="U291">
        <v>729719.56920000003</v>
      </c>
      <c r="V291">
        <v>731809.18169999996</v>
      </c>
      <c r="W291">
        <v>735434.71</v>
      </c>
      <c r="X291">
        <v>737766.10759999999</v>
      </c>
      <c r="Y291">
        <v>740545.72860000003</v>
      </c>
      <c r="Z291">
        <v>742458.46230000001</v>
      </c>
      <c r="AA291">
        <v>744062.37309999997</v>
      </c>
      <c r="AB291">
        <v>745131.05279999995</v>
      </c>
      <c r="AC291">
        <v>745659.98190000001</v>
      </c>
      <c r="AD291">
        <v>747617.85389999999</v>
      </c>
      <c r="AE291">
        <v>749658.40989999997</v>
      </c>
      <c r="AF291">
        <v>751541.99699999997</v>
      </c>
      <c r="AG291">
        <v>753490.79639999999</v>
      </c>
      <c r="AH291">
        <v>755492.30700000003</v>
      </c>
      <c r="AI291">
        <v>757673.30850000004</v>
      </c>
      <c r="AJ291">
        <v>760381.22979999997</v>
      </c>
      <c r="AK291">
        <v>763067.28940000001</v>
      </c>
      <c r="AL291">
        <v>765995.06400000001</v>
      </c>
      <c r="AM291">
        <v>768765.03590000002</v>
      </c>
      <c r="AN291">
        <v>771468.11659999995</v>
      </c>
      <c r="AO291">
        <v>774576.6973</v>
      </c>
      <c r="AP291">
        <v>777614.01399999997</v>
      </c>
      <c r="AQ291">
        <v>780653.80110000004</v>
      </c>
      <c r="AR291">
        <v>783240.32640000002</v>
      </c>
      <c r="AS291">
        <v>785326.73640000005</v>
      </c>
      <c r="AT291">
        <v>787640.18900000001</v>
      </c>
      <c r="AU291">
        <v>790293.0943</v>
      </c>
      <c r="AV291">
        <v>793060.20979999995</v>
      </c>
      <c r="AW291">
        <v>794393.33719999995</v>
      </c>
    </row>
    <row r="292" spans="2:49" x14ac:dyDescent="0.25">
      <c r="B292" t="s">
        <v>483</v>
      </c>
      <c r="C292">
        <v>241047.76327865999</v>
      </c>
      <c r="D292">
        <v>244917.86308720699</v>
      </c>
      <c r="E292">
        <v>248850.0986</v>
      </c>
      <c r="F292">
        <v>266843.1495</v>
      </c>
      <c r="G292">
        <v>279055.70049999998</v>
      </c>
      <c r="H292">
        <v>295163.7597</v>
      </c>
      <c r="I292">
        <v>308732.76409999997</v>
      </c>
      <c r="J292">
        <v>330278.70449999999</v>
      </c>
      <c r="K292">
        <v>355440.2426</v>
      </c>
      <c r="L292">
        <v>380929.57709999999</v>
      </c>
      <c r="M292">
        <v>410418.7648</v>
      </c>
      <c r="N292">
        <v>442302.08069999999</v>
      </c>
      <c r="O292">
        <v>441015.01640000002</v>
      </c>
      <c r="P292">
        <v>436769.96260000003</v>
      </c>
      <c r="Q292">
        <v>434815.89889999997</v>
      </c>
      <c r="R292">
        <v>431777.24119999999</v>
      </c>
      <c r="S292">
        <v>435198.93550000002</v>
      </c>
      <c r="T292">
        <v>438316.75770000002</v>
      </c>
      <c r="U292">
        <v>438786.88870000001</v>
      </c>
      <c r="V292">
        <v>438792.81089999998</v>
      </c>
      <c r="W292">
        <v>440292.78759999998</v>
      </c>
      <c r="X292">
        <v>441106.245</v>
      </c>
      <c r="Y292">
        <v>444054.02779999998</v>
      </c>
      <c r="Z292">
        <v>445973.0613</v>
      </c>
      <c r="AA292">
        <v>447138.21139999997</v>
      </c>
      <c r="AB292">
        <v>447542.74420000002</v>
      </c>
      <c r="AC292">
        <v>447374.6029</v>
      </c>
      <c r="AD292">
        <v>448227.22499999998</v>
      </c>
      <c r="AE292">
        <v>449079.74099999998</v>
      </c>
      <c r="AF292">
        <v>450121.64140000002</v>
      </c>
      <c r="AG292">
        <v>451338.80570000003</v>
      </c>
      <c r="AH292">
        <v>452758.59159999999</v>
      </c>
      <c r="AI292">
        <v>453306.35399999999</v>
      </c>
      <c r="AJ292">
        <v>454518.28139999998</v>
      </c>
      <c r="AK292">
        <v>456148.5062</v>
      </c>
      <c r="AL292">
        <v>458025.09659999999</v>
      </c>
      <c r="AM292">
        <v>460066.41009999998</v>
      </c>
      <c r="AN292">
        <v>462060.07809999998</v>
      </c>
      <c r="AO292">
        <v>464162.29739999998</v>
      </c>
      <c r="AP292">
        <v>466393.87150000001</v>
      </c>
      <c r="AQ292">
        <v>468665.03480000002</v>
      </c>
      <c r="AR292">
        <v>469322.55650000001</v>
      </c>
      <c r="AS292">
        <v>470429.67210000003</v>
      </c>
      <c r="AT292">
        <v>471797.28149999998</v>
      </c>
      <c r="AU292">
        <v>473360.75339999999</v>
      </c>
      <c r="AV292">
        <v>475137.48210000002</v>
      </c>
      <c r="AW292">
        <v>477635.89789999998</v>
      </c>
    </row>
    <row r="293" spans="2:49" x14ac:dyDescent="0.25">
      <c r="B293" t="s">
        <v>535</v>
      </c>
      <c r="C293">
        <v>383714635.27038902</v>
      </c>
      <c r="D293">
        <v>389875297.85567099</v>
      </c>
      <c r="E293">
        <v>396134871.89999998</v>
      </c>
      <c r="F293">
        <v>414200486.10000002</v>
      </c>
      <c r="G293">
        <v>424578074.19999999</v>
      </c>
      <c r="H293">
        <v>439325338</v>
      </c>
      <c r="I293">
        <v>452732887.10000002</v>
      </c>
      <c r="J293">
        <v>471803799.69999999</v>
      </c>
      <c r="K293">
        <v>493820166.89999998</v>
      </c>
      <c r="L293">
        <v>518744313.80000001</v>
      </c>
      <c r="M293">
        <v>548553754.5</v>
      </c>
      <c r="N293">
        <v>576565812.29999995</v>
      </c>
      <c r="O293">
        <v>580736666.70000005</v>
      </c>
      <c r="P293">
        <v>579484180.70000005</v>
      </c>
      <c r="Q293">
        <v>576242150.39999998</v>
      </c>
      <c r="R293">
        <v>575521897.5</v>
      </c>
      <c r="S293">
        <v>581036867.5</v>
      </c>
      <c r="T293">
        <v>583278512.10000002</v>
      </c>
      <c r="U293">
        <v>583903566.29999995</v>
      </c>
      <c r="V293">
        <v>584034604.60000002</v>
      </c>
      <c r="W293">
        <v>584360186</v>
      </c>
      <c r="X293">
        <v>584435769.39999998</v>
      </c>
      <c r="Y293">
        <v>584393176.39999998</v>
      </c>
      <c r="Z293">
        <v>584491821.60000002</v>
      </c>
      <c r="AA293">
        <v>584903094.79999995</v>
      </c>
      <c r="AB293">
        <v>585546216.60000002</v>
      </c>
      <c r="AC293">
        <v>586297729.39999998</v>
      </c>
      <c r="AD293">
        <v>587191169.5</v>
      </c>
      <c r="AE293">
        <v>589928262.60000002</v>
      </c>
      <c r="AF293">
        <v>592046009.29999995</v>
      </c>
      <c r="AG293">
        <v>593965093.79999995</v>
      </c>
      <c r="AH293">
        <v>597734056.39999998</v>
      </c>
      <c r="AI293">
        <v>598978475</v>
      </c>
      <c r="AJ293">
        <v>600756696.10000002</v>
      </c>
      <c r="AK293">
        <v>602786099.29999995</v>
      </c>
      <c r="AL293">
        <v>604959532.70000005</v>
      </c>
      <c r="AM293">
        <v>607205764</v>
      </c>
      <c r="AN293">
        <v>609654519.70000005</v>
      </c>
      <c r="AO293">
        <v>611880597.10000002</v>
      </c>
      <c r="AP293">
        <v>614012648</v>
      </c>
      <c r="AQ293">
        <v>616086730.89999998</v>
      </c>
      <c r="AR293">
        <v>618113138.89999998</v>
      </c>
      <c r="AS293">
        <v>620254131.79999995</v>
      </c>
      <c r="AT293">
        <v>622289955.70000005</v>
      </c>
      <c r="AU293">
        <v>624265076.89999998</v>
      </c>
      <c r="AV293">
        <v>626199411.39999998</v>
      </c>
      <c r="AW293">
        <v>628125419.20000005</v>
      </c>
    </row>
    <row r="294" spans="2:49" x14ac:dyDescent="0.25">
      <c r="B294" t="s">
        <v>536</v>
      </c>
      <c r="C294">
        <v>13020.598862561899</v>
      </c>
      <c r="D294">
        <v>13229.6487889324</v>
      </c>
      <c r="E294">
        <v>13442.05508</v>
      </c>
      <c r="F294">
        <v>13722.81287</v>
      </c>
      <c r="G294">
        <v>14096.83547</v>
      </c>
      <c r="H294">
        <v>13574.7979</v>
      </c>
      <c r="I294">
        <v>13067.91574</v>
      </c>
      <c r="J294">
        <v>13345.89464</v>
      </c>
      <c r="K294">
        <v>13560.866379999999</v>
      </c>
      <c r="L294">
        <v>13430.80559</v>
      </c>
      <c r="M294">
        <v>13600.12976</v>
      </c>
      <c r="N294">
        <v>13988.516680000001</v>
      </c>
      <c r="O294">
        <v>14218.74951</v>
      </c>
      <c r="P294">
        <v>14465.768389999999</v>
      </c>
      <c r="Q294">
        <v>14820.502130000001</v>
      </c>
      <c r="R294">
        <v>15189.15755</v>
      </c>
      <c r="S294">
        <v>14847.02563</v>
      </c>
      <c r="T294">
        <v>14261.44808</v>
      </c>
      <c r="U294">
        <v>14104.25749</v>
      </c>
      <c r="V294">
        <v>13920.406709999999</v>
      </c>
      <c r="W294">
        <v>14112.78004</v>
      </c>
      <c r="X294">
        <v>14235.29644</v>
      </c>
      <c r="Y294">
        <v>14363.61889</v>
      </c>
      <c r="Z294">
        <v>14458.106879999999</v>
      </c>
      <c r="AA294">
        <v>14632.233130000001</v>
      </c>
      <c r="AB294">
        <v>14836.82524</v>
      </c>
      <c r="AC294">
        <v>15046.31936</v>
      </c>
      <c r="AD294">
        <v>15275.947029999999</v>
      </c>
      <c r="AE294">
        <v>15499.65328</v>
      </c>
      <c r="AF294">
        <v>15756.969429999999</v>
      </c>
      <c r="AG294">
        <v>16042.28368</v>
      </c>
      <c r="AH294">
        <v>16356.282810000001</v>
      </c>
      <c r="AI294">
        <v>16709.42164</v>
      </c>
      <c r="AJ294">
        <v>17097.734789999999</v>
      </c>
      <c r="AK294">
        <v>17493.700659999999</v>
      </c>
      <c r="AL294">
        <v>17907.72249</v>
      </c>
      <c r="AM294">
        <v>18332.548409999999</v>
      </c>
      <c r="AN294">
        <v>18776.62472</v>
      </c>
      <c r="AO294">
        <v>19203.639640000001</v>
      </c>
      <c r="AP294">
        <v>19642.467359999999</v>
      </c>
      <c r="AQ294">
        <v>20090.328249999999</v>
      </c>
      <c r="AR294">
        <v>20542.466690000001</v>
      </c>
      <c r="AS294">
        <v>20996.544870000002</v>
      </c>
      <c r="AT294">
        <v>21461.176319999999</v>
      </c>
      <c r="AU294">
        <v>21932.706340000001</v>
      </c>
      <c r="AV294">
        <v>22410.59719</v>
      </c>
      <c r="AW294">
        <v>22904.3999</v>
      </c>
    </row>
    <row r="295" spans="2:49" x14ac:dyDescent="0.25">
      <c r="B295" t="s">
        <v>537</v>
      </c>
      <c r="C295">
        <v>158336.21117690401</v>
      </c>
      <c r="D295">
        <v>160878.35026264799</v>
      </c>
      <c r="E295">
        <v>163461.30420000001</v>
      </c>
      <c r="F295">
        <v>173850.61290000001</v>
      </c>
      <c r="G295">
        <v>181614.35490000001</v>
      </c>
      <c r="H295">
        <v>189712.6238</v>
      </c>
      <c r="I295">
        <v>197581.39600000001</v>
      </c>
      <c r="J295">
        <v>207731.50080000001</v>
      </c>
      <c r="K295">
        <v>223635.23190000001</v>
      </c>
      <c r="L295">
        <v>240065.74299999999</v>
      </c>
      <c r="M295">
        <v>257629.97409999999</v>
      </c>
      <c r="N295">
        <v>282472.80469999998</v>
      </c>
      <c r="O295">
        <v>284279.66859999998</v>
      </c>
      <c r="P295">
        <v>280035.9448</v>
      </c>
      <c r="Q295">
        <v>275071.4583</v>
      </c>
      <c r="R295">
        <v>274677.01870000002</v>
      </c>
      <c r="S295">
        <v>278103.9032</v>
      </c>
      <c r="T295">
        <v>282057.05599999998</v>
      </c>
      <c r="U295">
        <v>281608.5258</v>
      </c>
      <c r="V295">
        <v>280594.7279</v>
      </c>
      <c r="W295">
        <v>280325.745</v>
      </c>
      <c r="X295">
        <v>280153.04249999998</v>
      </c>
      <c r="Y295">
        <v>279858.07900000003</v>
      </c>
      <c r="Z295">
        <v>279962.69939999998</v>
      </c>
      <c r="AA295">
        <v>280026.46950000001</v>
      </c>
      <c r="AB295">
        <v>280254.29489999998</v>
      </c>
      <c r="AC295">
        <v>280628.27409999998</v>
      </c>
      <c r="AD295">
        <v>281102.18670000002</v>
      </c>
      <c r="AE295">
        <v>284271.68050000002</v>
      </c>
      <c r="AF295">
        <v>286414.85019999999</v>
      </c>
      <c r="AG295">
        <v>288170.43660000002</v>
      </c>
      <c r="AH295">
        <v>292437.95909999998</v>
      </c>
      <c r="AI295">
        <v>292925.83510000003</v>
      </c>
      <c r="AJ295">
        <v>294032.68190000003</v>
      </c>
      <c r="AK295">
        <v>295468.06439999997</v>
      </c>
      <c r="AL295">
        <v>297062.1876</v>
      </c>
      <c r="AM295">
        <v>298763.94809999998</v>
      </c>
      <c r="AN295">
        <v>300730.40600000002</v>
      </c>
      <c r="AO295">
        <v>302424.90159999998</v>
      </c>
      <c r="AP295">
        <v>303964.67320000002</v>
      </c>
      <c r="AQ295">
        <v>305435.4351</v>
      </c>
      <c r="AR295">
        <v>306858.73310000001</v>
      </c>
      <c r="AS295">
        <v>308471.05790000001</v>
      </c>
      <c r="AT295">
        <v>309929.67540000001</v>
      </c>
      <c r="AU295">
        <v>311315.0001</v>
      </c>
      <c r="AV295">
        <v>312652.80080000003</v>
      </c>
      <c r="AW295">
        <v>313949.13929999998</v>
      </c>
    </row>
    <row r="296" spans="2:49" x14ac:dyDescent="0.25">
      <c r="B296" t="s">
        <v>538</v>
      </c>
      <c r="C296">
        <v>516755.579312385</v>
      </c>
      <c r="D296">
        <v>525052.257287574</v>
      </c>
      <c r="E296">
        <v>533482.14110000001</v>
      </c>
      <c r="F296">
        <v>548933.17799999996</v>
      </c>
      <c r="G296">
        <v>553284.51399999997</v>
      </c>
      <c r="H296">
        <v>564082.01509999996</v>
      </c>
      <c r="I296">
        <v>572443.19079999998</v>
      </c>
      <c r="J296">
        <v>587585.80200000003</v>
      </c>
      <c r="K296">
        <v>602377.31019999995</v>
      </c>
      <c r="L296">
        <v>620555.54040000006</v>
      </c>
      <c r="M296">
        <v>644546.1128</v>
      </c>
      <c r="N296">
        <v>669020.35369999998</v>
      </c>
      <c r="O296">
        <v>672094.98140000005</v>
      </c>
      <c r="P296">
        <v>671441.94350000005</v>
      </c>
      <c r="Q296">
        <v>668317.33319999999</v>
      </c>
      <c r="R296">
        <v>665594.32799999998</v>
      </c>
      <c r="S296">
        <v>669429.31850000005</v>
      </c>
      <c r="T296">
        <v>669841.82380000001</v>
      </c>
      <c r="U296">
        <v>671125.33649999998</v>
      </c>
      <c r="V296">
        <v>672087.43090000004</v>
      </c>
      <c r="W296">
        <v>672782.62890000001</v>
      </c>
      <c r="X296">
        <v>673027.09459999995</v>
      </c>
      <c r="Y296">
        <v>673184.90689999994</v>
      </c>
      <c r="Z296">
        <v>673255.30570000003</v>
      </c>
      <c r="AA296">
        <v>673829.41650000005</v>
      </c>
      <c r="AB296">
        <v>674630.64870000002</v>
      </c>
      <c r="AC296">
        <v>675485.72900000005</v>
      </c>
      <c r="AD296">
        <v>676480.21519999998</v>
      </c>
      <c r="AE296">
        <v>678232.67890000006</v>
      </c>
      <c r="AF296">
        <v>679821.52</v>
      </c>
      <c r="AG296">
        <v>681401.8639</v>
      </c>
      <c r="AH296">
        <v>683887.97320000001</v>
      </c>
      <c r="AI296">
        <v>685402.88600000006</v>
      </c>
      <c r="AJ296">
        <v>687258.94140000001</v>
      </c>
      <c r="AK296">
        <v>689247.43469999998</v>
      </c>
      <c r="AL296">
        <v>691334.20589999994</v>
      </c>
      <c r="AM296">
        <v>693450.00170000002</v>
      </c>
      <c r="AN296">
        <v>695672.72820000001</v>
      </c>
      <c r="AO296">
        <v>697763.50989999995</v>
      </c>
      <c r="AP296">
        <v>699828.63130000001</v>
      </c>
      <c r="AQ296">
        <v>701858.05729999999</v>
      </c>
      <c r="AR296">
        <v>703851.125</v>
      </c>
      <c r="AS296">
        <v>705875.10699999996</v>
      </c>
      <c r="AT296">
        <v>707855.8064</v>
      </c>
      <c r="AU296">
        <v>709799.90099999995</v>
      </c>
      <c r="AV296">
        <v>711718.10270000005</v>
      </c>
      <c r="AW296">
        <v>713654.94850000006</v>
      </c>
    </row>
    <row r="297" spans="2:49" x14ac:dyDescent="0.25">
      <c r="B297" t="s">
        <v>539</v>
      </c>
      <c r="C297">
        <v>82711.5521017555</v>
      </c>
      <c r="D297">
        <v>84039.512824558697</v>
      </c>
      <c r="E297">
        <v>85388.794389999995</v>
      </c>
      <c r="F297">
        <v>93009.712629999995</v>
      </c>
      <c r="G297">
        <v>97459.601599999995</v>
      </c>
      <c r="H297">
        <v>105513.5346</v>
      </c>
      <c r="I297">
        <v>111221.7874</v>
      </c>
      <c r="J297">
        <v>122711.4235</v>
      </c>
      <c r="K297">
        <v>131981.77799999999</v>
      </c>
      <c r="L297">
        <v>141054.14490000001</v>
      </c>
      <c r="M297">
        <v>152999.29670000001</v>
      </c>
      <c r="N297">
        <v>160166.47949999999</v>
      </c>
      <c r="O297">
        <v>157105.08249999999</v>
      </c>
      <c r="P297">
        <v>157111.60769999999</v>
      </c>
      <c r="Q297">
        <v>160190.26079999999</v>
      </c>
      <c r="R297">
        <v>157554.4577</v>
      </c>
      <c r="S297">
        <v>157560.56719999999</v>
      </c>
      <c r="T297">
        <v>156747.38329999999</v>
      </c>
      <c r="U297">
        <v>157669.37340000001</v>
      </c>
      <c r="V297">
        <v>158695.6355</v>
      </c>
      <c r="W297">
        <v>159308.5998</v>
      </c>
      <c r="X297">
        <v>159731.2757</v>
      </c>
      <c r="Y297">
        <v>160133.83100000001</v>
      </c>
      <c r="Z297">
        <v>160318.81959999999</v>
      </c>
      <c r="AA297">
        <v>160740.07889999999</v>
      </c>
      <c r="AB297">
        <v>161193.78099999999</v>
      </c>
      <c r="AC297">
        <v>161611.2298</v>
      </c>
      <c r="AD297">
        <v>162045.6439</v>
      </c>
      <c r="AE297">
        <v>161670.5975</v>
      </c>
      <c r="AF297">
        <v>161664.2598</v>
      </c>
      <c r="AG297">
        <v>161818.94149999999</v>
      </c>
      <c r="AH297">
        <v>161283.59270000001</v>
      </c>
      <c r="AI297">
        <v>161956.06409999999</v>
      </c>
      <c r="AJ297">
        <v>162491.30900000001</v>
      </c>
      <c r="AK297">
        <v>162931.38260000001</v>
      </c>
      <c r="AL297">
        <v>163335.1183</v>
      </c>
      <c r="AM297">
        <v>163702.52050000001</v>
      </c>
      <c r="AN297">
        <v>164005.83069999999</v>
      </c>
      <c r="AO297">
        <v>164367.28810000001</v>
      </c>
      <c r="AP297">
        <v>164789.90359999999</v>
      </c>
      <c r="AQ297">
        <v>165233.06529999999</v>
      </c>
      <c r="AR297">
        <v>165685.02160000001</v>
      </c>
      <c r="AS297">
        <v>166069.87549999999</v>
      </c>
      <c r="AT297">
        <v>166509.4002</v>
      </c>
      <c r="AU297">
        <v>166968.5349</v>
      </c>
      <c r="AV297">
        <v>167440.0122</v>
      </c>
      <c r="AW297">
        <v>167939.47930000001</v>
      </c>
    </row>
    <row r="298" spans="2:49" x14ac:dyDescent="0.25">
      <c r="B298" t="s">
        <v>540</v>
      </c>
      <c r="C298">
        <v>45689.201708803201</v>
      </c>
      <c r="D298">
        <v>46422.756620829103</v>
      </c>
      <c r="E298">
        <v>47168.089</v>
      </c>
      <c r="F298">
        <v>48340.077310000001</v>
      </c>
      <c r="G298">
        <v>48150.356659999998</v>
      </c>
      <c r="H298">
        <v>49180.408499999998</v>
      </c>
      <c r="I298">
        <v>49789.817490000001</v>
      </c>
      <c r="J298">
        <v>51234.149850000002</v>
      </c>
      <c r="K298">
        <v>51676.634530000003</v>
      </c>
      <c r="L298">
        <v>52676.492980000003</v>
      </c>
      <c r="M298">
        <v>54535.777620000001</v>
      </c>
      <c r="N298">
        <v>55449.988640000003</v>
      </c>
      <c r="O298">
        <v>55541.989950000003</v>
      </c>
      <c r="P298">
        <v>55961.59375</v>
      </c>
      <c r="Q298">
        <v>56214.762139999999</v>
      </c>
      <c r="R298">
        <v>55743.440360000001</v>
      </c>
      <c r="S298">
        <v>55805.044009999998</v>
      </c>
      <c r="T298">
        <v>55486.123399999997</v>
      </c>
      <c r="U298">
        <v>55825.478600000002</v>
      </c>
      <c r="V298">
        <v>56199.443019999999</v>
      </c>
      <c r="W298">
        <v>56432.251029999999</v>
      </c>
      <c r="X298">
        <v>56589.248339999998</v>
      </c>
      <c r="Y298">
        <v>56747.280440000002</v>
      </c>
      <c r="Z298">
        <v>56836.985399999998</v>
      </c>
      <c r="AA298">
        <v>57005.082690000003</v>
      </c>
      <c r="AB298">
        <v>57183.140930000001</v>
      </c>
      <c r="AC298">
        <v>57348.68518</v>
      </c>
      <c r="AD298">
        <v>57520.578849999998</v>
      </c>
      <c r="AE298">
        <v>57424.060819999999</v>
      </c>
      <c r="AF298">
        <v>57447.958890000002</v>
      </c>
      <c r="AG298">
        <v>57524.765460000002</v>
      </c>
      <c r="AH298">
        <v>57384.210220000001</v>
      </c>
      <c r="AI298">
        <v>57629.395550000001</v>
      </c>
      <c r="AJ298">
        <v>57837.337979999997</v>
      </c>
      <c r="AK298">
        <v>58019.605069999998</v>
      </c>
      <c r="AL298">
        <v>58194.214460000003</v>
      </c>
      <c r="AM298">
        <v>58358.374280000004</v>
      </c>
      <c r="AN298">
        <v>58502.725229999996</v>
      </c>
      <c r="AO298">
        <v>58666.599560000002</v>
      </c>
      <c r="AP298">
        <v>58849.12859</v>
      </c>
      <c r="AQ298">
        <v>59037.070059999998</v>
      </c>
      <c r="AR298">
        <v>59227.195679999997</v>
      </c>
      <c r="AS298">
        <v>59396.510280000002</v>
      </c>
      <c r="AT298">
        <v>59581.701059999999</v>
      </c>
      <c r="AU298">
        <v>59772.412550000001</v>
      </c>
      <c r="AV298">
        <v>59966.70175</v>
      </c>
      <c r="AW298">
        <v>60170.274899999997</v>
      </c>
    </row>
    <row r="299" spans="2:49" x14ac:dyDescent="0.25">
      <c r="B299" t="s">
        <v>541</v>
      </c>
      <c r="C299">
        <v>562444.78102118801</v>
      </c>
      <c r="D299">
        <v>571475.01390840299</v>
      </c>
      <c r="E299">
        <v>580650.23010000004</v>
      </c>
      <c r="F299">
        <v>597272.89769999997</v>
      </c>
      <c r="G299">
        <v>601431.39139999996</v>
      </c>
      <c r="H299">
        <v>613258.79949999996</v>
      </c>
      <c r="I299">
        <v>622229.19920000003</v>
      </c>
      <c r="J299">
        <v>638815.89569999999</v>
      </c>
      <c r="K299">
        <v>654043.44090000005</v>
      </c>
      <c r="L299">
        <v>673218.49439999997</v>
      </c>
      <c r="M299">
        <v>699067.56660000002</v>
      </c>
      <c r="N299">
        <v>724444.45979999995</v>
      </c>
      <c r="O299">
        <v>727610.75549999997</v>
      </c>
      <c r="P299">
        <v>727375.47340000002</v>
      </c>
      <c r="Q299">
        <v>724501.96970000002</v>
      </c>
      <c r="R299">
        <v>721307.29059999995</v>
      </c>
      <c r="S299">
        <v>725203.16399999999</v>
      </c>
      <c r="T299">
        <v>727418.88769999996</v>
      </c>
      <c r="U299">
        <v>729719.56920000003</v>
      </c>
      <c r="V299">
        <v>731735.23369999998</v>
      </c>
      <c r="W299">
        <v>733343.8247</v>
      </c>
      <c r="X299">
        <v>734424.68480000005</v>
      </c>
      <c r="Y299">
        <v>735420.5074</v>
      </c>
      <c r="Z299">
        <v>736260.46580000001</v>
      </c>
      <c r="AA299">
        <v>737688.77439999999</v>
      </c>
      <c r="AB299">
        <v>739358.52469999995</v>
      </c>
      <c r="AC299">
        <v>741072.45220000006</v>
      </c>
      <c r="AD299">
        <v>742936.36340000003</v>
      </c>
      <c r="AE299">
        <v>745298.55550000002</v>
      </c>
      <c r="AF299">
        <v>747621.2781</v>
      </c>
      <c r="AG299">
        <v>749992.90480000002</v>
      </c>
      <c r="AH299">
        <v>753066.70790000004</v>
      </c>
      <c r="AI299">
        <v>755551.43830000004</v>
      </c>
      <c r="AJ299">
        <v>758349.39950000006</v>
      </c>
      <c r="AK299">
        <v>761260.61450000003</v>
      </c>
      <c r="AL299">
        <v>764268.94669999997</v>
      </c>
      <c r="AM299">
        <v>767301.14009999996</v>
      </c>
      <c r="AN299">
        <v>770427.27789999999</v>
      </c>
      <c r="AO299">
        <v>773443.63600000006</v>
      </c>
      <c r="AP299">
        <v>776457.74730000005</v>
      </c>
      <c r="AQ299">
        <v>779445.73160000006</v>
      </c>
      <c r="AR299">
        <v>782403.51199999999</v>
      </c>
      <c r="AS299">
        <v>785376.43900000001</v>
      </c>
      <c r="AT299">
        <v>788326.03260000004</v>
      </c>
      <c r="AU299">
        <v>791248.42070000002</v>
      </c>
      <c r="AV299">
        <v>794152.53780000005</v>
      </c>
      <c r="AW299">
        <v>797090.07279999997</v>
      </c>
    </row>
    <row r="300" spans="2:49" x14ac:dyDescent="0.25">
      <c r="B300" t="s">
        <v>542</v>
      </c>
      <c r="C300">
        <v>241047.76327865999</v>
      </c>
      <c r="D300">
        <v>244917.86308720699</v>
      </c>
      <c r="E300">
        <v>248850.0986</v>
      </c>
      <c r="F300">
        <v>266843.1495</v>
      </c>
      <c r="G300">
        <v>279055.70049999998</v>
      </c>
      <c r="H300">
        <v>295163.7597</v>
      </c>
      <c r="I300">
        <v>308732.76409999997</v>
      </c>
      <c r="J300">
        <v>330278.70449999999</v>
      </c>
      <c r="K300">
        <v>355440.2426</v>
      </c>
      <c r="L300">
        <v>380929.57709999999</v>
      </c>
      <c r="M300">
        <v>410418.7648</v>
      </c>
      <c r="N300">
        <v>442302.08069999999</v>
      </c>
      <c r="O300">
        <v>441015.01640000002</v>
      </c>
      <c r="P300">
        <v>436769.96260000003</v>
      </c>
      <c r="Q300">
        <v>434815.89889999997</v>
      </c>
      <c r="R300">
        <v>431777.24119999999</v>
      </c>
      <c r="S300">
        <v>435198.93550000002</v>
      </c>
      <c r="T300">
        <v>438316.75770000002</v>
      </c>
      <c r="U300">
        <v>438786.88870000001</v>
      </c>
      <c r="V300">
        <v>438794.19010000001</v>
      </c>
      <c r="W300">
        <v>439136.60820000002</v>
      </c>
      <c r="X300">
        <v>439385.75699999998</v>
      </c>
      <c r="Y300">
        <v>439492.57880000002</v>
      </c>
      <c r="Z300">
        <v>439781.82799999998</v>
      </c>
      <c r="AA300">
        <v>440266.01409999997</v>
      </c>
      <c r="AB300">
        <v>440946.56229999999</v>
      </c>
      <c r="AC300">
        <v>441737.01079999999</v>
      </c>
      <c r="AD300">
        <v>442644.25429999997</v>
      </c>
      <c r="AE300">
        <v>445426.08179999999</v>
      </c>
      <c r="AF300">
        <v>447557.49440000003</v>
      </c>
      <c r="AG300">
        <v>449464.16239999997</v>
      </c>
      <c r="AH300">
        <v>453175.07510000002</v>
      </c>
      <c r="AI300">
        <v>454333.70110000001</v>
      </c>
      <c r="AJ300">
        <v>455973.80219999998</v>
      </c>
      <c r="AK300">
        <v>457846.75209999998</v>
      </c>
      <c r="AL300">
        <v>459841.75750000001</v>
      </c>
      <c r="AM300">
        <v>461907.78869999998</v>
      </c>
      <c r="AN300">
        <v>464173.6384</v>
      </c>
      <c r="AO300">
        <v>466226.48100000003</v>
      </c>
      <c r="AP300">
        <v>468186.15340000001</v>
      </c>
      <c r="AQ300">
        <v>470097.51040000003</v>
      </c>
      <c r="AR300">
        <v>471970.29210000002</v>
      </c>
      <c r="AS300">
        <v>473964.587</v>
      </c>
      <c r="AT300">
        <v>475860.1911</v>
      </c>
      <c r="AU300">
        <v>477702.25140000001</v>
      </c>
      <c r="AV300">
        <v>479509.21309999999</v>
      </c>
      <c r="AW300">
        <v>481302.7622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>
    <tabColor rgb="FF0070C0"/>
  </sheetPr>
  <dimension ref="A1:BV376"/>
  <sheetViews>
    <sheetView topLeftCell="A34" zoomScale="80" zoomScaleNormal="80" workbookViewId="0">
      <selection activeCell="F10" sqref="F10"/>
    </sheetView>
  </sheetViews>
  <sheetFormatPr baseColWidth="10" defaultRowHeight="15" x14ac:dyDescent="0.25"/>
  <cols>
    <col min="1" max="2" width="29.85546875" customWidth="1"/>
    <col min="6" max="7" width="11.42578125" customWidth="1"/>
    <col min="9" max="9" width="13.140625" customWidth="1"/>
    <col min="10" max="12" width="11.42578125" style="3"/>
    <col min="13" max="13" width="11.42578125" style="3" customWidth="1"/>
    <col min="14" max="15" width="11.42578125" style="3"/>
    <col min="16" max="16" width="13.42578125" style="3" customWidth="1"/>
    <col min="17" max="19" width="11.42578125" style="3"/>
    <col min="20" max="20" width="11.42578125" style="3" customWidth="1"/>
    <col min="21" max="74" width="11.42578125" style="3"/>
  </cols>
  <sheetData>
    <row r="1" spans="1:28" ht="23.25" x14ac:dyDescent="0.35">
      <c r="A1" s="1" t="s">
        <v>86</v>
      </c>
      <c r="B1" s="46"/>
      <c r="C1" s="3"/>
      <c r="D1" s="3"/>
      <c r="E1" s="3"/>
      <c r="F1" s="3"/>
      <c r="G1" s="3"/>
      <c r="H1" s="3"/>
      <c r="I1" s="3"/>
    </row>
    <row r="2" spans="1:28" ht="18.75" x14ac:dyDescent="0.3">
      <c r="A2" s="41"/>
      <c r="B2" s="41"/>
      <c r="C2" s="3"/>
      <c r="D2" s="3"/>
      <c r="E2" s="3"/>
      <c r="F2" s="3"/>
      <c r="G2" s="3"/>
      <c r="H2" s="3"/>
      <c r="I2" s="3"/>
      <c r="R2" s="41"/>
      <c r="V2" s="45"/>
      <c r="W2" s="45"/>
    </row>
    <row r="3" spans="1:28" ht="23.25" x14ac:dyDescent="0.35">
      <c r="A3" s="161" t="str">
        <f>Résultats!B1</f>
        <v>SNBC3</v>
      </c>
      <c r="B3" s="161"/>
      <c r="C3" s="3"/>
      <c r="D3" s="3"/>
      <c r="E3" s="3"/>
      <c r="F3" s="3"/>
      <c r="G3" s="3"/>
      <c r="H3" s="3"/>
      <c r="I3" s="3"/>
      <c r="R3" s="41"/>
      <c r="V3" s="45"/>
      <c r="W3" s="45"/>
    </row>
    <row r="4" spans="1:28" x14ac:dyDescent="0.25">
      <c r="A4" s="3"/>
      <c r="B4" s="3"/>
      <c r="C4" s="43"/>
      <c r="D4" s="43"/>
      <c r="E4" s="43"/>
      <c r="F4" s="43"/>
      <c r="G4" s="44"/>
      <c r="H4" s="3"/>
      <c r="I4" s="3"/>
      <c r="J4" s="44"/>
      <c r="K4" s="44"/>
      <c r="L4" s="44"/>
      <c r="M4" s="44"/>
      <c r="O4" s="42"/>
      <c r="Q4" s="44"/>
      <c r="R4" s="44"/>
      <c r="S4" s="44"/>
      <c r="T4" s="44"/>
      <c r="X4" s="44"/>
      <c r="Y4" s="44"/>
      <c r="Z4" s="44"/>
      <c r="AA4" s="44"/>
    </row>
    <row r="5" spans="1:28" ht="21" x14ac:dyDescent="0.35">
      <c r="A5" s="145">
        <v>2015</v>
      </c>
      <c r="B5" s="186"/>
      <c r="C5" s="4" t="s">
        <v>36</v>
      </c>
      <c r="D5" s="4" t="s">
        <v>37</v>
      </c>
      <c r="E5" s="4" t="s">
        <v>38</v>
      </c>
      <c r="F5" s="4" t="s">
        <v>39</v>
      </c>
      <c r="G5" s="4" t="s">
        <v>40</v>
      </c>
      <c r="H5" s="93" t="s">
        <v>1</v>
      </c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</row>
    <row r="6" spans="1:28" x14ac:dyDescent="0.25">
      <c r="A6" s="162" t="s">
        <v>18</v>
      </c>
      <c r="B6" s="187"/>
      <c r="C6" s="36">
        <f>C7+C8</f>
        <v>0</v>
      </c>
      <c r="D6" s="36">
        <f>D7+D8</f>
        <v>130.5135671240229</v>
      </c>
      <c r="E6" s="36">
        <f>E7+E8</f>
        <v>0.60233745310404563</v>
      </c>
      <c r="F6" s="36">
        <f>F7+F8</f>
        <v>0.40936353536383868</v>
      </c>
      <c r="G6" s="36">
        <f>G7+G8</f>
        <v>0</v>
      </c>
      <c r="H6" s="163">
        <f t="shared" ref="H6:H15" si="0">SUM(C6:G6)</f>
        <v>131.52526811249078</v>
      </c>
      <c r="I6" s="166"/>
      <c r="J6" s="166"/>
      <c r="K6" s="166" t="s">
        <v>89</v>
      </c>
      <c r="L6" s="166"/>
      <c r="M6" s="166"/>
      <c r="N6" s="38"/>
      <c r="O6" s="206"/>
      <c r="P6" s="206"/>
      <c r="Q6" s="206"/>
      <c r="R6" s="206"/>
      <c r="S6" s="206"/>
      <c r="T6" s="207"/>
      <c r="U6" s="38"/>
      <c r="V6" s="45"/>
      <c r="W6" s="82"/>
      <c r="X6" s="208"/>
      <c r="Y6" s="208"/>
      <c r="Z6" s="208"/>
      <c r="AA6" s="208"/>
      <c r="AB6" s="208"/>
    </row>
    <row r="7" spans="1:28" x14ac:dyDescent="0.25">
      <c r="A7" s="148" t="s">
        <v>19</v>
      </c>
      <c r="B7" s="35"/>
      <c r="C7" s="16">
        <v>0</v>
      </c>
      <c r="D7" s="16">
        <f>'T energie usages'!I12*3.2*Résultats!L283</f>
        <v>75.026645007822907</v>
      </c>
      <c r="E7" s="16">
        <f>'T energie usages'!J12/'T energie usages'!J$20*(Résultats!N$192+Résultats!N$193+Résultats!N$194)/1000000</f>
        <v>1.1355947942329943E-2</v>
      </c>
      <c r="F7" s="16">
        <f>'T energie usages'!K12*2.394*Résultats!L284</f>
        <v>1.4282773838683512E-5</v>
      </c>
      <c r="G7" s="16">
        <v>0</v>
      </c>
      <c r="H7" s="95">
        <f t="shared" si="0"/>
        <v>75.038015238539074</v>
      </c>
      <c r="I7" s="166"/>
      <c r="J7" s="166"/>
      <c r="K7" s="194"/>
      <c r="L7" s="195">
        <v>2020</v>
      </c>
      <c r="M7" s="195">
        <v>2030</v>
      </c>
      <c r="N7" s="196">
        <v>2050</v>
      </c>
      <c r="O7" s="206"/>
      <c r="P7" s="206"/>
      <c r="Q7" s="206"/>
      <c r="R7" s="206"/>
      <c r="S7" s="206"/>
      <c r="T7" s="207"/>
      <c r="U7" s="38"/>
      <c r="V7" s="45"/>
      <c r="W7" s="30"/>
      <c r="X7" s="208"/>
      <c r="Y7" s="208"/>
      <c r="Z7" s="208"/>
      <c r="AA7" s="208"/>
      <c r="AB7" s="208"/>
    </row>
    <row r="8" spans="1:28" x14ac:dyDescent="0.25">
      <c r="A8" s="149" t="s">
        <v>20</v>
      </c>
      <c r="B8" s="35"/>
      <c r="C8" s="16">
        <v>0</v>
      </c>
      <c r="D8" s="16">
        <f>(Résultats!N$183+Résultats!N$184+Résultats!N$185+Résultats!N$186+Résultats!N$187)/1000000</f>
        <v>55.486922116199992</v>
      </c>
      <c r="E8" s="16">
        <f>'T energie usages'!J13/'T energie usages'!J$20*(Résultats!N$192+Résultats!N$193+Résultats!N$194)/1000000</f>
        <v>0.59098150516171566</v>
      </c>
      <c r="F8" s="16">
        <f>(Résultats!N$209+Résultats!N$210+Résultats!N$211+Résultats!N$212+Résultats!N$213)/1000000</f>
        <v>0.40934925258999999</v>
      </c>
      <c r="G8" s="16">
        <v>0</v>
      </c>
      <c r="H8" s="95">
        <f t="shared" si="0"/>
        <v>56.487252873951704</v>
      </c>
      <c r="I8" s="166"/>
      <c r="J8" s="166"/>
      <c r="K8" s="197" t="s">
        <v>18</v>
      </c>
      <c r="L8" s="45">
        <f>H19</f>
        <v>128.05956102086083</v>
      </c>
      <c r="M8" s="45">
        <f>H45</f>
        <v>98.864437400512031</v>
      </c>
      <c r="N8" s="86">
        <f>H71</f>
        <v>10.413069780666026</v>
      </c>
      <c r="O8" s="206"/>
      <c r="P8" s="206"/>
      <c r="Q8" s="206"/>
      <c r="R8" s="206"/>
      <c r="S8" s="206"/>
      <c r="T8" s="207"/>
      <c r="U8" s="38"/>
      <c r="V8" s="45"/>
      <c r="W8" s="30"/>
      <c r="X8" s="208"/>
      <c r="Y8" s="208"/>
      <c r="Z8" s="208"/>
      <c r="AA8" s="208"/>
      <c r="AB8" s="208"/>
    </row>
    <row r="9" spans="1:28" x14ac:dyDescent="0.25">
      <c r="A9" s="162" t="s">
        <v>21</v>
      </c>
      <c r="B9" s="187"/>
      <c r="C9" s="36">
        <f>Résultats!N$135/1000000</f>
        <v>1.033372403</v>
      </c>
      <c r="D9" s="36">
        <f>'T energie usages'!I14*3.2*Résultats!L283</f>
        <v>22.177323285380812</v>
      </c>
      <c r="E9" s="36">
        <f>'T energie usages'!J14/'T energie usages'!J$20*(Résultats!N$192+Résultats!N$193+Résultats!N$194)/1000000</f>
        <v>6.8591689412552741</v>
      </c>
      <c r="F9" s="36">
        <f>('T energie usages'!K14-8)*2.394*Résultats!L284</f>
        <v>21.98363518336981</v>
      </c>
      <c r="G9" s="36">
        <v>0</v>
      </c>
      <c r="H9" s="163">
        <f t="shared" si="0"/>
        <v>52.053499813005899</v>
      </c>
      <c r="I9" s="166"/>
      <c r="J9" s="166"/>
      <c r="K9" s="197" t="s">
        <v>87</v>
      </c>
      <c r="L9" s="45">
        <f>H22</f>
        <v>45.077731845377158</v>
      </c>
      <c r="M9" s="45">
        <f>H48</f>
        <v>25.644927390321332</v>
      </c>
      <c r="N9" s="86">
        <f>H74</f>
        <v>4.1190840351979947</v>
      </c>
      <c r="O9" s="206"/>
      <c r="P9" s="206"/>
      <c r="Q9" s="206"/>
      <c r="R9" s="206"/>
      <c r="S9" s="206"/>
      <c r="T9" s="207"/>
      <c r="U9" s="38"/>
      <c r="V9" s="45"/>
      <c r="W9" s="82"/>
      <c r="X9" s="208"/>
      <c r="Y9" s="208"/>
      <c r="Z9" s="208"/>
      <c r="AA9" s="208"/>
      <c r="AB9" s="208"/>
    </row>
    <row r="10" spans="1:28" x14ac:dyDescent="0.25">
      <c r="A10" s="162" t="s">
        <v>22</v>
      </c>
      <c r="B10" s="187"/>
      <c r="C10" s="36">
        <f>(Résultats!N$168+Résultats!N$169)/1000000</f>
        <v>0</v>
      </c>
      <c r="D10" s="36">
        <f>(Résultats!N$188+Résultats!N$189)/1000000</f>
        <v>12.179231891799999</v>
      </c>
      <c r="E10" s="36">
        <f>'T energie usages'!J15/'T energie usages'!J$20*(Résultats!N$192+Résultats!N$193+Résultats!N$194)/1000000</f>
        <v>6.4939794552575636</v>
      </c>
      <c r="F10" s="36">
        <f>(Résultats!N$214+Résultats!N$215)/1000000</f>
        <v>18.661455416000003</v>
      </c>
      <c r="G10" s="36">
        <v>0</v>
      </c>
      <c r="H10" s="163">
        <f t="shared" si="0"/>
        <v>37.334666763057569</v>
      </c>
      <c r="I10" s="166"/>
      <c r="J10" s="166"/>
      <c r="K10" s="157" t="s">
        <v>22</v>
      </c>
      <c r="L10" s="45">
        <f>H23</f>
        <v>28.815545658120186</v>
      </c>
      <c r="M10" s="45">
        <f>H49</f>
        <v>20.866867717565718</v>
      </c>
      <c r="N10" s="86">
        <f>H75</f>
        <v>4.6746177133084155</v>
      </c>
      <c r="O10" s="206"/>
      <c r="P10" s="206"/>
      <c r="Q10" s="206"/>
      <c r="R10" s="206"/>
      <c r="S10" s="206"/>
      <c r="T10" s="207"/>
      <c r="U10" s="38"/>
      <c r="V10" s="45"/>
      <c r="W10" s="82"/>
      <c r="X10" s="208"/>
      <c r="Y10" s="208"/>
      <c r="Z10" s="208"/>
      <c r="AA10" s="208"/>
      <c r="AB10" s="208"/>
    </row>
    <row r="11" spans="1:28" x14ac:dyDescent="0.25">
      <c r="A11" s="162" t="s">
        <v>23</v>
      </c>
      <c r="B11" s="187"/>
      <c r="C11" s="36">
        <f>C12+C13</f>
        <v>19.514352493299999</v>
      </c>
      <c r="D11" s="36">
        <f>D12+D13</f>
        <v>62.218943788786426</v>
      </c>
      <c r="E11" s="36">
        <f>E12+E13</f>
        <v>5.5839547893831156</v>
      </c>
      <c r="F11" s="36">
        <f>F12+F13</f>
        <v>25.951649112608145</v>
      </c>
      <c r="G11" s="36">
        <f>G12+G13</f>
        <v>12.05881789</v>
      </c>
      <c r="H11" s="163">
        <f t="shared" si="0"/>
        <v>125.32771807407769</v>
      </c>
      <c r="I11" s="166"/>
      <c r="J11" s="166"/>
      <c r="K11" s="198" t="s">
        <v>88</v>
      </c>
      <c r="L11" s="199">
        <f>H24</f>
        <v>96.316808021292928</v>
      </c>
      <c r="M11" s="199">
        <f>H50</f>
        <v>66.192369079301031</v>
      </c>
      <c r="N11" s="89">
        <f>H76</f>
        <v>40.949380885413049</v>
      </c>
      <c r="O11" s="206"/>
      <c r="P11" s="206"/>
      <c r="Q11" s="206"/>
      <c r="R11" s="206"/>
      <c r="S11" s="206"/>
      <c r="T11" s="207"/>
      <c r="U11" s="38"/>
      <c r="V11" s="45"/>
      <c r="W11" s="82"/>
      <c r="X11" s="208"/>
      <c r="Y11" s="208"/>
      <c r="Z11" s="208"/>
      <c r="AA11" s="208"/>
      <c r="AB11" s="208"/>
    </row>
    <row r="12" spans="1:28" x14ac:dyDescent="0.25">
      <c r="A12" s="149" t="s">
        <v>24</v>
      </c>
      <c r="B12" s="35"/>
      <c r="C12" s="16">
        <f>(Résultats!N$162+Résultats!N$163+Résultats!N$164+Résultats!N$165+Résultats!N$166+Résultats!N$167)/1000000</f>
        <v>19.514352493299999</v>
      </c>
      <c r="D12" s="16">
        <f>(Résultats!N$171+Résultats!N$173+Résultats!N$174+Résultats!N$175+Résultats!N$176+Résultats!N$177+Résultats!N$178+Résultats!N$179+Résultats!N$180+Résultats!N$181+Résultats!N$182)/1000000</f>
        <v>55.099734203786426</v>
      </c>
      <c r="E12" s="16">
        <f>'T energie usages'!J17/'T energie usages'!J$20*(Résultats!N$192+Résultats!N$193+Résultats!N$194)/1000000</f>
        <v>5.4262557040763335</v>
      </c>
      <c r="F12" s="16">
        <f>(Résultats!N$197+Résultats!N$198+Résultats!N$199+Résultats!N$200+Résultats!N$201+Résultats!N$202+Résultats!N$203+Résultats!N$204+Résultats!N$205+Résultats!N$206+Résultats!N$207+Résultats!N$208+Résultats!N$216+Résultats!N$218)/1000000</f>
        <v>25.281377882108146</v>
      </c>
      <c r="G12" s="16">
        <f>Résultats!N$133/1000000</f>
        <v>12.05881789</v>
      </c>
      <c r="H12" s="95">
        <f t="shared" si="0"/>
        <v>117.38053817327091</v>
      </c>
      <c r="I12" s="166"/>
      <c r="J12" s="166"/>
      <c r="K12" s="200" t="s">
        <v>1</v>
      </c>
      <c r="L12" s="188">
        <f>SUM(L8:L11)</f>
        <v>298.26964654565109</v>
      </c>
      <c r="M12" s="188">
        <f t="shared" ref="M12:N12" si="1">SUM(M8:M11)</f>
        <v>211.56860158770013</v>
      </c>
      <c r="N12" s="188">
        <f t="shared" si="1"/>
        <v>60.156152414585485</v>
      </c>
      <c r="O12" s="206"/>
      <c r="P12" s="206"/>
      <c r="Q12" s="206"/>
      <c r="R12" s="206"/>
      <c r="S12" s="206"/>
      <c r="T12" s="207"/>
      <c r="U12" s="38"/>
      <c r="V12" s="45"/>
      <c r="W12" s="30"/>
      <c r="X12" s="208"/>
      <c r="Y12" s="208"/>
      <c r="Z12" s="208"/>
      <c r="AA12" s="208"/>
      <c r="AB12" s="208"/>
    </row>
    <row r="13" spans="1:28" x14ac:dyDescent="0.25">
      <c r="A13" s="149" t="s">
        <v>25</v>
      </c>
      <c r="B13" s="35"/>
      <c r="C13" s="16">
        <v>0</v>
      </c>
      <c r="D13" s="16">
        <f>(Résultats!N$172)/1000000</f>
        <v>7.1192095850000001</v>
      </c>
      <c r="E13" s="16">
        <f>'T energie usages'!J19/'T energie usages'!J$20*(Résultats!N$192+Résultats!N$193+Résultats!N$194)/1000000</f>
        <v>0.15769908530678176</v>
      </c>
      <c r="F13" s="16">
        <f>(Résultats!N$196)/1000000</f>
        <v>0.67027123049999993</v>
      </c>
      <c r="G13" s="16">
        <v>0</v>
      </c>
      <c r="H13" s="95">
        <f t="shared" si="0"/>
        <v>7.9471799008067823</v>
      </c>
      <c r="I13" s="166"/>
      <c r="J13" s="166"/>
      <c r="K13" s="166"/>
      <c r="L13" s="166"/>
      <c r="M13" s="166"/>
      <c r="N13" s="38"/>
      <c r="O13" s="206"/>
      <c r="P13" s="206"/>
      <c r="Q13" s="206"/>
      <c r="R13" s="206"/>
      <c r="S13" s="206"/>
      <c r="T13" s="207"/>
      <c r="U13" s="38"/>
      <c r="V13" s="45"/>
      <c r="W13" s="30"/>
      <c r="X13" s="208"/>
      <c r="Y13" s="208"/>
      <c r="Z13" s="208"/>
      <c r="AA13" s="208"/>
      <c r="AB13" s="208"/>
    </row>
    <row r="14" spans="1:28" x14ac:dyDescent="0.25">
      <c r="A14" s="48" t="s">
        <v>41</v>
      </c>
      <c r="B14" s="37"/>
      <c r="C14" s="37">
        <f>SUM(C9:C11)+C6</f>
        <v>20.5477248963</v>
      </c>
      <c r="D14" s="37">
        <f>SUM(D9:D11)+D6</f>
        <v>227.08906608999013</v>
      </c>
      <c r="E14" s="37">
        <f>SUM(E9:E11)+E6</f>
        <v>19.539440638999999</v>
      </c>
      <c r="F14" s="37">
        <f>SUM(F9:F11)+F6</f>
        <v>67.006103247341798</v>
      </c>
      <c r="G14" s="37">
        <f>SUM(G9:G11)+G6</f>
        <v>12.05881789</v>
      </c>
      <c r="H14" s="167">
        <f t="shared" si="0"/>
        <v>346.24115276263194</v>
      </c>
      <c r="I14" s="166"/>
      <c r="J14" s="166"/>
      <c r="K14" s="166"/>
      <c r="L14" s="166"/>
      <c r="M14" s="166"/>
      <c r="N14" s="38"/>
      <c r="O14" s="206"/>
      <c r="P14" s="206"/>
      <c r="Q14" s="206"/>
      <c r="R14" s="206"/>
      <c r="S14" s="206"/>
      <c r="T14" s="207"/>
      <c r="U14" s="38"/>
      <c r="V14" s="45"/>
      <c r="W14" s="80"/>
      <c r="X14" s="208"/>
      <c r="Y14" s="208"/>
      <c r="Z14" s="208"/>
      <c r="AA14" s="208"/>
      <c r="AB14" s="208"/>
    </row>
    <row r="15" spans="1:28" x14ac:dyDescent="0.25">
      <c r="A15" s="164" t="s">
        <v>43</v>
      </c>
      <c r="B15" s="164"/>
      <c r="C15" s="165">
        <f>(Résultats!N$135+Résultats!N$162+Résultats!N$163+Résultats!N$164+Résultats!N$165+Résultats!N$166+Résultats!N$167+Résultats!N$168+Résultats!N$169)/1000000</f>
        <v>20.5477248963</v>
      </c>
      <c r="D15" s="165">
        <f>(Résultats!N$137+Résultats!N$171+Résultats!N$172+Résultats!N$173+Résultats!N$174+Résultats!N$175+Résultats!N$176+Résultats!N$177+Résultats!N$178+Résultats!N$179+Résultats!N$180+Résultats!N$181+Résultats!N$182+Résultats!N$183+Résultats!N$184+Résultats!N$185+Résultats!N$186+Résultats!N$187+Résultats!N$188+Résultats!N$189)/1000000</f>
        <v>226.35091056678638</v>
      </c>
      <c r="E15" s="165">
        <f>(Résultats!N$192+Résultats!N$193+Résultats!N$194)/1000000</f>
        <v>19.539440638999999</v>
      </c>
      <c r="F15" s="165">
        <f>(Résultats!N$139+Résultats!N$196+Résultats!N$197+Résultats!N$198+Résultats!N$199+Résultats!N$200+Résultats!N$201+Résultats!N$202+Résultats!N$203+Résultats!N$204+Résultats!N$205+Résultats!N$206+Résultats!N$207+Résultats!N$208+Résultats!N$209+Résultats!N$210+Résultats!N$211+Résultats!N$212+Résultats!N$213+Résultats!N$214+Résultats!N$215+Résultats!N$216+Résultats!N$218)/1000000</f>
        <v>75.968579741198141</v>
      </c>
      <c r="G15" s="165">
        <f>Résultats!N$133/1000000</f>
        <v>12.05881789</v>
      </c>
      <c r="H15" s="188">
        <f t="shared" si="0"/>
        <v>354.46547373328451</v>
      </c>
      <c r="I15" s="166"/>
      <c r="J15" s="166"/>
      <c r="K15" s="166"/>
      <c r="L15" s="166"/>
      <c r="M15" s="207"/>
      <c r="N15" s="45"/>
      <c r="O15" s="166"/>
      <c r="P15" s="166"/>
      <c r="Q15" s="166"/>
      <c r="R15" s="166"/>
      <c r="S15" s="207"/>
      <c r="T15" s="207"/>
      <c r="U15" s="45"/>
      <c r="V15" s="45"/>
      <c r="W15" s="79"/>
      <c r="X15" s="208"/>
      <c r="Y15" s="208"/>
      <c r="Z15" s="208"/>
      <c r="AA15" s="208"/>
      <c r="AB15" s="208"/>
    </row>
    <row r="16" spans="1:28" x14ac:dyDescent="0.25">
      <c r="A16" s="164"/>
      <c r="B16" s="164"/>
      <c r="C16" s="189"/>
      <c r="D16" s="189"/>
      <c r="E16" s="189"/>
      <c r="F16" s="189"/>
      <c r="G16" s="189"/>
      <c r="H16" s="165">
        <f>Résultats!N227/1000000</f>
        <v>354.4654731</v>
      </c>
      <c r="I16" s="166"/>
      <c r="J16" s="166"/>
      <c r="K16" s="166"/>
      <c r="L16" s="166"/>
      <c r="M16" s="207"/>
      <c r="N16" s="209"/>
      <c r="O16" s="166"/>
      <c r="P16" s="166"/>
      <c r="Q16" s="166"/>
      <c r="R16" s="166"/>
      <c r="S16" s="207"/>
      <c r="T16" s="207"/>
      <c r="U16" s="209"/>
      <c r="V16" s="209"/>
      <c r="W16" s="210"/>
      <c r="X16" s="208"/>
      <c r="Y16" s="208"/>
      <c r="Z16" s="208"/>
      <c r="AA16" s="208"/>
      <c r="AB16" s="208"/>
    </row>
    <row r="17" spans="1:28" x14ac:dyDescent="0.25">
      <c r="A17" s="3"/>
      <c r="B17" s="3"/>
      <c r="C17" s="75"/>
      <c r="D17" s="75"/>
      <c r="E17" s="75"/>
      <c r="F17" s="75"/>
      <c r="G17" s="75"/>
      <c r="H17" s="45"/>
      <c r="I17" s="166"/>
      <c r="J17" s="166"/>
      <c r="K17" s="166"/>
      <c r="L17" s="166"/>
      <c r="M17" s="207"/>
      <c r="O17" s="166"/>
      <c r="P17" s="166"/>
      <c r="Q17" s="166"/>
      <c r="R17" s="166"/>
      <c r="S17" s="207"/>
      <c r="T17" s="207"/>
      <c r="X17" s="208"/>
      <c r="Y17" s="208"/>
      <c r="Z17" s="208"/>
      <c r="AA17" s="208"/>
      <c r="AB17" s="208"/>
    </row>
    <row r="18" spans="1:28" ht="21" x14ac:dyDescent="0.35">
      <c r="A18" s="145">
        <v>2020</v>
      </c>
      <c r="B18" s="186"/>
      <c r="C18" s="27" t="s">
        <v>36</v>
      </c>
      <c r="D18" s="27" t="s">
        <v>37</v>
      </c>
      <c r="E18" s="27" t="s">
        <v>38</v>
      </c>
      <c r="F18" s="27" t="s">
        <v>39</v>
      </c>
      <c r="G18" s="27" t="s">
        <v>40</v>
      </c>
      <c r="H18" s="190" t="s">
        <v>1</v>
      </c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W18" s="19"/>
      <c r="X18" s="19"/>
      <c r="Y18" s="19"/>
      <c r="Z18" s="19"/>
      <c r="AA18" s="19"/>
      <c r="AB18" s="208"/>
    </row>
    <row r="19" spans="1:28" x14ac:dyDescent="0.25">
      <c r="A19" s="162" t="s">
        <v>18</v>
      </c>
      <c r="B19" s="187"/>
      <c r="C19" s="36">
        <f>C20+C21</f>
        <v>0</v>
      </c>
      <c r="D19" s="36">
        <f>D20+D21</f>
        <v>127.10133711926156</v>
      </c>
      <c r="E19" s="36">
        <f>E20+E21</f>
        <v>0.51752927498410317</v>
      </c>
      <c r="F19" s="36">
        <f>F20+F21</f>
        <v>0.44069462661518105</v>
      </c>
      <c r="G19" s="36">
        <f>G20+G21</f>
        <v>0</v>
      </c>
      <c r="H19" s="163">
        <f>SUM(C19:G19)</f>
        <v>128.05956102086083</v>
      </c>
      <c r="I19" s="166"/>
      <c r="J19" s="166"/>
      <c r="K19" s="166"/>
      <c r="L19" s="166"/>
      <c r="M19" s="166"/>
      <c r="N19" s="38"/>
      <c r="O19" s="206"/>
      <c r="P19" s="206"/>
      <c r="Q19" s="206"/>
      <c r="R19" s="206"/>
      <c r="S19" s="206"/>
      <c r="T19" s="207"/>
      <c r="U19" s="75"/>
      <c r="W19" s="82"/>
      <c r="X19" s="208"/>
      <c r="Y19" s="208"/>
      <c r="Z19" s="208"/>
      <c r="AA19" s="208"/>
      <c r="AB19" s="208"/>
    </row>
    <row r="20" spans="1:28" x14ac:dyDescent="0.25">
      <c r="A20" s="148" t="s">
        <v>19</v>
      </c>
      <c r="B20" s="35"/>
      <c r="C20" s="16">
        <v>0</v>
      </c>
      <c r="D20" s="16">
        <f>'T energie usages'!I25*3.2*Résultats!S283</f>
        <v>73.35390074556156</v>
      </c>
      <c r="E20" s="16">
        <f>'T energie usages'!J25/'T energie usages'!J$33*(Résultats!S$192+Résultats!S$193+Résultats!S$194)/1000000</f>
        <v>3.3272423953216827E-2</v>
      </c>
      <c r="F20" s="16">
        <f>'T energie usages'!K25*2.394*Résultats!S284</f>
        <v>1.91682551810533E-5</v>
      </c>
      <c r="G20" s="16">
        <v>0</v>
      </c>
      <c r="H20" s="95">
        <f>SUM(C20:G20)</f>
        <v>73.38719233776996</v>
      </c>
      <c r="I20" s="166"/>
      <c r="J20" s="166"/>
      <c r="K20" s="166"/>
      <c r="L20" s="166"/>
      <c r="M20" s="166"/>
      <c r="N20" s="38"/>
      <c r="O20" s="206"/>
      <c r="P20" s="206"/>
      <c r="Q20" s="206"/>
      <c r="R20" s="206"/>
      <c r="S20" s="206"/>
      <c r="T20" s="207"/>
      <c r="U20" s="16"/>
      <c r="W20" s="30"/>
      <c r="X20" s="208"/>
      <c r="Y20" s="208"/>
      <c r="Z20" s="208"/>
      <c r="AA20" s="208"/>
      <c r="AB20" s="208"/>
    </row>
    <row r="21" spans="1:28" x14ac:dyDescent="0.25">
      <c r="A21" s="149" t="s">
        <v>20</v>
      </c>
      <c r="B21" s="35"/>
      <c r="C21" s="16">
        <v>0</v>
      </c>
      <c r="D21" s="16">
        <f>(Résultats!S$183+Résultats!S$184+Résultats!S$185+Résultats!S$186+Résultats!S$187)/1000000</f>
        <v>53.747436373700005</v>
      </c>
      <c r="E21" s="16">
        <f>'T energie usages'!J26/'T energie usages'!J$33*(Résultats!S$192+Résultats!S$193+Résultats!S$194)/1000000</f>
        <v>0.48425685103088634</v>
      </c>
      <c r="F21" s="16">
        <f>(Résultats!S$209+Résultats!S$210+Résultats!S$211+Résultats!S$212+Résultats!S$213)/1000000</f>
        <v>0.44067545835999999</v>
      </c>
      <c r="G21" s="16">
        <v>0</v>
      </c>
      <c r="H21" s="95">
        <f>SUM(C21:G21)</f>
        <v>54.672368683090887</v>
      </c>
      <c r="I21" s="166"/>
      <c r="J21" s="166"/>
      <c r="K21" s="166"/>
      <c r="L21" s="166"/>
      <c r="M21" s="166"/>
      <c r="N21" s="38"/>
      <c r="O21" s="206"/>
      <c r="P21" s="206"/>
      <c r="Q21" s="206"/>
      <c r="R21" s="206"/>
      <c r="S21" s="206"/>
      <c r="T21" s="207"/>
      <c r="U21" s="16"/>
      <c r="W21" s="30"/>
      <c r="X21" s="208"/>
      <c r="Y21" s="208"/>
      <c r="Z21" s="208"/>
      <c r="AA21" s="208"/>
      <c r="AB21" s="208"/>
    </row>
    <row r="22" spans="1:28" x14ac:dyDescent="0.25">
      <c r="A22" s="162" t="s">
        <v>21</v>
      </c>
      <c r="B22" s="187"/>
      <c r="C22" s="36">
        <f>Résultats!S$135/1000000</f>
        <v>0.99770707859999996</v>
      </c>
      <c r="D22" s="36">
        <f>'T energie usages'!I27*3.2*Résultats!S283</f>
        <v>19.592538982237755</v>
      </c>
      <c r="E22" s="36">
        <f>'T energie usages'!J27/'T energie usages'!J$33*(Résultats!S$192+Résultats!S$193+Résultats!S$194)/1000000</f>
        <v>5.3115626833030998</v>
      </c>
      <c r="F22" s="36">
        <f>('T energie usages'!K27-8)*2.394*Résultats!S284</f>
        <v>19.175923101236297</v>
      </c>
      <c r="G22" s="36">
        <v>0</v>
      </c>
      <c r="H22" s="163">
        <f>SUM(C22:G22)</f>
        <v>45.077731845377158</v>
      </c>
      <c r="I22" s="166"/>
      <c r="J22" s="166"/>
      <c r="K22" s="166"/>
      <c r="L22" s="166"/>
      <c r="M22" s="166"/>
      <c r="N22" s="38"/>
      <c r="O22" s="206"/>
      <c r="P22" s="206"/>
      <c r="Q22" s="206"/>
      <c r="R22" s="206"/>
      <c r="S22" s="206"/>
      <c r="T22" s="207"/>
      <c r="U22" s="75"/>
      <c r="W22" s="82"/>
      <c r="X22" s="208"/>
      <c r="Y22" s="208"/>
      <c r="Z22" s="208"/>
      <c r="AA22" s="208"/>
      <c r="AB22" s="208"/>
    </row>
    <row r="23" spans="1:28" x14ac:dyDescent="0.25">
      <c r="A23" s="162" t="s">
        <v>22</v>
      </c>
      <c r="B23" s="187"/>
      <c r="C23" s="36">
        <f>(Résultats!S$168+Résultats!S$169)/1000000</f>
        <v>0</v>
      </c>
      <c r="D23" s="36">
        <f>(Résultats!S$188+Résultats!S$189)/1000000</f>
        <v>8.7391108557999999</v>
      </c>
      <c r="E23" s="36">
        <f>'T energie usages'!J28/'T energie usages'!J$33*(Résultats!S$192+Résultats!S$193+Résultats!S$194)/1000000</f>
        <v>4.622249956320184</v>
      </c>
      <c r="F23" s="36">
        <f>(Résultats!S$214+Résultats!S$215)/1000000</f>
        <v>15.454184846</v>
      </c>
      <c r="G23" s="36">
        <v>0</v>
      </c>
      <c r="H23" s="163">
        <f t="shared" ref="H23:H28" si="2">SUM(C23:G23)</f>
        <v>28.815545658120186</v>
      </c>
      <c r="I23" s="166"/>
      <c r="J23" s="166"/>
      <c r="K23" s="166"/>
      <c r="L23" s="166"/>
      <c r="M23" s="166"/>
      <c r="N23" s="38"/>
      <c r="O23" s="206"/>
      <c r="P23" s="206"/>
      <c r="Q23" s="206"/>
      <c r="R23" s="206"/>
      <c r="S23" s="206"/>
      <c r="T23" s="207"/>
      <c r="U23" s="75"/>
      <c r="W23" s="82"/>
      <c r="X23" s="208"/>
      <c r="Y23" s="208"/>
      <c r="Z23" s="208"/>
      <c r="AA23" s="208"/>
      <c r="AB23" s="208"/>
    </row>
    <row r="24" spans="1:28" x14ac:dyDescent="0.25">
      <c r="A24" s="162" t="s">
        <v>23</v>
      </c>
      <c r="B24" s="187"/>
      <c r="C24" s="36">
        <f>C25+C26</f>
        <v>10.4003888427</v>
      </c>
      <c r="D24" s="36">
        <f>D25+D26</f>
        <v>42.831436499986502</v>
      </c>
      <c r="E24" s="36">
        <f>E25+E26</f>
        <v>3.3866648563926036</v>
      </c>
      <c r="F24" s="36">
        <f>F25+F26</f>
        <v>26.303116372213807</v>
      </c>
      <c r="G24" s="36">
        <f>G25+G26</f>
        <v>13.39520145</v>
      </c>
      <c r="H24" s="163">
        <f t="shared" si="2"/>
        <v>96.316808021292928</v>
      </c>
      <c r="I24" s="166"/>
      <c r="J24" s="166"/>
      <c r="K24" s="166"/>
      <c r="L24" s="166"/>
      <c r="M24" s="166"/>
      <c r="N24" s="38"/>
      <c r="O24" s="206"/>
      <c r="P24" s="206"/>
      <c r="Q24" s="206"/>
      <c r="R24" s="206"/>
      <c r="S24" s="206"/>
      <c r="T24" s="207"/>
      <c r="U24" s="75"/>
      <c r="W24" s="82"/>
      <c r="X24" s="208"/>
      <c r="Y24" s="208"/>
      <c r="Z24" s="208"/>
      <c r="AA24" s="208"/>
      <c r="AB24" s="208"/>
    </row>
    <row r="25" spans="1:28" x14ac:dyDescent="0.25">
      <c r="A25" s="149" t="s">
        <v>24</v>
      </c>
      <c r="B25" s="35"/>
      <c r="C25" s="16">
        <f>(Résultats!S$162+Résultats!S$163+Résultats!S$164+Résultats!S$165+Résultats!S$166+Résultats!S$167)/1000000</f>
        <v>10.4003888427</v>
      </c>
      <c r="D25" s="16">
        <f>(Résultats!S$171+Résultats!S$173+Résultats!S$174+Résultats!S$175+Résultats!S$176+Résultats!S$177+Résultats!S$178+Résultats!S$179+Résultats!S$180+Résultats!S$181+Résultats!S$182)/1000000</f>
        <v>35.903605725986502</v>
      </c>
      <c r="E25" s="16">
        <f>'T energie usages'!J30/'T energie usages'!J$33*(Résultats!S$192+Résultats!S$193+Résultats!S$194)/1000000</f>
        <v>3.2722716621927166</v>
      </c>
      <c r="F25" s="16">
        <f>(Résultats!S$197+Résultats!S$198+Résultats!S$199+Résultats!S$200+Résultats!S$201+Résultats!S$202+Résultats!S$203+Résultats!S$204+Résultats!S$205+Résultats!S$206+Résultats!S$207+Résultats!S$208+Résultats!S$216+Résultats!S$218)/1000000</f>
        <v>25.688310197913808</v>
      </c>
      <c r="G25" s="16">
        <f>Résultats!S$133/1000000</f>
        <v>13.39520145</v>
      </c>
      <c r="H25" s="95">
        <f t="shared" si="2"/>
        <v>88.659777878793022</v>
      </c>
      <c r="I25" s="166"/>
      <c r="J25" s="166"/>
      <c r="K25" s="166"/>
      <c r="L25" s="166"/>
      <c r="M25" s="166"/>
      <c r="N25" s="38"/>
      <c r="O25" s="206"/>
      <c r="P25" s="206"/>
      <c r="Q25" s="206"/>
      <c r="R25" s="206"/>
      <c r="S25" s="206"/>
      <c r="T25" s="207"/>
      <c r="U25" s="16"/>
      <c r="W25" s="30"/>
      <c r="X25" s="208"/>
      <c r="Y25" s="208"/>
      <c r="Z25" s="208"/>
      <c r="AA25" s="208"/>
      <c r="AB25" s="208"/>
    </row>
    <row r="26" spans="1:28" x14ac:dyDescent="0.25">
      <c r="A26" s="149" t="s">
        <v>25</v>
      </c>
      <c r="B26" s="35"/>
      <c r="C26" s="16">
        <v>0</v>
      </c>
      <c r="D26" s="16">
        <f>(Résultats!S$172)/1000000</f>
        <v>6.9278307740000002</v>
      </c>
      <c r="E26" s="16">
        <f>'T energie usages'!J32/'T energie usages'!J$33*(Résultats!S$192+Résultats!S$193+Résultats!S$194)/1000000</f>
        <v>0.1143931941998869</v>
      </c>
      <c r="F26" s="16">
        <f>(Résultats!S$196)/1000000</f>
        <v>0.61480617429999995</v>
      </c>
      <c r="G26" s="16">
        <v>0</v>
      </c>
      <c r="H26" s="95">
        <f t="shared" si="2"/>
        <v>7.6570301424998872</v>
      </c>
      <c r="I26" s="166"/>
      <c r="J26" s="166"/>
      <c r="K26" s="166"/>
      <c r="L26" s="166"/>
      <c r="M26" s="166"/>
      <c r="N26" s="38"/>
      <c r="O26" s="206"/>
      <c r="P26" s="206"/>
      <c r="Q26" s="206"/>
      <c r="R26" s="206"/>
      <c r="S26" s="206"/>
      <c r="T26" s="207"/>
      <c r="U26" s="16"/>
      <c r="W26" s="30"/>
      <c r="X26" s="208"/>
      <c r="Y26" s="208"/>
      <c r="Z26" s="208"/>
      <c r="AA26" s="208"/>
      <c r="AB26" s="208"/>
    </row>
    <row r="27" spans="1:28" x14ac:dyDescent="0.25">
      <c r="A27" s="48" t="s">
        <v>41</v>
      </c>
      <c r="B27" s="37"/>
      <c r="C27" s="37">
        <f>SUM(C22:C24)+C19</f>
        <v>11.398095921299999</v>
      </c>
      <c r="D27" s="37">
        <f>SUM(D22:D24)+D19</f>
        <v>198.26442345728583</v>
      </c>
      <c r="E27" s="37">
        <f>SUM(E22:E24)+E19</f>
        <v>13.838006770999989</v>
      </c>
      <c r="F27" s="37">
        <f>SUM(F22:F24)+F19</f>
        <v>61.373918946065288</v>
      </c>
      <c r="G27" s="37">
        <f>SUM(G22:G24)+G19</f>
        <v>13.39520145</v>
      </c>
      <c r="H27" s="167">
        <f t="shared" si="2"/>
        <v>298.26964654565114</v>
      </c>
      <c r="I27" s="166"/>
      <c r="J27" s="166"/>
      <c r="K27" s="166"/>
      <c r="L27" s="166"/>
      <c r="M27" s="166"/>
      <c r="N27" s="38"/>
      <c r="O27" s="206"/>
      <c r="P27" s="206"/>
      <c r="Q27" s="206"/>
      <c r="R27" s="206"/>
      <c r="S27" s="206"/>
      <c r="T27" s="207"/>
      <c r="U27" s="79"/>
      <c r="W27" s="80"/>
      <c r="X27" s="208"/>
      <c r="Y27" s="208"/>
      <c r="Z27" s="208"/>
      <c r="AA27" s="208"/>
      <c r="AB27" s="208"/>
    </row>
    <row r="28" spans="1:28" x14ac:dyDescent="0.25">
      <c r="A28" s="164" t="s">
        <v>43</v>
      </c>
      <c r="B28" s="164"/>
      <c r="C28" s="165">
        <f>(Résultats!S$135+Résultats!S$162+Résultats!S$163+Résultats!S$164+Résultats!S$165+Résultats!S$166+Résultats!S$167+Résultats!S$168+Résultats!S$169)/1000000</f>
        <v>11.398095921300001</v>
      </c>
      <c r="D28" s="165">
        <f>(Résultats!S$137+Résultats!S$171+Résultats!S$172+Résultats!S$173+Résultats!S$174+Résultats!S$175+Résultats!S$176+Résultats!S$177+Résultats!S$178+Résultats!S$179+Résultats!S$180+Résultats!S$181+Résultats!S$182+Résultats!S$183+Résultats!S$184+Résultats!S$185+Résultats!S$186+Résultats!S$187+Résultats!S$188+Résultats!S$189)/1000000</f>
        <v>198.32059116948648</v>
      </c>
      <c r="E28" s="165">
        <f>(Résultats!S$192+Résultats!S$193+Résultats!S$194)/1000000</f>
        <v>13.838006770999991</v>
      </c>
      <c r="F28" s="165">
        <f>(Résultats!S$139+Résultats!S$196+Résultats!S$197+Résultats!S$198+Résultats!S$199+Résultats!S$200+Résultats!S$201+Résultats!S$202+Résultats!S$203+Résultats!S$204+Résultats!S$205+Résultats!S$206+Résultats!S$207+Résultats!S$208+Résultats!S$209+Résultats!S$210+Résultats!S$211+Résultats!S$212+Résultats!S$213+Résultats!S$214+Résultats!S$215+Résultats!S$216+Résultats!S$218)/1000000</f>
        <v>71.409734446573808</v>
      </c>
      <c r="G28" s="165">
        <f>Résultats!S$133/1000000</f>
        <v>13.39520145</v>
      </c>
      <c r="H28" s="188">
        <f t="shared" si="2"/>
        <v>308.36162975836027</v>
      </c>
      <c r="I28" s="166"/>
      <c r="J28" s="166"/>
      <c r="K28" s="166"/>
      <c r="L28" s="166"/>
      <c r="M28" s="166"/>
      <c r="N28" s="45"/>
      <c r="O28" s="166"/>
      <c r="P28" s="166"/>
      <c r="Q28" s="166"/>
      <c r="R28" s="166"/>
      <c r="S28" s="166"/>
      <c r="T28" s="207"/>
      <c r="U28" s="45"/>
      <c r="V28" s="45"/>
      <c r="W28" s="45"/>
      <c r="X28" s="208"/>
      <c r="Y28" s="208"/>
      <c r="Z28" s="208"/>
      <c r="AA28" s="208"/>
      <c r="AB28" s="208"/>
    </row>
    <row r="29" spans="1:28" x14ac:dyDescent="0.25">
      <c r="A29" s="164"/>
      <c r="B29" s="164"/>
      <c r="C29" s="189"/>
      <c r="D29" s="189"/>
      <c r="E29" s="189"/>
      <c r="F29" s="189"/>
      <c r="G29" s="189"/>
      <c r="H29" s="165">
        <f>Résultats!S227/1000000</f>
        <v>308.36162910000002</v>
      </c>
      <c r="I29" s="166"/>
      <c r="J29" s="166"/>
      <c r="K29" s="166"/>
      <c r="L29" s="166"/>
      <c r="M29" s="166"/>
      <c r="N29" s="45"/>
      <c r="O29" s="166"/>
      <c r="P29" s="166"/>
      <c r="Q29" s="166"/>
      <c r="R29" s="166"/>
      <c r="S29" s="166"/>
      <c r="T29" s="207"/>
      <c r="U29" s="45"/>
      <c r="V29" s="45"/>
      <c r="W29" s="45"/>
      <c r="X29" s="208"/>
      <c r="Y29" s="208"/>
      <c r="Z29" s="208"/>
      <c r="AA29" s="208"/>
      <c r="AB29" s="208"/>
    </row>
    <row r="30" spans="1:28" x14ac:dyDescent="0.25">
      <c r="A30" s="3"/>
      <c r="B30" s="3"/>
      <c r="C30" s="191"/>
      <c r="D30" s="191"/>
      <c r="E30" s="191"/>
      <c r="F30" s="191"/>
      <c r="G30" s="75"/>
      <c r="H30" s="45"/>
      <c r="I30" s="166"/>
      <c r="J30" s="166"/>
      <c r="K30" s="166"/>
      <c r="L30" s="166"/>
      <c r="N30" s="45"/>
      <c r="O30" s="166"/>
      <c r="P30" s="166"/>
      <c r="Q30" s="166"/>
      <c r="R30" s="166"/>
      <c r="S30" s="166"/>
      <c r="T30" s="207"/>
      <c r="U30" s="45"/>
      <c r="V30" s="45"/>
      <c r="W30" s="45"/>
      <c r="X30" s="208"/>
      <c r="Y30" s="208"/>
      <c r="Z30" s="208"/>
      <c r="AA30" s="208"/>
      <c r="AB30" s="208"/>
    </row>
    <row r="31" spans="1:28" ht="21" x14ac:dyDescent="0.35">
      <c r="A31" s="145">
        <v>2025</v>
      </c>
      <c r="B31" s="186"/>
      <c r="C31" s="27" t="s">
        <v>36</v>
      </c>
      <c r="D31" s="27" t="s">
        <v>37</v>
      </c>
      <c r="E31" s="27" t="s">
        <v>38</v>
      </c>
      <c r="F31" s="27" t="s">
        <v>39</v>
      </c>
      <c r="G31" s="27" t="s">
        <v>40</v>
      </c>
      <c r="H31" s="190" t="s">
        <v>1</v>
      </c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45"/>
      <c r="W31" s="19"/>
      <c r="X31" s="19"/>
      <c r="Y31" s="19"/>
      <c r="Z31" s="19"/>
      <c r="AA31" s="19"/>
      <c r="AB31" s="208"/>
    </row>
    <row r="32" spans="1:28" x14ac:dyDescent="0.25">
      <c r="A32" s="162" t="s">
        <v>18</v>
      </c>
      <c r="B32" s="187"/>
      <c r="C32" s="36">
        <f>C33+C34</f>
        <v>0</v>
      </c>
      <c r="D32" s="36">
        <f>D33+D34</f>
        <v>117.86161744432218</v>
      </c>
      <c r="E32" s="36">
        <f>E33+E34</f>
        <v>0.44306460947873771</v>
      </c>
      <c r="F32" s="36">
        <f>F33+F34</f>
        <v>0.61459238511741132</v>
      </c>
      <c r="G32" s="36">
        <f>G33+G34</f>
        <v>0</v>
      </c>
      <c r="H32" s="163">
        <f>SUM(C32:G32)</f>
        <v>118.91927443891832</v>
      </c>
      <c r="I32" s="166"/>
      <c r="J32" s="166"/>
      <c r="K32" s="166"/>
      <c r="L32" s="166"/>
      <c r="M32" s="166"/>
      <c r="N32" s="38"/>
      <c r="O32" s="206"/>
      <c r="P32" s="206"/>
      <c r="Q32" s="206"/>
      <c r="R32" s="206"/>
      <c r="S32" s="206"/>
      <c r="T32" s="207"/>
      <c r="U32" s="75"/>
      <c r="V32" s="45"/>
      <c r="W32" s="82"/>
      <c r="X32" s="208"/>
      <c r="Y32" s="208"/>
      <c r="Z32" s="208"/>
      <c r="AA32" s="208"/>
      <c r="AB32" s="208"/>
    </row>
    <row r="33" spans="1:28" x14ac:dyDescent="0.25">
      <c r="A33" s="148" t="s">
        <v>19</v>
      </c>
      <c r="B33" s="35"/>
      <c r="C33" s="16">
        <v>0</v>
      </c>
      <c r="D33" s="16">
        <f>'T energie usages'!I64*3.2*Résultats!X283</f>
        <v>64.797823200222183</v>
      </c>
      <c r="E33" s="16">
        <f>'T energie usages'!J64/'T energie usages'!J$72*(Résultats!X$192+Résultats!X$193+Résultats!X$194)/1000000</f>
        <v>6.4859590566977099E-2</v>
      </c>
      <c r="F33" s="16">
        <f>'T energie usages'!K64*2.394*Résultats!X284</f>
        <v>3.0768097411279341E-5</v>
      </c>
      <c r="G33" s="16">
        <v>0</v>
      </c>
      <c r="H33" s="95">
        <f>SUM(C33:G33)</f>
        <v>64.862713558886583</v>
      </c>
      <c r="I33" s="166"/>
      <c r="J33" s="166"/>
      <c r="K33" s="166"/>
      <c r="L33" s="166"/>
      <c r="M33" s="166"/>
      <c r="N33" s="38"/>
      <c r="O33" s="206"/>
      <c r="P33" s="206"/>
      <c r="Q33" s="206"/>
      <c r="R33" s="206"/>
      <c r="S33" s="206"/>
      <c r="T33" s="207"/>
      <c r="U33" s="16"/>
      <c r="V33" s="45"/>
      <c r="W33" s="30"/>
      <c r="X33" s="208"/>
      <c r="Y33" s="208"/>
      <c r="Z33" s="208"/>
      <c r="AA33" s="208"/>
      <c r="AB33" s="208"/>
    </row>
    <row r="34" spans="1:28" x14ac:dyDescent="0.25">
      <c r="A34" s="149" t="s">
        <v>20</v>
      </c>
      <c r="B34" s="35"/>
      <c r="C34" s="16">
        <v>0</v>
      </c>
      <c r="D34" s="16">
        <f>(Résultats!X$183+Résultats!X$184+Résultats!X$185+Résultats!X$186+Résultats!X$187)/1000000</f>
        <v>53.063794244099995</v>
      </c>
      <c r="E34" s="16">
        <f>'T energie usages'!J65/'T energie usages'!J$72*(Résultats!X$192+Résultats!X$193+Résultats!X$194)/1000000</f>
        <v>0.37820501891176062</v>
      </c>
      <c r="F34" s="16">
        <f>(Résultats!X$209+Résultats!X$210+Résultats!X$211+Résultats!X$212+Résultats!X$213)/1000000</f>
        <v>0.61456161702000001</v>
      </c>
      <c r="G34" s="16">
        <v>0</v>
      </c>
      <c r="H34" s="95">
        <f>SUM(C34:G34)</f>
        <v>54.056560880031761</v>
      </c>
      <c r="I34" s="166"/>
      <c r="J34" s="166"/>
      <c r="K34" s="166"/>
      <c r="L34" s="166"/>
      <c r="M34" s="166"/>
      <c r="N34" s="38"/>
      <c r="O34" s="206"/>
      <c r="P34" s="206"/>
      <c r="Q34" s="206"/>
      <c r="R34" s="206"/>
      <c r="S34" s="206"/>
      <c r="T34" s="207"/>
      <c r="U34" s="16"/>
      <c r="V34" s="45"/>
      <c r="W34" s="30"/>
      <c r="X34" s="208"/>
      <c r="Y34" s="208"/>
      <c r="Z34" s="208"/>
      <c r="AA34" s="208"/>
      <c r="AB34" s="208"/>
    </row>
    <row r="35" spans="1:28" x14ac:dyDescent="0.25">
      <c r="A35" s="162" t="s">
        <v>21</v>
      </c>
      <c r="B35" s="187"/>
      <c r="C35" s="36">
        <f>Résultats!X$135/1000000</f>
        <v>0.86910707710000001</v>
      </c>
      <c r="D35" s="36">
        <f>'T energie usages'!I66*3.2*Résultats!X283</f>
        <v>16.289353860169719</v>
      </c>
      <c r="E35" s="36">
        <f>'T energie usages'!J66/'T energie usages'!J$72*(Résultats!X$192+Résultats!X$193+Résultats!X$194)/1000000</f>
        <v>3.5995549408028316</v>
      </c>
      <c r="F35" s="36">
        <f>('T energie usages'!K66-8)*2.394*Résultats!X284</f>
        <v>14.762214167672948</v>
      </c>
      <c r="G35" s="36">
        <v>0</v>
      </c>
      <c r="H35" s="163">
        <f>SUM(C35:G35)</f>
        <v>35.5202300457455</v>
      </c>
      <c r="I35" s="166"/>
      <c r="J35" s="166"/>
      <c r="K35" s="166"/>
      <c r="L35" s="166"/>
      <c r="M35" s="166"/>
      <c r="N35" s="38"/>
      <c r="O35" s="206"/>
      <c r="P35" s="206"/>
      <c r="Q35" s="206"/>
      <c r="R35" s="206"/>
      <c r="S35" s="206"/>
      <c r="T35" s="207"/>
      <c r="U35" s="75"/>
      <c r="V35" s="45"/>
      <c r="W35" s="82"/>
      <c r="X35" s="208"/>
      <c r="Y35" s="208"/>
      <c r="Z35" s="208"/>
      <c r="AA35" s="208"/>
      <c r="AB35" s="208"/>
    </row>
    <row r="36" spans="1:28" x14ac:dyDescent="0.25">
      <c r="A36" s="162" t="s">
        <v>22</v>
      </c>
      <c r="B36" s="187"/>
      <c r="C36" s="36">
        <f>(Résultats!X$168+Résultats!X$169)/1000000</f>
        <v>0</v>
      </c>
      <c r="D36" s="36">
        <f>(Résultats!X$188+Résultats!X$189)/1000000</f>
        <v>6.0399119431999999</v>
      </c>
      <c r="E36" s="36">
        <f>'T energie usages'!J67/'T energie usages'!J$72*(Résultats!X$192+Résultats!X$193+Résultats!X$194)/1000000</f>
        <v>3.0077342327972172</v>
      </c>
      <c r="F36" s="36">
        <f>(Résultats!X$214+Résultats!X$215)/1000000</f>
        <v>17.598119559999997</v>
      </c>
      <c r="G36" s="36">
        <v>0</v>
      </c>
      <c r="H36" s="163">
        <f t="shared" ref="H36:H41" si="3">SUM(C36:G36)</f>
        <v>26.645765735997216</v>
      </c>
      <c r="I36" s="166"/>
      <c r="J36" s="166"/>
      <c r="K36" s="166"/>
      <c r="L36" s="166"/>
      <c r="M36" s="166"/>
      <c r="N36" s="38"/>
      <c r="O36" s="206"/>
      <c r="P36" s="206"/>
      <c r="Q36" s="206"/>
      <c r="R36" s="206"/>
      <c r="S36" s="206"/>
      <c r="T36" s="207"/>
      <c r="U36" s="75"/>
      <c r="V36" s="45"/>
      <c r="W36" s="82"/>
      <c r="X36" s="208"/>
      <c r="Y36" s="208"/>
      <c r="Z36" s="208"/>
      <c r="AA36" s="208"/>
      <c r="AB36" s="208"/>
    </row>
    <row r="37" spans="1:28" x14ac:dyDescent="0.25">
      <c r="A37" s="162" t="s">
        <v>23</v>
      </c>
      <c r="B37" s="187"/>
      <c r="C37" s="36">
        <f>C38+C39</f>
        <v>8.9792649456099998</v>
      </c>
      <c r="D37" s="36">
        <f>D38+D39</f>
        <v>39.038956726894348</v>
      </c>
      <c r="E37" s="36">
        <f>E38+E39</f>
        <v>3.1336534278212125</v>
      </c>
      <c r="F37" s="36">
        <f>F38+F39</f>
        <v>17.296240240536985</v>
      </c>
      <c r="G37" s="36">
        <f>G38+G39</f>
        <v>14.430651019999999</v>
      </c>
      <c r="H37" s="163">
        <f t="shared" si="3"/>
        <v>82.878766360862542</v>
      </c>
      <c r="I37" s="166"/>
      <c r="J37" s="166"/>
      <c r="K37" s="166"/>
      <c r="L37" s="166"/>
      <c r="M37" s="166"/>
      <c r="N37" s="38"/>
      <c r="O37" s="206"/>
      <c r="P37" s="206"/>
      <c r="Q37" s="206"/>
      <c r="R37" s="206"/>
      <c r="S37" s="206"/>
      <c r="T37" s="207"/>
      <c r="U37" s="75"/>
      <c r="V37" s="45"/>
      <c r="W37" s="82"/>
      <c r="X37" s="208"/>
      <c r="Y37" s="208"/>
      <c r="Z37" s="208"/>
      <c r="AA37" s="208"/>
      <c r="AB37" s="208"/>
    </row>
    <row r="38" spans="1:28" x14ac:dyDescent="0.25">
      <c r="A38" s="149" t="s">
        <v>24</v>
      </c>
      <c r="B38" s="35"/>
      <c r="C38" s="16">
        <f>(Résultats!X$162+Résultats!X$163+Résultats!X$164+Résultats!X$165+Résultats!X$166+Résultats!X$167)/1000000</f>
        <v>8.9792649456099998</v>
      </c>
      <c r="D38" s="16">
        <f>(Résultats!X$171+Résultats!X$173+Résultats!X$174+Résultats!X$175+Résultats!X$176+Résultats!X$177+Résultats!X$178+Résultats!X$179+Résultats!X$180+Résultats!X$181+Résultats!X$182)/1000000</f>
        <v>32.107654856894349</v>
      </c>
      <c r="E38" s="16">
        <f>'T energie usages'!J69/'T energie usages'!J$72*(Résultats!X$192+Résultats!X$193+Résultats!X$194)/1000000</f>
        <v>3.0518121494390811</v>
      </c>
      <c r="F38" s="16">
        <f>(Résultats!X$197+Résultats!X$198+Résultats!X$199+Résultats!X$200+Résultats!X$201+Résultats!X$202+Résultats!X$203+Résultats!X$204+Résultats!X$205+Résultats!X$206+Résultats!X$207+Résultats!X$208+Résultats!X$216+Résultats!X$218)/1000000</f>
        <v>16.715660601836984</v>
      </c>
      <c r="G38" s="16">
        <f>Résultats!X$133/1000000</f>
        <v>14.430651019999999</v>
      </c>
      <c r="H38" s="95">
        <f t="shared" si="3"/>
        <v>75.285043573780413</v>
      </c>
      <c r="I38" s="166"/>
      <c r="J38" s="166"/>
      <c r="K38" s="166"/>
      <c r="L38" s="166"/>
      <c r="M38" s="166"/>
      <c r="N38" s="38"/>
      <c r="O38" s="206"/>
      <c r="P38" s="206"/>
      <c r="Q38" s="206"/>
      <c r="R38" s="206"/>
      <c r="S38" s="206"/>
      <c r="T38" s="207"/>
      <c r="U38" s="16"/>
      <c r="V38" s="45"/>
      <c r="W38" s="30"/>
      <c r="X38" s="208"/>
      <c r="Y38" s="208"/>
      <c r="Z38" s="208"/>
      <c r="AA38" s="208"/>
      <c r="AB38" s="208"/>
    </row>
    <row r="39" spans="1:28" x14ac:dyDescent="0.25">
      <c r="A39" s="149" t="s">
        <v>25</v>
      </c>
      <c r="B39" s="35"/>
      <c r="C39" s="16">
        <v>0</v>
      </c>
      <c r="D39" s="16">
        <f>(Résultats!X$172)/1000000</f>
        <v>6.9313018700000004</v>
      </c>
      <c r="E39" s="16">
        <f>'T energie usages'!J71/'T energie usages'!J$72*(Résultats!X$192+Résultats!X$193+Résultats!X$194)/1000000</f>
        <v>8.1841278382131497E-2</v>
      </c>
      <c r="F39" s="16">
        <f>(Résultats!X$196)/1000000</f>
        <v>0.58057963869999996</v>
      </c>
      <c r="G39" s="16">
        <v>0</v>
      </c>
      <c r="H39" s="95">
        <f t="shared" si="3"/>
        <v>7.5937227870821316</v>
      </c>
      <c r="I39" s="166"/>
      <c r="J39" s="166"/>
      <c r="K39" s="166"/>
      <c r="L39" s="166"/>
      <c r="M39" s="166"/>
      <c r="N39" s="38"/>
      <c r="O39" s="206"/>
      <c r="P39" s="206"/>
      <c r="Q39" s="206"/>
      <c r="R39" s="206"/>
      <c r="S39" s="206"/>
      <c r="T39" s="207"/>
      <c r="U39" s="16"/>
      <c r="V39" s="45"/>
      <c r="W39" s="30"/>
      <c r="X39" s="208"/>
      <c r="Y39" s="208"/>
      <c r="Z39" s="208"/>
      <c r="AA39" s="208"/>
      <c r="AB39" s="208"/>
    </row>
    <row r="40" spans="1:28" x14ac:dyDescent="0.25">
      <c r="A40" s="48" t="s">
        <v>41</v>
      </c>
      <c r="B40" s="37"/>
      <c r="C40" s="37">
        <f>SUM(C35:C37)+C32</f>
        <v>9.8483720227100005</v>
      </c>
      <c r="D40" s="37">
        <f>SUM(D35:D37)+D32</f>
        <v>179.22983997458624</v>
      </c>
      <c r="E40" s="37">
        <f>SUM(E35:E37)+E32</f>
        <v>10.184007210899999</v>
      </c>
      <c r="F40" s="37">
        <f>SUM(F35:F37)+F32</f>
        <v>50.271166353327338</v>
      </c>
      <c r="G40" s="37">
        <f>SUM(G35:G37)+G32</f>
        <v>14.430651019999999</v>
      </c>
      <c r="H40" s="167">
        <f t="shared" si="3"/>
        <v>263.9640365815236</v>
      </c>
      <c r="I40" s="166"/>
      <c r="J40" s="166"/>
      <c r="K40" s="166"/>
      <c r="L40" s="166"/>
      <c r="M40" s="166"/>
      <c r="N40" s="38"/>
      <c r="O40" s="206"/>
      <c r="P40" s="206"/>
      <c r="Q40" s="206"/>
      <c r="R40" s="206"/>
      <c r="S40" s="206"/>
      <c r="T40" s="207"/>
      <c r="U40" s="79"/>
      <c r="V40" s="45"/>
      <c r="W40" s="80"/>
      <c r="X40" s="208"/>
      <c r="Y40" s="208"/>
      <c r="Z40" s="208"/>
      <c r="AA40" s="208"/>
      <c r="AB40" s="208"/>
    </row>
    <row r="41" spans="1:28" x14ac:dyDescent="0.25">
      <c r="A41" s="164" t="s">
        <v>43</v>
      </c>
      <c r="B41" s="164"/>
      <c r="C41" s="165">
        <f>(Résultats!X$135+Résultats!X$162+Résultats!X$163+Résultats!X$164+Résultats!X$165+Résultats!X$166+Résultats!X$167+Résultats!X$168+Résultats!X$169)/1000000</f>
        <v>9.8483720227099987</v>
      </c>
      <c r="D41" s="165">
        <f>+(Résultats!X$137+Résultats!X$171+Résultats!X$172+Résultats!X$173+Résultats!X$174+Résultats!X$175+Résultats!X$176+Résultats!X$177+Résultats!X$178+Résultats!X$179+Résultats!X$180+Résultats!X$181+Résultats!X$182+Résultats!X$183+Résultats!X$184+Résultats!X$185+Résultats!X$186+Résultats!X$187+Résultats!X$188+Résultats!X$189)/1000000</f>
        <v>179.27884109419438</v>
      </c>
      <c r="E41" s="165">
        <f>(Résultats!X$192+Résultats!X$193+Résultats!X$194)/1000000</f>
        <v>10.184007210899999</v>
      </c>
      <c r="F41" s="165">
        <f>(Résultats!X$139+Résultats!X$196+Résultats!X$197+Résultats!X$198+Résultats!X$199+Résultats!X$200+Résultats!X$201+Résultats!X$202+Résultats!X$203+Résultats!X$204+Résultats!X$205+Résultats!X$206+Résultats!X$207+Résultats!X$208+Résultats!X$209+Résultats!X$210+Résultats!X$211+Résultats!X$212+Résultats!X$213+Résultats!X$214+Résultats!X$215+Résultats!X$216+Résultats!X$218)/1000000</f>
        <v>58.769251657556985</v>
      </c>
      <c r="G41" s="165">
        <f>Résultats!X$133/1000000</f>
        <v>14.430651019999999</v>
      </c>
      <c r="H41" s="188">
        <f t="shared" si="3"/>
        <v>272.51112300536136</v>
      </c>
      <c r="I41" s="166"/>
      <c r="J41" s="166"/>
      <c r="K41" s="166"/>
      <c r="L41" s="166"/>
      <c r="M41" s="207"/>
      <c r="N41" s="45"/>
      <c r="O41" s="166"/>
      <c r="P41" s="166"/>
      <c r="Q41" s="166"/>
      <c r="R41" s="166"/>
      <c r="S41" s="207"/>
      <c r="T41" s="207"/>
      <c r="U41" s="45"/>
      <c r="V41" s="45"/>
      <c r="W41" s="45"/>
      <c r="X41" s="208"/>
      <c r="Y41" s="208"/>
      <c r="Z41" s="208"/>
      <c r="AA41" s="208"/>
      <c r="AB41" s="208"/>
    </row>
    <row r="42" spans="1:28" x14ac:dyDescent="0.25">
      <c r="A42" s="164"/>
      <c r="B42" s="164"/>
      <c r="C42" s="189"/>
      <c r="D42" s="189"/>
      <c r="E42" s="189"/>
      <c r="F42" s="189"/>
      <c r="G42" s="189"/>
      <c r="H42" s="165">
        <f>Résultats!X227/1000000</f>
        <v>272.51112260000002</v>
      </c>
      <c r="I42" s="166"/>
      <c r="J42" s="166"/>
      <c r="K42" s="166"/>
      <c r="L42" s="166"/>
      <c r="M42" s="207"/>
      <c r="N42" s="45"/>
      <c r="O42" s="166"/>
      <c r="P42" s="166"/>
      <c r="Q42" s="166"/>
      <c r="R42" s="166"/>
      <c r="S42" s="207"/>
      <c r="T42" s="207"/>
      <c r="U42" s="45"/>
      <c r="V42" s="45"/>
      <c r="W42" s="45"/>
      <c r="X42" s="208"/>
      <c r="Y42" s="208"/>
      <c r="Z42" s="208"/>
      <c r="AA42" s="208"/>
      <c r="AB42" s="208"/>
    </row>
    <row r="43" spans="1:28" x14ac:dyDescent="0.25">
      <c r="A43" s="3"/>
      <c r="B43" s="3"/>
      <c r="C43" s="75"/>
      <c r="D43" s="75"/>
      <c r="E43" s="75"/>
      <c r="F43" s="75"/>
      <c r="G43" s="75"/>
      <c r="H43" s="45"/>
      <c r="I43" s="166"/>
      <c r="J43" s="166"/>
      <c r="K43" s="166"/>
      <c r="L43" s="166"/>
      <c r="M43" s="207"/>
      <c r="N43" s="45"/>
      <c r="O43" s="166"/>
      <c r="P43" s="166"/>
      <c r="Q43" s="166"/>
      <c r="R43" s="166"/>
      <c r="S43" s="207"/>
      <c r="T43" s="207"/>
      <c r="U43" s="45"/>
      <c r="V43" s="45"/>
      <c r="W43" s="79"/>
      <c r="X43" s="208"/>
      <c r="Y43" s="208"/>
      <c r="Z43" s="208"/>
      <c r="AA43" s="208"/>
      <c r="AB43" s="208"/>
    </row>
    <row r="44" spans="1:28" ht="21" x14ac:dyDescent="0.35">
      <c r="A44" s="145">
        <v>2030</v>
      </c>
      <c r="B44" s="186"/>
      <c r="C44" s="27" t="s">
        <v>36</v>
      </c>
      <c r="D44" s="27" t="s">
        <v>37</v>
      </c>
      <c r="E44" s="27" t="s">
        <v>38</v>
      </c>
      <c r="F44" s="27" t="s">
        <v>39</v>
      </c>
      <c r="G44" s="27" t="s">
        <v>40</v>
      </c>
      <c r="H44" s="190" t="s">
        <v>1</v>
      </c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W44" s="19"/>
      <c r="X44" s="19"/>
      <c r="Y44" s="19"/>
      <c r="Z44" s="19"/>
      <c r="AA44" s="19"/>
      <c r="AB44" s="208"/>
    </row>
    <row r="45" spans="1:28" x14ac:dyDescent="0.25">
      <c r="A45" s="162" t="s">
        <v>18</v>
      </c>
      <c r="B45" s="187"/>
      <c r="C45" s="36">
        <f>C46+C47</f>
        <v>0</v>
      </c>
      <c r="D45" s="36">
        <f>D46+D47</f>
        <v>97.699505672608751</v>
      </c>
      <c r="E45" s="36">
        <f>E46+E47</f>
        <v>0.41556777156416852</v>
      </c>
      <c r="F45" s="36">
        <f>F46+F47</f>
        <v>0.74936395633911679</v>
      </c>
      <c r="G45" s="36">
        <f>G46+G47</f>
        <v>0</v>
      </c>
      <c r="H45" s="163">
        <f>SUM(C45:G45)</f>
        <v>98.864437400512031</v>
      </c>
      <c r="I45" s="166"/>
      <c r="J45" s="166"/>
      <c r="K45" s="166"/>
      <c r="L45" s="166"/>
      <c r="M45" s="166"/>
      <c r="N45" s="38"/>
      <c r="O45" s="206"/>
      <c r="P45" s="206"/>
      <c r="Q45" s="206"/>
      <c r="R45" s="206"/>
      <c r="S45" s="206"/>
      <c r="T45" s="207"/>
      <c r="U45" s="75"/>
      <c r="W45" s="82"/>
      <c r="X45" s="208"/>
      <c r="Y45" s="208"/>
      <c r="Z45" s="208"/>
      <c r="AA45" s="208"/>
      <c r="AB45" s="208"/>
    </row>
    <row r="46" spans="1:28" x14ac:dyDescent="0.25">
      <c r="A46" s="148" t="s">
        <v>19</v>
      </c>
      <c r="B46" s="35"/>
      <c r="C46" s="16">
        <v>0</v>
      </c>
      <c r="D46" s="16">
        <f>'T energie usages'!I77*3.2*Résultats!AC283</f>
        <v>50.835272085208757</v>
      </c>
      <c r="E46" s="16">
        <f>'T energie usages'!J77/'T energie usages'!J$85*(Résultats!AC$192+Résultats!AC$193+Résultats!AC$194)/1000000</f>
        <v>9.9117204310841409E-2</v>
      </c>
      <c r="F46" s="16">
        <f>'T energie usages'!K77*2.394*Résultats!AC284</f>
        <v>2.9682919116780268E-5</v>
      </c>
      <c r="G46" s="16">
        <v>0</v>
      </c>
      <c r="H46" s="95">
        <f>SUM(C46:G46)</f>
        <v>50.934418972438721</v>
      </c>
      <c r="I46" s="166"/>
      <c r="J46" s="166"/>
      <c r="K46" s="166"/>
      <c r="L46" s="166"/>
      <c r="M46" s="166"/>
      <c r="N46" s="38"/>
      <c r="O46" s="206"/>
      <c r="P46" s="206"/>
      <c r="Q46" s="206"/>
      <c r="R46" s="206"/>
      <c r="S46" s="206"/>
      <c r="T46" s="207"/>
      <c r="U46" s="16"/>
      <c r="W46" s="30"/>
      <c r="X46" s="208"/>
      <c r="Y46" s="208"/>
      <c r="Z46" s="208"/>
      <c r="AA46" s="208"/>
      <c r="AB46" s="208"/>
    </row>
    <row r="47" spans="1:28" x14ac:dyDescent="0.25">
      <c r="A47" s="149" t="s">
        <v>20</v>
      </c>
      <c r="B47" s="35"/>
      <c r="C47" s="16">
        <v>0</v>
      </c>
      <c r="D47" s="16">
        <f>(Résultats!AC$183+Résultats!AC$184+Résultats!AC$185+Résultats!AC$186+Résultats!AC$187)/1000000</f>
        <v>46.864233587400001</v>
      </c>
      <c r="E47" s="16">
        <f>'T energie usages'!J78/'T energie usages'!J$85*(Résultats!AC$192+Résultats!AC$193+Résultats!AC$194)/1000000</f>
        <v>0.3164505672533271</v>
      </c>
      <c r="F47" s="16">
        <f>(Résultats!AC$209+Résultats!AC$210+Résultats!AC$211+Résultats!AC$212+Résultats!AC$213)/1000000</f>
        <v>0.74933427342000003</v>
      </c>
      <c r="G47" s="16">
        <v>0</v>
      </c>
      <c r="H47" s="95">
        <f>SUM(C47:G47)</f>
        <v>47.930018428073325</v>
      </c>
      <c r="I47" s="166"/>
      <c r="J47" s="166"/>
      <c r="K47" s="166"/>
      <c r="L47" s="166"/>
      <c r="M47" s="166"/>
      <c r="N47" s="38"/>
      <c r="O47" s="206"/>
      <c r="P47" s="206"/>
      <c r="Q47" s="206"/>
      <c r="R47" s="206"/>
      <c r="S47" s="206"/>
      <c r="T47" s="207"/>
      <c r="U47" s="16"/>
      <c r="W47" s="30"/>
      <c r="X47" s="208"/>
      <c r="Y47" s="208"/>
      <c r="Z47" s="208"/>
      <c r="AA47" s="208"/>
      <c r="AB47" s="208"/>
    </row>
    <row r="48" spans="1:28" x14ac:dyDescent="0.25">
      <c r="A48" s="162" t="s">
        <v>21</v>
      </c>
      <c r="B48" s="187"/>
      <c r="C48" s="36">
        <f>Résultats!AC$135/1000000</f>
        <v>0.7198784198</v>
      </c>
      <c r="D48" s="36">
        <f>'T energie usages'!I79*3.2*Résultats!AC283</f>
        <v>13.236512285129892</v>
      </c>
      <c r="E48" s="36">
        <f>'T energie usages'!J79/'T energie usages'!J$85*(Résultats!AC$192+Résultats!AC$193+Résultats!AC$194)/1000000</f>
        <v>2.0179464557038171</v>
      </c>
      <c r="F48" s="36">
        <f>('T energie usages'!K79-8)*2.394*Résultats!AC284</f>
        <v>9.6705902296876225</v>
      </c>
      <c r="G48" s="36">
        <v>0</v>
      </c>
      <c r="H48" s="163">
        <f>SUM(C48:G48)</f>
        <v>25.644927390321332</v>
      </c>
      <c r="I48" s="166"/>
      <c r="J48" s="166"/>
      <c r="K48" s="166"/>
      <c r="L48" s="166"/>
      <c r="M48" s="166"/>
      <c r="N48" s="38"/>
      <c r="O48" s="206"/>
      <c r="P48" s="206"/>
      <c r="Q48" s="206"/>
      <c r="R48" s="206"/>
      <c r="S48" s="206"/>
      <c r="T48" s="207"/>
      <c r="U48" s="75"/>
      <c r="W48" s="82"/>
      <c r="X48" s="208"/>
      <c r="Y48" s="208"/>
      <c r="Z48" s="208"/>
      <c r="AA48" s="208"/>
      <c r="AB48" s="208"/>
    </row>
    <row r="49" spans="1:28" x14ac:dyDescent="0.25">
      <c r="A49" s="162" t="s">
        <v>22</v>
      </c>
      <c r="B49" s="187"/>
      <c r="C49" s="36">
        <f>(Résultats!AC$168+Résultats!AC$169)/1000000</f>
        <v>0</v>
      </c>
      <c r="D49" s="36">
        <f>(Résultats!AC$188+Résultats!AC$189)/1000000</f>
        <v>3.6028691058</v>
      </c>
      <c r="E49" s="36">
        <f>'T energie usages'!J80/'T energie usages'!J$85*(Résultats!AC$192+Résultats!AC$193+Résultats!AC$194)/1000000</f>
        <v>1.2991994507657194</v>
      </c>
      <c r="F49" s="36">
        <f>(Résultats!AC$214+Résultats!AC$215)/1000000</f>
        <v>15.964799160999998</v>
      </c>
      <c r="G49" s="36">
        <v>0</v>
      </c>
      <c r="H49" s="163">
        <f t="shared" ref="H49:H54" si="4">SUM(C49:G49)</f>
        <v>20.866867717565718</v>
      </c>
      <c r="I49" s="166"/>
      <c r="J49" s="166"/>
      <c r="K49" s="166"/>
      <c r="L49" s="166"/>
      <c r="M49" s="166"/>
      <c r="N49" s="38"/>
      <c r="O49" s="206"/>
      <c r="P49" s="206"/>
      <c r="Q49" s="206"/>
      <c r="R49" s="206"/>
      <c r="S49" s="206"/>
      <c r="T49" s="207"/>
      <c r="U49" s="75"/>
      <c r="W49" s="82"/>
      <c r="X49" s="208"/>
      <c r="Y49" s="208"/>
      <c r="Z49" s="208"/>
      <c r="AA49" s="208"/>
      <c r="AB49" s="208"/>
    </row>
    <row r="50" spans="1:28" x14ac:dyDescent="0.25">
      <c r="A50" s="162" t="s">
        <v>23</v>
      </c>
      <c r="B50" s="187"/>
      <c r="C50" s="36">
        <f>C51+C52</f>
        <v>7.3486029969499995</v>
      </c>
      <c r="D50" s="36">
        <f>D51+D52</f>
        <v>31.64772333493039</v>
      </c>
      <c r="E50" s="36">
        <f>E51+E52</f>
        <v>2.3815665304662947</v>
      </c>
      <c r="F50" s="36">
        <f>F51+F52</f>
        <v>9.7705484669543488</v>
      </c>
      <c r="G50" s="36">
        <f>G51+G52</f>
        <v>15.04392775</v>
      </c>
      <c r="H50" s="163">
        <f t="shared" si="4"/>
        <v>66.192369079301031</v>
      </c>
      <c r="I50" s="166"/>
      <c r="J50" s="166"/>
      <c r="K50" s="166"/>
      <c r="L50" s="166"/>
      <c r="M50" s="166"/>
      <c r="N50" s="38"/>
      <c r="O50" s="206"/>
      <c r="P50" s="206"/>
      <c r="Q50" s="206"/>
      <c r="R50" s="206"/>
      <c r="S50" s="206"/>
      <c r="T50" s="207"/>
      <c r="U50" s="75"/>
      <c r="W50" s="82"/>
      <c r="X50" s="208"/>
      <c r="Y50" s="208"/>
      <c r="Z50" s="208"/>
      <c r="AA50" s="208"/>
      <c r="AB50" s="208"/>
    </row>
    <row r="51" spans="1:28" x14ac:dyDescent="0.25">
      <c r="A51" s="149" t="s">
        <v>24</v>
      </c>
      <c r="B51" s="35"/>
      <c r="C51" s="16">
        <f>(Résultats!AC$162+Résultats!AC$163+Résultats!AC$164+Résultats!AC$165+Résultats!AC$166+Résultats!AC$167)/1000000</f>
        <v>7.3486029969499995</v>
      </c>
      <c r="D51" s="16">
        <f>(Résultats!AC$171+Résultats!AC$173+Résultats!AC$174+Résultats!AC$175+Résultats!AC$176+Résultats!AC$177+Résultats!AC$178+Résultats!AC$179+Résultats!AC$180+Résultats!AC$181+Résultats!AC$182)/1000000</f>
        <v>24.667273399930391</v>
      </c>
      <c r="E51" s="16">
        <f>'T energie usages'!J82/'T energie usages'!J$85*(Résultats!AC$192+Résultats!AC$193+Résultats!AC$194)/1000000</f>
        <v>2.3337078780002019</v>
      </c>
      <c r="F51" s="16">
        <f>(Résultats!AC$197+Résultats!AC$198+Résultats!AC$199+Résultats!AC$200+Résultats!AC$201+Résultats!AC$202+Résultats!AC$203+Résultats!AC$204+Résultats!AC$205+Résultats!AC$206+Résultats!AC$207+Résultats!AC$208+Résultats!AC$216+Résultats!AC$218)/1000000</f>
        <v>9.2741821975543495</v>
      </c>
      <c r="G51" s="16">
        <f>Résultats!AC$133/1000000</f>
        <v>15.04392775</v>
      </c>
      <c r="H51" s="95">
        <f t="shared" si="4"/>
        <v>58.667694222434939</v>
      </c>
      <c r="I51" s="166"/>
      <c r="J51" s="166"/>
      <c r="K51" s="166"/>
      <c r="L51" s="166"/>
      <c r="M51" s="166"/>
      <c r="N51" s="38"/>
      <c r="O51" s="206"/>
      <c r="P51" s="206"/>
      <c r="Q51" s="206"/>
      <c r="R51" s="206"/>
      <c r="S51" s="206"/>
      <c r="T51" s="207"/>
      <c r="U51" s="16"/>
      <c r="W51" s="30"/>
      <c r="X51" s="208"/>
      <c r="Y51" s="208"/>
      <c r="Z51" s="208"/>
      <c r="AA51" s="208"/>
      <c r="AB51" s="208"/>
    </row>
    <row r="52" spans="1:28" x14ac:dyDescent="0.25">
      <c r="A52" s="149" t="s">
        <v>25</v>
      </c>
      <c r="B52" s="35"/>
      <c r="C52" s="16">
        <v>0</v>
      </c>
      <c r="D52" s="16">
        <f>(Résultats!AC$172)/1000000</f>
        <v>6.9804499349999993</v>
      </c>
      <c r="E52" s="16">
        <f>'T energie usages'!J84/'T energie usages'!J$85*(Résultats!AC$192+Résultats!AC$193+Résultats!AC$194)/1000000</f>
        <v>4.7858652466093027E-2</v>
      </c>
      <c r="F52" s="16">
        <f>(Résultats!AC$196)/1000000</f>
        <v>0.4963662694</v>
      </c>
      <c r="G52" s="16">
        <v>0</v>
      </c>
      <c r="H52" s="95">
        <f t="shared" si="4"/>
        <v>7.5246748568660928</v>
      </c>
      <c r="I52" s="166"/>
      <c r="J52" s="166"/>
      <c r="K52" s="166"/>
      <c r="L52" s="166"/>
      <c r="M52" s="166"/>
      <c r="N52" s="38"/>
      <c r="O52" s="206"/>
      <c r="P52" s="206"/>
      <c r="Q52" s="206"/>
      <c r="R52" s="206"/>
      <c r="S52" s="206"/>
      <c r="T52" s="207"/>
      <c r="U52" s="16"/>
      <c r="W52" s="30"/>
      <c r="X52" s="208"/>
      <c r="Y52" s="208"/>
      <c r="Z52" s="208"/>
      <c r="AA52" s="208"/>
      <c r="AB52" s="208"/>
    </row>
    <row r="53" spans="1:28" x14ac:dyDescent="0.25">
      <c r="A53" s="48" t="s">
        <v>41</v>
      </c>
      <c r="B53" s="37"/>
      <c r="C53" s="37">
        <f>SUM(C48:C50)+C45</f>
        <v>8.0684814167500001</v>
      </c>
      <c r="D53" s="37">
        <f>SUM(D48:D50)+D45</f>
        <v>146.18661039846904</v>
      </c>
      <c r="E53" s="37">
        <f>SUM(E48:E50)+E45</f>
        <v>6.1142802085000003</v>
      </c>
      <c r="F53" s="37">
        <f>SUM(F48:F50)+F45</f>
        <v>36.15530181398109</v>
      </c>
      <c r="G53" s="37">
        <f>SUM(G48:G50)+G45</f>
        <v>15.04392775</v>
      </c>
      <c r="H53" s="167">
        <f t="shared" si="4"/>
        <v>211.5686015877001</v>
      </c>
      <c r="I53" s="166"/>
      <c r="J53" s="166"/>
      <c r="K53" s="166"/>
      <c r="L53" s="166"/>
      <c r="M53" s="166"/>
      <c r="N53" s="38"/>
      <c r="O53" s="206"/>
      <c r="P53" s="206"/>
      <c r="Q53" s="206"/>
      <c r="R53" s="206"/>
      <c r="S53" s="206"/>
      <c r="T53" s="207"/>
      <c r="U53" s="79"/>
      <c r="W53" s="80"/>
      <c r="X53" s="208"/>
      <c r="Y53" s="208"/>
      <c r="Z53" s="208"/>
      <c r="AA53" s="208"/>
      <c r="AB53" s="208"/>
    </row>
    <row r="54" spans="1:28" x14ac:dyDescent="0.25">
      <c r="A54" s="164" t="s">
        <v>43</v>
      </c>
      <c r="B54" s="164"/>
      <c r="C54" s="165">
        <f>(Résultats!AC$135+Résultats!AC$162+Résultats!AC$163+Résultats!AC$164+Résultats!AC$165+Résultats!AC$166+Résultats!AC$167+Résultats!AC$168+Résultats!AC$169)/1000000</f>
        <v>8.0684814167500001</v>
      </c>
      <c r="D54" s="165">
        <f>(Résultats!AC$137+Résultats!AC$171+Résultats!AC$172+Résultats!AC$173+Résultats!AC$174+Résultats!AC$175+Résultats!AC$176+Résultats!AC$177+Résultats!AC$178+Résultats!AC$179+Résultats!AC$180+Résultats!AC$181+Résultats!AC$182+Résultats!AC$183+Résultats!AC$184+Résultats!AC$185+Résultats!AC$186+Résultats!AC$187+Résultats!AC$188+Résultats!AC$189)/1000000</f>
        <v>146.22532909813043</v>
      </c>
      <c r="E54" s="165">
        <f>(Résultats!AC$192+Résultats!AC$193+Résultats!AC$194)/1000000</f>
        <v>6.1142802084999994</v>
      </c>
      <c r="F54" s="165">
        <f>(Résultats!AC$139+Résultats!AC$196+Résultats!AC$197+Résultats!AC$198+Résultats!AC$199+Résultats!AC$200+Résultats!AC$201+Résultats!AC$202+Résultats!AC$203+Résultats!AC$204+Résultats!AC$205+Résultats!AC$206+Résultats!AC$207+Résultats!AC$208+Résultats!AC$209+Résultats!AC$210+Résultats!AC$211+Résultats!AC$212+Résultats!AC$213+Résultats!AC$214+Résultats!AC$215+Résultats!AC$216+Résultats!AC$218)/1000000</f>
        <v>42.968639201374337</v>
      </c>
      <c r="G54" s="165">
        <f>Résultats!AC$133/1000000</f>
        <v>15.04392775</v>
      </c>
      <c r="H54" s="188">
        <f t="shared" si="4"/>
        <v>218.42065767475475</v>
      </c>
      <c r="I54" s="166"/>
      <c r="J54" s="166"/>
      <c r="K54" s="166"/>
      <c r="L54" s="166"/>
      <c r="M54" s="207"/>
      <c r="O54" s="166"/>
      <c r="P54" s="166"/>
      <c r="Q54" s="166"/>
      <c r="R54" s="166"/>
      <c r="S54" s="207"/>
      <c r="T54" s="207"/>
      <c r="X54" s="208"/>
      <c r="Y54" s="208"/>
      <c r="Z54" s="208"/>
      <c r="AA54" s="208"/>
      <c r="AB54" s="208"/>
    </row>
    <row r="55" spans="1:28" x14ac:dyDescent="0.25">
      <c r="A55" s="164"/>
      <c r="B55" s="164"/>
      <c r="C55" s="189"/>
      <c r="D55" s="189"/>
      <c r="E55" s="189"/>
      <c r="F55" s="189"/>
      <c r="G55" s="189"/>
      <c r="H55" s="165">
        <f>Résultats!AC227/1000000</f>
        <v>218.42065740000001</v>
      </c>
      <c r="I55" s="166"/>
      <c r="J55" s="166"/>
      <c r="K55" s="166"/>
      <c r="L55" s="166"/>
      <c r="M55" s="207"/>
      <c r="O55" s="166"/>
      <c r="P55" s="166"/>
      <c r="Q55" s="166"/>
      <c r="R55" s="166"/>
      <c r="S55" s="207"/>
      <c r="T55" s="207"/>
      <c r="W55" s="79"/>
      <c r="X55" s="208"/>
      <c r="Y55" s="208"/>
      <c r="Z55" s="208"/>
      <c r="AA55" s="208"/>
      <c r="AB55" s="208"/>
    </row>
    <row r="56" spans="1:28" x14ac:dyDescent="0.25">
      <c r="A56" s="3"/>
      <c r="B56" s="3"/>
      <c r="C56" s="75"/>
      <c r="D56" s="75"/>
      <c r="E56" s="75"/>
      <c r="F56" s="75"/>
      <c r="G56" s="75"/>
      <c r="H56" s="45"/>
      <c r="I56" s="166"/>
      <c r="J56" s="166"/>
      <c r="K56" s="166"/>
      <c r="L56" s="166"/>
      <c r="M56" s="207"/>
      <c r="O56" s="166"/>
      <c r="P56" s="166"/>
      <c r="Q56" s="166"/>
      <c r="R56" s="166"/>
      <c r="S56" s="207"/>
      <c r="T56" s="207"/>
      <c r="W56" s="210"/>
      <c r="X56" s="208"/>
      <c r="Y56" s="208"/>
      <c r="Z56" s="208"/>
      <c r="AA56" s="208"/>
      <c r="AB56" s="208"/>
    </row>
    <row r="57" spans="1:28" ht="21" x14ac:dyDescent="0.35">
      <c r="A57" s="145">
        <v>2035</v>
      </c>
      <c r="B57" s="186"/>
      <c r="C57" s="27" t="s">
        <v>36</v>
      </c>
      <c r="D57" s="27" t="s">
        <v>37</v>
      </c>
      <c r="E57" s="27" t="s">
        <v>38</v>
      </c>
      <c r="F57" s="27" t="s">
        <v>39</v>
      </c>
      <c r="G57" s="27" t="s">
        <v>40</v>
      </c>
      <c r="H57" s="190" t="s">
        <v>1</v>
      </c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W57" s="19"/>
      <c r="X57" s="19"/>
      <c r="Y57" s="19"/>
      <c r="Z57" s="19"/>
      <c r="AA57" s="19"/>
      <c r="AB57" s="208"/>
    </row>
    <row r="58" spans="1:28" x14ac:dyDescent="0.25">
      <c r="A58" s="162" t="s">
        <v>18</v>
      </c>
      <c r="B58" s="187"/>
      <c r="C58" s="36">
        <f>C59+C60</f>
        <v>0</v>
      </c>
      <c r="D58" s="36">
        <f>D59+D60</f>
        <v>64.15293143870494</v>
      </c>
      <c r="E58" s="36">
        <f>E59+E60</f>
        <v>0.29472301872079593</v>
      </c>
      <c r="F58" s="36">
        <f>F59+F60</f>
        <v>0.68242444990126883</v>
      </c>
      <c r="G58" s="36">
        <f>G59+G60</f>
        <v>0</v>
      </c>
      <c r="H58" s="163">
        <f t="shared" ref="H58:H67" si="5">SUM(C58:G58)</f>
        <v>65.130078907327004</v>
      </c>
      <c r="I58" s="166"/>
      <c r="J58" s="166"/>
      <c r="K58" s="166"/>
      <c r="L58" s="166"/>
      <c r="M58" s="166"/>
      <c r="N58" s="38"/>
      <c r="O58" s="166"/>
      <c r="P58" s="166"/>
      <c r="Q58" s="166"/>
      <c r="R58" s="166"/>
      <c r="S58" s="166"/>
      <c r="T58" s="207"/>
      <c r="U58" s="75"/>
      <c r="W58" s="82"/>
      <c r="X58" s="208"/>
      <c r="Y58" s="208"/>
      <c r="Z58" s="208"/>
      <c r="AA58" s="208"/>
      <c r="AB58" s="208"/>
    </row>
    <row r="59" spans="1:28" x14ac:dyDescent="0.25">
      <c r="A59" s="148" t="s">
        <v>19</v>
      </c>
      <c r="B59" s="35"/>
      <c r="C59" s="16">
        <v>0</v>
      </c>
      <c r="D59" s="16">
        <f>'T energie usages'!I90*3.2*Résultats!AH283</f>
        <v>31.402465679904946</v>
      </c>
      <c r="E59" s="16">
        <f>'T energie usages'!J90/'T energie usages'!J$98*(Résultats!AH$192+Résultats!AH$193+Résultats!AH$194)/1000000</f>
        <v>8.8696709939902876E-2</v>
      </c>
      <c r="F59" s="16">
        <f>'T energie usages'!K90*2.394*Résultats!AH284</f>
        <v>1.448107126866035E-5</v>
      </c>
      <c r="G59" s="16">
        <v>0</v>
      </c>
      <c r="H59" s="95">
        <f t="shared" si="5"/>
        <v>31.491176870916117</v>
      </c>
      <c r="I59" s="166"/>
      <c r="J59" s="166"/>
      <c r="K59" s="166"/>
      <c r="L59" s="166"/>
      <c r="M59" s="166"/>
      <c r="N59" s="38"/>
      <c r="O59" s="166"/>
      <c r="P59" s="166"/>
      <c r="Q59" s="166"/>
      <c r="R59" s="166"/>
      <c r="S59" s="166"/>
      <c r="T59" s="207"/>
      <c r="U59" s="16"/>
      <c r="W59" s="30"/>
      <c r="X59" s="208"/>
      <c r="Y59" s="208"/>
      <c r="Z59" s="208"/>
      <c r="AA59" s="208"/>
      <c r="AB59" s="208"/>
    </row>
    <row r="60" spans="1:28" x14ac:dyDescent="0.25">
      <c r="A60" s="149" t="s">
        <v>20</v>
      </c>
      <c r="B60" s="35"/>
      <c r="C60" s="16">
        <v>0</v>
      </c>
      <c r="D60" s="16">
        <f>(Résultats!AH$183+Résultats!AH$184+Résultats!AH$185+Résultats!AH$186+Résultats!AH$187)/1000000</f>
        <v>32.750465758799997</v>
      </c>
      <c r="E60" s="16">
        <f>'T energie usages'!J91/'T energie usages'!J$98*(Résultats!AH$192+Résultats!AH$193+Résultats!AH$194)/1000000</f>
        <v>0.20602630878089304</v>
      </c>
      <c r="F60" s="16">
        <f>(Résultats!AH$209+Résultats!AH$210+Résultats!AH$211+Résultats!AH$212+Résultats!AH$213)/1000000</f>
        <v>0.68240996883000016</v>
      </c>
      <c r="G60" s="16">
        <v>0</v>
      </c>
      <c r="H60" s="95">
        <f t="shared" si="5"/>
        <v>33.63890203641089</v>
      </c>
      <c r="I60" s="166"/>
      <c r="J60" s="166"/>
      <c r="K60" s="166"/>
      <c r="L60" s="166"/>
      <c r="M60" s="166"/>
      <c r="N60" s="38"/>
      <c r="O60" s="166"/>
      <c r="P60" s="166"/>
      <c r="Q60" s="166"/>
      <c r="R60" s="166"/>
      <c r="S60" s="166"/>
      <c r="T60" s="207"/>
      <c r="U60" s="16"/>
      <c r="W60" s="30"/>
      <c r="X60" s="208"/>
      <c r="Y60" s="208"/>
      <c r="Z60" s="208"/>
      <c r="AA60" s="208"/>
      <c r="AB60" s="208"/>
    </row>
    <row r="61" spans="1:28" x14ac:dyDescent="0.25">
      <c r="A61" s="162" t="s">
        <v>21</v>
      </c>
      <c r="B61" s="187"/>
      <c r="C61" s="36">
        <f>Résultats!AH$135/1000000</f>
        <v>0.5974441774</v>
      </c>
      <c r="D61" s="36">
        <f>'T energie usages'!I92*3.2*Résultats!AH283</f>
        <v>9.3619810391275529</v>
      </c>
      <c r="E61" s="36">
        <f>'T energie usages'!J92/'T energie usages'!J$98*(Résultats!AH$192+Résultats!AH$193+Résultats!AH$194)/1000000</f>
        <v>0.79891866270401213</v>
      </c>
      <c r="F61" s="36">
        <f>('T energie usages'!K92-8)*2.394*Résultats!AH284</f>
        <v>4.877879112070433</v>
      </c>
      <c r="G61" s="36">
        <v>0</v>
      </c>
      <c r="H61" s="163">
        <f t="shared" si="5"/>
        <v>15.636222991301997</v>
      </c>
      <c r="I61" s="166"/>
      <c r="J61" s="166"/>
      <c r="K61" s="166"/>
      <c r="L61" s="166"/>
      <c r="M61" s="166"/>
      <c r="N61" s="38"/>
      <c r="O61" s="166"/>
      <c r="P61" s="166"/>
      <c r="Q61" s="166"/>
      <c r="R61" s="166"/>
      <c r="S61" s="166"/>
      <c r="T61" s="207"/>
      <c r="U61" s="75"/>
      <c r="W61" s="82"/>
      <c r="X61" s="208"/>
      <c r="Y61" s="208"/>
      <c r="Z61" s="208"/>
      <c r="AA61" s="208"/>
      <c r="AB61" s="208"/>
    </row>
    <row r="62" spans="1:28" x14ac:dyDescent="0.25">
      <c r="A62" s="162" t="s">
        <v>22</v>
      </c>
      <c r="B62" s="187"/>
      <c r="C62" s="36">
        <f>(Résultats!AH$168+Résultats!AH$169)/1000000</f>
        <v>0</v>
      </c>
      <c r="D62" s="36">
        <f>(Résultats!AH$188+Résultats!AH$189)/1000000</f>
        <v>2.9206242538999998</v>
      </c>
      <c r="E62" s="36">
        <f>'T energie usages'!J93/'T energie usages'!J$98*(Résultats!AH$192+Résultats!AH$193+Résultats!AH$194)/1000000</f>
        <v>0.51481013671407594</v>
      </c>
      <c r="F62" s="36">
        <f>(Résultats!AH$214+Résultats!AH$215)/1000000</f>
        <v>8.8637204629999999</v>
      </c>
      <c r="G62" s="36">
        <v>0</v>
      </c>
      <c r="H62" s="163">
        <f t="shared" si="5"/>
        <v>12.299154853614075</v>
      </c>
      <c r="I62" s="166"/>
      <c r="J62" s="166"/>
      <c r="K62" s="166"/>
      <c r="L62" s="166"/>
      <c r="M62" s="166"/>
      <c r="N62" s="38"/>
      <c r="O62" s="166"/>
      <c r="P62" s="166"/>
      <c r="Q62" s="166"/>
      <c r="R62" s="166"/>
      <c r="S62" s="166"/>
      <c r="T62" s="207"/>
      <c r="U62" s="75"/>
      <c r="W62" s="82"/>
      <c r="X62" s="208"/>
      <c r="Y62" s="208"/>
      <c r="Z62" s="208"/>
      <c r="AA62" s="208"/>
      <c r="AB62" s="208"/>
    </row>
    <row r="63" spans="1:28" x14ac:dyDescent="0.25">
      <c r="A63" s="162" t="s">
        <v>23</v>
      </c>
      <c r="B63" s="187"/>
      <c r="C63" s="36">
        <f>C64+C65</f>
        <v>7.5723147146900001</v>
      </c>
      <c r="D63" s="36">
        <f>D64+D65</f>
        <v>27.427858088280455</v>
      </c>
      <c r="E63" s="36">
        <f>E64+E65</f>
        <v>1.0088624510611157</v>
      </c>
      <c r="F63" s="36">
        <f>F64+F65</f>
        <v>6.2870755335073127</v>
      </c>
      <c r="G63" s="36">
        <f>G64+G65</f>
        <v>15.296002960000001</v>
      </c>
      <c r="H63" s="163">
        <f t="shared" si="5"/>
        <v>57.592113747538882</v>
      </c>
      <c r="I63" s="166"/>
      <c r="J63" s="166"/>
      <c r="K63" s="166"/>
      <c r="L63" s="166"/>
      <c r="M63" s="166"/>
      <c r="N63" s="38"/>
      <c r="O63" s="166"/>
      <c r="P63" s="166"/>
      <c r="Q63" s="166"/>
      <c r="R63" s="166"/>
      <c r="S63" s="166"/>
      <c r="T63" s="207"/>
      <c r="U63" s="75"/>
      <c r="W63" s="82"/>
      <c r="X63" s="208"/>
      <c r="Y63" s="208"/>
      <c r="Z63" s="208"/>
      <c r="AA63" s="208"/>
      <c r="AB63" s="208"/>
    </row>
    <row r="64" spans="1:28" x14ac:dyDescent="0.25">
      <c r="A64" s="149" t="s">
        <v>24</v>
      </c>
      <c r="B64" s="35"/>
      <c r="C64" s="75">
        <f>(Résultats!AH$162+Résultats!AH$163+Résultats!AH$164+Résultats!AH$165+Résultats!AH$166+Résultats!AH$167)/1000000</f>
        <v>7.5723147146900001</v>
      </c>
      <c r="D64" s="16">
        <f>(Résultats!AH$171+Résultats!AH$173+Résultats!AH$174+Résultats!AH$175+Résultats!AH$176+Résultats!AH$177+Résultats!AH$178+Résultats!AH$179+Résultats!AH$180+Résultats!AH$181+Résultats!AH$182)/1000000</f>
        <v>21.241211569280456</v>
      </c>
      <c r="E64" s="16">
        <f>'T energie usages'!J95/'T energie usages'!J$98*(Résultats!AH$192+Résultats!AH$193+Résultats!AH$194)/1000000</f>
        <v>0.98810033126277619</v>
      </c>
      <c r="F64" s="16">
        <f>(Résultats!AH$197+Résultats!AH$198+Résultats!AH$199+Résultats!AH$200+Résultats!AH$201+Résultats!AH$202+Résultats!AH$203+Résultats!AH$204+Résultats!AH$205+Résultats!AH$206+Résultats!AH$207+Résultats!AH$208+Résultats!AH$216+Résultats!AH$218)/1000000</f>
        <v>5.9616001951073132</v>
      </c>
      <c r="G64" s="16">
        <f>Résultats!AH$133/1000000</f>
        <v>15.296002960000001</v>
      </c>
      <c r="H64" s="95">
        <f t="shared" si="5"/>
        <v>51.059229770340544</v>
      </c>
      <c r="I64" s="166"/>
      <c r="K64" s="166"/>
      <c r="L64" s="166"/>
      <c r="M64" s="166"/>
      <c r="N64" s="38"/>
      <c r="O64" s="166"/>
      <c r="P64" s="166"/>
      <c r="Q64" s="166"/>
      <c r="R64" s="166"/>
      <c r="S64" s="166"/>
      <c r="T64" s="207"/>
      <c r="U64" s="16"/>
      <c r="W64" s="30"/>
      <c r="X64" s="208"/>
      <c r="Y64" s="208"/>
      <c r="Z64" s="208"/>
      <c r="AA64" s="208"/>
      <c r="AB64" s="208"/>
    </row>
    <row r="65" spans="1:28" x14ac:dyDescent="0.25">
      <c r="A65" s="149" t="s">
        <v>25</v>
      </c>
      <c r="B65" s="35"/>
      <c r="C65" s="16">
        <v>0</v>
      </c>
      <c r="D65" s="16">
        <f>(Résultats!AH$172)/1000000</f>
        <v>6.186646519</v>
      </c>
      <c r="E65" s="16">
        <f>'T energie usages'!J97/'T energie usages'!J$98*(Résultats!AH$192+Résultats!AH$193+Résultats!AH$194)/1000000</f>
        <v>2.0762119798339605E-2</v>
      </c>
      <c r="F65" s="16">
        <f>(Résultats!AH$196)/1000000</f>
        <v>0.32547533839999998</v>
      </c>
      <c r="G65" s="16">
        <v>0</v>
      </c>
      <c r="H65" s="95">
        <f t="shared" si="5"/>
        <v>6.53288397719834</v>
      </c>
      <c r="I65" s="166"/>
      <c r="K65" s="166"/>
      <c r="L65" s="166"/>
      <c r="M65" s="166"/>
      <c r="N65" s="38"/>
      <c r="O65" s="166"/>
      <c r="P65" s="166"/>
      <c r="Q65" s="166"/>
      <c r="R65" s="166"/>
      <c r="S65" s="166"/>
      <c r="T65" s="207"/>
      <c r="U65" s="16"/>
      <c r="W65" s="30"/>
      <c r="X65" s="208"/>
      <c r="Y65" s="208"/>
      <c r="Z65" s="208"/>
      <c r="AA65" s="208"/>
      <c r="AB65" s="208"/>
    </row>
    <row r="66" spans="1:28" x14ac:dyDescent="0.25">
      <c r="A66" s="48" t="s">
        <v>41</v>
      </c>
      <c r="B66" s="37"/>
      <c r="C66" s="37">
        <f>SUM(C61:C63)+C58</f>
        <v>8.1697588920899999</v>
      </c>
      <c r="D66" s="37">
        <f>SUM(D61:D63)+D58</f>
        <v>103.86339482001296</v>
      </c>
      <c r="E66" s="37">
        <f>SUM(E61:E63)+E58</f>
        <v>2.6173142691999995</v>
      </c>
      <c r="F66" s="37">
        <f>SUM(F61:F63)+F58</f>
        <v>20.711099558479013</v>
      </c>
      <c r="G66" s="37">
        <f>SUM(G61:G63)+G58</f>
        <v>15.296002960000001</v>
      </c>
      <c r="H66" s="167">
        <f t="shared" si="5"/>
        <v>150.65757049978197</v>
      </c>
      <c r="I66" s="79"/>
      <c r="J66" s="211"/>
      <c r="K66" s="166"/>
      <c r="L66" s="166"/>
      <c r="M66" s="166"/>
      <c r="N66" s="38"/>
      <c r="O66" s="166"/>
      <c r="P66" s="166"/>
      <c r="Q66" s="166"/>
      <c r="R66" s="166"/>
      <c r="S66" s="166"/>
      <c r="T66" s="207"/>
      <c r="U66" s="79"/>
      <c r="W66" s="80"/>
      <c r="X66" s="208"/>
      <c r="Y66" s="208"/>
      <c r="Z66" s="208"/>
      <c r="AA66" s="208"/>
      <c r="AB66" s="208"/>
    </row>
    <row r="67" spans="1:28" x14ac:dyDescent="0.25">
      <c r="A67" s="164" t="s">
        <v>43</v>
      </c>
      <c r="B67" s="164"/>
      <c r="C67" s="165">
        <f>(Résultats!AH$135+Résultats!AH$162+Résultats!AH$163+Résultats!AH$164+Résultats!AH$165+Résultats!AH$166+Résultats!AH$167+Résultats!AH$168+Résultats!AH$169)/1000000</f>
        <v>8.1697588920899999</v>
      </c>
      <c r="D67" s="165">
        <f>(Résultats!AH$137+Résultats!AH$171+Résultats!AH$172+Résultats!AH$173+Résultats!AH$174+Résultats!AH$175+Résultats!AH$176+Résultats!AH$177+Résultats!AH$178+Résultats!AH$179+Résultats!AH$180+Résultats!AH$181+Résultats!AH$182+Résultats!AH$183+Résultats!AH$184+Résultats!AH$185+Résultats!AH$186+Résultats!AH$187+Résultats!AH$188+Résultats!AH$189)/1000000</f>
        <v>103.88802885098046</v>
      </c>
      <c r="E67" s="165">
        <f>(Résultats!AH$192+Résultats!AH$193+Résultats!AH$194)/1000000</f>
        <v>2.6173142692</v>
      </c>
      <c r="F67" s="165">
        <f>(Résultats!AH$139+Résultats!AH$196+Résultats!AH$197+Résultats!AH$198+Résultats!AH$199+Résultats!AH$200+Résultats!AH$201+Résultats!AH$202+Résultats!AH$203+Résultats!AH$204+Résultats!AH$205+Résultats!AH$206+Résultats!AH$207+Résultats!AH$208+Résultats!AH$209+Résultats!AH$210+Résultats!AH$211+Résultats!AH$212+Résultats!AH$213+Résultats!AH$214+Résultats!AH$215+Résultats!AH$216+Résultats!AH$218)/1000000</f>
        <v>24.810807884337315</v>
      </c>
      <c r="G67" s="165">
        <f>Résultats!AH$133/1000000</f>
        <v>15.296002960000001</v>
      </c>
      <c r="H67" s="188">
        <f t="shared" si="5"/>
        <v>154.78191285660779</v>
      </c>
      <c r="I67" s="45"/>
      <c r="K67" s="45"/>
      <c r="L67" s="166"/>
    </row>
    <row r="68" spans="1:28" x14ac:dyDescent="0.25">
      <c r="A68" s="164"/>
      <c r="B68" s="164"/>
      <c r="C68" s="165"/>
      <c r="D68" s="165"/>
      <c r="E68" s="165"/>
      <c r="F68" s="165"/>
      <c r="G68" s="165"/>
      <c r="H68" s="165">
        <f>Résultats!AH227/1000000</f>
        <v>154.78191269999999</v>
      </c>
      <c r="I68" s="45"/>
      <c r="K68" s="45"/>
      <c r="L68" s="166"/>
    </row>
    <row r="69" spans="1:28" x14ac:dyDescent="0.25">
      <c r="A69" s="3"/>
      <c r="B69" s="3"/>
      <c r="C69" s="45"/>
      <c r="D69" s="45"/>
      <c r="E69" s="45"/>
      <c r="F69" s="45"/>
      <c r="G69" s="45"/>
      <c r="H69" s="45"/>
      <c r="I69" s="45"/>
      <c r="K69" s="45"/>
      <c r="L69" s="166"/>
    </row>
    <row r="70" spans="1:28" ht="21" x14ac:dyDescent="0.35">
      <c r="A70" s="145">
        <v>2050</v>
      </c>
      <c r="B70" s="186"/>
      <c r="C70" s="27" t="s">
        <v>36</v>
      </c>
      <c r="D70" s="27" t="s">
        <v>37</v>
      </c>
      <c r="E70" s="27" t="s">
        <v>38</v>
      </c>
      <c r="F70" s="27" t="s">
        <v>39</v>
      </c>
      <c r="G70" s="27" t="s">
        <v>40</v>
      </c>
      <c r="H70" s="190" t="s">
        <v>1</v>
      </c>
      <c r="I70" s="3"/>
    </row>
    <row r="71" spans="1:28" x14ac:dyDescent="0.25">
      <c r="A71" s="162" t="s">
        <v>18</v>
      </c>
      <c r="B71" s="187"/>
      <c r="C71" s="36">
        <f>C72+C73</f>
        <v>5.6296844311962902E-6</v>
      </c>
      <c r="D71" s="36">
        <f>D72+D73</f>
        <v>9.5200645396757118</v>
      </c>
      <c r="E71" s="36">
        <f>E72+E73</f>
        <v>7.8443561293775416E-2</v>
      </c>
      <c r="F71" s="36">
        <f>F72+F73</f>
        <v>0.81455605001210851</v>
      </c>
      <c r="G71" s="36">
        <f>G72+G73</f>
        <v>0</v>
      </c>
      <c r="H71" s="163">
        <f t="shared" ref="H71:H80" si="6">SUM(C71:G71)</f>
        <v>10.413069780666026</v>
      </c>
      <c r="I71" s="3"/>
    </row>
    <row r="72" spans="1:28" x14ac:dyDescent="0.25">
      <c r="A72" s="148" t="s">
        <v>19</v>
      </c>
      <c r="B72" s="35"/>
      <c r="C72" s="16">
        <f>Résultats!AF$118/1000000</f>
        <v>5.6296844311962902E-6</v>
      </c>
      <c r="D72" s="16">
        <f>'T energie usages'!I116*3.2*Résultats!AW283</f>
        <v>3.5344428896857116</v>
      </c>
      <c r="E72" s="16">
        <f>'T energie usages'!J116/'T energie usages'!J$124*(Résultats!AW$192+Résultats!AW$193+Résultats!AW$194)/1000000</f>
        <v>2.3332042220093351E-2</v>
      </c>
      <c r="F72" s="16">
        <f>'T energie usages'!K116*2.394*Résultats!AW284</f>
        <v>3.2095021085746169E-6</v>
      </c>
      <c r="G72" s="16">
        <v>0</v>
      </c>
      <c r="H72" s="95">
        <f t="shared" si="6"/>
        <v>3.5577837710923448</v>
      </c>
      <c r="I72" s="3"/>
    </row>
    <row r="73" spans="1:28" x14ac:dyDescent="0.25">
      <c r="A73" s="149" t="s">
        <v>20</v>
      </c>
      <c r="B73" s="35"/>
      <c r="C73" s="16">
        <v>0</v>
      </c>
      <c r="D73" s="16">
        <f>(Résultats!AW$183+Résultats!AW$184+Résultats!AW$185+Résultats!AW$186+Résultats!AW$187)/1000000</f>
        <v>5.9856216499899997</v>
      </c>
      <c r="E73" s="16">
        <f>'T energie usages'!J117/'T energie usages'!J$124*(Résultats!AW$192+Résultats!AW$193+Résultats!AW$194)/1000000</f>
        <v>5.5111519073682065E-2</v>
      </c>
      <c r="F73" s="192">
        <f>(Résultats!AW$209+Résultats!AW$210+Résultats!AW$211+Résultats!AW$212+Résultats!AW$213)/1000000</f>
        <v>0.81455284050999999</v>
      </c>
      <c r="G73" s="16">
        <v>0</v>
      </c>
      <c r="H73" s="95">
        <f t="shared" si="6"/>
        <v>6.8552860095736818</v>
      </c>
      <c r="I73" s="3"/>
    </row>
    <row r="74" spans="1:28" x14ac:dyDescent="0.25">
      <c r="A74" s="162" t="s">
        <v>21</v>
      </c>
      <c r="B74" s="187"/>
      <c r="C74" s="36">
        <f>Résultats!AW$135/1000000</f>
        <v>0.38206663630000004</v>
      </c>
      <c r="D74" s="36">
        <f>'T energie usages'!I118*3.2*Résultats!AW283</f>
        <v>2.0486077425803528</v>
      </c>
      <c r="E74" s="36">
        <f>'T energie usages'!J118/'T energie usages'!J$124*(Résultats!AW$192+Résultats!AW$193+Résultats!AW$194)/1000000</f>
        <v>9.4321467887383229E-2</v>
      </c>
      <c r="F74" s="36">
        <f>('T energie usages'!K118-8)*2.394*Résultats!AW284</f>
        <v>1.5940881884302587</v>
      </c>
      <c r="G74" s="36">
        <v>0</v>
      </c>
      <c r="H74" s="163">
        <f t="shared" si="6"/>
        <v>4.1190840351979947</v>
      </c>
      <c r="I74" s="3"/>
    </row>
    <row r="75" spans="1:28" x14ac:dyDescent="0.25">
      <c r="A75" s="162" t="s">
        <v>22</v>
      </c>
      <c r="B75" s="187"/>
      <c r="C75" s="36">
        <f>(Résultats!AW$168+Résultats!AW$169)/1000000</f>
        <v>0</v>
      </c>
      <c r="D75" s="36">
        <f>(Résultats!AW$188+Résultats!AW$189)/1000000</f>
        <v>0.87734795605000004</v>
      </c>
      <c r="E75" s="36">
        <f>'T energie usages'!J119/'T energie usages'!J$124*(Résultats!AW$192+Résultats!AW$193+Résultats!AW$194)/1000000</f>
        <v>6.1514411358415351E-2</v>
      </c>
      <c r="F75" s="36">
        <f>(Résultats!AW$214+Résultats!AW$215)/1000000</f>
        <v>3.7357553458999999</v>
      </c>
      <c r="G75" s="36">
        <v>0</v>
      </c>
      <c r="H75" s="163">
        <f t="shared" si="6"/>
        <v>4.6746177133084155</v>
      </c>
      <c r="I75" s="3"/>
    </row>
    <row r="76" spans="1:28" x14ac:dyDescent="0.25">
      <c r="A76" s="162" t="s">
        <v>23</v>
      </c>
      <c r="B76" s="187"/>
      <c r="C76" s="36">
        <f>C77+C78</f>
        <v>8.4383017547300003</v>
      </c>
      <c r="D76" s="36">
        <f>D77+D78</f>
        <v>10.546746865471004</v>
      </c>
      <c r="E76" s="36">
        <f>E77+E78</f>
        <v>0.15071020612042599</v>
      </c>
      <c r="F76" s="36">
        <f>F77+F78</f>
        <v>4.7615269390916186</v>
      </c>
      <c r="G76" s="36">
        <f>G77+G78</f>
        <v>17.052095120000001</v>
      </c>
      <c r="H76" s="163">
        <f t="shared" si="6"/>
        <v>40.949380885413049</v>
      </c>
      <c r="I76" s="3"/>
    </row>
    <row r="77" spans="1:28" x14ac:dyDescent="0.25">
      <c r="A77" s="149" t="s">
        <v>24</v>
      </c>
      <c r="B77" s="35"/>
      <c r="C77" s="16">
        <f>(Résultats!AW$162+Résultats!AW$163+Résultats!AW$164+Résultats!AW$165+Résultats!AW$166+Résultats!AW$167)/1000000</f>
        <v>8.4383017547300003</v>
      </c>
      <c r="D77" s="16">
        <f>(Résultats!AW$171+Résultats!AW$173+Résultats!AW$174+Résultats!AW$175+Résultats!AW$176+Résultats!AW$177+Résultats!AW$178+Résultats!AW$179+Résultats!AW$180+Résultats!AW$181+Résultats!AW$182)/1000000</f>
        <v>8.142674256471004</v>
      </c>
      <c r="E77" s="16">
        <f>'T energie usages'!J121/'T energie usages'!J$124*(Résultats!AW$192+Résultats!AW$193+Résultats!AW$194)/1000000</f>
        <v>0.14733241336732283</v>
      </c>
      <c r="F77" s="16">
        <f>(Résultats!AW$197+Résultats!AW$198+Résultats!AW$199+Résultats!AW$200+Résultats!AW$201+Résultats!AW$202+Résultats!AW$203+Résultats!AW$204+Résultats!AW$205+Résultats!AW$206+Résultats!AW$207+Résultats!AW$208+Résultats!AW$216+Résultats!AW$218)/1000000</f>
        <v>4.5260781311916185</v>
      </c>
      <c r="G77" s="16">
        <f>Résultats!AW$133/1000000</f>
        <v>17.052095120000001</v>
      </c>
      <c r="H77" s="95">
        <f t="shared" si="6"/>
        <v>38.30648167575994</v>
      </c>
      <c r="I77" s="3"/>
    </row>
    <row r="78" spans="1:28" x14ac:dyDescent="0.25">
      <c r="A78" s="149" t="s">
        <v>25</v>
      </c>
      <c r="B78" s="35"/>
      <c r="C78" s="16">
        <v>0</v>
      </c>
      <c r="D78" s="16">
        <f>(Résultats!AW$172)/1000000</f>
        <v>2.404072609</v>
      </c>
      <c r="E78" s="16">
        <f>'T energie usages'!J123/'T energie usages'!J$124*(Résultats!AW$192+Résultats!AW$193+Résultats!AW$194)/1000000</f>
        <v>3.3777927531031602E-3</v>
      </c>
      <c r="F78" s="16">
        <f>(Résultats!AW$196)/1000000</f>
        <v>0.2354488079</v>
      </c>
      <c r="G78" s="16">
        <v>0</v>
      </c>
      <c r="H78" s="95">
        <f t="shared" si="6"/>
        <v>2.6428992096531032</v>
      </c>
      <c r="I78" s="3"/>
    </row>
    <row r="79" spans="1:28" x14ac:dyDescent="0.25">
      <c r="A79" s="48" t="s">
        <v>41</v>
      </c>
      <c r="B79" s="37"/>
      <c r="C79" s="37">
        <f>SUM(C74:C76)+C71</f>
        <v>8.8203740207144303</v>
      </c>
      <c r="D79" s="37">
        <f>SUM(D74:D76)+D71</f>
        <v>22.992767103777069</v>
      </c>
      <c r="E79" s="37">
        <f>SUM(E74:E76)+E71</f>
        <v>0.38498964666000002</v>
      </c>
      <c r="F79" s="37">
        <f>SUM(F74:F76)+F71</f>
        <v>10.905926523433985</v>
      </c>
      <c r="G79" s="37">
        <f>SUM(G74:G76)+G71</f>
        <v>17.052095120000001</v>
      </c>
      <c r="H79" s="167">
        <f t="shared" si="6"/>
        <v>60.156152414585492</v>
      </c>
      <c r="I79" s="3"/>
    </row>
    <row r="80" spans="1:28" x14ac:dyDescent="0.25">
      <c r="A80" s="164" t="s">
        <v>43</v>
      </c>
      <c r="B80" s="164"/>
      <c r="C80" s="165">
        <f>(Résultats!AW$135+Résultats!AW$162+Résultats!AW$163+Résultats!AW$164+Résultats!AW$165+Résultats!AW$166+Résultats!AW$167+Résultats!AW$168+Résultats!AW$169)/1000000</f>
        <v>8.8203683910299997</v>
      </c>
      <c r="D80" s="165">
        <f>(Résultats!AW$137+Résultats!AW$171+Résultats!AW$172+Résultats!AW$173+Résultats!AW$174+Résultats!AW$175+Résultats!AW$176+Résultats!AW$177+Résultats!AW$178+Résultats!AW$179+Résultats!AW$180+Résultats!AW$181+Résultats!AW$182+Résultats!AW$183+Résultats!AW$184+Résultats!AW$185+Résultats!AW$186+Résultats!AW$187+Résultats!AW$188+Résultats!AW$189)/1000000</f>
        <v>22.996140950511002</v>
      </c>
      <c r="E80" s="165">
        <f>(Résultats!AW$192+Résultats!AW$193+Résultats!AW$194)/1000000</f>
        <v>0.38498964665999996</v>
      </c>
      <c r="F80" s="165">
        <f>(Résultats!AW$139+Résultats!AW$196+Résultats!AW$197+Résultats!AW$198+Résultats!AW$199+Résultats!AW$200+Résultats!AW$201+Résultats!AW$202+Résultats!AW$203+Résultats!AW$204+Résultats!AW$205+Résultats!AW$206+Résultats!AW$207+Résultats!AW$208+Résultats!AW$209+Résultats!AW$210+Résultats!AW$211+Résultats!AW$212+Résultats!AW$213+Résultats!AW$214+Résultats!AW$215+Résultats!AW$216+Résultats!AW$218)/1000000</f>
        <v>13.328667531501617</v>
      </c>
      <c r="G80" s="165">
        <f>Résultats!AW133/1000000</f>
        <v>17.052095120000001</v>
      </c>
      <c r="H80" s="188">
        <f t="shared" si="6"/>
        <v>62.582261639702622</v>
      </c>
      <c r="I80" s="47"/>
    </row>
    <row r="81" spans="1:9" x14ac:dyDescent="0.25">
      <c r="A81" s="164"/>
      <c r="B81" s="164"/>
      <c r="C81" s="165"/>
      <c r="D81" s="165"/>
      <c r="E81" s="165"/>
      <c r="F81" s="165"/>
      <c r="G81" s="165"/>
      <c r="H81" s="165">
        <f>Résultats!AW227/1000000</f>
        <v>62.582261600000002</v>
      </c>
      <c r="I81" s="3"/>
    </row>
    <row r="82" spans="1:9" x14ac:dyDescent="0.25">
      <c r="A82" s="3"/>
      <c r="B82" s="3"/>
      <c r="C82" s="3"/>
      <c r="D82" s="3"/>
      <c r="E82" s="3"/>
      <c r="F82" s="3"/>
      <c r="G82" s="3"/>
      <c r="H82" s="3"/>
      <c r="I82" s="3"/>
    </row>
    <row r="83" spans="1:9" x14ac:dyDescent="0.25">
      <c r="A83" s="3"/>
      <c r="B83" s="3"/>
      <c r="C83" s="3"/>
      <c r="D83" s="3"/>
      <c r="E83" s="3"/>
      <c r="F83" s="3"/>
      <c r="G83" s="3"/>
      <c r="H83" s="3"/>
      <c r="I83" s="3"/>
    </row>
    <row r="84" spans="1:9" s="3" customFormat="1" x14ac:dyDescent="0.25"/>
    <row r="85" spans="1:9" s="3" customFormat="1" x14ac:dyDescent="0.25">
      <c r="G85" s="45"/>
    </row>
    <row r="86" spans="1:9" s="3" customFormat="1" x14ac:dyDescent="0.25">
      <c r="H86" s="47"/>
    </row>
    <row r="87" spans="1:9" s="3" customFormat="1" x14ac:dyDescent="0.25">
      <c r="C87" s="45"/>
      <c r="H87" s="47"/>
    </row>
    <row r="88" spans="1:9" s="3" customFormat="1" x14ac:dyDescent="0.25">
      <c r="C88" s="45"/>
      <c r="H88" s="47"/>
    </row>
    <row r="89" spans="1:9" s="3" customFormat="1" x14ac:dyDescent="0.25">
      <c r="C89" s="45"/>
      <c r="H89" s="47"/>
    </row>
    <row r="90" spans="1:9" s="3" customFormat="1" x14ac:dyDescent="0.25">
      <c r="C90" s="45"/>
      <c r="H90" s="47"/>
    </row>
    <row r="91" spans="1:9" s="3" customFormat="1" x14ac:dyDescent="0.25">
      <c r="C91" s="45"/>
      <c r="H91" s="47"/>
    </row>
    <row r="92" spans="1:9" s="3" customFormat="1" x14ac:dyDescent="0.25">
      <c r="C92" s="45"/>
    </row>
    <row r="93" spans="1:9" s="3" customFormat="1" x14ac:dyDescent="0.25">
      <c r="C93" s="45"/>
    </row>
    <row r="94" spans="1:9" s="3" customFormat="1" x14ac:dyDescent="0.25">
      <c r="C94" s="45"/>
    </row>
    <row r="95" spans="1:9" s="3" customFormat="1" x14ac:dyDescent="0.25">
      <c r="C95" s="45"/>
    </row>
    <row r="96" spans="1:9" s="3" customFormat="1" x14ac:dyDescent="0.25">
      <c r="C96" s="45"/>
    </row>
    <row r="97" spans="3:5" s="3" customFormat="1" x14ac:dyDescent="0.25">
      <c r="C97" s="45"/>
    </row>
    <row r="98" spans="3:5" s="3" customFormat="1" x14ac:dyDescent="0.25">
      <c r="C98" s="45"/>
    </row>
    <row r="99" spans="3:5" s="3" customFormat="1" x14ac:dyDescent="0.25">
      <c r="C99" s="45"/>
    </row>
    <row r="100" spans="3:5" s="3" customFormat="1" x14ac:dyDescent="0.25">
      <c r="C100" s="45"/>
    </row>
    <row r="101" spans="3:5" s="3" customFormat="1" x14ac:dyDescent="0.25">
      <c r="C101" s="45"/>
    </row>
    <row r="102" spans="3:5" s="3" customFormat="1" x14ac:dyDescent="0.25">
      <c r="C102" s="45"/>
    </row>
    <row r="103" spans="3:5" s="3" customFormat="1" x14ac:dyDescent="0.25"/>
    <row r="104" spans="3:5" s="3" customFormat="1" x14ac:dyDescent="0.25">
      <c r="C104" s="45"/>
    </row>
    <row r="105" spans="3:5" s="3" customFormat="1" x14ac:dyDescent="0.25">
      <c r="C105" s="45"/>
    </row>
    <row r="106" spans="3:5" s="3" customFormat="1" x14ac:dyDescent="0.25">
      <c r="C106" s="45"/>
    </row>
    <row r="107" spans="3:5" s="3" customFormat="1" x14ac:dyDescent="0.25">
      <c r="C107" s="45"/>
    </row>
    <row r="108" spans="3:5" s="3" customFormat="1" x14ac:dyDescent="0.25">
      <c r="C108" s="45"/>
    </row>
    <row r="109" spans="3:5" s="3" customFormat="1" x14ac:dyDescent="0.25">
      <c r="C109" s="45"/>
    </row>
    <row r="110" spans="3:5" s="3" customFormat="1" x14ac:dyDescent="0.25">
      <c r="C110" s="45"/>
    </row>
    <row r="111" spans="3:5" s="3" customFormat="1" x14ac:dyDescent="0.25">
      <c r="C111" s="45"/>
    </row>
    <row r="112" spans="3:5" s="3" customFormat="1" x14ac:dyDescent="0.25">
      <c r="C112" s="45"/>
      <c r="D112" s="212"/>
      <c r="E112" s="212"/>
    </row>
    <row r="113" spans="3:3" s="3" customFormat="1" x14ac:dyDescent="0.25">
      <c r="C113" s="45"/>
    </row>
    <row r="114" spans="3:3" s="3" customFormat="1" x14ac:dyDescent="0.25">
      <c r="C114" s="45"/>
    </row>
    <row r="115" spans="3:3" s="3" customFormat="1" x14ac:dyDescent="0.25">
      <c r="C115" s="45"/>
    </row>
    <row r="116" spans="3:3" s="3" customFormat="1" x14ac:dyDescent="0.25">
      <c r="C116" s="45"/>
    </row>
    <row r="117" spans="3:3" s="3" customFormat="1" x14ac:dyDescent="0.25">
      <c r="C117" s="45"/>
    </row>
    <row r="118" spans="3:3" s="3" customFormat="1" x14ac:dyDescent="0.25">
      <c r="C118" s="45"/>
    </row>
    <row r="119" spans="3:3" s="3" customFormat="1" x14ac:dyDescent="0.25">
      <c r="C119" s="45"/>
    </row>
    <row r="120" spans="3:3" s="3" customFormat="1" x14ac:dyDescent="0.25">
      <c r="C120" s="45"/>
    </row>
    <row r="121" spans="3:3" s="3" customFormat="1" x14ac:dyDescent="0.25">
      <c r="C121" s="45"/>
    </row>
    <row r="122" spans="3:3" s="3" customFormat="1" x14ac:dyDescent="0.25"/>
    <row r="123" spans="3:3" s="3" customFormat="1" x14ac:dyDescent="0.25"/>
    <row r="124" spans="3:3" s="3" customFormat="1" x14ac:dyDescent="0.25"/>
    <row r="125" spans="3:3" s="3" customFormat="1" x14ac:dyDescent="0.25"/>
    <row r="126" spans="3:3" s="3" customFormat="1" x14ac:dyDescent="0.25"/>
    <row r="127" spans="3:3" s="3" customFormat="1" x14ac:dyDescent="0.25"/>
    <row r="128" spans="3:3" s="3" customFormat="1" x14ac:dyDescent="0.25"/>
    <row r="129" s="3" customFormat="1" x14ac:dyDescent="0.25"/>
    <row r="130" s="3" customFormat="1" x14ac:dyDescent="0.25"/>
    <row r="131" s="3" customFormat="1" x14ac:dyDescent="0.25"/>
    <row r="132" s="3" customFormat="1" x14ac:dyDescent="0.25"/>
    <row r="133" s="3" customFormat="1" x14ac:dyDescent="0.25"/>
    <row r="134" s="3" customFormat="1" x14ac:dyDescent="0.25"/>
    <row r="135" s="3" customFormat="1" x14ac:dyDescent="0.25"/>
    <row r="136" s="3" customFormat="1" x14ac:dyDescent="0.25"/>
    <row r="137" s="3" customFormat="1" x14ac:dyDescent="0.25"/>
    <row r="138" s="3" customFormat="1" x14ac:dyDescent="0.25"/>
    <row r="139" s="3" customFormat="1" x14ac:dyDescent="0.25"/>
    <row r="140" s="3" customFormat="1" x14ac:dyDescent="0.25"/>
    <row r="141" s="3" customFormat="1" x14ac:dyDescent="0.25"/>
    <row r="142" s="3" customFormat="1" x14ac:dyDescent="0.25"/>
    <row r="143" s="3" customFormat="1" x14ac:dyDescent="0.25"/>
    <row r="144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="3" customFormat="1" x14ac:dyDescent="0.25"/>
    <row r="194" s="3" customFormat="1" x14ac:dyDescent="0.25"/>
    <row r="195" s="3" customFormat="1" x14ac:dyDescent="0.25"/>
    <row r="196" s="3" customFormat="1" x14ac:dyDescent="0.25"/>
    <row r="197" s="3" customFormat="1" x14ac:dyDescent="0.25"/>
    <row r="198" s="3" customFormat="1" x14ac:dyDescent="0.25"/>
    <row r="199" s="3" customFormat="1" x14ac:dyDescent="0.25"/>
    <row r="200" s="3" customFormat="1" x14ac:dyDescent="0.25"/>
    <row r="201" s="3" customFormat="1" x14ac:dyDescent="0.25"/>
    <row r="202" s="3" customFormat="1" x14ac:dyDescent="0.25"/>
    <row r="203" s="3" customFormat="1" x14ac:dyDescent="0.25"/>
    <row r="204" s="3" customFormat="1" x14ac:dyDescent="0.25"/>
    <row r="205" s="3" customFormat="1" x14ac:dyDescent="0.25"/>
    <row r="206" s="3" customFormat="1" x14ac:dyDescent="0.25"/>
    <row r="207" s="3" customFormat="1" x14ac:dyDescent="0.25"/>
    <row r="208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  <row r="372" s="3" customFormat="1" x14ac:dyDescent="0.25"/>
    <row r="373" s="3" customFormat="1" x14ac:dyDescent="0.25"/>
    <row r="374" s="3" customFormat="1" x14ac:dyDescent="0.25"/>
    <row r="375" s="3" customFormat="1" x14ac:dyDescent="0.25"/>
    <row r="376" s="3" customFormat="1" x14ac:dyDescent="0.25"/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Feuil16">
    <tabColor rgb="FF0070C0"/>
  </sheetPr>
  <dimension ref="A1:BD32"/>
  <sheetViews>
    <sheetView topLeftCell="A2" zoomScale="80" zoomScaleNormal="80" workbookViewId="0">
      <selection activeCell="G21" sqref="G21:G22"/>
    </sheetView>
  </sheetViews>
  <sheetFormatPr baseColWidth="10" defaultRowHeight="15" x14ac:dyDescent="0.25"/>
  <cols>
    <col min="2" max="2" width="19.7109375" customWidth="1"/>
    <col min="3" max="3" width="21.5703125" bestFit="1" customWidth="1"/>
    <col min="4" max="6" width="13.5703125" hidden="1" customWidth="1"/>
    <col min="7" max="8" width="7.140625" customWidth="1"/>
    <col min="9" max="18" width="7.140625" bestFit="1" customWidth="1"/>
    <col min="19" max="19" width="7.85546875" customWidth="1"/>
    <col min="20" max="22" width="7.140625" bestFit="1" customWidth="1"/>
    <col min="23" max="23" width="7.85546875" customWidth="1"/>
    <col min="30" max="30" width="19.7109375" hidden="1" customWidth="1"/>
    <col min="31" max="31" width="21.5703125" hidden="1" customWidth="1"/>
    <col min="32" max="34" width="13.5703125" hidden="1" customWidth="1"/>
    <col min="35" max="46" width="7.140625" hidden="1" customWidth="1"/>
    <col min="47" max="47" width="7.85546875" customWidth="1"/>
    <col min="48" max="50" width="7.140625" bestFit="1" customWidth="1"/>
    <col min="51" max="51" width="7.85546875" customWidth="1"/>
  </cols>
  <sheetData>
    <row r="1" spans="1:56" s="3" customFormat="1" ht="23.25" x14ac:dyDescent="0.35">
      <c r="A1" s="46" t="s">
        <v>99</v>
      </c>
      <c r="AC1" s="46" t="s">
        <v>99</v>
      </c>
    </row>
    <row r="2" spans="1:56" s="3" customFormat="1" ht="23.25" x14ac:dyDescent="0.35">
      <c r="A2" s="46"/>
      <c r="D2" s="7"/>
      <c r="E2" s="235">
        <f>'T energie vecteurs'!E5</f>
        <v>4</v>
      </c>
      <c r="F2" s="235">
        <f>E2+9</f>
        <v>13</v>
      </c>
      <c r="G2" s="235">
        <f>F2+3</f>
        <v>16</v>
      </c>
      <c r="H2" s="235">
        <f t="shared" ref="H2:S2" si="0">G2+1</f>
        <v>17</v>
      </c>
      <c r="I2" s="235">
        <f t="shared" si="0"/>
        <v>18</v>
      </c>
      <c r="J2" s="235">
        <f t="shared" si="0"/>
        <v>19</v>
      </c>
      <c r="K2" s="235">
        <f t="shared" si="0"/>
        <v>20</v>
      </c>
      <c r="L2" s="235">
        <f t="shared" si="0"/>
        <v>21</v>
      </c>
      <c r="M2" s="235">
        <f t="shared" si="0"/>
        <v>22</v>
      </c>
      <c r="N2" s="235">
        <f t="shared" si="0"/>
        <v>23</v>
      </c>
      <c r="O2" s="235">
        <f t="shared" si="0"/>
        <v>24</v>
      </c>
      <c r="P2" s="235">
        <f t="shared" si="0"/>
        <v>25</v>
      </c>
      <c r="Q2" s="235">
        <f t="shared" si="0"/>
        <v>26</v>
      </c>
      <c r="R2" s="235">
        <f t="shared" si="0"/>
        <v>27</v>
      </c>
      <c r="S2" s="235">
        <f t="shared" si="0"/>
        <v>28</v>
      </c>
      <c r="T2" s="235">
        <f>S2+5</f>
        <v>33</v>
      </c>
      <c r="U2" s="235">
        <f>T2+5</f>
        <v>38</v>
      </c>
      <c r="V2" s="235">
        <f>U2+5</f>
        <v>43</v>
      </c>
      <c r="W2" s="235">
        <f>V2+5</f>
        <v>48</v>
      </c>
      <c r="AC2" s="46"/>
      <c r="AF2" s="7"/>
      <c r="AG2" s="235">
        <v>3</v>
      </c>
      <c r="AH2" s="235">
        <v>12</v>
      </c>
      <c r="AI2" s="235">
        <v>15</v>
      </c>
      <c r="AJ2" s="235">
        <v>16</v>
      </c>
      <c r="AK2" s="235">
        <v>17</v>
      </c>
      <c r="AL2" s="235">
        <v>18</v>
      </c>
      <c r="AM2" s="235">
        <v>19</v>
      </c>
      <c r="AN2" s="235">
        <v>20</v>
      </c>
      <c r="AO2" s="235">
        <v>21</v>
      </c>
      <c r="AP2" s="235">
        <v>22</v>
      </c>
      <c r="AQ2" s="235">
        <v>23</v>
      </c>
      <c r="AR2" s="235">
        <v>24</v>
      </c>
      <c r="AS2" s="235">
        <v>25</v>
      </c>
      <c r="AT2" s="235">
        <v>26</v>
      </c>
      <c r="AU2" s="235">
        <v>27</v>
      </c>
      <c r="AV2" s="235">
        <v>32</v>
      </c>
      <c r="AW2" s="235">
        <v>37</v>
      </c>
      <c r="AX2" s="235">
        <v>42</v>
      </c>
      <c r="AY2" s="235">
        <v>47</v>
      </c>
    </row>
    <row r="3" spans="1:56" ht="23.25" x14ac:dyDescent="0.35">
      <c r="A3" s="228"/>
      <c r="B3" s="3"/>
      <c r="C3" s="42"/>
      <c r="D3" s="11"/>
      <c r="E3" s="238">
        <v>2006</v>
      </c>
      <c r="F3" s="49">
        <v>2015</v>
      </c>
      <c r="G3" s="20">
        <v>2018</v>
      </c>
      <c r="H3" s="4">
        <v>2019</v>
      </c>
      <c r="I3" s="190">
        <v>2020</v>
      </c>
      <c r="J3" s="91">
        <v>2021</v>
      </c>
      <c r="K3" s="27">
        <v>2022</v>
      </c>
      <c r="L3" s="4">
        <v>2023</v>
      </c>
      <c r="M3" s="27">
        <v>2024</v>
      </c>
      <c r="N3" s="83">
        <v>2025</v>
      </c>
      <c r="O3" s="91">
        <v>2026</v>
      </c>
      <c r="P3" s="4">
        <v>2027</v>
      </c>
      <c r="Q3" s="27">
        <v>2028</v>
      </c>
      <c r="R3" s="27">
        <v>2029</v>
      </c>
      <c r="S3" s="83">
        <v>2030</v>
      </c>
      <c r="T3" s="93">
        <v>2035</v>
      </c>
      <c r="U3" s="93">
        <v>2040</v>
      </c>
      <c r="V3" s="4">
        <v>2045</v>
      </c>
      <c r="W3" s="93">
        <v>2050</v>
      </c>
      <c r="X3" s="3"/>
      <c r="AC3" s="228"/>
      <c r="AD3" s="3"/>
      <c r="AE3" s="42"/>
      <c r="AF3" s="11"/>
      <c r="AG3" s="238">
        <v>2006</v>
      </c>
      <c r="AH3" s="49">
        <v>2015</v>
      </c>
      <c r="AI3" s="20">
        <v>2018</v>
      </c>
      <c r="AJ3" s="4">
        <v>2019</v>
      </c>
      <c r="AK3" s="190">
        <v>2020</v>
      </c>
      <c r="AL3" s="91">
        <v>2021</v>
      </c>
      <c r="AM3" s="27">
        <v>2022</v>
      </c>
      <c r="AN3" s="4">
        <v>2023</v>
      </c>
      <c r="AO3" s="27">
        <v>2024</v>
      </c>
      <c r="AP3" s="83">
        <v>2025</v>
      </c>
      <c r="AQ3" s="91">
        <v>2026</v>
      </c>
      <c r="AR3" s="4">
        <v>2027</v>
      </c>
      <c r="AS3" s="27">
        <v>2028</v>
      </c>
      <c r="AT3" s="27">
        <v>2029</v>
      </c>
      <c r="AU3" s="83">
        <v>2030</v>
      </c>
      <c r="AV3" s="93">
        <v>2035</v>
      </c>
      <c r="AW3" s="93">
        <v>2040</v>
      </c>
      <c r="AX3" s="4">
        <v>2045</v>
      </c>
      <c r="AY3" s="93">
        <v>2050</v>
      </c>
      <c r="AZ3" s="3"/>
    </row>
    <row r="4" spans="1:56" ht="23.25" x14ac:dyDescent="0.35">
      <c r="A4" s="161" t="str">
        <f>Résultats!B1</f>
        <v>SNBC3</v>
      </c>
      <c r="B4" s="229" t="s">
        <v>100</v>
      </c>
      <c r="C4" s="5" t="s">
        <v>92</v>
      </c>
      <c r="D4" s="12" t="s">
        <v>190</v>
      </c>
      <c r="E4" s="18">
        <f>VLOOKUP($D4,Résultats!$B$2:$AX$212,E$2,FALSE)</f>
        <v>2393165780</v>
      </c>
      <c r="F4" s="18">
        <f>VLOOKUP($D4,Résultats!$B$2:$AX$212,F$2,FALSE)</f>
        <v>2623669000</v>
      </c>
      <c r="G4" s="106">
        <f>VLOOKUP($D4,Résultats!$B$2:$AX$212,G$2,FALSE)/1000000</f>
        <v>2715.6825130000002</v>
      </c>
      <c r="H4" s="18">
        <f>VLOOKUP($D4,Résultats!$B$2:$AX$212,H$2,FALSE)/1000000</f>
        <v>2745.4671250000001</v>
      </c>
      <c r="I4" s="114">
        <f>VLOOKUP($D4,Résultats!$B$2:$AX$212,I$2,FALSE)/1000000</f>
        <v>2775.1517399999998</v>
      </c>
      <c r="J4" s="106">
        <f>VLOOKUP($D4,Résultats!$B$2:$AX$212,J$2,FALSE)/1000000</f>
        <v>2804.2295709999999</v>
      </c>
      <c r="K4" s="18">
        <f>VLOOKUP($D4,Résultats!$B$2:$AX$212,K$2,FALSE)/1000000</f>
        <v>2833.057577</v>
      </c>
      <c r="L4" s="18">
        <f>VLOOKUP($D4,Résultats!$B$2:$AX$212,L$2,FALSE)/1000000</f>
        <v>2863.7831890000002</v>
      </c>
      <c r="M4" s="18">
        <f>VLOOKUP($D4,Résultats!$B$2:$AX$212,M$2,FALSE)/1000000</f>
        <v>2893.2943919999998</v>
      </c>
      <c r="N4" s="107">
        <f>VLOOKUP($D4,Résultats!$B$2:$AX$212,N$2,FALSE)/1000000</f>
        <v>2920.6834960000001</v>
      </c>
      <c r="O4" s="106">
        <f>VLOOKUP($D4,Résultats!$B$2:$AX$212,O$2,FALSE)/1000000</f>
        <v>2946.0163050000001</v>
      </c>
      <c r="P4" s="18">
        <f>VLOOKUP($D4,Résultats!$B$2:$AX$212,P$2,FALSE)/1000000</f>
        <v>2969.1923109999998</v>
      </c>
      <c r="Q4" s="18">
        <f>VLOOKUP($D4,Résultats!$B$2:$AX$212,Q$2,FALSE)/1000000</f>
        <v>2990.3332730000002</v>
      </c>
      <c r="R4" s="18">
        <f>VLOOKUP($D4,Résultats!$B$2:$AX$212,R$2,FALSE)/1000000</f>
        <v>3009.2612450000001</v>
      </c>
      <c r="S4" s="107">
        <f>VLOOKUP($D4,Résultats!$B$2:$AX$212,S$2,FALSE)/1000000</f>
        <v>3025.8887220000001</v>
      </c>
      <c r="T4" s="114">
        <f>VLOOKUP($D4,Résultats!$B$2:$AX$212,T$2,FALSE)/1000000</f>
        <v>3096.9837219999999</v>
      </c>
      <c r="U4" s="114">
        <f>VLOOKUP($D4,Résultats!$B$2:$AX$212,U$2,FALSE)/1000000</f>
        <v>3145.2756850000001</v>
      </c>
      <c r="V4" s="18">
        <f>VLOOKUP($D4,Résultats!$B$2:$AX$212,V$2,FALSE)/1000000</f>
        <v>3179.3241320000002</v>
      </c>
      <c r="W4" s="114">
        <f>VLOOKUP($D4,Résultats!$B$2:$AX$212,W$2,FALSE)/1000000</f>
        <v>3207.035723</v>
      </c>
      <c r="X4" s="3"/>
      <c r="AC4" s="161" t="s">
        <v>464</v>
      </c>
      <c r="AD4" s="229" t="s">
        <v>100</v>
      </c>
      <c r="AE4" s="5" t="s">
        <v>92</v>
      </c>
      <c r="AF4" s="12" t="s">
        <v>190</v>
      </c>
      <c r="AG4" s="18">
        <v>2355349875.8831902</v>
      </c>
      <c r="AH4" s="18">
        <v>2596998398</v>
      </c>
      <c r="AI4" s="106">
        <v>2655.7572249999998</v>
      </c>
      <c r="AJ4" s="18">
        <v>2671.9482079999998</v>
      </c>
      <c r="AK4" s="114">
        <v>2688.2378990000002</v>
      </c>
      <c r="AL4" s="106">
        <v>2704.626902</v>
      </c>
      <c r="AM4" s="18">
        <v>2721.2510619999998</v>
      </c>
      <c r="AN4" s="18">
        <v>2733.314965</v>
      </c>
      <c r="AO4" s="18">
        <v>2745.2011419999999</v>
      </c>
      <c r="AP4" s="107">
        <v>2756.950288</v>
      </c>
      <c r="AQ4" s="106">
        <v>2768.561725</v>
      </c>
      <c r="AR4" s="18">
        <v>2779.993097</v>
      </c>
      <c r="AS4" s="18">
        <v>2791.5774529999999</v>
      </c>
      <c r="AT4" s="18">
        <v>2802.855591</v>
      </c>
      <c r="AU4" s="107">
        <v>2814.3284440000002</v>
      </c>
      <c r="AV4" s="114">
        <v>2869.6227979999999</v>
      </c>
      <c r="AW4" s="114">
        <v>2921.4190490000001</v>
      </c>
      <c r="AX4" s="18">
        <v>2966.1644070000002</v>
      </c>
      <c r="AY4" s="114">
        <v>3002.7028059999998</v>
      </c>
      <c r="AZ4" s="3"/>
    </row>
    <row r="5" spans="1:56" x14ac:dyDescent="0.25">
      <c r="A5" s="3"/>
      <c r="B5" s="230"/>
      <c r="C5" s="35" t="s">
        <v>27</v>
      </c>
      <c r="D5" s="13" t="s">
        <v>191</v>
      </c>
      <c r="E5" s="25">
        <f>VLOOKUP($D5,Résultats!$B$2:$AX$212,E$2,FALSE)</f>
        <v>661127</v>
      </c>
      <c r="F5" s="25">
        <f>VLOOKUP($D5,Résultats!$B$2:$AX$212,F$2,FALSE)</f>
        <v>14458920.970000001</v>
      </c>
      <c r="G5" s="101">
        <f>VLOOKUP($D5,Résultats!$B$2:$AX$212,G$2,FALSE)/1000000</f>
        <v>20.683911440000003</v>
      </c>
      <c r="H5" s="25">
        <f>VLOOKUP($D5,Résultats!$B$2:$AX$212,H$2,FALSE)/1000000</f>
        <v>24.750498100000002</v>
      </c>
      <c r="I5" s="102">
        <f>VLOOKUP($D5,Résultats!$B$2:$AX$212,I$2,FALSE)/1000000</f>
        <v>29.787144140000002</v>
      </c>
      <c r="J5" s="101">
        <f>VLOOKUP($D5,Résultats!$B$2:$AX$212,J$2,FALSE)/1000000</f>
        <v>36.000990059999999</v>
      </c>
      <c r="K5" s="25">
        <f>VLOOKUP($D5,Résultats!$B$2:$AX$212,K$2,FALSE)/1000000</f>
        <v>43.009437409999997</v>
      </c>
      <c r="L5" s="25">
        <f>VLOOKUP($D5,Résultats!$B$2:$AX$212,L$2,FALSE)/1000000</f>
        <v>50.575989010000001</v>
      </c>
      <c r="M5" s="25">
        <f>VLOOKUP($D5,Résultats!$B$2:$AX$212,M$2,FALSE)/1000000</f>
        <v>59.00247092</v>
      </c>
      <c r="N5" s="102">
        <f>VLOOKUP($D5,Résultats!$B$2:$AX$212,N$2,FALSE)/1000000</f>
        <v>69.855166549999993</v>
      </c>
      <c r="O5" s="101">
        <f>VLOOKUP($D5,Résultats!$B$2:$AX$212,O$2,FALSE)/1000000</f>
        <v>83.558342849999988</v>
      </c>
      <c r="P5" s="25">
        <f>VLOOKUP($D5,Résultats!$B$2:$AX$212,P$2,FALSE)/1000000</f>
        <v>99.45190362999999</v>
      </c>
      <c r="Q5" s="25">
        <f>VLOOKUP($D5,Résultats!$B$2:$AX$212,Q$2,FALSE)/1000000</f>
        <v>116.9741258</v>
      </c>
      <c r="R5" s="25">
        <f>VLOOKUP($D5,Résultats!$B$2:$AX$212,R$2,FALSE)/1000000</f>
        <v>135.6177246</v>
      </c>
      <c r="S5" s="102">
        <f>VLOOKUP($D5,Résultats!$B$2:$AX$212,S$2,FALSE)/1000000</f>
        <v>155.3238327</v>
      </c>
      <c r="T5" s="105">
        <f>VLOOKUP($D5,Résultats!$B$2:$AX$212,T$2,FALSE)/1000000</f>
        <v>271.6177308</v>
      </c>
      <c r="U5" s="105">
        <f>VLOOKUP($D5,Résultats!$B$2:$AX$212,U$2,FALSE)/1000000</f>
        <v>405.98798689999995</v>
      </c>
      <c r="V5" s="25">
        <f>VLOOKUP($D5,Résultats!$B$2:$AX$212,V$2,FALSE)/1000000</f>
        <v>560.90795839999998</v>
      </c>
      <c r="W5" s="105">
        <f>VLOOKUP($D5,Résultats!$B$2:$AX$212,W$2,FALSE)/1000000</f>
        <v>729.21711600000003</v>
      </c>
      <c r="X5" s="3"/>
      <c r="AC5" s="3"/>
      <c r="AD5" s="230"/>
      <c r="AE5" s="35" t="s">
        <v>27</v>
      </c>
      <c r="AF5" s="13" t="s">
        <v>191</v>
      </c>
      <c r="AG5" s="25">
        <v>650680.12020171306</v>
      </c>
      <c r="AH5" s="25">
        <v>43187152.149999999</v>
      </c>
      <c r="AI5" s="101">
        <v>50.412683960000003</v>
      </c>
      <c r="AJ5" s="25">
        <v>52.585453389999998</v>
      </c>
      <c r="AK5" s="102">
        <v>55.248827470000002</v>
      </c>
      <c r="AL5" s="101">
        <v>58.446187070000001</v>
      </c>
      <c r="AM5" s="25">
        <v>61.862481409999994</v>
      </c>
      <c r="AN5" s="25">
        <v>65.420231920000006</v>
      </c>
      <c r="AO5" s="25">
        <v>69.449230379999989</v>
      </c>
      <c r="AP5" s="102">
        <v>74.034006009999999</v>
      </c>
      <c r="AQ5" s="101">
        <v>79.004304869999999</v>
      </c>
      <c r="AR5" s="25">
        <v>83.804995500000004</v>
      </c>
      <c r="AS5" s="25">
        <v>87.363160239999999</v>
      </c>
      <c r="AT5" s="25">
        <v>89.222456459999904</v>
      </c>
      <c r="AU5" s="102">
        <v>90.697099290000011</v>
      </c>
      <c r="AV5" s="105">
        <v>97.114109620000008</v>
      </c>
      <c r="AW5" s="105">
        <v>103.08508359999999</v>
      </c>
      <c r="AX5" s="25">
        <v>108.2989291</v>
      </c>
      <c r="AY5" s="105">
        <v>112.66037159999999</v>
      </c>
      <c r="AZ5" s="3"/>
    </row>
    <row r="6" spans="1:56" x14ac:dyDescent="0.25">
      <c r="A6" s="3"/>
      <c r="B6" s="230"/>
      <c r="C6" s="35" t="s">
        <v>28</v>
      </c>
      <c r="D6" s="13" t="s">
        <v>192</v>
      </c>
      <c r="E6" s="25">
        <f>VLOOKUP($D6,Résultats!$B$2:$AX$212,E$2,FALSE)</f>
        <v>42391824</v>
      </c>
      <c r="F6" s="25">
        <f>VLOOKUP($D6,Résultats!$B$2:$AX$212,F$2,FALSE)</f>
        <v>99971103.109999999</v>
      </c>
      <c r="G6" s="101">
        <f>VLOOKUP($D6,Résultats!$B$2:$AX$212,G$2,FALSE)/1000000</f>
        <v>121.45571679999999</v>
      </c>
      <c r="H6" s="25">
        <f>VLOOKUP($D6,Résultats!$B$2:$AX$212,H$2,FALSE)/1000000</f>
        <v>135.84654180000001</v>
      </c>
      <c r="I6" s="102">
        <f>VLOOKUP($D6,Résultats!$B$2:$AX$212,I$2,FALSE)/1000000</f>
        <v>152.38881319999999</v>
      </c>
      <c r="J6" s="101">
        <f>VLOOKUP($D6,Résultats!$B$2:$AX$212,J$2,FALSE)/1000000</f>
        <v>172.62368940000002</v>
      </c>
      <c r="K6" s="25">
        <f>VLOOKUP($D6,Résultats!$B$2:$AX$212,K$2,FALSE)/1000000</f>
        <v>193.34295710000001</v>
      </c>
      <c r="L6" s="25">
        <f>VLOOKUP($D6,Résultats!$B$2:$AX$212,L$2,FALSE)/1000000</f>
        <v>214.83066530000002</v>
      </c>
      <c r="M6" s="25">
        <f>VLOOKUP($D6,Résultats!$B$2:$AX$212,M$2,FALSE)/1000000</f>
        <v>237.42050469999998</v>
      </c>
      <c r="N6" s="102">
        <f>VLOOKUP($D6,Résultats!$B$2:$AX$212,N$2,FALSE)/1000000</f>
        <v>264.72750409999998</v>
      </c>
      <c r="O6" s="101">
        <f>VLOOKUP($D6,Résultats!$B$2:$AX$212,O$2,FALSE)/1000000</f>
        <v>295.62607960000003</v>
      </c>
      <c r="P6" s="25">
        <f>VLOOKUP($D6,Résultats!$B$2:$AX$212,P$2,FALSE)/1000000</f>
        <v>328.38856379999999</v>
      </c>
      <c r="Q6" s="25">
        <f>VLOOKUP($D6,Résultats!$B$2:$AX$212,Q$2,FALSE)/1000000</f>
        <v>361.32545679999998</v>
      </c>
      <c r="R6" s="25">
        <f>VLOOKUP($D6,Résultats!$B$2:$AX$212,R$2,FALSE)/1000000</f>
        <v>393.15442280000002</v>
      </c>
      <c r="S6" s="102">
        <f>VLOOKUP($D6,Résultats!$B$2:$AX$212,S$2,FALSE)/1000000</f>
        <v>424.03768600000001</v>
      </c>
      <c r="T6" s="105">
        <f>VLOOKUP($D6,Résultats!$B$2:$AX$212,T$2,FALSE)/1000000</f>
        <v>563.66999899999996</v>
      </c>
      <c r="U6" s="105">
        <f>VLOOKUP($D6,Résultats!$B$2:$AX$212,U$2,FALSE)/1000000</f>
        <v>668.28153610000004</v>
      </c>
      <c r="V6" s="25">
        <f>VLOOKUP($D6,Résultats!$B$2:$AX$212,V$2,FALSE)/1000000</f>
        <v>745.69794549999995</v>
      </c>
      <c r="W6" s="105">
        <f>VLOOKUP($D6,Résultats!$B$2:$AX$212,W$2,FALSE)/1000000</f>
        <v>798.18476970000006</v>
      </c>
      <c r="X6" s="3"/>
      <c r="AC6" s="3"/>
      <c r="AD6" s="230"/>
      <c r="AE6" s="35" t="s">
        <v>28</v>
      </c>
      <c r="AF6" s="13" t="s">
        <v>192</v>
      </c>
      <c r="AG6" s="25">
        <v>41721964.366740197</v>
      </c>
      <c r="AH6" s="25">
        <v>181120567.69999999</v>
      </c>
      <c r="AI6" s="101">
        <v>215.590058</v>
      </c>
      <c r="AJ6" s="25">
        <v>228.76262990000001</v>
      </c>
      <c r="AK6" s="102">
        <v>245.54528809999999</v>
      </c>
      <c r="AL6" s="101">
        <v>266.69365629999999</v>
      </c>
      <c r="AM6" s="25">
        <v>288.86536289999998</v>
      </c>
      <c r="AN6" s="25">
        <v>307.95133449999997</v>
      </c>
      <c r="AO6" s="25">
        <v>327.0308915</v>
      </c>
      <c r="AP6" s="102">
        <v>345.91796049999999</v>
      </c>
      <c r="AQ6" s="101">
        <v>364.40862630000004</v>
      </c>
      <c r="AR6" s="25">
        <v>382.0194525</v>
      </c>
      <c r="AS6" s="25">
        <v>398.17266369999999</v>
      </c>
      <c r="AT6" s="25">
        <v>412.14001530000002</v>
      </c>
      <c r="AU6" s="102">
        <v>424.70792360000002</v>
      </c>
      <c r="AV6" s="105">
        <v>482.66274469999996</v>
      </c>
      <c r="AW6" s="105">
        <v>537.15071260000002</v>
      </c>
      <c r="AX6" s="25">
        <v>585.07997970000008</v>
      </c>
      <c r="AY6" s="105">
        <v>625.4614967</v>
      </c>
      <c r="AZ6" s="3"/>
    </row>
    <row r="7" spans="1:56" x14ac:dyDescent="0.25">
      <c r="A7" s="3"/>
      <c r="B7" s="230"/>
      <c r="C7" s="35" t="s">
        <v>29</v>
      </c>
      <c r="D7" s="13" t="s">
        <v>193</v>
      </c>
      <c r="E7" s="25">
        <f>VLOOKUP($D7,Résultats!$B$2:$AX$212,E$2,FALSE)</f>
        <v>300942006</v>
      </c>
      <c r="F7" s="25">
        <f>VLOOKUP($D7,Résultats!$B$2:$AX$212,F$2,FALSE)</f>
        <v>542873342.5</v>
      </c>
      <c r="G7" s="101">
        <f>VLOOKUP($D7,Résultats!$B$2:$AX$212,G$2,FALSE)/1000000</f>
        <v>597.90991579999991</v>
      </c>
      <c r="H7" s="25">
        <f>VLOOKUP($D7,Résultats!$B$2:$AX$212,H$2,FALSE)/1000000</f>
        <v>622.07487729999991</v>
      </c>
      <c r="I7" s="102">
        <f>VLOOKUP($D7,Résultats!$B$2:$AX$212,I$2,FALSE)/1000000</f>
        <v>647.4039307999999</v>
      </c>
      <c r="J7" s="101">
        <f>VLOOKUP($D7,Résultats!$B$2:$AX$212,J$2,FALSE)/1000000</f>
        <v>674.50539170000002</v>
      </c>
      <c r="K7" s="25">
        <f>VLOOKUP($D7,Résultats!$B$2:$AX$212,K$2,FALSE)/1000000</f>
        <v>700.67951210000001</v>
      </c>
      <c r="L7" s="25">
        <f>VLOOKUP($D7,Résultats!$B$2:$AX$212,L$2,FALSE)/1000000</f>
        <v>726.82740360000003</v>
      </c>
      <c r="M7" s="25">
        <f>VLOOKUP($D7,Résultats!$B$2:$AX$212,M$2,FALSE)/1000000</f>
        <v>751.57349090000002</v>
      </c>
      <c r="N7" s="102">
        <f>VLOOKUP($D7,Résultats!$B$2:$AX$212,N$2,FALSE)/1000000</f>
        <v>776.29976850000003</v>
      </c>
      <c r="O7" s="101">
        <f>VLOOKUP($D7,Résultats!$B$2:$AX$212,O$2,FALSE)/1000000</f>
        <v>799.50789459999999</v>
      </c>
      <c r="P7" s="25">
        <f>VLOOKUP($D7,Résultats!$B$2:$AX$212,P$2,FALSE)/1000000</f>
        <v>819.63135739999996</v>
      </c>
      <c r="Q7" s="25">
        <f>VLOOKUP($D7,Résultats!$B$2:$AX$212,Q$2,FALSE)/1000000</f>
        <v>836.16722400000003</v>
      </c>
      <c r="R7" s="25">
        <f>VLOOKUP($D7,Résultats!$B$2:$AX$212,R$2,FALSE)/1000000</f>
        <v>849.11872340000002</v>
      </c>
      <c r="S7" s="102">
        <f>VLOOKUP($D7,Résultats!$B$2:$AX$212,S$2,FALSE)/1000000</f>
        <v>859.53819579999993</v>
      </c>
      <c r="T7" s="105">
        <f>VLOOKUP($D7,Résultats!$B$2:$AX$212,T$2,FALSE)/1000000</f>
        <v>882.59128859999998</v>
      </c>
      <c r="U7" s="105">
        <f>VLOOKUP($D7,Résultats!$B$2:$AX$212,U$2,FALSE)/1000000</f>
        <v>861.2394162999999</v>
      </c>
      <c r="V7" s="25">
        <f>VLOOKUP($D7,Résultats!$B$2:$AX$212,V$2,FALSE)/1000000</f>
        <v>815.84041879999995</v>
      </c>
      <c r="W7" s="105">
        <f>VLOOKUP($D7,Résultats!$B$2:$AX$212,W$2,FALSE)/1000000</f>
        <v>760.60916899999995</v>
      </c>
      <c r="X7" s="3"/>
      <c r="AC7" s="3"/>
      <c r="AD7" s="230"/>
      <c r="AE7" s="35" t="s">
        <v>29</v>
      </c>
      <c r="AF7" s="13" t="s">
        <v>193</v>
      </c>
      <c r="AG7" s="25">
        <v>296186633.79021603</v>
      </c>
      <c r="AH7" s="25">
        <v>569035477.39999998</v>
      </c>
      <c r="AI7" s="101">
        <v>632.75076910000007</v>
      </c>
      <c r="AJ7" s="25">
        <v>645.57478270000001</v>
      </c>
      <c r="AK7" s="102">
        <v>657.42506470000001</v>
      </c>
      <c r="AL7" s="101">
        <v>667.32190209999999</v>
      </c>
      <c r="AM7" s="25">
        <v>679.26979920000008</v>
      </c>
      <c r="AN7" s="25">
        <v>692.50705210000001</v>
      </c>
      <c r="AO7" s="25">
        <v>704.80679639999994</v>
      </c>
      <c r="AP7" s="102">
        <v>715.45919620000006</v>
      </c>
      <c r="AQ7" s="101">
        <v>724.50526070000001</v>
      </c>
      <c r="AR7" s="25">
        <v>732.1551892</v>
      </c>
      <c r="AS7" s="25">
        <v>738.47130540000001</v>
      </c>
      <c r="AT7" s="25">
        <v>743.1869147000001</v>
      </c>
      <c r="AU7" s="102">
        <v>744.57653449999998</v>
      </c>
      <c r="AV7" s="105">
        <v>744.73285629999998</v>
      </c>
      <c r="AW7" s="105">
        <v>744.52864450000004</v>
      </c>
      <c r="AX7" s="25">
        <v>744.18700850000005</v>
      </c>
      <c r="AY7" s="105">
        <v>743.80258720000006</v>
      </c>
      <c r="AZ7" s="3"/>
    </row>
    <row r="8" spans="1:56" x14ac:dyDescent="0.25">
      <c r="A8" s="3"/>
      <c r="B8" s="230"/>
      <c r="C8" s="35" t="s">
        <v>30</v>
      </c>
      <c r="D8" s="13" t="s">
        <v>194</v>
      </c>
      <c r="E8" s="25">
        <f>VLOOKUP($D8,Résultats!$B$2:$AX$212,E$2,FALSE)</f>
        <v>661409532</v>
      </c>
      <c r="F8" s="25">
        <f>VLOOKUP($D8,Résultats!$B$2:$AX$212,F$2,FALSE)</f>
        <v>818048087.60000002</v>
      </c>
      <c r="G8" s="101">
        <f>VLOOKUP($D8,Résultats!$B$2:$AX$212,G$2,FALSE)/1000000</f>
        <v>854.75908609999999</v>
      </c>
      <c r="H8" s="25">
        <f>VLOOKUP($D8,Résultats!$B$2:$AX$212,H$2,FALSE)/1000000</f>
        <v>864.80130299999996</v>
      </c>
      <c r="I8" s="102">
        <f>VLOOKUP($D8,Résultats!$B$2:$AX$212,I$2,FALSE)/1000000</f>
        <v>874.34803899999997</v>
      </c>
      <c r="J8" s="101">
        <f>VLOOKUP($D8,Résultats!$B$2:$AX$212,J$2,FALSE)/1000000</f>
        <v>881.87905720000003</v>
      </c>
      <c r="K8" s="25">
        <f>VLOOKUP($D8,Résultats!$B$2:$AX$212,K$2,FALSE)/1000000</f>
        <v>888.79361640000002</v>
      </c>
      <c r="L8" s="25">
        <f>VLOOKUP($D8,Résultats!$B$2:$AX$212,L$2,FALSE)/1000000</f>
        <v>895.83732099999997</v>
      </c>
      <c r="M8" s="25">
        <f>VLOOKUP($D8,Résultats!$B$2:$AX$212,M$2,FALSE)/1000000</f>
        <v>900.68041000000005</v>
      </c>
      <c r="N8" s="102">
        <f>VLOOKUP($D8,Résultats!$B$2:$AX$212,N$2,FALSE)/1000000</f>
        <v>900.27478299999996</v>
      </c>
      <c r="O8" s="101">
        <f>VLOOKUP($D8,Résultats!$B$2:$AX$212,O$2,FALSE)/1000000</f>
        <v>894.8792557999999</v>
      </c>
      <c r="P8" s="25">
        <f>VLOOKUP($D8,Résultats!$B$2:$AX$212,P$2,FALSE)/1000000</f>
        <v>885.27100279999991</v>
      </c>
      <c r="Q8" s="25">
        <f>VLOOKUP($D8,Résultats!$B$2:$AX$212,Q$2,FALSE)/1000000</f>
        <v>872.90600689999997</v>
      </c>
      <c r="R8" s="25">
        <f>VLOOKUP($D8,Résultats!$B$2:$AX$212,R$2,FALSE)/1000000</f>
        <v>859.04575510000006</v>
      </c>
      <c r="S8" s="102">
        <f>VLOOKUP($D8,Résultats!$B$2:$AX$212,S$2,FALSE)/1000000</f>
        <v>844.20033760000001</v>
      </c>
      <c r="T8" s="105">
        <f>VLOOKUP($D8,Résultats!$B$2:$AX$212,T$2,FALSE)/1000000</f>
        <v>763.98308070000007</v>
      </c>
      <c r="U8" s="105">
        <f>VLOOKUP($D8,Résultats!$B$2:$AX$212,U$2,FALSE)/1000000</f>
        <v>679.52630099999999</v>
      </c>
      <c r="V8" s="25">
        <f>VLOOKUP($D8,Résultats!$B$2:$AX$212,V$2,FALSE)/1000000</f>
        <v>594.24133089999998</v>
      </c>
      <c r="W8" s="105">
        <f>VLOOKUP($D8,Résultats!$B$2:$AX$212,W$2,FALSE)/1000000</f>
        <v>515.0106763</v>
      </c>
      <c r="X8" s="3"/>
      <c r="AC8" s="3"/>
      <c r="AD8" s="230"/>
      <c r="AE8" s="35" t="s">
        <v>30</v>
      </c>
      <c r="AF8" s="13" t="s">
        <v>194</v>
      </c>
      <c r="AG8" s="25">
        <v>650958187.73748195</v>
      </c>
      <c r="AH8" s="25">
        <v>633667547</v>
      </c>
      <c r="AI8" s="101">
        <v>628.52988640000001</v>
      </c>
      <c r="AJ8" s="25">
        <v>627.05710270000009</v>
      </c>
      <c r="AK8" s="102">
        <v>626.0079624</v>
      </c>
      <c r="AL8" s="101">
        <v>625.30736860000002</v>
      </c>
      <c r="AM8" s="25">
        <v>624.74556860000007</v>
      </c>
      <c r="AN8" s="25">
        <v>623.84060450000004</v>
      </c>
      <c r="AO8" s="25">
        <v>622.26125309999998</v>
      </c>
      <c r="AP8" s="102">
        <v>619.89497360000007</v>
      </c>
      <c r="AQ8" s="101">
        <v>616.94481870000004</v>
      </c>
      <c r="AR8" s="25">
        <v>613.84423860000004</v>
      </c>
      <c r="AS8" s="25">
        <v>611.24747579999996</v>
      </c>
      <c r="AT8" s="25">
        <v>609.73983529999998</v>
      </c>
      <c r="AU8" s="102">
        <v>609.83384439999998</v>
      </c>
      <c r="AV8" s="105">
        <v>612.04639099999997</v>
      </c>
      <c r="AW8" s="105">
        <v>613.18375549999996</v>
      </c>
      <c r="AX8" s="25">
        <v>613.83096479999995</v>
      </c>
      <c r="AY8" s="105">
        <v>614.26554610000005</v>
      </c>
      <c r="AZ8" s="3"/>
    </row>
    <row r="9" spans="1:56" x14ac:dyDescent="0.25">
      <c r="A9" s="3"/>
      <c r="B9" s="230"/>
      <c r="C9" s="35" t="s">
        <v>31</v>
      </c>
      <c r="D9" s="13" t="s">
        <v>195</v>
      </c>
      <c r="E9" s="25">
        <f>VLOOKUP($D9,Résultats!$B$2:$AX$212,E$2,FALSE)</f>
        <v>786713699</v>
      </c>
      <c r="F9" s="25">
        <f>VLOOKUP($D9,Résultats!$B$2:$AX$212,F$2,FALSE)</f>
        <v>638411654.89999998</v>
      </c>
      <c r="G9" s="101">
        <f>VLOOKUP($D9,Résultats!$B$2:$AX$212,G$2,FALSE)/1000000</f>
        <v>619.25336170000003</v>
      </c>
      <c r="H9" s="25">
        <f>VLOOKUP($D9,Résultats!$B$2:$AX$212,H$2,FALSE)/1000000</f>
        <v>605.69049949999999</v>
      </c>
      <c r="I9" s="102">
        <f>VLOOKUP($D9,Résultats!$B$2:$AX$212,I$2,FALSE)/1000000</f>
        <v>590.24591570000007</v>
      </c>
      <c r="J9" s="101">
        <f>VLOOKUP($D9,Résultats!$B$2:$AX$212,J$2,FALSE)/1000000</f>
        <v>572.14409999999998</v>
      </c>
      <c r="K9" s="25">
        <f>VLOOKUP($D9,Résultats!$B$2:$AX$212,K$2,FALSE)/1000000</f>
        <v>554.2475647</v>
      </c>
      <c r="L9" s="25">
        <f>VLOOKUP($D9,Résultats!$B$2:$AX$212,L$2,FALSE)/1000000</f>
        <v>536.76535480000007</v>
      </c>
      <c r="M9" s="25">
        <f>VLOOKUP($D9,Résultats!$B$2:$AX$212,M$2,FALSE)/1000000</f>
        <v>519.61029129999997</v>
      </c>
      <c r="N9" s="102">
        <f>VLOOKUP($D9,Résultats!$B$2:$AX$212,N$2,FALSE)/1000000</f>
        <v>500.32709019999999</v>
      </c>
      <c r="O9" s="101">
        <f>VLOOKUP($D9,Résultats!$B$2:$AX$212,O$2,FALSE)/1000000</f>
        <v>479.99237410000001</v>
      </c>
      <c r="P9" s="25">
        <f>VLOOKUP($D9,Résultats!$B$2:$AX$212,P$2,FALSE)/1000000</f>
        <v>460.26378369999998</v>
      </c>
      <c r="Q9" s="25">
        <f>VLOOKUP($D9,Résultats!$B$2:$AX$212,Q$2,FALSE)/1000000</f>
        <v>441.94361360000005</v>
      </c>
      <c r="R9" s="25">
        <f>VLOOKUP($D9,Résultats!$B$2:$AX$212,R$2,FALSE)/1000000</f>
        <v>425.26426710000004</v>
      </c>
      <c r="S9" s="102">
        <f>VLOOKUP($D9,Résultats!$B$2:$AX$212,S$2,FALSE)/1000000</f>
        <v>409.3434019</v>
      </c>
      <c r="T9" s="105">
        <f>VLOOKUP($D9,Résultats!$B$2:$AX$212,T$2,FALSE)/1000000</f>
        <v>341.77771110000003</v>
      </c>
      <c r="U9" s="105">
        <f>VLOOKUP($D9,Résultats!$B$2:$AX$212,U$2,FALSE)/1000000</f>
        <v>297.67615180000001</v>
      </c>
      <c r="V9" s="25">
        <f>VLOOKUP($D9,Résultats!$B$2:$AX$212,V$2,FALSE)/1000000</f>
        <v>262.67971649999998</v>
      </c>
      <c r="W9" s="105">
        <f>VLOOKUP($D9,Résultats!$B$2:$AX$212,W$2,FALSE)/1000000</f>
        <v>232.47605040000002</v>
      </c>
      <c r="X9" s="3"/>
      <c r="AC9" s="3"/>
      <c r="AD9" s="230"/>
      <c r="AE9" s="35" t="s">
        <v>31</v>
      </c>
      <c r="AF9" s="13" t="s">
        <v>195</v>
      </c>
      <c r="AG9" s="25">
        <v>774282345.494367</v>
      </c>
      <c r="AH9" s="25">
        <v>688439089.5</v>
      </c>
      <c r="AI9" s="101">
        <v>670.45152770000004</v>
      </c>
      <c r="AJ9" s="25">
        <v>665.95475250000004</v>
      </c>
      <c r="AK9" s="102">
        <v>659.88800020000008</v>
      </c>
      <c r="AL9" s="101">
        <v>652.34777539999993</v>
      </c>
      <c r="AM9" s="25">
        <v>643.27403679999998</v>
      </c>
      <c r="AN9" s="25">
        <v>632.84907470000007</v>
      </c>
      <c r="AO9" s="25">
        <v>622.61724920000006</v>
      </c>
      <c r="AP9" s="102">
        <v>613.00283739999998</v>
      </c>
      <c r="AQ9" s="101">
        <v>604.12207049999995</v>
      </c>
      <c r="AR9" s="25">
        <v>596.24764210000001</v>
      </c>
      <c r="AS9" s="25">
        <v>590.12780510000005</v>
      </c>
      <c r="AT9" s="25">
        <v>586.09317070000009</v>
      </c>
      <c r="AU9" s="102">
        <v>584.34791289999998</v>
      </c>
      <c r="AV9" s="105">
        <v>581.87145939999994</v>
      </c>
      <c r="AW9" s="105">
        <v>578.55799479999996</v>
      </c>
      <c r="AX9" s="25">
        <v>574.87388099999998</v>
      </c>
      <c r="AY9" s="105">
        <v>571.04697310000006</v>
      </c>
      <c r="AZ9" s="3"/>
    </row>
    <row r="10" spans="1:56" x14ac:dyDescent="0.25">
      <c r="A10" s="3"/>
      <c r="B10" s="230"/>
      <c r="C10" s="35" t="s">
        <v>32</v>
      </c>
      <c r="D10" s="13" t="s">
        <v>196</v>
      </c>
      <c r="E10" s="25">
        <f>VLOOKUP($D10,Résultats!$B$2:$AX$212,E$2,FALSE)</f>
        <v>412154138</v>
      </c>
      <c r="F10" s="25">
        <f>VLOOKUP($D10,Résultats!$B$2:$AX$212,F$2,FALSE)</f>
        <v>316757917.69999999</v>
      </c>
      <c r="G10" s="101">
        <f>VLOOKUP($D10,Résultats!$B$2:$AX$212,G$2,FALSE)/1000000</f>
        <v>304.45600400000001</v>
      </c>
      <c r="H10" s="25">
        <f>VLOOKUP($D10,Résultats!$B$2:$AX$212,H$2,FALSE)/1000000</f>
        <v>297.07334539999999</v>
      </c>
      <c r="I10" s="102">
        <f>VLOOKUP($D10,Résultats!$B$2:$AX$212,I$2,FALSE)/1000000</f>
        <v>288.8569109</v>
      </c>
      <c r="J10" s="101">
        <f>VLOOKUP($D10,Résultats!$B$2:$AX$212,J$2,FALSE)/1000000</f>
        <v>279.4917069</v>
      </c>
      <c r="K10" s="25">
        <f>VLOOKUP($D10,Résultats!$B$2:$AX$212,K$2,FALSE)/1000000</f>
        <v>270.23677400000003</v>
      </c>
      <c r="L10" s="25">
        <f>VLOOKUP($D10,Résultats!$B$2:$AX$212,L$2,FALSE)/1000000</f>
        <v>261.21376169999996</v>
      </c>
      <c r="M10" s="25">
        <f>VLOOKUP($D10,Résultats!$B$2:$AX$212,M$2,FALSE)/1000000</f>
        <v>252.39545630000001</v>
      </c>
      <c r="N10" s="102">
        <f>VLOOKUP($D10,Résultats!$B$2:$AX$212,N$2,FALSE)/1000000</f>
        <v>242.72191799999999</v>
      </c>
      <c r="O10" s="101">
        <f>VLOOKUP($D10,Résultats!$B$2:$AX$212,O$2,FALSE)/1000000</f>
        <v>232.68183540000001</v>
      </c>
      <c r="P10" s="25">
        <f>VLOOKUP($D10,Résultats!$B$2:$AX$212,P$2,FALSE)/1000000</f>
        <v>223.05076069999998</v>
      </c>
      <c r="Q10" s="25">
        <f>VLOOKUP($D10,Résultats!$B$2:$AX$212,Q$2,FALSE)/1000000</f>
        <v>214.1363456</v>
      </c>
      <c r="R10" s="25">
        <f>VLOOKUP($D10,Résultats!$B$2:$AX$212,R$2,FALSE)/1000000</f>
        <v>205.9824347</v>
      </c>
      <c r="S10" s="102">
        <f>VLOOKUP($D10,Résultats!$B$2:$AX$212,S$2,FALSE)/1000000</f>
        <v>198.1250675</v>
      </c>
      <c r="T10" s="105">
        <f>VLOOKUP($D10,Résultats!$B$2:$AX$212,T$2,FALSE)/1000000</f>
        <v>163.973071</v>
      </c>
      <c r="U10" s="105">
        <f>VLOOKUP($D10,Résultats!$B$2:$AX$212,U$2,FALSE)/1000000</f>
        <v>140.85950800000001</v>
      </c>
      <c r="V10" s="25">
        <f>VLOOKUP($D10,Résultats!$B$2:$AX$212,V$2,FALSE)/1000000</f>
        <v>122.3205833</v>
      </c>
      <c r="W10" s="105">
        <f>VLOOKUP($D10,Résultats!$B$2:$AX$212,W$2,FALSE)/1000000</f>
        <v>106.0747642</v>
      </c>
      <c r="X10" s="3"/>
      <c r="Y10">
        <f>(K10+K11-S10-S11)*10</f>
        <v>1195.3922160000006</v>
      </c>
      <c r="AC10" s="3"/>
      <c r="AD10" s="230"/>
      <c r="AE10" s="35" t="s">
        <v>32</v>
      </c>
      <c r="AF10" s="13" t="s">
        <v>196</v>
      </c>
      <c r="AG10" s="25">
        <v>405641433.57550502</v>
      </c>
      <c r="AH10" s="25">
        <v>358699989.39999998</v>
      </c>
      <c r="AI10" s="101">
        <v>349.78984839999998</v>
      </c>
      <c r="AJ10" s="25">
        <v>347.84470189999996</v>
      </c>
      <c r="AK10" s="102">
        <v>344.37584369999996</v>
      </c>
      <c r="AL10" s="101">
        <v>339.4637755</v>
      </c>
      <c r="AM10" s="25">
        <v>333.12609300000003</v>
      </c>
      <c r="AN10" s="25">
        <v>325.73093399999999</v>
      </c>
      <c r="AO10" s="25">
        <v>318.93370930000003</v>
      </c>
      <c r="AP10" s="102">
        <v>313.19780250000002</v>
      </c>
      <c r="AQ10" s="101">
        <v>308.52180600000003</v>
      </c>
      <c r="AR10" s="25">
        <v>304.94413470000001</v>
      </c>
      <c r="AS10" s="25">
        <v>302.85805119999998</v>
      </c>
      <c r="AT10" s="25">
        <v>302.32541989999999</v>
      </c>
      <c r="AU10" s="102">
        <v>302.79875079999999</v>
      </c>
      <c r="AV10" s="105">
        <v>303.19194399999998</v>
      </c>
      <c r="AW10" s="105">
        <v>301.2874711</v>
      </c>
      <c r="AX10" s="25">
        <v>298.19526869999999</v>
      </c>
      <c r="AY10" s="105">
        <v>294.5149955</v>
      </c>
      <c r="AZ10" s="3"/>
    </row>
    <row r="11" spans="1:56" x14ac:dyDescent="0.25">
      <c r="A11" s="3"/>
      <c r="B11" s="230"/>
      <c r="C11" s="56" t="s">
        <v>33</v>
      </c>
      <c r="D11" s="26" t="s">
        <v>197</v>
      </c>
      <c r="E11" s="17">
        <f>VLOOKUP($D11,Résultats!$B$2:$AX$212,E$2,FALSE)</f>
        <v>188893454</v>
      </c>
      <c r="F11" s="17">
        <f>VLOOKUP($D11,Résultats!$B$2:$AX$212,F$2,FALSE)</f>
        <v>193147973.09999999</v>
      </c>
      <c r="G11" s="88">
        <f>VLOOKUP($D11,Résultats!$B$2:$AX$212,G$2,FALSE)/1000000</f>
        <v>197.1645169</v>
      </c>
      <c r="H11" s="17">
        <f>VLOOKUP($D11,Résultats!$B$2:$AX$212,H$2,FALSE)/1000000</f>
        <v>195.23006030000002</v>
      </c>
      <c r="I11" s="89">
        <f>VLOOKUP($D11,Résultats!$B$2:$AX$212,I$2,FALSE)/1000000</f>
        <v>192.12098589999999</v>
      </c>
      <c r="J11" s="88">
        <f>VLOOKUP($D11,Résultats!$B$2:$AX$212,J$2,FALSE)/1000000</f>
        <v>187.58463599999999</v>
      </c>
      <c r="K11" s="17">
        <f>VLOOKUP($D11,Résultats!$B$2:$AX$212,K$2,FALSE)/1000000</f>
        <v>182.74771530000001</v>
      </c>
      <c r="L11" s="17">
        <f>VLOOKUP($D11,Résultats!$B$2:$AX$212,L$2,FALSE)/1000000</f>
        <v>177.73269400000001</v>
      </c>
      <c r="M11" s="17">
        <f>VLOOKUP($D11,Résultats!$B$2:$AX$212,M$2,FALSE)/1000000</f>
        <v>172.6117677</v>
      </c>
      <c r="N11" s="89">
        <f>VLOOKUP($D11,Résultats!$B$2:$AX$212,N$2,FALSE)/1000000</f>
        <v>166.47726549999999</v>
      </c>
      <c r="O11" s="88">
        <f>VLOOKUP($D11,Résultats!$B$2:$AX$212,O$2,FALSE)/1000000</f>
        <v>159.77052309999999</v>
      </c>
      <c r="P11" s="17">
        <f>VLOOKUP($D11,Résultats!$B$2:$AX$212,P$2,FALSE)/1000000</f>
        <v>153.13493930000001</v>
      </c>
      <c r="Q11" s="17">
        <f>VLOOKUP($D11,Résultats!$B$2:$AX$212,Q$2,FALSE)/1000000</f>
        <v>146.8805002</v>
      </c>
      <c r="R11" s="17">
        <f>VLOOKUP($D11,Résultats!$B$2:$AX$212,R$2,FALSE)/1000000</f>
        <v>141.0779177</v>
      </c>
      <c r="S11" s="89">
        <f>VLOOKUP($D11,Résultats!$B$2:$AX$212,S$2,FALSE)/1000000</f>
        <v>135.32020019999999</v>
      </c>
      <c r="T11" s="97">
        <f>VLOOKUP($D11,Résultats!$B$2:$AX$212,T$2,FALSE)/1000000</f>
        <v>109.3708412</v>
      </c>
      <c r="U11" s="97">
        <f>VLOOKUP($D11,Résultats!$B$2:$AX$212,U$2,FALSE)/1000000</f>
        <v>91.704784709999899</v>
      </c>
      <c r="V11" s="17">
        <f>VLOOKUP($D11,Résultats!$B$2:$AX$212,V$2,FALSE)/1000000</f>
        <v>77.636178360000002</v>
      </c>
      <c r="W11" s="97">
        <f>VLOOKUP($D11,Résultats!$B$2:$AX$212,W$2,FALSE)/1000000</f>
        <v>66.096705360000001</v>
      </c>
      <c r="X11" s="3"/>
      <c r="AC11" s="3"/>
      <c r="AD11" s="230"/>
      <c r="AE11" s="56" t="s">
        <v>33</v>
      </c>
      <c r="AF11" s="26" t="s">
        <v>197</v>
      </c>
      <c r="AG11" s="17">
        <v>185908630.79867601</v>
      </c>
      <c r="AH11" s="17">
        <v>122848574.7</v>
      </c>
      <c r="AI11" s="88">
        <v>108.23245179999999</v>
      </c>
      <c r="AJ11" s="17">
        <v>104.1687845</v>
      </c>
      <c r="AK11" s="89">
        <v>99.74691254999999</v>
      </c>
      <c r="AL11" s="88">
        <v>95.046236530000002</v>
      </c>
      <c r="AM11" s="17">
        <v>90.107720040000004</v>
      </c>
      <c r="AN11" s="17">
        <v>85.015733400000002</v>
      </c>
      <c r="AO11" s="17">
        <v>80.102011930000003</v>
      </c>
      <c r="AP11" s="89">
        <v>75.443511400000006</v>
      </c>
      <c r="AQ11" s="88">
        <v>71.054838119999999</v>
      </c>
      <c r="AR11" s="17">
        <v>66.977444469999995</v>
      </c>
      <c r="AS11" s="17">
        <v>63.336991279999999</v>
      </c>
      <c r="AT11" s="17">
        <v>60.147778989999999</v>
      </c>
      <c r="AU11" s="89">
        <v>57.366378259999998</v>
      </c>
      <c r="AV11" s="97">
        <v>48.003292939999994</v>
      </c>
      <c r="AW11" s="97">
        <v>43.625386599999999</v>
      </c>
      <c r="AX11" s="17">
        <v>41.698375349999999</v>
      </c>
      <c r="AY11" s="97">
        <v>40.95083563</v>
      </c>
      <c r="AZ11" s="3"/>
    </row>
    <row r="12" spans="1:56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</row>
    <row r="13" spans="1:56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</row>
    <row r="14" spans="1:56" x14ac:dyDescent="0.25">
      <c r="A14" s="3"/>
      <c r="B14" s="3"/>
      <c r="C14" s="42"/>
      <c r="D14" s="11"/>
      <c r="E14" s="237">
        <v>2006</v>
      </c>
      <c r="F14" s="24">
        <v>2015</v>
      </c>
      <c r="G14" s="20">
        <v>2018</v>
      </c>
      <c r="H14" s="4">
        <v>2019</v>
      </c>
      <c r="I14" s="190">
        <v>2020</v>
      </c>
      <c r="J14" s="91">
        <v>2021</v>
      </c>
      <c r="K14" s="27">
        <v>2022</v>
      </c>
      <c r="L14" s="4">
        <v>2023</v>
      </c>
      <c r="M14" s="27">
        <v>2024</v>
      </c>
      <c r="N14" s="83">
        <v>2025</v>
      </c>
      <c r="O14" s="91">
        <v>2026</v>
      </c>
      <c r="P14" s="4">
        <v>2027</v>
      </c>
      <c r="Q14" s="27">
        <v>2028</v>
      </c>
      <c r="R14" s="27">
        <v>2029</v>
      </c>
      <c r="S14" s="83">
        <v>2030</v>
      </c>
      <c r="T14" s="4">
        <v>2035</v>
      </c>
      <c r="U14" s="93">
        <v>2040</v>
      </c>
      <c r="V14" s="4">
        <v>2045</v>
      </c>
      <c r="W14" s="93">
        <v>2050</v>
      </c>
      <c r="X14" s="3"/>
      <c r="AC14" s="3"/>
      <c r="AD14" s="3"/>
      <c r="AE14" s="42"/>
      <c r="AF14" s="11"/>
      <c r="AG14" s="237">
        <v>2006</v>
      </c>
      <c r="AH14" s="24">
        <v>2015</v>
      </c>
      <c r="AI14" s="20">
        <v>2018</v>
      </c>
      <c r="AJ14" s="4">
        <v>2019</v>
      </c>
      <c r="AK14" s="190">
        <v>2020</v>
      </c>
      <c r="AL14" s="91">
        <v>2021</v>
      </c>
      <c r="AM14" s="27">
        <v>2022</v>
      </c>
      <c r="AN14" s="4">
        <v>2023</v>
      </c>
      <c r="AO14" s="27">
        <v>2024</v>
      </c>
      <c r="AP14" s="83">
        <v>2025</v>
      </c>
      <c r="AQ14" s="91">
        <v>2026</v>
      </c>
      <c r="AR14" s="4">
        <v>2027</v>
      </c>
      <c r="AS14" s="27">
        <v>2028</v>
      </c>
      <c r="AT14" s="27">
        <v>2029</v>
      </c>
      <c r="AU14" s="83">
        <v>2030</v>
      </c>
      <c r="AV14" s="4">
        <v>2035</v>
      </c>
      <c r="AW14" s="93">
        <v>2040</v>
      </c>
      <c r="AX14" s="4">
        <v>2045</v>
      </c>
      <c r="AY14" s="93">
        <v>2050</v>
      </c>
      <c r="AZ14" s="3"/>
    </row>
    <row r="15" spans="1:56" ht="15.75" thickBot="1" x14ac:dyDescent="0.3">
      <c r="A15" s="3"/>
      <c r="B15" s="229" t="s">
        <v>101</v>
      </c>
      <c r="C15" s="5" t="s">
        <v>44</v>
      </c>
      <c r="D15" s="12" t="s">
        <v>190</v>
      </c>
      <c r="E15" s="18">
        <f>E4/100</f>
        <v>23931657.800000001</v>
      </c>
      <c r="F15" s="18">
        <f>F4/100</f>
        <v>26236690</v>
      </c>
      <c r="G15" s="106">
        <f>G4*1000/100</f>
        <v>27156.825130000001</v>
      </c>
      <c r="H15" s="18">
        <f t="shared" ref="H15:W15" si="1">H4*1000/100</f>
        <v>27454.671249999999</v>
      </c>
      <c r="I15" s="233">
        <f t="shared" si="1"/>
        <v>27751.517399999997</v>
      </c>
      <c r="J15" s="106">
        <f t="shared" si="1"/>
        <v>28042.295709999999</v>
      </c>
      <c r="K15" s="18">
        <f t="shared" si="1"/>
        <v>28330.575769999999</v>
      </c>
      <c r="L15" s="18">
        <f t="shared" si="1"/>
        <v>28637.831890000001</v>
      </c>
      <c r="M15" s="18">
        <f t="shared" si="1"/>
        <v>28932.943920000002</v>
      </c>
      <c r="N15" s="107">
        <f t="shared" si="1"/>
        <v>29206.834960000004</v>
      </c>
      <c r="O15" s="106">
        <f t="shared" si="1"/>
        <v>29460.163050000003</v>
      </c>
      <c r="P15" s="18">
        <f t="shared" si="1"/>
        <v>29691.923109999996</v>
      </c>
      <c r="Q15" s="18">
        <f t="shared" si="1"/>
        <v>29903.332730000002</v>
      </c>
      <c r="R15" s="18">
        <f t="shared" si="1"/>
        <v>30092.612450000001</v>
      </c>
      <c r="S15" s="107">
        <f t="shared" si="1"/>
        <v>30258.887220000001</v>
      </c>
      <c r="T15" s="18">
        <f t="shared" si="1"/>
        <v>30969.837220000001</v>
      </c>
      <c r="U15" s="114">
        <f t="shared" si="1"/>
        <v>31452.756850000002</v>
      </c>
      <c r="V15" s="18">
        <f t="shared" si="1"/>
        <v>31793.241320000001</v>
      </c>
      <c r="W15" s="114">
        <f t="shared" si="1"/>
        <v>32070.357229999998</v>
      </c>
      <c r="X15" s="3"/>
      <c r="Y15" s="33" t="s">
        <v>102</v>
      </c>
      <c r="AC15" s="3"/>
      <c r="AD15" s="229" t="s">
        <v>101</v>
      </c>
      <c r="AE15" s="5" t="s">
        <v>44</v>
      </c>
      <c r="AF15" s="12" t="s">
        <v>190</v>
      </c>
      <c r="AG15" s="18">
        <v>23553498.758831903</v>
      </c>
      <c r="AH15" s="18">
        <v>25969983.98</v>
      </c>
      <c r="AI15" s="106">
        <v>26557.572249999997</v>
      </c>
      <c r="AJ15" s="18">
        <v>26719.482079999998</v>
      </c>
      <c r="AK15" s="233">
        <v>26882.378990000001</v>
      </c>
      <c r="AL15" s="106">
        <v>27046.269019999996</v>
      </c>
      <c r="AM15" s="18">
        <v>27212.510620000001</v>
      </c>
      <c r="AN15" s="18">
        <v>27333.149649999999</v>
      </c>
      <c r="AO15" s="18">
        <v>27452.011419999999</v>
      </c>
      <c r="AP15" s="107">
        <v>27569.50288</v>
      </c>
      <c r="AQ15" s="106">
        <v>27685.617249999999</v>
      </c>
      <c r="AR15" s="18">
        <v>27799.930970000001</v>
      </c>
      <c r="AS15" s="18">
        <v>27915.774529999999</v>
      </c>
      <c r="AT15" s="18">
        <v>28028.555909999999</v>
      </c>
      <c r="AU15" s="107">
        <v>28143.284440000003</v>
      </c>
      <c r="AV15" s="18">
        <v>28696.22798</v>
      </c>
      <c r="AW15" s="114">
        <v>29214.190490000001</v>
      </c>
      <c r="AX15" s="18">
        <v>29661.644070000002</v>
      </c>
      <c r="AY15" s="114">
        <v>30027.028059999997</v>
      </c>
      <c r="AZ15" s="3"/>
      <c r="BA15" s="33" t="s">
        <v>102</v>
      </c>
    </row>
    <row r="16" spans="1:56" x14ac:dyDescent="0.25">
      <c r="A16" s="3"/>
      <c r="B16" s="230"/>
      <c r="C16" s="35" t="s">
        <v>27</v>
      </c>
      <c r="D16" s="13" t="s">
        <v>191</v>
      </c>
      <c r="E16" s="74">
        <f>E5/E$4</f>
        <v>2.7625624832392512E-4</v>
      </c>
      <c r="F16" s="74">
        <f>F5/F$4</f>
        <v>5.5109546859760132E-3</v>
      </c>
      <c r="G16" s="108">
        <f>G5/G$4</f>
        <v>7.6164689137945638E-3</v>
      </c>
      <c r="H16" s="74">
        <f t="shared" ref="H16:W16" si="2">H5/H$4</f>
        <v>9.0150407829050223E-3</v>
      </c>
      <c r="I16" s="109">
        <f t="shared" si="2"/>
        <v>1.0733519075969519E-2</v>
      </c>
      <c r="J16" s="108">
        <f t="shared" si="2"/>
        <v>1.2838103710304253E-2</v>
      </c>
      <c r="K16" s="74">
        <f t="shared" si="2"/>
        <v>1.5181278968408343E-2</v>
      </c>
      <c r="L16" s="74">
        <f t="shared" si="2"/>
        <v>1.7660550981745425E-2</v>
      </c>
      <c r="M16" s="74">
        <f t="shared" si="2"/>
        <v>2.0392833540597413E-2</v>
      </c>
      <c r="N16" s="109">
        <f t="shared" si="2"/>
        <v>2.3917403801428538E-2</v>
      </c>
      <c r="O16" s="108">
        <f t="shared" si="2"/>
        <v>2.8363163743589662E-2</v>
      </c>
      <c r="P16" s="74">
        <f t="shared" si="2"/>
        <v>3.3494598265514638E-2</v>
      </c>
      <c r="Q16" s="74">
        <f t="shared" si="2"/>
        <v>3.9117421076831256E-2</v>
      </c>
      <c r="R16" s="74">
        <f t="shared" si="2"/>
        <v>4.5066783359315819E-2</v>
      </c>
      <c r="S16" s="109">
        <f t="shared" si="2"/>
        <v>5.1331640707969167E-2</v>
      </c>
      <c r="T16" s="74">
        <f t="shared" si="2"/>
        <v>8.7703958167591564E-2</v>
      </c>
      <c r="U16" s="115">
        <f t="shared" si="2"/>
        <v>0.12907866513456354</v>
      </c>
      <c r="V16" s="74">
        <f t="shared" si="2"/>
        <v>0.1764236470117794</v>
      </c>
      <c r="W16" s="115">
        <f t="shared" si="2"/>
        <v>0.22738041574350124</v>
      </c>
      <c r="X16" s="3"/>
      <c r="Y16" s="133"/>
      <c r="Z16" s="134">
        <v>2020</v>
      </c>
      <c r="AA16" s="134">
        <v>2030</v>
      </c>
      <c r="AB16" s="135">
        <v>2050</v>
      </c>
      <c r="AC16" s="3"/>
      <c r="AD16" s="230"/>
      <c r="AE16" s="35" t="s">
        <v>27</v>
      </c>
      <c r="AF16" s="13" t="s">
        <v>191</v>
      </c>
      <c r="AG16" s="74">
        <v>2.7625624832392523E-4</v>
      </c>
      <c r="AH16" s="74">
        <v>1.6629641428835412E-2</v>
      </c>
      <c r="AI16" s="108">
        <v>1.898241431311554E-2</v>
      </c>
      <c r="AJ16" s="74">
        <v>1.9680566124955369E-2</v>
      </c>
      <c r="AK16" s="109">
        <v>2.055206032566986E-2</v>
      </c>
      <c r="AL16" s="108">
        <v>2.160970410624127E-2</v>
      </c>
      <c r="AM16" s="74">
        <v>2.2733103267779265E-2</v>
      </c>
      <c r="AN16" s="74">
        <v>2.393439203227719E-2</v>
      </c>
      <c r="AO16" s="74">
        <v>2.529841231575591E-2</v>
      </c>
      <c r="AP16" s="109">
        <v>2.6853587579088043E-2</v>
      </c>
      <c r="AQ16" s="108">
        <v>2.8536226646707685E-2</v>
      </c>
      <c r="AR16" s="74">
        <v>3.0145756689265623E-2</v>
      </c>
      <c r="AS16" s="74">
        <v>3.1295266461661024E-2</v>
      </c>
      <c r="AT16" s="74">
        <v>3.1832698318990882E-2</v>
      </c>
      <c r="AU16" s="109">
        <v>3.2226906380938385E-2</v>
      </c>
      <c r="AV16" s="74">
        <v>3.3842116701778453E-2</v>
      </c>
      <c r="AW16" s="115">
        <v>3.528596270202522E-2</v>
      </c>
      <c r="AX16" s="74">
        <v>3.6511438423446764E-2</v>
      </c>
      <c r="AY16" s="115">
        <v>3.7519654417640692E-2</v>
      </c>
      <c r="AZ16" s="3"/>
      <c r="BA16" s="133"/>
      <c r="BB16" s="134">
        <v>2020</v>
      </c>
      <c r="BC16" s="134">
        <v>2030</v>
      </c>
      <c r="BD16" s="135">
        <v>2050</v>
      </c>
    </row>
    <row r="17" spans="1:56" x14ac:dyDescent="0.25">
      <c r="A17" s="3"/>
      <c r="B17" s="230"/>
      <c r="C17" s="35" t="s">
        <v>28</v>
      </c>
      <c r="D17" s="13" t="s">
        <v>192</v>
      </c>
      <c r="E17" s="68">
        <f t="shared" ref="E17:G22" si="3">E6/E$4</f>
        <v>1.77137013884596E-2</v>
      </c>
      <c r="F17" s="68">
        <f t="shared" si="3"/>
        <v>3.8103550070530998E-2</v>
      </c>
      <c r="G17" s="110">
        <f t="shared" si="3"/>
        <v>4.4723827700252225E-2</v>
      </c>
      <c r="H17" s="68">
        <f t="shared" ref="H17:W17" si="4">H6/H$4</f>
        <v>4.9480301753749831E-2</v>
      </c>
      <c r="I17" s="111">
        <f t="shared" si="4"/>
        <v>5.4911884998403729E-2</v>
      </c>
      <c r="J17" s="110">
        <f t="shared" si="4"/>
        <v>6.1558330025897876E-2</v>
      </c>
      <c r="K17" s="68">
        <f t="shared" si="4"/>
        <v>6.8245332770375949E-2</v>
      </c>
      <c r="L17" s="68">
        <f t="shared" si="4"/>
        <v>7.5016386060641829E-2</v>
      </c>
      <c r="M17" s="68">
        <f t="shared" si="4"/>
        <v>8.2058882551485621E-2</v>
      </c>
      <c r="N17" s="111">
        <f t="shared" si="4"/>
        <v>9.0638887939263363E-2</v>
      </c>
      <c r="O17" s="110">
        <f t="shared" si="4"/>
        <v>0.10034774047185731</v>
      </c>
      <c r="P17" s="68">
        <f t="shared" si="4"/>
        <v>0.11059861720085129</v>
      </c>
      <c r="Q17" s="68">
        <f t="shared" si="4"/>
        <v>0.12083116623235325</v>
      </c>
      <c r="R17" s="68">
        <f t="shared" si="4"/>
        <v>0.13064815274952973</v>
      </c>
      <c r="S17" s="111">
        <f t="shared" si="4"/>
        <v>0.14013657637737809</v>
      </c>
      <c r="T17" s="68">
        <f t="shared" si="4"/>
        <v>0.1820061226011184</v>
      </c>
      <c r="U17" s="116">
        <f t="shared" si="4"/>
        <v>0.21247152969358871</v>
      </c>
      <c r="V17" s="68">
        <f t="shared" si="4"/>
        <v>0.23454605901755218</v>
      </c>
      <c r="W17" s="116">
        <f t="shared" si="4"/>
        <v>0.24888552502724962</v>
      </c>
      <c r="X17" s="3"/>
      <c r="Y17" s="136" t="s">
        <v>54</v>
      </c>
      <c r="Z17" s="137">
        <f>I16+I17</f>
        <v>6.5645404074373248E-2</v>
      </c>
      <c r="AA17" s="137">
        <f>S16+S17</f>
        <v>0.19146821708534725</v>
      </c>
      <c r="AB17" s="138">
        <f>W16+W17</f>
        <v>0.47626594077075085</v>
      </c>
      <c r="AC17" s="3"/>
      <c r="AD17" s="230"/>
      <c r="AE17" s="35" t="s">
        <v>28</v>
      </c>
      <c r="AF17" s="13" t="s">
        <v>192</v>
      </c>
      <c r="AG17" s="68">
        <v>1.7713701388459593E-2</v>
      </c>
      <c r="AH17" s="68">
        <v>6.9742271631543756E-2</v>
      </c>
      <c r="AI17" s="110">
        <v>8.1178375783200599E-2</v>
      </c>
      <c r="AJ17" s="68">
        <v>8.5616416222091693E-2</v>
      </c>
      <c r="AK17" s="111">
        <v>9.1340609471855363E-2</v>
      </c>
      <c r="AL17" s="110">
        <v>9.8606449600418852E-2</v>
      </c>
      <c r="AM17" s="68">
        <v>0.10615167668053996</v>
      </c>
      <c r="AN17" s="68">
        <v>0.1126658795064988</v>
      </c>
      <c r="AO17" s="68">
        <v>0.11912820758253932</v>
      </c>
      <c r="AP17" s="111">
        <v>0.12547123609941566</v>
      </c>
      <c r="AQ17" s="110">
        <v>0.13162380416134664</v>
      </c>
      <c r="AR17" s="68">
        <v>0.13741741046488648</v>
      </c>
      <c r="AS17" s="68">
        <v>0.14263357202290744</v>
      </c>
      <c r="AT17" s="68">
        <v>0.14704290032757525</v>
      </c>
      <c r="AU17" s="111">
        <v>0.15090915365811511</v>
      </c>
      <c r="AV17" s="68">
        <v>0.16819727841456883</v>
      </c>
      <c r="AW17" s="116">
        <v>0.18386636890858446</v>
      </c>
      <c r="AX17" s="68">
        <v>0.19725136554104705</v>
      </c>
      <c r="AY17" s="116">
        <v>0.20829950118613239</v>
      </c>
      <c r="AZ17" s="3"/>
      <c r="BA17" s="136" t="s">
        <v>54</v>
      </c>
      <c r="BB17" s="137">
        <v>0.11189266979752523</v>
      </c>
      <c r="BC17" s="137">
        <v>0.1831360600390535</v>
      </c>
      <c r="BD17" s="138">
        <v>0.24581915560377307</v>
      </c>
    </row>
    <row r="18" spans="1:56" x14ac:dyDescent="0.25">
      <c r="A18" s="3"/>
      <c r="B18" s="230"/>
      <c r="C18" s="35" t="s">
        <v>29</v>
      </c>
      <c r="D18" s="13" t="s">
        <v>193</v>
      </c>
      <c r="E18" s="68">
        <f t="shared" si="3"/>
        <v>0.12575058882882739</v>
      </c>
      <c r="F18" s="68">
        <f t="shared" si="3"/>
        <v>0.20691380753441077</v>
      </c>
      <c r="G18" s="110">
        <f t="shared" si="3"/>
        <v>0.22016929922323356</v>
      </c>
      <c r="H18" s="68">
        <f t="shared" ref="H18:W18" si="5">H7/H$4</f>
        <v>0.22658252638883808</v>
      </c>
      <c r="I18" s="111">
        <f t="shared" si="5"/>
        <v>0.2332859574734461</v>
      </c>
      <c r="J18" s="110">
        <f t="shared" si="5"/>
        <v>0.24053144531225687</v>
      </c>
      <c r="K18" s="68">
        <f t="shared" si="5"/>
        <v>0.24732272220247925</v>
      </c>
      <c r="L18" s="68">
        <f t="shared" si="5"/>
        <v>0.25379973120583882</v>
      </c>
      <c r="M18" s="68">
        <f t="shared" si="5"/>
        <v>0.25976391928111825</v>
      </c>
      <c r="N18" s="111">
        <f t="shared" si="5"/>
        <v>0.26579386967577129</v>
      </c>
      <c r="O18" s="110">
        <f t="shared" si="5"/>
        <v>0.27138610646623695</v>
      </c>
      <c r="P18" s="68">
        <f t="shared" si="5"/>
        <v>0.27604522427311379</v>
      </c>
      <c r="Q18" s="68">
        <f t="shared" si="5"/>
        <v>0.27962342242914273</v>
      </c>
      <c r="R18" s="68">
        <f t="shared" si="5"/>
        <v>0.28216849727182791</v>
      </c>
      <c r="S18" s="111">
        <f t="shared" si="5"/>
        <v>0.28406140303529637</v>
      </c>
      <c r="T18" s="68">
        <f t="shared" si="5"/>
        <v>0.28498415485052392</v>
      </c>
      <c r="U18" s="116">
        <f t="shared" si="5"/>
        <v>0.27382000897641501</v>
      </c>
      <c r="V18" s="68">
        <f t="shared" si="5"/>
        <v>0.2566081295670799</v>
      </c>
      <c r="W18" s="116">
        <f t="shared" si="5"/>
        <v>0.23716891070003213</v>
      </c>
      <c r="X18" s="3"/>
      <c r="Y18" s="136" t="s">
        <v>55</v>
      </c>
      <c r="Z18" s="137">
        <f>I18+I19+I20</f>
        <v>0.7610387046799828</v>
      </c>
      <c r="AA18" s="137">
        <f>S18+S19+S20</f>
        <v>0.69833431743098973</v>
      </c>
      <c r="AB18" s="138">
        <f>W18+W19+W20</f>
        <v>0.47024605459937374</v>
      </c>
      <c r="AC18" s="3"/>
      <c r="AD18" s="230"/>
      <c r="AE18" s="35" t="s">
        <v>29</v>
      </c>
      <c r="AF18" s="13" t="s">
        <v>193</v>
      </c>
      <c r="AG18" s="68">
        <v>0.12575058882882711</v>
      </c>
      <c r="AH18" s="68">
        <v>0.21911275641841962</v>
      </c>
      <c r="AI18" s="110">
        <v>0.23825625442852749</v>
      </c>
      <c r="AJ18" s="68">
        <v>0.24161201207684488</v>
      </c>
      <c r="AK18" s="111">
        <v>0.24455613282758795</v>
      </c>
      <c r="AL18" s="110">
        <v>0.24673344098091057</v>
      </c>
      <c r="AM18" s="68">
        <v>0.24961673279082403</v>
      </c>
      <c r="AN18" s="68">
        <v>0.25335794116943272</v>
      </c>
      <c r="AO18" s="68">
        <v>0.2567414043426039</v>
      </c>
      <c r="AP18" s="111">
        <v>0.25951109793823024</v>
      </c>
      <c r="AQ18" s="110">
        <v>0.26169012384941498</v>
      </c>
      <c r="AR18" s="68">
        <v>0.26336582993321006</v>
      </c>
      <c r="AS18" s="68">
        <v>0.264535488566292</v>
      </c>
      <c r="AT18" s="68">
        <v>0.2651534802885962</v>
      </c>
      <c r="AU18" s="111">
        <v>0.26456632525865909</v>
      </c>
      <c r="AV18" s="68">
        <v>0.25952290901056607</v>
      </c>
      <c r="AW18" s="116">
        <v>0.25485171144990371</v>
      </c>
      <c r="AX18" s="68">
        <v>0.25089202970130575</v>
      </c>
      <c r="AY18" s="116">
        <v>0.24771102411924817</v>
      </c>
      <c r="AZ18" s="3"/>
      <c r="BA18" s="136" t="s">
        <v>55</v>
      </c>
      <c r="BB18" s="137">
        <v>0.72289771229804389</v>
      </c>
      <c r="BC18" s="137">
        <v>0.68888842591678678</v>
      </c>
      <c r="BD18" s="138">
        <v>0.64245955428730506</v>
      </c>
    </row>
    <row r="19" spans="1:56" ht="15.75" thickBot="1" x14ac:dyDescent="0.3">
      <c r="A19" s="3"/>
      <c r="B19" s="230"/>
      <c r="C19" s="35" t="s">
        <v>30</v>
      </c>
      <c r="D19" s="13" t="s">
        <v>194</v>
      </c>
      <c r="E19" s="68">
        <f t="shared" si="3"/>
        <v>0.27637430617113368</v>
      </c>
      <c r="F19" s="68">
        <f t="shared" si="3"/>
        <v>0.31179546185132351</v>
      </c>
      <c r="G19" s="110">
        <f t="shared" si="3"/>
        <v>0.31474926910942624</v>
      </c>
      <c r="H19" s="68">
        <f t="shared" ref="H19:W19" si="6">H8/H$4</f>
        <v>0.31499240880547785</v>
      </c>
      <c r="I19" s="111">
        <f t="shared" si="6"/>
        <v>0.31506314642095934</v>
      </c>
      <c r="J19" s="110">
        <f t="shared" si="6"/>
        <v>0.31448176223515051</v>
      </c>
      <c r="K19" s="68">
        <f t="shared" si="6"/>
        <v>0.31372239788404416</v>
      </c>
      <c r="L19" s="68">
        <f t="shared" si="6"/>
        <v>0.31281604153588732</v>
      </c>
      <c r="M19" s="68">
        <f t="shared" si="6"/>
        <v>0.31129926235311356</v>
      </c>
      <c r="N19" s="111">
        <f t="shared" si="6"/>
        <v>0.30824113062335046</v>
      </c>
      <c r="O19" s="110">
        <f t="shared" si="6"/>
        <v>0.30375909810180085</v>
      </c>
      <c r="P19" s="68">
        <f t="shared" si="6"/>
        <v>0.29815212693375454</v>
      </c>
      <c r="Q19" s="68">
        <f t="shared" si="6"/>
        <v>0.29190927137839456</v>
      </c>
      <c r="R19" s="68">
        <f t="shared" si="6"/>
        <v>0.28546732409070052</v>
      </c>
      <c r="S19" s="111">
        <f t="shared" si="6"/>
        <v>0.27899252588575529</v>
      </c>
      <c r="T19" s="68">
        <f t="shared" si="6"/>
        <v>0.24668617896597395</v>
      </c>
      <c r="U19" s="116">
        <f t="shared" si="6"/>
        <v>0.21604665824388616</v>
      </c>
      <c r="V19" s="68">
        <f t="shared" si="6"/>
        <v>0.18690806795033629</v>
      </c>
      <c r="W19" s="116">
        <f t="shared" si="6"/>
        <v>0.16058775791191895</v>
      </c>
      <c r="X19" s="3"/>
      <c r="Y19" s="139" t="s">
        <v>60</v>
      </c>
      <c r="Z19" s="140">
        <f>I21+I22</f>
        <v>0.17331589111592149</v>
      </c>
      <c r="AA19" s="140">
        <f>S21+S22</f>
        <v>0.11019746538451852</v>
      </c>
      <c r="AB19" s="272">
        <f>W21+W22</f>
        <v>5.3685547786459752E-2</v>
      </c>
      <c r="AC19" s="3"/>
      <c r="AD19" s="230"/>
      <c r="AE19" s="35" t="s">
        <v>30</v>
      </c>
      <c r="AF19" s="13" t="s">
        <v>194</v>
      </c>
      <c r="AG19" s="68">
        <v>0.27637430617113345</v>
      </c>
      <c r="AH19" s="68">
        <v>0.24399997608315813</v>
      </c>
      <c r="AI19" s="110">
        <v>0.2366669213900002</v>
      </c>
      <c r="AJ19" s="68">
        <v>0.23468160828213183</v>
      </c>
      <c r="AK19" s="111">
        <v>0.23286925708207196</v>
      </c>
      <c r="AL19" s="110">
        <v>0.23119912330148079</v>
      </c>
      <c r="AM19" s="68">
        <v>0.22958027552990262</v>
      </c>
      <c r="AN19" s="68">
        <v>0.22823590127309021</v>
      </c>
      <c r="AO19" s="68">
        <v>0.22667237149939959</v>
      </c>
      <c r="AP19" s="111">
        <v>0.22484807807314372</v>
      </c>
      <c r="AQ19" s="110">
        <v>0.22283946683543782</v>
      </c>
      <c r="AR19" s="68">
        <v>0.22080782835843135</v>
      </c>
      <c r="AS19" s="68">
        <v>0.21896131706577443</v>
      </c>
      <c r="AT19" s="68">
        <v>0.21754236545681527</v>
      </c>
      <c r="AU19" s="111">
        <v>0.21668893895456073</v>
      </c>
      <c r="AV19" s="68">
        <v>0.21328461407073057</v>
      </c>
      <c r="AW19" s="116">
        <v>0.20989243419559833</v>
      </c>
      <c r="AX19" s="68">
        <v>0.2069443498652298</v>
      </c>
      <c r="AY19" s="116">
        <v>0.20457087690216122</v>
      </c>
      <c r="AZ19" s="3"/>
      <c r="BA19" s="139" t="s">
        <v>60</v>
      </c>
      <c r="BB19" s="140">
        <v>0.16520961794906971</v>
      </c>
      <c r="BC19" s="140">
        <v>0.12797551395532852</v>
      </c>
      <c r="BD19" s="272">
        <v>0.11172129005230631</v>
      </c>
    </row>
    <row r="20" spans="1:56" x14ac:dyDescent="0.25">
      <c r="A20" s="3"/>
      <c r="B20" s="230"/>
      <c r="C20" s="35" t="s">
        <v>31</v>
      </c>
      <c r="D20" s="13" t="s">
        <v>195</v>
      </c>
      <c r="E20" s="68">
        <f t="shared" si="3"/>
        <v>0.32873347328240671</v>
      </c>
      <c r="F20" s="68">
        <f t="shared" si="3"/>
        <v>0.24332781875305154</v>
      </c>
      <c r="G20" s="110">
        <f t="shared" si="3"/>
        <v>0.22802862953810976</v>
      </c>
      <c r="H20" s="68">
        <f t="shared" ref="H20:W20" si="7">H9/H$4</f>
        <v>0.22061473400450932</v>
      </c>
      <c r="I20" s="111">
        <f t="shared" si="7"/>
        <v>0.21268960078557728</v>
      </c>
      <c r="J20" s="110">
        <f t="shared" si="7"/>
        <v>0.2040289803362893</v>
      </c>
      <c r="K20" s="68">
        <f t="shared" si="7"/>
        <v>0.19563582794773535</v>
      </c>
      <c r="L20" s="68">
        <f t="shared" si="7"/>
        <v>0.18743225983787978</v>
      </c>
      <c r="M20" s="68">
        <f t="shared" si="7"/>
        <v>0.17959122747299058</v>
      </c>
      <c r="N20" s="111">
        <f t="shared" si="7"/>
        <v>0.17130479591000503</v>
      </c>
      <c r="O20" s="110">
        <f t="shared" si="7"/>
        <v>0.16292929991098606</v>
      </c>
      <c r="P20" s="68">
        <f t="shared" si="7"/>
        <v>0.15501312663206609</v>
      </c>
      <c r="Q20" s="68">
        <f t="shared" si="7"/>
        <v>0.14779075549549958</v>
      </c>
      <c r="R20" s="68">
        <f t="shared" si="7"/>
        <v>0.14131849396811011</v>
      </c>
      <c r="S20" s="111">
        <f t="shared" si="7"/>
        <v>0.13528038850993807</v>
      </c>
      <c r="T20" s="68">
        <f t="shared" si="7"/>
        <v>0.11035825234473094</v>
      </c>
      <c r="U20" s="116">
        <f t="shared" si="7"/>
        <v>9.4642308532646158E-2</v>
      </c>
      <c r="V20" s="68">
        <f t="shared" si="7"/>
        <v>8.2621244514241299E-2</v>
      </c>
      <c r="W20" s="116">
        <f t="shared" si="7"/>
        <v>7.2489385987422633E-2</v>
      </c>
      <c r="X20" s="3"/>
      <c r="Y20" s="173" t="s">
        <v>92</v>
      </c>
      <c r="Z20" s="174">
        <f>SUM(Z17:Z19)</f>
        <v>0.99999999987027754</v>
      </c>
      <c r="AA20" s="174">
        <f t="shared" ref="AA20:AB20" si="8">SUM(AA17:AA19)</f>
        <v>0.99999999990085553</v>
      </c>
      <c r="AB20" s="174">
        <f t="shared" si="8"/>
        <v>1.0001975431565844</v>
      </c>
      <c r="AC20" s="3"/>
      <c r="AD20" s="230"/>
      <c r="AE20" s="35" t="s">
        <v>31</v>
      </c>
      <c r="AF20" s="13" t="s">
        <v>195</v>
      </c>
      <c r="AG20" s="68">
        <v>0.32873347328240687</v>
      </c>
      <c r="AH20" s="68">
        <v>0.26509030195404842</v>
      </c>
      <c r="AI20" s="110">
        <v>0.25245211474478813</v>
      </c>
      <c r="AJ20" s="68">
        <v>0.24923939412675924</v>
      </c>
      <c r="AK20" s="111">
        <v>0.24547232238838398</v>
      </c>
      <c r="AL20" s="110">
        <v>0.24119695582322501</v>
      </c>
      <c r="AM20" s="68">
        <v>0.23638908066322328</v>
      </c>
      <c r="AN20" s="68">
        <v>0.23153170520178237</v>
      </c>
      <c r="AO20" s="68">
        <v>0.22680205092235828</v>
      </c>
      <c r="AP20" s="111">
        <v>0.22234816495175047</v>
      </c>
      <c r="AQ20" s="110">
        <v>0.21820791100476547</v>
      </c>
      <c r="AR20" s="68">
        <v>0.21447810166990497</v>
      </c>
      <c r="AS20" s="68">
        <v>0.21139582011805283</v>
      </c>
      <c r="AT20" s="68">
        <v>0.20910573223320947</v>
      </c>
      <c r="AU20" s="111">
        <v>0.20763316170356694</v>
      </c>
      <c r="AV20" s="68">
        <v>0.20276931860366407</v>
      </c>
      <c r="AW20" s="116">
        <v>0.19804005693672738</v>
      </c>
      <c r="AX20" s="68">
        <v>0.19381052501450233</v>
      </c>
      <c r="AY20" s="116">
        <v>0.1901776532658957</v>
      </c>
      <c r="AZ20" s="3"/>
      <c r="BA20" s="173" t="s">
        <v>92</v>
      </c>
      <c r="BB20" s="174">
        <v>1.0000000000446387</v>
      </c>
      <c r="BC20" s="174">
        <v>0.99999999991116884</v>
      </c>
      <c r="BD20" s="174">
        <v>0.99999999994338451</v>
      </c>
    </row>
    <row r="21" spans="1:56" x14ac:dyDescent="0.25">
      <c r="A21" s="3"/>
      <c r="B21" s="230"/>
      <c r="C21" s="35" t="s">
        <v>32</v>
      </c>
      <c r="D21" s="13" t="s">
        <v>196</v>
      </c>
      <c r="E21" s="68">
        <f t="shared" si="3"/>
        <v>0.1722213067913749</v>
      </c>
      <c r="F21" s="68">
        <f t="shared" si="3"/>
        <v>0.12073089924834268</v>
      </c>
      <c r="G21" s="110">
        <f t="shared" si="3"/>
        <v>0.11211030838198721</v>
      </c>
      <c r="H21" s="68">
        <f t="shared" ref="H21:W21" si="9">H10/H$4</f>
        <v>0.10820502736852111</v>
      </c>
      <c r="I21" s="111">
        <f t="shared" si="9"/>
        <v>0.10408688892089195</v>
      </c>
      <c r="J21" s="110">
        <f t="shared" si="9"/>
        <v>9.9667912281636808E-2</v>
      </c>
      <c r="K21" s="68">
        <f t="shared" si="9"/>
        <v>9.5386968550833659E-2</v>
      </c>
      <c r="L21" s="68">
        <f t="shared" si="9"/>
        <v>9.1212827389776235E-2</v>
      </c>
      <c r="M21" s="68">
        <f t="shared" si="9"/>
        <v>8.7234626727883985E-2</v>
      </c>
      <c r="N21" s="111">
        <f t="shared" si="9"/>
        <v>8.3104491921982632E-2</v>
      </c>
      <c r="O21" s="110">
        <f t="shared" si="9"/>
        <v>7.8981855940542731E-2</v>
      </c>
      <c r="P21" s="68">
        <f t="shared" si="9"/>
        <v>7.5121695510816641E-2</v>
      </c>
      <c r="Q21" s="68">
        <f t="shared" si="9"/>
        <v>7.1609525109945824E-2</v>
      </c>
      <c r="R21" s="68">
        <f t="shared" si="9"/>
        <v>6.8449502362829914E-2</v>
      </c>
      <c r="S21" s="111">
        <f t="shared" si="9"/>
        <v>6.547665353967369E-2</v>
      </c>
      <c r="T21" s="68">
        <f t="shared" si="9"/>
        <v>5.2946055168190516E-2</v>
      </c>
      <c r="U21" s="116">
        <f t="shared" si="9"/>
        <v>4.4784471094780995E-2</v>
      </c>
      <c r="V21" s="68">
        <f t="shared" si="9"/>
        <v>3.8473769336331384E-2</v>
      </c>
      <c r="W21" s="116">
        <f t="shared" si="9"/>
        <v>3.3075641608623266E-2</v>
      </c>
      <c r="X21" s="3"/>
      <c r="AC21" s="3"/>
      <c r="AD21" s="230"/>
      <c r="AE21" s="35" t="s">
        <v>32</v>
      </c>
      <c r="AF21" s="13" t="s">
        <v>196</v>
      </c>
      <c r="AG21" s="68">
        <v>0.17222130679137462</v>
      </c>
      <c r="AH21" s="68">
        <v>0.13812098986131141</v>
      </c>
      <c r="AI21" s="110">
        <v>0.13171002420976188</v>
      </c>
      <c r="AJ21" s="68">
        <v>0.13018392379707383</v>
      </c>
      <c r="AK21" s="111">
        <v>0.12810467549323093</v>
      </c>
      <c r="AL21" s="110">
        <v>0.12551223802772041</v>
      </c>
      <c r="AM21" s="68">
        <v>0.12241652291911904</v>
      </c>
      <c r="AN21" s="68">
        <v>0.11917065474377191</v>
      </c>
      <c r="AO21" s="68">
        <v>0.11617863056389478</v>
      </c>
      <c r="AP21" s="111">
        <v>0.11360299235834463</v>
      </c>
      <c r="AQ21" s="110">
        <v>0.11143757540749792</v>
      </c>
      <c r="AR21" s="68">
        <v>0.10969240716067864</v>
      </c>
      <c r="AS21" s="68">
        <v>0.10848993312885881</v>
      </c>
      <c r="AT21" s="68">
        <v>0.10786335937918821</v>
      </c>
      <c r="AU21" s="111">
        <v>0.107591831168658</v>
      </c>
      <c r="AV21" s="68">
        <v>0.1056556785830219</v>
      </c>
      <c r="AW21" s="116">
        <v>0.10313052186167217</v>
      </c>
      <c r="AX21" s="68">
        <v>0.10053227932891177</v>
      </c>
      <c r="AY21" s="116">
        <v>9.8083298457476459E-2</v>
      </c>
      <c r="AZ21" s="3"/>
    </row>
    <row r="22" spans="1:56" x14ac:dyDescent="0.25">
      <c r="A22" s="3"/>
      <c r="B22" s="230"/>
      <c r="C22" s="56" t="s">
        <v>33</v>
      </c>
      <c r="D22" s="26" t="s">
        <v>197</v>
      </c>
      <c r="E22" s="70">
        <f t="shared" si="3"/>
        <v>7.893036728947378E-2</v>
      </c>
      <c r="F22" s="70">
        <f t="shared" si="3"/>
        <v>7.3617507810627023E-2</v>
      </c>
      <c r="G22" s="112">
        <f t="shared" si="3"/>
        <v>7.2602197037456115E-2</v>
      </c>
      <c r="H22" s="70">
        <f t="shared" ref="H22:W22" si="10">H11/H$4</f>
        <v>7.1109961041693412E-2</v>
      </c>
      <c r="I22" s="113">
        <f t="shared" si="10"/>
        <v>6.9229002195029532E-2</v>
      </c>
      <c r="J22" s="112">
        <f t="shared" si="10"/>
        <v>6.6893466191181541E-2</v>
      </c>
      <c r="K22" s="70">
        <f t="shared" si="10"/>
        <v>6.4505471679653051E-2</v>
      </c>
      <c r="L22" s="70">
        <f t="shared" si="10"/>
        <v>6.2062203131397736E-2</v>
      </c>
      <c r="M22" s="70">
        <f t="shared" si="10"/>
        <v>5.9659248010597882E-2</v>
      </c>
      <c r="N22" s="113">
        <f t="shared" si="10"/>
        <v>5.69994200768408E-2</v>
      </c>
      <c r="O22" s="112">
        <f t="shared" si="10"/>
        <v>5.4232735517735019E-2</v>
      </c>
      <c r="P22" s="70">
        <f t="shared" si="10"/>
        <v>5.1574611295024338E-2</v>
      </c>
      <c r="Q22" s="70">
        <f t="shared" si="10"/>
        <v>4.9118438244391625E-2</v>
      </c>
      <c r="R22" s="70">
        <f t="shared" si="10"/>
        <v>4.6881246330608958E-2</v>
      </c>
      <c r="S22" s="113">
        <f t="shared" si="10"/>
        <v>4.4720811844844832E-2</v>
      </c>
      <c r="T22" s="70">
        <f t="shared" si="10"/>
        <v>3.5315278031028671E-2</v>
      </c>
      <c r="U22" s="117">
        <f t="shared" si="10"/>
        <v>2.9156358263711275E-2</v>
      </c>
      <c r="V22" s="70">
        <f t="shared" si="10"/>
        <v>2.4419082527191664E-2</v>
      </c>
      <c r="W22" s="117">
        <f t="shared" si="10"/>
        <v>2.0609906177836486E-2</v>
      </c>
      <c r="X22" s="3"/>
      <c r="AC22" s="3"/>
      <c r="AD22" s="230"/>
      <c r="AE22" s="56" t="s">
        <v>33</v>
      </c>
      <c r="AF22" s="26" t="s">
        <v>197</v>
      </c>
      <c r="AG22" s="70">
        <v>7.8930367289473502E-2</v>
      </c>
      <c r="AH22" s="70">
        <v>4.7304062564924233E-2</v>
      </c>
      <c r="AI22" s="112">
        <v>4.0753895266160862E-2</v>
      </c>
      <c r="AJ22" s="70">
        <v>3.8986079216697153E-2</v>
      </c>
      <c r="AK22" s="113">
        <v>3.7104942455838792E-2</v>
      </c>
      <c r="AL22" s="112">
        <v>3.5142087975134698E-2</v>
      </c>
      <c r="AM22" s="70">
        <v>3.311260813023801E-2</v>
      </c>
      <c r="AN22" s="70">
        <v>3.1103526117049595E-2</v>
      </c>
      <c r="AO22" s="70">
        <v>2.9178922704236585E-2</v>
      </c>
      <c r="AP22" s="113">
        <v>2.7364842858566628E-2</v>
      </c>
      <c r="AQ22" s="112">
        <v>2.5664892163457183E-2</v>
      </c>
      <c r="AR22" s="70">
        <v>2.4092665748802755E-2</v>
      </c>
      <c r="AS22" s="70">
        <v>2.2688602536151806E-2</v>
      </c>
      <c r="AT22" s="70">
        <v>2.1459464120497387E-2</v>
      </c>
      <c r="AU22" s="113">
        <v>2.0383682786670507E-2</v>
      </c>
      <c r="AV22" s="70">
        <v>1.6728084601730989E-2</v>
      </c>
      <c r="AW22" s="117">
        <v>1.4932943842798909E-2</v>
      </c>
      <c r="AX22" s="70">
        <v>1.4058012176126823E-2</v>
      </c>
      <c r="AY22" s="117">
        <v>1.3637991594829849E-2</v>
      </c>
      <c r="AZ22" s="3"/>
    </row>
    <row r="23" spans="1:56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</row>
    <row r="24" spans="1:56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295">
        <v>2023</v>
      </c>
      <c r="M24" s="295">
        <v>2024</v>
      </c>
      <c r="N24" s="295">
        <v>2025</v>
      </c>
      <c r="O24" s="295">
        <v>2026</v>
      </c>
      <c r="P24" s="295">
        <v>2027</v>
      </c>
      <c r="Q24" s="295">
        <v>2028</v>
      </c>
      <c r="R24" s="295">
        <v>2029</v>
      </c>
      <c r="S24" s="296">
        <v>2030</v>
      </c>
      <c r="T24" s="295">
        <v>2035</v>
      </c>
      <c r="U24" s="295">
        <v>2040</v>
      </c>
      <c r="V24" s="295">
        <v>2045</v>
      </c>
      <c r="W24" s="295">
        <v>2050</v>
      </c>
      <c r="X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</row>
    <row r="25" spans="1:56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295">
        <v>27409.152760000001</v>
      </c>
      <c r="M25" s="295">
        <v>27534.384159999998</v>
      </c>
      <c r="N25" s="295">
        <v>27700.864130000002</v>
      </c>
      <c r="O25" s="295">
        <v>27827.24728</v>
      </c>
      <c r="P25" s="295">
        <v>27954.14676</v>
      </c>
      <c r="Q25" s="295">
        <v>28081.564560000003</v>
      </c>
      <c r="R25" s="295">
        <v>28209.502670000002</v>
      </c>
      <c r="S25" s="297">
        <v>28379.33238</v>
      </c>
      <c r="T25" s="295">
        <v>28988.170300000002</v>
      </c>
      <c r="U25" s="295">
        <v>29523.746120000003</v>
      </c>
      <c r="V25" s="295">
        <v>30025.638859999999</v>
      </c>
      <c r="W25" s="295">
        <v>30354.287279999997</v>
      </c>
      <c r="X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</row>
    <row r="26" spans="1:56" x14ac:dyDescent="0.25">
      <c r="B26" s="3"/>
      <c r="C26" s="3"/>
      <c r="D26" s="3"/>
      <c r="E26" s="3"/>
      <c r="F26" s="3"/>
      <c r="G26" s="3"/>
      <c r="H26" s="3"/>
      <c r="I26" s="3"/>
      <c r="J26" s="3"/>
      <c r="K26" s="3"/>
      <c r="L26" s="295">
        <v>4.1624116914148641E-2</v>
      </c>
      <c r="M26" s="295">
        <v>5.2596252256255291E-2</v>
      </c>
      <c r="N26" s="295">
        <v>6.5747814416647232E-2</v>
      </c>
      <c r="O26" s="295">
        <v>7.9997070734335318E-2</v>
      </c>
      <c r="P26" s="295">
        <v>9.530484041860271E-2</v>
      </c>
      <c r="Q26" s="295">
        <v>0.11128804035554064</v>
      </c>
      <c r="R26" s="295">
        <v>0.1277171678688088</v>
      </c>
      <c r="S26" s="295">
        <v>0.144310124817672</v>
      </c>
      <c r="T26" s="295">
        <v>0.23039888057370769</v>
      </c>
      <c r="U26" s="295">
        <v>0.31790028036591178</v>
      </c>
      <c r="V26" s="295">
        <v>0.40549770104042343</v>
      </c>
      <c r="W26" s="295">
        <v>0.47588868639053089</v>
      </c>
      <c r="X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</row>
    <row r="27" spans="1:56" x14ac:dyDescent="0.25">
      <c r="L27" s="298">
        <v>7.5898692499388284E-2</v>
      </c>
      <c r="M27" s="298">
        <v>8.7239713154347157E-2</v>
      </c>
      <c r="N27" s="298">
        <v>0.10006509916050045</v>
      </c>
      <c r="O27" s="298">
        <v>0.11371798001286168</v>
      </c>
      <c r="P27" s="298">
        <v>0.1274660875036488</v>
      </c>
      <c r="Q27" s="298">
        <v>0.14072834010214422</v>
      </c>
      <c r="R27" s="298">
        <v>0.15318021985532579</v>
      </c>
      <c r="S27" s="298">
        <v>0.16456568482531725</v>
      </c>
      <c r="T27" s="298">
        <v>0.20721591048469865</v>
      </c>
      <c r="U27" s="298">
        <v>0.22820456318840612</v>
      </c>
      <c r="V27" s="298">
        <v>0.23319455071871201</v>
      </c>
      <c r="W27" s="298">
        <v>0.22857891325195365</v>
      </c>
    </row>
    <row r="28" spans="1:56" x14ac:dyDescent="0.25">
      <c r="L28" s="298">
        <v>0.26241690854073663</v>
      </c>
      <c r="M28" s="298">
        <v>0.27026887864122834</v>
      </c>
      <c r="N28" s="298">
        <v>0.27839092335925619</v>
      </c>
      <c r="O28" s="298">
        <v>0.28610080486552525</v>
      </c>
      <c r="P28" s="298">
        <v>0.29266041443648771</v>
      </c>
      <c r="Q28" s="298">
        <v>0.29772521175365735</v>
      </c>
      <c r="R28" s="298">
        <v>0.30120146258501901</v>
      </c>
      <c r="S28" s="298">
        <v>0.30323983675052191</v>
      </c>
      <c r="T28" s="298">
        <v>0.29498535614715909</v>
      </c>
      <c r="U28" s="298">
        <v>0.26827909015361767</v>
      </c>
      <c r="V28" s="298">
        <v>0.23329132171544412</v>
      </c>
      <c r="W28" s="298">
        <v>0.20267551921910915</v>
      </c>
    </row>
    <row r="29" spans="1:56" x14ac:dyDescent="0.25">
      <c r="L29" s="298">
        <v>0.31103555008243167</v>
      </c>
      <c r="M29" s="298">
        <v>0.30726089883972912</v>
      </c>
      <c r="N29" s="298">
        <v>0.30173638121086294</v>
      </c>
      <c r="O29" s="298">
        <v>0.2935316151759873</v>
      </c>
      <c r="P29" s="298">
        <v>0.28335135949611795</v>
      </c>
      <c r="Q29" s="298">
        <v>0.27192376089603459</v>
      </c>
      <c r="R29" s="298">
        <v>0.25983147135716589</v>
      </c>
      <c r="S29" s="298">
        <v>0.24783389389937438</v>
      </c>
      <c r="T29" s="298">
        <v>0.18863571541112406</v>
      </c>
      <c r="U29" s="298">
        <v>0.13973920214024654</v>
      </c>
      <c r="V29" s="298">
        <v>0.10072426615471522</v>
      </c>
      <c r="W29" s="298">
        <v>7.4843140444838016E-2</v>
      </c>
    </row>
    <row r="30" spans="1:56" x14ac:dyDescent="0.25">
      <c r="L30" s="298">
        <v>0.19282409942685141</v>
      </c>
      <c r="M30" s="298">
        <v>0.18053517021170232</v>
      </c>
      <c r="N30" s="298">
        <v>0.16652767539494082</v>
      </c>
      <c r="O30" s="298">
        <v>0.15239289579490162</v>
      </c>
      <c r="P30" s="298">
        <v>0.13860999544240785</v>
      </c>
      <c r="Q30" s="298">
        <v>0.1257152202989647</v>
      </c>
      <c r="R30" s="298">
        <v>0.11391359910139104</v>
      </c>
      <c r="S30" s="298">
        <v>0.103079395238402</v>
      </c>
      <c r="T30" s="298">
        <v>6.3467552762376311E-2</v>
      </c>
      <c r="U30" s="298">
        <v>3.9545033860357556E-2</v>
      </c>
      <c r="V30" s="298">
        <v>2.4676156279460425E-2</v>
      </c>
      <c r="W30" s="298">
        <v>1.6744166140737666E-2</v>
      </c>
    </row>
    <row r="31" spans="1:56" x14ac:dyDescent="0.25">
      <c r="L31" s="298">
        <v>9.2131982375072877E-2</v>
      </c>
      <c r="M31" s="298">
        <v>8.1418386152131025E-2</v>
      </c>
      <c r="N31" s="298">
        <v>7.0011436534922269E-2</v>
      </c>
      <c r="O31" s="298">
        <v>5.9489629762617326E-2</v>
      </c>
      <c r="P31" s="298">
        <v>5.0197046650977808E-2</v>
      </c>
      <c r="Q31" s="298">
        <v>4.2209707883882945E-2</v>
      </c>
      <c r="R31" s="298">
        <v>3.5432382332034926E-2</v>
      </c>
      <c r="S31" s="298">
        <v>2.9674727658269173E-2</v>
      </c>
      <c r="T31" s="298">
        <v>1.2288807106945967E-2</v>
      </c>
      <c r="U31" s="298">
        <v>5.089130118830598E-3</v>
      </c>
      <c r="V31" s="298">
        <v>2.1033528640129659E-3</v>
      </c>
      <c r="W31" s="298">
        <v>1.0223712098306266E-3</v>
      </c>
    </row>
    <row r="32" spans="1:56" x14ac:dyDescent="0.25">
      <c r="L32" s="298">
        <v>2.4068650205151396E-2</v>
      </c>
      <c r="M32" s="298">
        <v>2.0680700846297775E-2</v>
      </c>
      <c r="N32" s="298">
        <v>1.7520670016729908E-2</v>
      </c>
      <c r="O32" s="298">
        <v>1.4770003520808185E-2</v>
      </c>
      <c r="P32" s="298">
        <v>1.2410255987366076E-2</v>
      </c>
      <c r="Q32" s="298">
        <v>1.0409718652798595E-2</v>
      </c>
      <c r="R32" s="298">
        <v>8.7236969569729744E-3</v>
      </c>
      <c r="S32" s="298">
        <v>7.2963369126303589E-3</v>
      </c>
      <c r="T32" s="298">
        <v>3.007777410842653E-3</v>
      </c>
      <c r="U32" s="298">
        <v>1.2427002258072527E-3</v>
      </c>
      <c r="V32" s="298">
        <v>5.126512452165023E-4</v>
      </c>
      <c r="W32" s="298">
        <v>2.4720344861940046E-4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1">
    <tabColor rgb="FF0070C0"/>
    <pageSetUpPr fitToPage="1"/>
  </sheetPr>
  <dimension ref="A1:CF648"/>
  <sheetViews>
    <sheetView topLeftCell="W1" zoomScale="80" zoomScaleNormal="80" workbookViewId="0">
      <selection activeCell="AM7" sqref="AM7"/>
    </sheetView>
  </sheetViews>
  <sheetFormatPr baseColWidth="10" defaultRowHeight="15" x14ac:dyDescent="0.25"/>
  <cols>
    <col min="1" max="1" width="11.42578125" style="3"/>
    <col min="2" max="2" width="17.140625" style="3" customWidth="1"/>
    <col min="3" max="3" width="28.140625" customWidth="1"/>
    <col min="4" max="4" width="41" hidden="1" customWidth="1"/>
    <col min="5" max="8" width="20.140625" hidden="1" customWidth="1"/>
    <col min="9" max="39" width="20.140625" customWidth="1"/>
    <col min="40" max="40" width="13" style="3" customWidth="1"/>
    <col min="41" max="84" width="11.42578125" style="3"/>
  </cols>
  <sheetData>
    <row r="1" spans="1:39" s="3" customFormat="1" ht="23.25" x14ac:dyDescent="0.35">
      <c r="A1" s="228" t="s">
        <v>69</v>
      </c>
      <c r="C1" s="228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</row>
    <row r="2" spans="1:39" s="3" customFormat="1" ht="23.25" x14ac:dyDescent="0.35">
      <c r="A2" s="46"/>
      <c r="E2" s="235">
        <f>Résultats!E1</f>
        <v>4</v>
      </c>
      <c r="F2" s="235">
        <f>Résultats!N1</f>
        <v>13</v>
      </c>
      <c r="G2" s="235">
        <f>F2+3</f>
        <v>16</v>
      </c>
      <c r="H2" s="235">
        <f t="shared" ref="H2:AA2" si="0">G2+1</f>
        <v>17</v>
      </c>
      <c r="I2" s="235">
        <f t="shared" si="0"/>
        <v>18</v>
      </c>
      <c r="J2" s="235">
        <f t="shared" si="0"/>
        <v>19</v>
      </c>
      <c r="K2" s="235">
        <f t="shared" si="0"/>
        <v>20</v>
      </c>
      <c r="L2" s="235">
        <f t="shared" si="0"/>
        <v>21</v>
      </c>
      <c r="M2" s="235">
        <f t="shared" si="0"/>
        <v>22</v>
      </c>
      <c r="N2" s="235">
        <f t="shared" si="0"/>
        <v>23</v>
      </c>
      <c r="O2" s="235">
        <f t="shared" si="0"/>
        <v>24</v>
      </c>
      <c r="P2" s="235">
        <f t="shared" si="0"/>
        <v>25</v>
      </c>
      <c r="Q2" s="235">
        <f t="shared" si="0"/>
        <v>26</v>
      </c>
      <c r="R2" s="235">
        <f t="shared" si="0"/>
        <v>27</v>
      </c>
      <c r="S2" s="235">
        <f t="shared" si="0"/>
        <v>28</v>
      </c>
      <c r="T2" s="235">
        <f t="shared" si="0"/>
        <v>29</v>
      </c>
      <c r="U2" s="235">
        <f t="shared" si="0"/>
        <v>30</v>
      </c>
      <c r="V2" s="235">
        <f t="shared" si="0"/>
        <v>31</v>
      </c>
      <c r="W2" s="235">
        <f t="shared" si="0"/>
        <v>32</v>
      </c>
      <c r="X2" s="235">
        <f>S2+5</f>
        <v>33</v>
      </c>
      <c r="Y2" s="235">
        <f t="shared" si="0"/>
        <v>34</v>
      </c>
      <c r="Z2" s="235">
        <f t="shared" ref="Z2" si="1">U2+5</f>
        <v>35</v>
      </c>
      <c r="AA2" s="235">
        <f t="shared" si="0"/>
        <v>36</v>
      </c>
      <c r="AB2" s="235">
        <f t="shared" ref="AB2" si="2">W2+5</f>
        <v>37</v>
      </c>
      <c r="AC2" s="235">
        <f>X2+5</f>
        <v>38</v>
      </c>
      <c r="AD2" s="235">
        <f t="shared" ref="AD2:AG2" si="3">Y2+5</f>
        <v>39</v>
      </c>
      <c r="AE2" s="235">
        <f t="shared" si="3"/>
        <v>40</v>
      </c>
      <c r="AF2" s="235">
        <f t="shared" si="3"/>
        <v>41</v>
      </c>
      <c r="AG2" s="235">
        <f t="shared" si="3"/>
        <v>42</v>
      </c>
      <c r="AH2" s="235">
        <f>AC2+5</f>
        <v>43</v>
      </c>
      <c r="AI2" s="235">
        <f t="shared" ref="AI2:AL2" si="4">AD2+5</f>
        <v>44</v>
      </c>
      <c r="AJ2" s="235">
        <f t="shared" si="4"/>
        <v>45</v>
      </c>
      <c r="AK2" s="235">
        <f t="shared" si="4"/>
        <v>46</v>
      </c>
      <c r="AL2" s="235">
        <f t="shared" si="4"/>
        <v>47</v>
      </c>
      <c r="AM2" s="236">
        <f>AH2+5</f>
        <v>48</v>
      </c>
    </row>
    <row r="3" spans="1:39" ht="23.25" x14ac:dyDescent="0.35">
      <c r="B3" s="46"/>
      <c r="D3" s="146"/>
      <c r="E3" s="92">
        <v>2006</v>
      </c>
      <c r="F3" s="92">
        <v>2015</v>
      </c>
      <c r="G3" s="92">
        <v>2018</v>
      </c>
      <c r="H3" s="92">
        <v>2019</v>
      </c>
      <c r="I3" s="92">
        <v>2020</v>
      </c>
      <c r="J3" s="20">
        <v>2021</v>
      </c>
      <c r="K3" s="4">
        <v>2022</v>
      </c>
      <c r="L3" s="4">
        <v>2023</v>
      </c>
      <c r="M3" s="4">
        <v>2024</v>
      </c>
      <c r="N3" s="92">
        <v>2025</v>
      </c>
      <c r="O3" s="20">
        <v>2026</v>
      </c>
      <c r="P3" s="4">
        <v>2027</v>
      </c>
      <c r="Q3" s="4">
        <v>2028</v>
      </c>
      <c r="R3" s="4">
        <v>2029</v>
      </c>
      <c r="S3" s="92">
        <v>2030</v>
      </c>
      <c r="T3" s="4">
        <v>2031</v>
      </c>
      <c r="U3" s="92">
        <v>2032</v>
      </c>
      <c r="V3" s="4">
        <v>2033</v>
      </c>
      <c r="W3" s="92">
        <v>2034</v>
      </c>
      <c r="X3" s="4">
        <v>2035</v>
      </c>
      <c r="Y3" s="92">
        <v>2036</v>
      </c>
      <c r="Z3" s="4">
        <v>2037</v>
      </c>
      <c r="AA3" s="92">
        <v>2038</v>
      </c>
      <c r="AB3" s="4">
        <v>2039</v>
      </c>
      <c r="AC3" s="93">
        <v>2040</v>
      </c>
      <c r="AD3" s="4">
        <v>2041</v>
      </c>
      <c r="AE3" s="93">
        <v>2042</v>
      </c>
      <c r="AF3" s="4">
        <v>2043</v>
      </c>
      <c r="AG3" s="93">
        <v>2044</v>
      </c>
      <c r="AH3" s="4">
        <v>2045</v>
      </c>
      <c r="AI3" s="93">
        <v>2046</v>
      </c>
      <c r="AJ3" s="4">
        <v>2047</v>
      </c>
      <c r="AK3" s="93">
        <v>2048</v>
      </c>
      <c r="AL3" s="4">
        <v>2049</v>
      </c>
      <c r="AM3" s="93">
        <v>2050</v>
      </c>
    </row>
    <row r="4" spans="1:39" x14ac:dyDescent="0.25">
      <c r="A4" s="152" t="str">
        <f>Résultats!B1</f>
        <v>SNBC3</v>
      </c>
      <c r="C4" s="175" t="s">
        <v>71</v>
      </c>
      <c r="D4" s="58" t="s">
        <v>130</v>
      </c>
      <c r="E4" s="59">
        <f t="shared" ref="E4:H4" si="5">E43</f>
        <v>32001.800439999999</v>
      </c>
      <c r="F4" s="59">
        <f t="shared" si="5"/>
        <v>35911.307350000003</v>
      </c>
      <c r="G4" s="59">
        <f t="shared" si="5"/>
        <v>36708.886160000002</v>
      </c>
      <c r="H4" s="59">
        <f t="shared" si="5"/>
        <v>37113.743849999999</v>
      </c>
      <c r="I4" s="59">
        <f t="shared" ref="I4:AM4" si="6">I43</f>
        <v>37424.567750000002</v>
      </c>
      <c r="J4" s="59">
        <f t="shared" si="6"/>
        <v>37524.066039999998</v>
      </c>
      <c r="K4" s="59">
        <f t="shared" si="6"/>
        <v>37519.450830000002</v>
      </c>
      <c r="L4" s="59">
        <f t="shared" si="6"/>
        <v>37485.429020000003</v>
      </c>
      <c r="M4" s="59">
        <f t="shared" si="6"/>
        <v>37329.956899999997</v>
      </c>
      <c r="N4" s="59">
        <f t="shared" si="6"/>
        <v>37080.500119999997</v>
      </c>
      <c r="O4" s="59">
        <f t="shared" si="6"/>
        <v>36714.0069</v>
      </c>
      <c r="P4" s="59">
        <f t="shared" si="6"/>
        <v>36274.392760000002</v>
      </c>
      <c r="Q4" s="59">
        <f t="shared" si="6"/>
        <v>35789.356370000001</v>
      </c>
      <c r="R4" s="59">
        <f t="shared" si="6"/>
        <v>35253.540430000001</v>
      </c>
      <c r="S4" s="59">
        <f t="shared" si="6"/>
        <v>34682.527520000003</v>
      </c>
      <c r="T4" s="59">
        <f t="shared" si="6"/>
        <v>34090.323759999999</v>
      </c>
      <c r="U4" s="59">
        <f t="shared" si="6"/>
        <v>33503.832549999999</v>
      </c>
      <c r="V4" s="59">
        <f t="shared" si="6"/>
        <v>32930.057000000001</v>
      </c>
      <c r="W4" s="59">
        <f t="shared" si="6"/>
        <v>32374.559529999999</v>
      </c>
      <c r="X4" s="59">
        <f t="shared" si="6"/>
        <v>31837.927520000001</v>
      </c>
      <c r="Y4" s="59">
        <f t="shared" si="6"/>
        <v>31359.099770000001</v>
      </c>
      <c r="Z4" s="59">
        <f t="shared" si="6"/>
        <v>30921.538329999999</v>
      </c>
      <c r="AA4" s="59">
        <f t="shared" si="6"/>
        <v>30505.467270000001</v>
      </c>
      <c r="AB4" s="59">
        <f t="shared" si="6"/>
        <v>30106.435829999999</v>
      </c>
      <c r="AC4" s="59">
        <f t="shared" si="6"/>
        <v>29714.45048</v>
      </c>
      <c r="AD4" s="59">
        <f t="shared" si="6"/>
        <v>29332.799169999998</v>
      </c>
      <c r="AE4" s="59">
        <f t="shared" si="6"/>
        <v>28965.022239999998</v>
      </c>
      <c r="AF4" s="59">
        <f t="shared" si="6"/>
        <v>28604.418409999998</v>
      </c>
      <c r="AG4" s="59">
        <f t="shared" si="6"/>
        <v>28247.906449999999</v>
      </c>
      <c r="AH4" s="59">
        <f t="shared" si="6"/>
        <v>27823.219120000002</v>
      </c>
      <c r="AI4" s="59">
        <f t="shared" si="6"/>
        <v>27427.590270000001</v>
      </c>
      <c r="AJ4" s="59">
        <f t="shared" si="6"/>
        <v>27049.891609999999</v>
      </c>
      <c r="AK4" s="59">
        <f t="shared" si="6"/>
        <v>26687.180680000001</v>
      </c>
      <c r="AL4" s="59">
        <f t="shared" si="6"/>
        <v>26334.977180000002</v>
      </c>
      <c r="AM4" s="103">
        <f t="shared" si="6"/>
        <v>25975.33439</v>
      </c>
    </row>
    <row r="5" spans="1:39" x14ac:dyDescent="0.25">
      <c r="C5" s="175" t="s">
        <v>72</v>
      </c>
      <c r="D5" s="58" t="s">
        <v>422</v>
      </c>
      <c r="E5" s="154"/>
      <c r="F5" s="154"/>
      <c r="G5" s="154">
        <f t="shared" ref="G5:AM5" si="7">G4/1000</f>
        <v>36.708886159999999</v>
      </c>
      <c r="H5" s="154">
        <f t="shared" si="7"/>
        <v>37.113743849999999</v>
      </c>
      <c r="I5" s="154">
        <f t="shared" si="7"/>
        <v>37.424567750000001</v>
      </c>
      <c r="J5" s="154">
        <f t="shared" si="7"/>
        <v>37.524066040000001</v>
      </c>
      <c r="K5" s="154">
        <f t="shared" si="7"/>
        <v>37.519450830000004</v>
      </c>
      <c r="L5" s="154">
        <f t="shared" si="7"/>
        <v>37.485429020000005</v>
      </c>
      <c r="M5" s="154">
        <f t="shared" si="7"/>
        <v>37.329956899999999</v>
      </c>
      <c r="N5" s="154">
        <f t="shared" si="7"/>
        <v>37.080500119999996</v>
      </c>
      <c r="O5" s="154">
        <f t="shared" si="7"/>
        <v>36.714006900000001</v>
      </c>
      <c r="P5" s="154">
        <f t="shared" si="7"/>
        <v>36.274392760000005</v>
      </c>
      <c r="Q5" s="154">
        <f t="shared" si="7"/>
        <v>35.78935637</v>
      </c>
      <c r="R5" s="154">
        <f t="shared" si="7"/>
        <v>35.253540430000001</v>
      </c>
      <c r="S5" s="154">
        <f t="shared" si="7"/>
        <v>34.682527520000001</v>
      </c>
      <c r="T5" s="154">
        <f t="shared" si="7"/>
        <v>34.090323759999997</v>
      </c>
      <c r="U5" s="154">
        <f t="shared" si="7"/>
        <v>33.503832549999998</v>
      </c>
      <c r="V5" s="154">
        <f t="shared" si="7"/>
        <v>32.930056999999998</v>
      </c>
      <c r="W5" s="154">
        <f t="shared" si="7"/>
        <v>32.374559529999999</v>
      </c>
      <c r="X5" s="154">
        <f t="shared" si="7"/>
        <v>31.837927520000001</v>
      </c>
      <c r="Y5" s="154">
        <f t="shared" si="7"/>
        <v>31.35909977</v>
      </c>
      <c r="Z5" s="154">
        <f t="shared" si="7"/>
        <v>30.921538330000001</v>
      </c>
      <c r="AA5" s="154">
        <f t="shared" si="7"/>
        <v>30.50546727</v>
      </c>
      <c r="AB5" s="154">
        <f t="shared" si="7"/>
        <v>30.106435829999999</v>
      </c>
      <c r="AC5" s="154">
        <f t="shared" si="7"/>
        <v>29.71445048</v>
      </c>
      <c r="AD5" s="154">
        <f t="shared" si="7"/>
        <v>29.332799169999998</v>
      </c>
      <c r="AE5" s="154">
        <f t="shared" si="7"/>
        <v>28.96502224</v>
      </c>
      <c r="AF5" s="154">
        <f t="shared" si="7"/>
        <v>28.604418409999997</v>
      </c>
      <c r="AG5" s="154">
        <f t="shared" si="7"/>
        <v>28.247906449999999</v>
      </c>
      <c r="AH5" s="154">
        <f t="shared" si="7"/>
        <v>27.823219120000001</v>
      </c>
      <c r="AI5" s="154">
        <f t="shared" si="7"/>
        <v>27.42759027</v>
      </c>
      <c r="AJ5" s="154">
        <f t="shared" si="7"/>
        <v>27.04989161</v>
      </c>
      <c r="AK5" s="154">
        <f t="shared" si="7"/>
        <v>26.687180680000001</v>
      </c>
      <c r="AL5" s="154">
        <f t="shared" si="7"/>
        <v>26.334977180000003</v>
      </c>
      <c r="AM5" s="176">
        <f t="shared" si="7"/>
        <v>25.97533439</v>
      </c>
    </row>
    <row r="6" spans="1:39" x14ac:dyDescent="0.25">
      <c r="C6" s="157" t="s">
        <v>73</v>
      </c>
      <c r="D6" s="3" t="s">
        <v>423</v>
      </c>
      <c r="E6" s="155"/>
      <c r="F6" s="155"/>
      <c r="G6" s="155">
        <f>G91</f>
        <v>7.8699328151993157E-3</v>
      </c>
      <c r="H6" s="155">
        <f t="shared" ref="H6:AM6" si="8">H91</f>
        <v>1.0324126747994463E-2</v>
      </c>
      <c r="I6" s="155">
        <f t="shared" si="8"/>
        <v>1.3283049263808798E-2</v>
      </c>
      <c r="J6" s="155">
        <f t="shared" si="8"/>
        <v>1.6629725020599076E-2</v>
      </c>
      <c r="K6" s="155">
        <f t="shared" si="8"/>
        <v>2.1001849381279976E-2</v>
      </c>
      <c r="L6" s="155">
        <f t="shared" si="8"/>
        <v>2.6566805709190729E-2</v>
      </c>
      <c r="M6" s="155">
        <f t="shared" si="8"/>
        <v>3.2876806375310874E-2</v>
      </c>
      <c r="N6" s="155">
        <f t="shared" si="8"/>
        <v>4.0004835619784518E-2</v>
      </c>
      <c r="O6" s="155">
        <f t="shared" si="8"/>
        <v>4.8435078874488093E-2</v>
      </c>
      <c r="P6" s="155">
        <f t="shared" si="8"/>
        <v>5.934781260829023E-2</v>
      </c>
      <c r="Q6" s="155">
        <f t="shared" si="8"/>
        <v>7.4184483720571584E-2</v>
      </c>
      <c r="R6" s="155">
        <f t="shared" si="8"/>
        <v>9.3277537997337526E-2</v>
      </c>
      <c r="S6" s="155">
        <f t="shared" si="8"/>
        <v>0.11669466222339495</v>
      </c>
      <c r="T6" s="155">
        <f t="shared" si="8"/>
        <v>0.14394607623990488</v>
      </c>
      <c r="U6" s="155">
        <f t="shared" si="8"/>
        <v>0.17434184316922274</v>
      </c>
      <c r="V6" s="155">
        <f t="shared" si="8"/>
        <v>0.20668426337676854</v>
      </c>
      <c r="W6" s="155">
        <f t="shared" si="8"/>
        <v>0.23989974834415917</v>
      </c>
      <c r="X6" s="155">
        <f t="shared" si="8"/>
        <v>0.27314443613005623</v>
      </c>
      <c r="Y6" s="155">
        <f t="shared" si="8"/>
        <v>0.3067373284166186</v>
      </c>
      <c r="Z6" s="155">
        <f t="shared" si="8"/>
        <v>0.33997529287864509</v>
      </c>
      <c r="AA6" s="155">
        <f t="shared" si="8"/>
        <v>0.37226208074405936</v>
      </c>
      <c r="AB6" s="155">
        <f t="shared" si="8"/>
        <v>0.40343948046805383</v>
      </c>
      <c r="AC6" s="155">
        <f t="shared" si="8"/>
        <v>0.43330073220320914</v>
      </c>
      <c r="AD6" s="155">
        <f t="shared" si="8"/>
        <v>0.4617838356133947</v>
      </c>
      <c r="AE6" s="155">
        <f t="shared" si="8"/>
        <v>0.4890039822044342</v>
      </c>
      <c r="AF6" s="155">
        <f t="shared" si="8"/>
        <v>0.51489613278943791</v>
      </c>
      <c r="AG6" s="155">
        <f t="shared" si="8"/>
        <v>0.53947246062194465</v>
      </c>
      <c r="AH6" s="155">
        <f t="shared" si="8"/>
        <v>0.56361203325778209</v>
      </c>
      <c r="AI6" s="155">
        <f t="shared" si="8"/>
        <v>0.58682877648222942</v>
      </c>
      <c r="AJ6" s="155">
        <f t="shared" si="8"/>
        <v>0.60898862433556356</v>
      </c>
      <c r="AK6" s="155">
        <f t="shared" si="8"/>
        <v>0.63009582846650858</v>
      </c>
      <c r="AL6" s="155">
        <f t="shared" si="8"/>
        <v>0.65013872436550946</v>
      </c>
      <c r="AM6" s="177">
        <f t="shared" si="8"/>
        <v>0.66894167440205954</v>
      </c>
    </row>
    <row r="7" spans="1:39" x14ac:dyDescent="0.25">
      <c r="C7" s="178" t="s">
        <v>75</v>
      </c>
      <c r="D7" s="7" t="s">
        <v>424</v>
      </c>
      <c r="E7" s="179"/>
      <c r="F7" s="179"/>
      <c r="G7" s="179">
        <f>G99</f>
        <v>0.99213006712486973</v>
      </c>
      <c r="H7" s="179">
        <f t="shared" ref="H7:AM7" si="9">H99</f>
        <v>0.98967587313345107</v>
      </c>
      <c r="I7" s="179">
        <f t="shared" si="9"/>
        <v>0.98671695092590606</v>
      </c>
      <c r="J7" s="179">
        <f t="shared" si="9"/>
        <v>0.98337027497673613</v>
      </c>
      <c r="K7" s="179">
        <f t="shared" si="9"/>
        <v>0.97899815049078642</v>
      </c>
      <c r="L7" s="179">
        <f t="shared" si="9"/>
        <v>0.97343319454957644</v>
      </c>
      <c r="M7" s="179">
        <f t="shared" si="9"/>
        <v>0.96712319375862987</v>
      </c>
      <c r="N7" s="179">
        <f t="shared" si="9"/>
        <v>0.95999516443415234</v>
      </c>
      <c r="O7" s="179">
        <f t="shared" si="9"/>
        <v>0.95156492112551183</v>
      </c>
      <c r="P7" s="179">
        <f t="shared" si="9"/>
        <v>0.94065218722630373</v>
      </c>
      <c r="Q7" s="179">
        <f t="shared" si="9"/>
        <v>0.92581551613972191</v>
      </c>
      <c r="R7" s="179">
        <f t="shared" si="9"/>
        <v>0.90672246191756467</v>
      </c>
      <c r="S7" s="179">
        <f t="shared" si="9"/>
        <v>0.88330533789193677</v>
      </c>
      <c r="T7" s="179">
        <f t="shared" si="9"/>
        <v>0.85605392384809664</v>
      </c>
      <c r="U7" s="179">
        <f t="shared" si="9"/>
        <v>0.82565815683077737</v>
      </c>
      <c r="V7" s="179">
        <f t="shared" si="9"/>
        <v>0.79331573674470102</v>
      </c>
      <c r="W7" s="179">
        <f t="shared" si="9"/>
        <v>0.76010025147051019</v>
      </c>
      <c r="X7" s="179">
        <f t="shared" si="9"/>
        <v>0.72685556386994377</v>
      </c>
      <c r="Y7" s="179">
        <f t="shared" si="9"/>
        <v>0.69326267142393805</v>
      </c>
      <c r="Z7" s="179">
        <f t="shared" si="9"/>
        <v>0.66002470679795577</v>
      </c>
      <c r="AA7" s="179">
        <f t="shared" si="9"/>
        <v>0.62773791925594058</v>
      </c>
      <c r="AB7" s="179">
        <f t="shared" si="9"/>
        <v>0.59656051986410119</v>
      </c>
      <c r="AC7" s="179">
        <f t="shared" si="9"/>
        <v>0.56669926779679081</v>
      </c>
      <c r="AD7" s="179">
        <f t="shared" si="9"/>
        <v>0.53821616438660536</v>
      </c>
      <c r="AE7" s="179">
        <f t="shared" si="9"/>
        <v>0.5109960177955658</v>
      </c>
      <c r="AF7" s="179">
        <f t="shared" si="9"/>
        <v>0.4851038672105622</v>
      </c>
      <c r="AG7" s="179">
        <f t="shared" si="9"/>
        <v>0.46052753937805546</v>
      </c>
      <c r="AH7" s="179">
        <f t="shared" si="9"/>
        <v>0.4363879663828058</v>
      </c>
      <c r="AI7" s="179">
        <f t="shared" si="9"/>
        <v>0.41317122351777058</v>
      </c>
      <c r="AJ7" s="179">
        <f t="shared" si="9"/>
        <v>0.39101137566443656</v>
      </c>
      <c r="AK7" s="179">
        <f t="shared" si="9"/>
        <v>0.36990417145854876</v>
      </c>
      <c r="AL7" s="179">
        <f t="shared" si="9"/>
        <v>0.3498612756344906</v>
      </c>
      <c r="AM7" s="180">
        <f t="shared" si="9"/>
        <v>0.33105832552094433</v>
      </c>
    </row>
    <row r="8" spans="1:39" s="3" customFormat="1" x14ac:dyDescent="0.25">
      <c r="C8" s="153" t="s">
        <v>70</v>
      </c>
      <c r="E8" s="231"/>
      <c r="F8" s="231"/>
      <c r="G8" s="231">
        <f>SUM(G6:G7)</f>
        <v>0.99999999994006905</v>
      </c>
      <c r="H8" s="231">
        <f t="shared" ref="H8:AM8" si="10">SUM(H6:H7)</f>
        <v>0.9999999998814455</v>
      </c>
      <c r="I8" s="231">
        <f t="shared" si="10"/>
        <v>1.0000000001897149</v>
      </c>
      <c r="J8" s="231">
        <f t="shared" si="10"/>
        <v>0.99999999999733524</v>
      </c>
      <c r="K8" s="231">
        <f t="shared" si="10"/>
        <v>0.99999999987206645</v>
      </c>
      <c r="L8" s="231">
        <f t="shared" si="10"/>
        <v>1.0000000002587672</v>
      </c>
      <c r="M8" s="231">
        <f t="shared" si="10"/>
        <v>1.0000000001339409</v>
      </c>
      <c r="N8" s="231">
        <f t="shared" si="10"/>
        <v>1.0000000000539369</v>
      </c>
      <c r="O8" s="231">
        <f t="shared" si="10"/>
        <v>0.99999999999999989</v>
      </c>
      <c r="P8" s="231">
        <f t="shared" si="10"/>
        <v>0.99999999983459398</v>
      </c>
      <c r="Q8" s="231">
        <f t="shared" si="10"/>
        <v>0.99999999986029353</v>
      </c>
      <c r="R8" s="231">
        <f t="shared" si="10"/>
        <v>0.99999999991490218</v>
      </c>
      <c r="S8" s="231">
        <f t="shared" si="10"/>
        <v>1.0000000001153317</v>
      </c>
      <c r="T8" s="231">
        <f t="shared" si="10"/>
        <v>1.0000000000880016</v>
      </c>
      <c r="U8" s="231">
        <f t="shared" si="10"/>
        <v>1</v>
      </c>
      <c r="V8" s="231">
        <f t="shared" si="10"/>
        <v>1.0000000001214695</v>
      </c>
      <c r="W8" s="231">
        <f t="shared" si="10"/>
        <v>0.99999999981466936</v>
      </c>
      <c r="X8" s="231">
        <f t="shared" si="10"/>
        <v>1</v>
      </c>
      <c r="Y8" s="231">
        <f t="shared" si="10"/>
        <v>0.99999999984055665</v>
      </c>
      <c r="Z8" s="231">
        <f t="shared" si="10"/>
        <v>0.99999999967660091</v>
      </c>
      <c r="AA8" s="231">
        <f t="shared" si="10"/>
        <v>1</v>
      </c>
      <c r="AB8" s="231">
        <f t="shared" si="10"/>
        <v>1.000000000332155</v>
      </c>
      <c r="AC8" s="231">
        <f t="shared" si="10"/>
        <v>1</v>
      </c>
      <c r="AD8" s="231">
        <f t="shared" si="10"/>
        <v>1</v>
      </c>
      <c r="AE8" s="231">
        <f t="shared" si="10"/>
        <v>1</v>
      </c>
      <c r="AF8" s="231">
        <f t="shared" si="10"/>
        <v>1</v>
      </c>
      <c r="AG8" s="231">
        <f t="shared" si="10"/>
        <v>1</v>
      </c>
      <c r="AH8" s="231">
        <f t="shared" si="10"/>
        <v>0.99999999964058794</v>
      </c>
      <c r="AI8" s="231">
        <f t="shared" si="10"/>
        <v>1</v>
      </c>
      <c r="AJ8" s="231">
        <f t="shared" si="10"/>
        <v>1</v>
      </c>
      <c r="AK8" s="231">
        <f t="shared" si="10"/>
        <v>0.99999999992505728</v>
      </c>
      <c r="AL8" s="231">
        <f t="shared" si="10"/>
        <v>1</v>
      </c>
      <c r="AM8" s="231">
        <f t="shared" si="10"/>
        <v>0.99999999992300381</v>
      </c>
    </row>
    <row r="9" spans="1:39" s="3" customFormat="1" x14ac:dyDescent="0.25"/>
    <row r="10" spans="1:39" s="3" customFormat="1" x14ac:dyDescent="0.25"/>
    <row r="11" spans="1:39" s="3" customFormat="1" x14ac:dyDescent="0.25"/>
    <row r="12" spans="1:39" x14ac:dyDescent="0.25">
      <c r="C12" s="156"/>
      <c r="E12" s="20"/>
      <c r="F12" s="20"/>
      <c r="G12" s="20"/>
      <c r="H12" s="20"/>
      <c r="I12" s="20">
        <v>2020</v>
      </c>
      <c r="J12" s="93">
        <v>2030</v>
      </c>
      <c r="K12" s="93">
        <v>2050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25">
      <c r="C13" s="157" t="s">
        <v>73</v>
      </c>
      <c r="D13" s="3"/>
      <c r="E13" s="181"/>
      <c r="F13" s="181"/>
      <c r="G13" s="181"/>
      <c r="H13" s="181"/>
      <c r="I13" s="181">
        <f>I91</f>
        <v>1.3283049263808798E-2</v>
      </c>
      <c r="J13" s="182">
        <f>S91</f>
        <v>0.11669466222339495</v>
      </c>
      <c r="K13" s="182">
        <f>AM91</f>
        <v>0.66894167440205954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25">
      <c r="C14" s="158" t="s">
        <v>59</v>
      </c>
      <c r="D14" s="3"/>
      <c r="E14" s="183"/>
      <c r="F14" s="183"/>
      <c r="G14" s="183"/>
      <c r="H14" s="183"/>
      <c r="I14" s="183">
        <f>I91</f>
        <v>1.3283049263808798E-2</v>
      </c>
      <c r="J14" s="183">
        <f>S91</f>
        <v>0.11669466222339495</v>
      </c>
      <c r="K14" s="183">
        <f>AM91</f>
        <v>0.66894167440205954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25">
      <c r="C15" s="157" t="s">
        <v>74</v>
      </c>
      <c r="D15" s="3"/>
      <c r="E15" s="181"/>
      <c r="F15" s="181"/>
      <c r="G15" s="181"/>
      <c r="H15" s="181"/>
      <c r="I15" s="181">
        <f>I99</f>
        <v>0.98671695092590606</v>
      </c>
      <c r="J15" s="181">
        <f>S99</f>
        <v>0.88330533789193677</v>
      </c>
      <c r="K15" s="182">
        <f>AM99</f>
        <v>0.33105832552094433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25">
      <c r="C16" s="158" t="s">
        <v>56</v>
      </c>
      <c r="D16" s="3"/>
      <c r="E16" s="184"/>
      <c r="F16" s="184"/>
      <c r="G16" s="184"/>
      <c r="H16" s="184"/>
      <c r="I16" s="184">
        <f>I100+I101</f>
        <v>0.1394525654822025</v>
      </c>
      <c r="J16" s="184">
        <f>S100+S101</f>
        <v>0.16298991471541976</v>
      </c>
      <c r="K16" s="184">
        <f>AM100+AM101</f>
        <v>6.2458400567292946E-2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25">
      <c r="C17" s="159" t="s">
        <v>57</v>
      </c>
      <c r="D17" s="3"/>
      <c r="E17" s="183"/>
      <c r="F17" s="183"/>
      <c r="G17" s="183"/>
      <c r="H17" s="183"/>
      <c r="I17" s="183">
        <f>I102+I103+I104</f>
        <v>0.72202402781258579</v>
      </c>
      <c r="J17" s="183">
        <f>S102+S103+S104</f>
        <v>0.64084706704789773</v>
      </c>
      <c r="K17" s="183">
        <f>AM102+AM103+AM104</f>
        <v>0.23971870554233127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25">
      <c r="C18" s="159" t="s">
        <v>58</v>
      </c>
      <c r="D18" s="3"/>
      <c r="E18" s="183"/>
      <c r="F18" s="183"/>
      <c r="G18" s="183"/>
      <c r="H18" s="183"/>
      <c r="I18" s="183">
        <f>I105+I106</f>
        <v>0.1252403576792146</v>
      </c>
      <c r="J18" s="183">
        <f>S105+S106</f>
        <v>7.9468356004637572E-2</v>
      </c>
      <c r="K18" s="183">
        <f>AM105+AM106</f>
        <v>2.888121941901977E-2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25">
      <c r="C19" s="160" t="s">
        <v>70</v>
      </c>
      <c r="E19" s="185"/>
      <c r="F19" s="185"/>
      <c r="G19" s="185"/>
      <c r="H19" s="185"/>
      <c r="I19" s="185">
        <f>SUM(I16:I18)</f>
        <v>0.98671695097400292</v>
      </c>
      <c r="J19" s="185">
        <f>SUM(J16:J18)</f>
        <v>0.88330533776795506</v>
      </c>
      <c r="K19" s="185">
        <f>SUM(K16:K18)</f>
        <v>0.331058325528644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s="3" customFormat="1" x14ac:dyDescent="0.25"/>
    <row r="21" spans="1:39" s="3" customFormat="1" x14ac:dyDescent="0.25"/>
    <row r="22" spans="1:39" s="3" customFormat="1" x14ac:dyDescent="0.25"/>
    <row r="23" spans="1:39" s="3" customFormat="1" ht="23.25" x14ac:dyDescent="0.35">
      <c r="B23" s="46"/>
      <c r="C23" s="41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</row>
    <row r="24" spans="1:39" s="3" customFormat="1" ht="23.25" x14ac:dyDescent="0.35">
      <c r="A24" s="228" t="s">
        <v>76</v>
      </c>
      <c r="C24" s="228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</row>
    <row r="25" spans="1:39" x14ac:dyDescent="0.25">
      <c r="C25" s="11"/>
      <c r="D25" s="11"/>
      <c r="E25" s="93">
        <v>2006</v>
      </c>
      <c r="F25" s="93">
        <v>2015</v>
      </c>
      <c r="G25" s="93">
        <v>2018</v>
      </c>
      <c r="H25" s="93">
        <v>2019</v>
      </c>
      <c r="I25" s="93">
        <v>2020</v>
      </c>
      <c r="J25" s="20">
        <v>2021</v>
      </c>
      <c r="K25" s="4">
        <v>2022</v>
      </c>
      <c r="L25" s="4">
        <v>2023</v>
      </c>
      <c r="M25" s="4">
        <v>2024</v>
      </c>
      <c r="N25" s="92">
        <v>2025</v>
      </c>
      <c r="O25" s="20">
        <v>2026</v>
      </c>
      <c r="P25" s="4">
        <v>2027</v>
      </c>
      <c r="Q25" s="4">
        <v>2028</v>
      </c>
      <c r="R25" s="4">
        <v>2029</v>
      </c>
      <c r="S25" s="92">
        <v>2030</v>
      </c>
      <c r="T25" s="4">
        <v>2031</v>
      </c>
      <c r="U25" s="92">
        <v>2032</v>
      </c>
      <c r="V25" s="4">
        <v>2033</v>
      </c>
      <c r="W25" s="92">
        <v>2034</v>
      </c>
      <c r="X25" s="4">
        <v>2035</v>
      </c>
      <c r="Y25" s="92">
        <v>2036</v>
      </c>
      <c r="Z25" s="4">
        <v>2037</v>
      </c>
      <c r="AA25" s="92">
        <v>2038</v>
      </c>
      <c r="AB25" s="4">
        <v>2039</v>
      </c>
      <c r="AC25" s="93">
        <v>2040</v>
      </c>
      <c r="AD25" s="4">
        <v>2041</v>
      </c>
      <c r="AE25" s="93">
        <v>2042</v>
      </c>
      <c r="AF25" s="4">
        <v>2043</v>
      </c>
      <c r="AG25" s="93">
        <v>2044</v>
      </c>
      <c r="AH25" s="4">
        <v>2045</v>
      </c>
      <c r="AI25" s="93">
        <v>2046</v>
      </c>
      <c r="AJ25" s="4">
        <v>2047</v>
      </c>
      <c r="AK25" s="93">
        <v>2048</v>
      </c>
      <c r="AL25" s="4">
        <v>2049</v>
      </c>
      <c r="AM25" s="93">
        <v>2050</v>
      </c>
    </row>
    <row r="26" spans="1:39" x14ac:dyDescent="0.25">
      <c r="A26" s="152" t="str">
        <f>Résultats!B1</f>
        <v>SNBC3</v>
      </c>
      <c r="B26" s="60" t="s">
        <v>77</v>
      </c>
      <c r="C26" s="216" t="s">
        <v>51</v>
      </c>
      <c r="D26" s="50" t="s">
        <v>149</v>
      </c>
      <c r="E26" s="99">
        <f>VLOOKUP($D26,Résultats!$B$2:$AZ$251,E$2,FALSE)</f>
        <v>2373</v>
      </c>
      <c r="F26" s="99">
        <f>VLOOKUP($D26,Résultats!$B$2:$AZ$251,F$2,FALSE)</f>
        <v>1940.3869999999999</v>
      </c>
      <c r="G26" s="99">
        <f>VLOOKUP($D26,Résultats!$B$2:$AZ$251,G$2,FALSE)</f>
        <v>2203.7420000000002</v>
      </c>
      <c r="H26" s="99">
        <f>VLOOKUP($D26,Résultats!$B$2:$AZ$251,H$2,FALSE)</f>
        <v>2240.3020000000001</v>
      </c>
      <c r="I26" s="99">
        <f>VLOOKUP($D26,Résultats!$B$2:$AZ$251,I$2,FALSE)</f>
        <v>2166.5110979999999</v>
      </c>
      <c r="J26" s="51">
        <f>VLOOKUP($D26,Résultats!$B$2:$AZ$251,J$2,FALSE)</f>
        <v>1970.7266749999999</v>
      </c>
      <c r="K26" s="51">
        <f>VLOOKUP($D26,Résultats!$B$2:$AZ$251,K$2,FALSE)</f>
        <v>2080.0551220000002</v>
      </c>
      <c r="L26" s="51">
        <f>VLOOKUP($D26,Résultats!$B$2:$AZ$251,L$2,FALSE)</f>
        <v>2173.0047159999999</v>
      </c>
      <c r="M26" s="51">
        <f>VLOOKUP($D26,Résultats!$B$2:$AZ$251,M$2,FALSE)</f>
        <v>2049.5531139999998</v>
      </c>
      <c r="N26" s="51">
        <f>VLOOKUP($D26,Résultats!$B$2:$AZ$251,N$2,FALSE)</f>
        <v>1946.4230359999999</v>
      </c>
      <c r="O26" s="51">
        <f>VLOOKUP($D26,Résultats!$B$2:$AZ$251,O$2,FALSE)</f>
        <v>1823.3000930000001</v>
      </c>
      <c r="P26" s="51">
        <f>VLOOKUP($D26,Résultats!$B$2:$AZ$251,P$2,FALSE)</f>
        <v>1737.1056349999999</v>
      </c>
      <c r="Q26" s="51">
        <f>VLOOKUP($D26,Résultats!$B$2:$AZ$251,Q$2,FALSE)</f>
        <v>1674.1536550000001</v>
      </c>
      <c r="R26" s="51">
        <f>VLOOKUP($D26,Résultats!$B$2:$AZ$251,R$2,FALSE)</f>
        <v>1602.9902179999999</v>
      </c>
      <c r="S26" s="51">
        <f>VLOOKUP($D26,Résultats!$B$2:$AZ$251,S$2,FALSE)</f>
        <v>1544.1995179999999</v>
      </c>
      <c r="T26" s="51">
        <f>VLOOKUP($D26,Résultats!$B$2:$AZ$251,T$2,FALSE)</f>
        <v>1497.105127</v>
      </c>
      <c r="U26" s="51">
        <f>VLOOKUP($D26,Résultats!$B$2:$AZ$251,U$2,FALSE)</f>
        <v>1475.4235329999999</v>
      </c>
      <c r="V26" s="51">
        <f>VLOOKUP($D26,Résultats!$B$2:$AZ$251,V$2,FALSE)</f>
        <v>1460.8701570000001</v>
      </c>
      <c r="W26" s="51">
        <f>VLOOKUP($D26,Résultats!$B$2:$AZ$251,W$2,FALSE)</f>
        <v>1452.432828</v>
      </c>
      <c r="X26" s="51">
        <f>VLOOKUP($D26,Résultats!$B$2:$AZ$251,X$2,FALSE)</f>
        <v>1445.483884</v>
      </c>
      <c r="Y26" s="51">
        <f>VLOOKUP($D26,Résultats!$B$2:$AZ$251,Y$2,FALSE)</f>
        <v>1478.4218900000001</v>
      </c>
      <c r="Z26" s="51">
        <f>VLOOKUP($D26,Résultats!$B$2:$AZ$251,Z$2,FALSE)</f>
        <v>1498.1854559999999</v>
      </c>
      <c r="AA26" s="51">
        <f>VLOOKUP($D26,Résultats!$B$2:$AZ$251,AA$2,FALSE)</f>
        <v>1500.5532169999999</v>
      </c>
      <c r="AB26" s="51">
        <f>VLOOKUP($D26,Résultats!$B$2:$AZ$251,AB$2,FALSE)</f>
        <v>1499.649101</v>
      </c>
      <c r="AC26" s="51">
        <f>VLOOKUP($D26,Résultats!$B$2:$AZ$251,AC$2,FALSE)</f>
        <v>1489.6668890000001</v>
      </c>
      <c r="AD26" s="51">
        <f>VLOOKUP($D26,Résultats!$B$2:$AZ$251,AD$2,FALSE)</f>
        <v>1475.501843</v>
      </c>
      <c r="AE26" s="51">
        <f>VLOOKUP($D26,Résultats!$B$2:$AZ$251,AE$2,FALSE)</f>
        <v>1465.5230180000001</v>
      </c>
      <c r="AF26" s="51">
        <f>VLOOKUP($D26,Résultats!$B$2:$AZ$251,AF$2,FALSE)</f>
        <v>1449.710057</v>
      </c>
      <c r="AG26" s="51">
        <f>VLOOKUP($D26,Résultats!$B$2:$AZ$251,AG$2,FALSE)</f>
        <v>1431.2641940000001</v>
      </c>
      <c r="AH26" s="51">
        <f>VLOOKUP($D26,Résultats!$B$2:$AZ$251,AH$2,FALSE)</f>
        <v>1458.506429</v>
      </c>
      <c r="AI26" s="51">
        <f>VLOOKUP($D26,Résultats!$B$2:$AZ$251,AI$2,FALSE)</f>
        <v>1459.252428</v>
      </c>
      <c r="AJ26" s="51">
        <f>VLOOKUP($D26,Résultats!$B$2:$AZ$251,AJ$2,FALSE)</f>
        <v>1450.80736</v>
      </c>
      <c r="AK26" s="51">
        <f>VLOOKUP($D26,Résultats!$B$2:$AZ$251,AK$2,FALSE)</f>
        <v>1440.6151729999999</v>
      </c>
      <c r="AL26" s="51">
        <f>VLOOKUP($D26,Résultats!$B$2:$AZ$251,AL$2,FALSE)</f>
        <v>1426.9418800000001</v>
      </c>
      <c r="AM26" s="100">
        <f>VLOOKUP($D26,Résultats!$B$2:$AZ$251,AM$2,FALSE)</f>
        <v>1396.0223550000001</v>
      </c>
    </row>
    <row r="27" spans="1:39" x14ac:dyDescent="0.25">
      <c r="C27" s="217" t="s">
        <v>462</v>
      </c>
      <c r="D27" s="52" t="s">
        <v>158</v>
      </c>
      <c r="E27" s="53">
        <f>VLOOKUP($D27,Résultats!$B$2:$AZ$251,E$2,FALSE)</f>
        <v>1.1865000000000001</v>
      </c>
      <c r="F27" s="53">
        <f>VLOOKUP($D27,Résultats!$B$2:$AZ$251,F$2,FALSE)</f>
        <v>34.049899770000003</v>
      </c>
      <c r="G27" s="53">
        <f>VLOOKUP($D27,Résultats!$B$2:$AZ$251,G$2,FALSE)</f>
        <v>83.734285819999997</v>
      </c>
      <c r="H27" s="53">
        <f>VLOOKUP($D27,Résultats!$B$2:$AZ$251,H$2,FALSE)</f>
        <v>108.71535129999999</v>
      </c>
      <c r="I27" s="53">
        <f>VLOOKUP($D27,Résultats!$B$2:$AZ$251,I$2,FALSE)</f>
        <v>133.1037312</v>
      </c>
      <c r="J27" s="53">
        <f>VLOOKUP($D27,Résultats!$B$2:$AZ$251,J$2,FALSE)</f>
        <v>151.75814170000001</v>
      </c>
      <c r="K27" s="53">
        <f>VLOOKUP($D27,Résultats!$B$2:$AZ$251,K$2,FALSE)</f>
        <v>198.63044970000001</v>
      </c>
      <c r="L27" s="53">
        <f>VLOOKUP($D27,Résultats!$B$2:$AZ$251,L$2,FALSE)</f>
        <v>254.2418931</v>
      </c>
      <c r="M27" s="53">
        <f>VLOOKUP($D27,Résultats!$B$2:$AZ$251,M$2,FALSE)</f>
        <v>290.0021327</v>
      </c>
      <c r="N27" s="53">
        <f>VLOOKUP($D27,Résultats!$B$2:$AZ$251,N$2,FALSE)</f>
        <v>328.30306230000002</v>
      </c>
      <c r="O27" s="53">
        <f>VLOOKUP($D27,Résultats!$B$2:$AZ$251,O$2,FALSE)</f>
        <v>382.44882910000001</v>
      </c>
      <c r="P27" s="53">
        <f>VLOOKUP($D27,Résultats!$B$2:$AZ$251,P$2,FALSE)</f>
        <v>479.9896387</v>
      </c>
      <c r="Q27" s="53">
        <f>VLOOKUP($D27,Résultats!$B$2:$AZ$251,Q$2,FALSE)</f>
        <v>630.35226729999999</v>
      </c>
      <c r="R27" s="53">
        <f>VLOOKUP($D27,Résultats!$B$2:$AZ$251,R$2,FALSE)</f>
        <v>792.01476219999995</v>
      </c>
      <c r="S27" s="53">
        <f>VLOOKUP($D27,Résultats!$B$2:$AZ$251,S$2,FALSE)</f>
        <v>956.2041845</v>
      </c>
      <c r="T27" s="53">
        <f>VLOOKUP($D27,Résultats!$B$2:$AZ$251,T$2,FALSE)</f>
        <v>1103.713704</v>
      </c>
      <c r="U27" s="53">
        <f>VLOOKUP($D27,Résultats!$B$2:$AZ$251,U$2,FALSE)</f>
        <v>1230.756114</v>
      </c>
      <c r="V27" s="53">
        <f>VLOOKUP($D27,Résultats!$B$2:$AZ$251,V$2,FALSE)</f>
        <v>1319.7285360000001</v>
      </c>
      <c r="W27" s="53">
        <f>VLOOKUP($D27,Résultats!$B$2:$AZ$251,W$2,FALSE)</f>
        <v>1375.531706</v>
      </c>
      <c r="X27" s="53">
        <f>VLOOKUP($D27,Résultats!$B$2:$AZ$251,X$2,FALSE)</f>
        <v>1405.2131790000001</v>
      </c>
      <c r="Y27" s="53">
        <f>VLOOKUP($D27,Résultats!$B$2:$AZ$251,Y$2,FALSE)</f>
        <v>1457.2655749999999</v>
      </c>
      <c r="Z27" s="53">
        <f>VLOOKUP($D27,Résultats!$B$2:$AZ$251,Z$2,FALSE)</f>
        <v>1487.3184020000001</v>
      </c>
      <c r="AA27" s="53">
        <f>VLOOKUP($D27,Résultats!$B$2:$AZ$251,AA$2,FALSE)</f>
        <v>1495.074564</v>
      </c>
      <c r="AB27" s="53">
        <f>VLOOKUP($D27,Résultats!$B$2:$AZ$251,AB$2,FALSE)</f>
        <v>1496.9028760000001</v>
      </c>
      <c r="AC27" s="53">
        <f>VLOOKUP($D27,Résultats!$B$2:$AZ$251,AC$2,FALSE)</f>
        <v>1488.301123</v>
      </c>
      <c r="AD27" s="53">
        <f>VLOOKUP($D27,Résultats!$B$2:$AZ$251,AD$2,FALSE)</f>
        <v>1474.825182</v>
      </c>
      <c r="AE27" s="53">
        <f>VLOOKUP($D27,Résultats!$B$2:$AZ$251,AE$2,FALSE)</f>
        <v>1465.186993</v>
      </c>
      <c r="AF27" s="53">
        <f>VLOOKUP($D27,Résultats!$B$2:$AZ$251,AF$2,FALSE)</f>
        <v>1449.5439040000001</v>
      </c>
      <c r="AG27" s="53">
        <f>VLOOKUP($D27,Résultats!$B$2:$AZ$251,AG$2,FALSE)</f>
        <v>1431.1822070000001</v>
      </c>
      <c r="AH27" s="53">
        <f>VLOOKUP($D27,Résultats!$B$2:$AZ$251,AH$2,FALSE)</f>
        <v>1458.4646729999999</v>
      </c>
      <c r="AI27" s="53">
        <f>VLOOKUP($D27,Résultats!$B$2:$AZ$251,AI$2,FALSE)</f>
        <v>1459.2315490000001</v>
      </c>
      <c r="AJ27" s="53">
        <f>VLOOKUP($D27,Résultats!$B$2:$AZ$251,AJ$2,FALSE)</f>
        <v>1450.7969849999999</v>
      </c>
      <c r="AK27" s="53">
        <f>VLOOKUP($D27,Résultats!$B$2:$AZ$251,AK$2,FALSE)</f>
        <v>1440.610025</v>
      </c>
      <c r="AL27" s="53">
        <f>VLOOKUP($D27,Résultats!$B$2:$AZ$251,AL$2,FALSE)</f>
        <v>1426.939331</v>
      </c>
      <c r="AM27" s="213">
        <f>VLOOKUP($D27,Résultats!$B$2:$AZ$251,AM$2,FALSE)</f>
        <v>1396.021109</v>
      </c>
    </row>
    <row r="28" spans="1:39" x14ac:dyDescent="0.25">
      <c r="C28" s="218" t="s">
        <v>27</v>
      </c>
      <c r="D28" s="54" t="s">
        <v>159</v>
      </c>
      <c r="E28" s="25">
        <f>VLOOKUP($D28,Résultats!$B$2:$AZ$251,E$2,FALSE)</f>
        <v>3.5336769799999999E-3</v>
      </c>
      <c r="F28" s="25">
        <f>VLOOKUP($D28,Résultats!$B$2:$AZ$251,F$2,FALSE)</f>
        <v>0.30608423759999998</v>
      </c>
      <c r="G28" s="25">
        <f>VLOOKUP($D28,Résultats!$B$2:$AZ$251,G$2,FALSE)</f>
        <v>0.3526436986</v>
      </c>
      <c r="H28" s="25">
        <f>VLOOKUP($D28,Résultats!$B$2:$AZ$251,H$2,FALSE)</f>
        <v>0.6688869999</v>
      </c>
      <c r="I28" s="25">
        <f>VLOOKUP($D28,Résultats!$B$2:$AZ$251,I$2,FALSE)</f>
        <v>1.137532762</v>
      </c>
      <c r="J28" s="25">
        <f>VLOOKUP($D28,Résultats!$B$2:$AZ$251,J$2,FALSE)</f>
        <v>1.738965632</v>
      </c>
      <c r="K28" s="25">
        <f>VLOOKUP($D28,Résultats!$B$2:$AZ$251,K$2,FALSE)</f>
        <v>4.4634832370000002</v>
      </c>
      <c r="L28" s="25">
        <f>VLOOKUP($D28,Résultats!$B$2:$AZ$251,L$2,FALSE)</f>
        <v>7.5282063609999996</v>
      </c>
      <c r="M28" s="25">
        <f>VLOOKUP($D28,Résultats!$B$2:$AZ$251,M$2,FALSE)</f>
        <v>9.3290535139999999</v>
      </c>
      <c r="N28" s="25">
        <f>VLOOKUP($D28,Résultats!$B$2:$AZ$251,N$2,FALSE)</f>
        <v>11.329572110000001</v>
      </c>
      <c r="O28" s="25">
        <f>VLOOKUP($D28,Résultats!$B$2:$AZ$251,O$2,FALSE)</f>
        <v>14.21850199</v>
      </c>
      <c r="P28" s="25">
        <f>VLOOKUP($D28,Résultats!$B$2:$AZ$251,P$2,FALSE)</f>
        <v>18.982496520000002</v>
      </c>
      <c r="Q28" s="25">
        <f>VLOOKUP($D28,Résultats!$B$2:$AZ$251,Q$2,FALSE)</f>
        <v>26.27813497</v>
      </c>
      <c r="R28" s="25">
        <f>VLOOKUP($D28,Résultats!$B$2:$AZ$251,R$2,FALSE)</f>
        <v>34.807319210000003</v>
      </c>
      <c r="S28" s="25">
        <f>VLOOKUP($D28,Résultats!$B$2:$AZ$251,S$2,FALSE)</f>
        <v>44.247117080000002</v>
      </c>
      <c r="T28" s="25">
        <f>VLOOKUP($D28,Résultats!$B$2:$AZ$251,T$2,FALSE)</f>
        <v>53.801887290000003</v>
      </c>
      <c r="U28" s="25">
        <f>VLOOKUP($D28,Résultats!$B$2:$AZ$251,U$2,FALSE)</f>
        <v>63.032464259999998</v>
      </c>
      <c r="V28" s="25">
        <f>VLOOKUP($D28,Résultats!$B$2:$AZ$251,V$2,FALSE)</f>
        <v>71.097551019999997</v>
      </c>
      <c r="W28" s="25">
        <f>VLOOKUP($D28,Résultats!$B$2:$AZ$251,W$2,FALSE)</f>
        <v>77.949729649999995</v>
      </c>
      <c r="X28" s="25">
        <f>VLOOKUP($D28,Résultats!$B$2:$AZ$251,X$2,FALSE)</f>
        <v>83.737698370000004</v>
      </c>
      <c r="Y28" s="25">
        <f>VLOOKUP($D28,Résultats!$B$2:$AZ$251,Y$2,FALSE)</f>
        <v>90.874672570000001</v>
      </c>
      <c r="Z28" s="25">
        <f>VLOOKUP($D28,Résultats!$B$2:$AZ$251,Z$2,FALSE)</f>
        <v>97.181495740000003</v>
      </c>
      <c r="AA28" s="25">
        <f>VLOOKUP($D28,Résultats!$B$2:$AZ$251,AA$2,FALSE)</f>
        <v>102.4890295</v>
      </c>
      <c r="AB28" s="25">
        <f>VLOOKUP($D28,Résultats!$B$2:$AZ$251,AB$2,FALSE)</f>
        <v>107.4893917</v>
      </c>
      <c r="AC28" s="25">
        <f>VLOOKUP($D28,Résultats!$B$2:$AZ$251,AC$2,FALSE)</f>
        <v>111.8937018</v>
      </c>
      <c r="AD28" s="25">
        <f>VLOOKUP($D28,Résultats!$B$2:$AZ$251,AD$2,FALSE)</f>
        <v>115.2769523</v>
      </c>
      <c r="AE28" s="25">
        <f>VLOOKUP($D28,Résultats!$B$2:$AZ$251,AE$2,FALSE)</f>
        <v>118.7535889</v>
      </c>
      <c r="AF28" s="25">
        <f>VLOOKUP($D28,Résultats!$B$2:$AZ$251,AF$2,FALSE)</f>
        <v>121.7859567</v>
      </c>
      <c r="AG28" s="25">
        <f>VLOOKUP($D28,Résultats!$B$2:$AZ$251,AG$2,FALSE)</f>
        <v>124.5996399</v>
      </c>
      <c r="AH28" s="25">
        <f>VLOOKUP($D28,Résultats!$B$2:$AZ$251,AH$2,FALSE)</f>
        <v>143.22682470000001</v>
      </c>
      <c r="AI28" s="25">
        <f>VLOOKUP($D28,Résultats!$B$2:$AZ$251,AI$2,FALSE)</f>
        <v>147.82289209999999</v>
      </c>
      <c r="AJ28" s="25">
        <f>VLOOKUP($D28,Résultats!$B$2:$AZ$251,AJ$2,FALSE)</f>
        <v>151.73073429999999</v>
      </c>
      <c r="AK28" s="25">
        <f>VLOOKUP($D28,Résultats!$B$2:$AZ$251,AK$2,FALSE)</f>
        <v>155.4347429</v>
      </c>
      <c r="AL28" s="25">
        <f>VLOOKUP($D28,Résultats!$B$2:$AZ$251,AL$2,FALSE)</f>
        <v>158.75551340000001</v>
      </c>
      <c r="AM28" s="102">
        <f>VLOOKUP($D28,Résultats!$B$2:$AZ$251,AM$2,FALSE)</f>
        <v>160.31113360000001</v>
      </c>
    </row>
    <row r="29" spans="1:39" x14ac:dyDescent="0.25">
      <c r="C29" s="218" t="s">
        <v>28</v>
      </c>
      <c r="D29" s="54" t="s">
        <v>160</v>
      </c>
      <c r="E29" s="25">
        <f>VLOOKUP($D29,Résultats!$B$2:$AZ$251,E$2,FALSE)</f>
        <v>8.10027491E-3</v>
      </c>
      <c r="F29" s="25">
        <f>VLOOKUP($D29,Résultats!$B$2:$AZ$251,F$2,FALSE)</f>
        <v>0.37165186620000001</v>
      </c>
      <c r="G29" s="25">
        <f>VLOOKUP($D29,Résultats!$B$2:$AZ$251,G$2,FALSE)</f>
        <v>0.64265867880000005</v>
      </c>
      <c r="H29" s="25">
        <f>VLOOKUP($D29,Résultats!$B$2:$AZ$251,H$2,FALSE)</f>
        <v>0.97866654099999995</v>
      </c>
      <c r="I29" s="25">
        <f>VLOOKUP($D29,Résultats!$B$2:$AZ$251,I$2,FALSE)</f>
        <v>1.4132379310000001</v>
      </c>
      <c r="J29" s="25">
        <f>VLOOKUP($D29,Résultats!$B$2:$AZ$251,J$2,FALSE)</f>
        <v>1.9065568129999999</v>
      </c>
      <c r="K29" s="25">
        <f>VLOOKUP($D29,Résultats!$B$2:$AZ$251,K$2,FALSE)</f>
        <v>3.9170647189999999</v>
      </c>
      <c r="L29" s="25">
        <f>VLOOKUP($D29,Résultats!$B$2:$AZ$251,L$2,FALSE)</f>
        <v>6.1490860549999997</v>
      </c>
      <c r="M29" s="25">
        <f>VLOOKUP($D29,Résultats!$B$2:$AZ$251,M$2,FALSE)</f>
        <v>7.4681027289999999</v>
      </c>
      <c r="N29" s="25">
        <f>VLOOKUP($D29,Résultats!$B$2:$AZ$251,N$2,FALSE)</f>
        <v>8.9194145509999903</v>
      </c>
      <c r="O29" s="25">
        <f>VLOOKUP($D29,Résultats!$B$2:$AZ$251,O$2,FALSE)</f>
        <v>11.00063128</v>
      </c>
      <c r="P29" s="25">
        <f>VLOOKUP($D29,Résultats!$B$2:$AZ$251,P$2,FALSE)</f>
        <v>14.478314109999999</v>
      </c>
      <c r="Q29" s="25">
        <f>VLOOKUP($D29,Résultats!$B$2:$AZ$251,Q$2,FALSE)</f>
        <v>19.8019599</v>
      </c>
      <c r="R29" s="25">
        <f>VLOOKUP($D29,Résultats!$B$2:$AZ$251,R$2,FALSE)</f>
        <v>25.914480940000001</v>
      </c>
      <c r="S29" s="25">
        <f>VLOOKUP($D29,Résultats!$B$2:$AZ$251,S$2,FALSE)</f>
        <v>32.556593450000001</v>
      </c>
      <c r="T29" s="25">
        <f>VLOOKUP($D29,Résultats!$B$2:$AZ$251,T$2,FALSE)</f>
        <v>39.117720159999998</v>
      </c>
      <c r="U29" s="25">
        <f>VLOOKUP($D29,Résultats!$B$2:$AZ$251,U$2,FALSE)</f>
        <v>45.31079974</v>
      </c>
      <c r="V29" s="25">
        <f>VLOOKUP($D29,Résultats!$B$2:$AZ$251,V$2,FALSE)</f>
        <v>50.511698080000002</v>
      </c>
      <c r="W29" s="25">
        <f>VLOOKUP($D29,Résultats!$B$2:$AZ$251,W$2,FALSE)</f>
        <v>54.72634661</v>
      </c>
      <c r="X29" s="25">
        <f>VLOOKUP($D29,Résultats!$B$2:$AZ$251,X$2,FALSE)</f>
        <v>58.090913999999998</v>
      </c>
      <c r="Y29" s="25">
        <f>VLOOKUP($D29,Résultats!$B$2:$AZ$251,Y$2,FALSE)</f>
        <v>62.353628989999997</v>
      </c>
      <c r="Z29" s="25">
        <f>VLOOKUP($D29,Résultats!$B$2:$AZ$251,Z$2,FALSE)</f>
        <v>65.919268020000004</v>
      </c>
      <c r="AA29" s="25">
        <f>VLOOKUP($D29,Résultats!$B$2:$AZ$251,AA$2,FALSE)</f>
        <v>68.686177540000003</v>
      </c>
      <c r="AB29" s="25">
        <f>VLOOKUP($D29,Résultats!$B$2:$AZ$251,AB$2,FALSE)</f>
        <v>71.182005989999894</v>
      </c>
      <c r="AC29" s="25">
        <f>VLOOKUP($D29,Résultats!$B$2:$AZ$251,AC$2,FALSE)</f>
        <v>73.205803680000002</v>
      </c>
      <c r="AD29" s="25">
        <f>VLOOKUP($D29,Résultats!$B$2:$AZ$251,AD$2,FALSE)</f>
        <v>74.629269699999995</v>
      </c>
      <c r="AE29" s="25">
        <f>VLOOKUP($D29,Résultats!$B$2:$AZ$251,AE$2,FALSE)</f>
        <v>76.110235459999998</v>
      </c>
      <c r="AF29" s="25">
        <f>VLOOKUP($D29,Résultats!$B$2:$AZ$251,AF$2,FALSE)</f>
        <v>77.259785199999996</v>
      </c>
      <c r="AG29" s="25">
        <f>VLOOKUP($D29,Résultats!$B$2:$AZ$251,AG$2,FALSE)</f>
        <v>78.228057840000005</v>
      </c>
      <c r="AH29" s="25">
        <f>VLOOKUP($D29,Résultats!$B$2:$AZ$251,AH$2,FALSE)</f>
        <v>86.623772399999893</v>
      </c>
      <c r="AI29" s="25">
        <f>VLOOKUP($D29,Résultats!$B$2:$AZ$251,AI$2,FALSE)</f>
        <v>88.490034519999995</v>
      </c>
      <c r="AJ29" s="25">
        <f>VLOOKUP($D29,Résultats!$B$2:$AZ$251,AJ$2,FALSE)</f>
        <v>89.84961303</v>
      </c>
      <c r="AK29" s="25">
        <f>VLOOKUP($D29,Résultats!$B$2:$AZ$251,AK$2,FALSE)</f>
        <v>91.04418321</v>
      </c>
      <c r="AL29" s="25">
        <f>VLOOKUP($D29,Résultats!$B$2:$AZ$251,AL$2,FALSE)</f>
        <v>91.966704219999997</v>
      </c>
      <c r="AM29" s="102">
        <f>VLOOKUP($D29,Résultats!$B$2:$AZ$251,AM$2,FALSE)</f>
        <v>91.781948839999998</v>
      </c>
    </row>
    <row r="30" spans="1:39" x14ac:dyDescent="0.25">
      <c r="C30" s="218" t="s">
        <v>29</v>
      </c>
      <c r="D30" s="54" t="s">
        <v>161</v>
      </c>
      <c r="E30" s="25">
        <f>VLOOKUP($D30,Résultats!$B$2:$AZ$251,E$2,FALSE)</f>
        <v>3.31621993E-2</v>
      </c>
      <c r="F30" s="25">
        <f>VLOOKUP($D30,Résultats!$B$2:$AZ$251,F$2,FALSE)</f>
        <v>1.0069859329999999</v>
      </c>
      <c r="G30" s="25">
        <f>VLOOKUP($D30,Résultats!$B$2:$AZ$251,G$2,FALSE)</f>
        <v>2.3703134540000002</v>
      </c>
      <c r="H30" s="25">
        <f>VLOOKUP($D30,Résultats!$B$2:$AZ$251,H$2,FALSE)</f>
        <v>3.1371744320000001</v>
      </c>
      <c r="I30" s="25">
        <f>VLOOKUP($D30,Résultats!$B$2:$AZ$251,I$2,FALSE)</f>
        <v>3.9218732439999999</v>
      </c>
      <c r="J30" s="25">
        <f>VLOOKUP($D30,Résultats!$B$2:$AZ$251,J$2,FALSE)</f>
        <v>4.5777995159999998</v>
      </c>
      <c r="K30" s="25">
        <f>VLOOKUP($D30,Résultats!$B$2:$AZ$251,K$2,FALSE)</f>
        <v>6.447112003</v>
      </c>
      <c r="L30" s="25">
        <f>VLOOKUP($D30,Résultats!$B$2:$AZ$251,L$2,FALSE)</f>
        <v>8.5527102470000003</v>
      </c>
      <c r="M30" s="25">
        <f>VLOOKUP($D30,Résultats!$B$2:$AZ$251,M$2,FALSE)</f>
        <v>9.8615206870000005</v>
      </c>
      <c r="N30" s="25">
        <f>VLOOKUP($D30,Résultats!$B$2:$AZ$251,N$2,FALSE)</f>
        <v>11.26461265</v>
      </c>
      <c r="O30" s="25">
        <f>VLOOKUP($D30,Résultats!$B$2:$AZ$251,O$2,FALSE)</f>
        <v>13.243978719999999</v>
      </c>
      <c r="P30" s="25">
        <f>VLOOKUP($D30,Résultats!$B$2:$AZ$251,P$2,FALSE)</f>
        <v>16.743647559999999</v>
      </c>
      <c r="Q30" s="25">
        <f>VLOOKUP($D30,Résultats!$B$2:$AZ$251,Q$2,FALSE)</f>
        <v>22.118895989999999</v>
      </c>
      <c r="R30" s="25">
        <f>VLOOKUP($D30,Résultats!$B$2:$AZ$251,R$2,FALSE)</f>
        <v>27.94550302</v>
      </c>
      <c r="S30" s="25">
        <f>VLOOKUP($D30,Résultats!$B$2:$AZ$251,S$2,FALSE)</f>
        <v>33.905886799999998</v>
      </c>
      <c r="T30" s="25">
        <f>VLOOKUP($D30,Résultats!$B$2:$AZ$251,T$2,FALSE)</f>
        <v>39.310538739999998</v>
      </c>
      <c r="U30" s="25">
        <f>VLOOKUP($D30,Résultats!$B$2:$AZ$251,U$2,FALSE)</f>
        <v>43.993880560000001</v>
      </c>
      <c r="V30" s="25">
        <f>VLOOKUP($D30,Résultats!$B$2:$AZ$251,V$2,FALSE)</f>
        <v>47.315175150000002</v>
      </c>
      <c r="W30" s="25">
        <f>VLOOKUP($D30,Résultats!$B$2:$AZ$251,W$2,FALSE)</f>
        <v>49.421443879999998</v>
      </c>
      <c r="X30" s="25">
        <f>VLOOKUP($D30,Résultats!$B$2:$AZ$251,X$2,FALSE)</f>
        <v>50.546243750000002</v>
      </c>
      <c r="Y30" s="25">
        <f>VLOOKUP($D30,Résultats!$B$2:$AZ$251,Y$2,FALSE)</f>
        <v>52.423184999999997</v>
      </c>
      <c r="Z30" s="25">
        <f>VLOOKUP($D30,Résultats!$B$2:$AZ$251,Z$2,FALSE)</f>
        <v>53.45127171</v>
      </c>
      <c r="AA30" s="25">
        <f>VLOOKUP($D30,Résultats!$B$2:$AZ$251,AA$2,FALSE)</f>
        <v>53.605544690000002</v>
      </c>
      <c r="AB30" s="25">
        <f>VLOOKUP($D30,Résultats!$B$2:$AZ$251,AB$2,FALSE)</f>
        <v>53.474418200000002</v>
      </c>
      <c r="AC30" s="25">
        <f>VLOOKUP($D30,Résultats!$B$2:$AZ$251,AC$2,FALSE)</f>
        <v>52.891289200000003</v>
      </c>
      <c r="AD30" s="25">
        <f>VLOOKUP($D30,Résultats!$B$2:$AZ$251,AD$2,FALSE)</f>
        <v>52.110327830000003</v>
      </c>
      <c r="AE30" s="25">
        <f>VLOOKUP($D30,Résultats!$B$2:$AZ$251,AE$2,FALSE)</f>
        <v>51.426149260000003</v>
      </c>
      <c r="AF30" s="25">
        <f>VLOOKUP($D30,Résultats!$B$2:$AZ$251,AF$2,FALSE)</f>
        <v>50.474814979999998</v>
      </c>
      <c r="AG30" s="25">
        <f>VLOOKUP($D30,Résultats!$B$2:$AZ$251,AG$2,FALSE)</f>
        <v>49.37372397</v>
      </c>
      <c r="AH30" s="25">
        <f>VLOOKUP($D30,Résultats!$B$2:$AZ$251,AH$2,FALSE)</f>
        <v>48.131428839999998</v>
      </c>
      <c r="AI30" s="25">
        <f>VLOOKUP($D30,Résultats!$B$2:$AZ$251,AI$2,FALSE)</f>
        <v>47.425377189999999</v>
      </c>
      <c r="AJ30" s="25">
        <f>VLOOKUP($D30,Résultats!$B$2:$AZ$251,AJ$2,FALSE)</f>
        <v>46.32466007</v>
      </c>
      <c r="AK30" s="25">
        <f>VLOOKUP($D30,Résultats!$B$2:$AZ$251,AK$2,FALSE)</f>
        <v>45.114824319999997</v>
      </c>
      <c r="AL30" s="25">
        <f>VLOOKUP($D30,Résultats!$B$2:$AZ$251,AL$2,FALSE)</f>
        <v>43.740994929999999</v>
      </c>
      <c r="AM30" s="102">
        <f>VLOOKUP($D30,Résultats!$B$2:$AZ$251,AM$2,FALSE)</f>
        <v>41.748838300000003</v>
      </c>
    </row>
    <row r="31" spans="1:39" x14ac:dyDescent="0.25">
      <c r="C31" s="218" t="s">
        <v>30</v>
      </c>
      <c r="D31" s="54" t="s">
        <v>162</v>
      </c>
      <c r="E31" s="25">
        <f>VLOOKUP($D31,Résultats!$B$2:$AZ$251,E$2,FALSE)</f>
        <v>0.77903986250000001</v>
      </c>
      <c r="F31" s="25">
        <f>VLOOKUP($D31,Résultats!$B$2:$AZ$251,F$2,FALSE)</f>
        <v>22.309738230000001</v>
      </c>
      <c r="G31" s="25">
        <f>VLOOKUP($D31,Résultats!$B$2:$AZ$251,G$2,FALSE)</f>
        <v>54.978814739999997</v>
      </c>
      <c r="H31" s="25">
        <f>VLOOKUP($D31,Résultats!$B$2:$AZ$251,H$2,FALSE)</f>
        <v>71.379313710000005</v>
      </c>
      <c r="I31" s="25">
        <f>VLOOKUP($D31,Résultats!$B$2:$AZ$251,I$2,FALSE)</f>
        <v>87.240749809999997</v>
      </c>
      <c r="J31" s="25">
        <f>VLOOKUP($D31,Résultats!$B$2:$AZ$251,J$2,FALSE)</f>
        <v>99.239835709999994</v>
      </c>
      <c r="K31" s="25">
        <f>VLOOKUP($D31,Résultats!$B$2:$AZ$251,K$2,FALSE)</f>
        <v>128.7367898</v>
      </c>
      <c r="L31" s="25">
        <f>VLOOKUP($D31,Résultats!$B$2:$AZ$251,L$2,FALSE)</f>
        <v>163.79525039999999</v>
      </c>
      <c r="M31" s="25">
        <f>VLOOKUP($D31,Résultats!$B$2:$AZ$251,M$2,FALSE)</f>
        <v>186.42624559999999</v>
      </c>
      <c r="N31" s="25">
        <f>VLOOKUP($D31,Résultats!$B$2:$AZ$251,N$2,FALSE)</f>
        <v>210.62331380000001</v>
      </c>
      <c r="O31" s="25">
        <f>VLOOKUP($D31,Résultats!$B$2:$AZ$251,O$2,FALSE)</f>
        <v>244.7938695</v>
      </c>
      <c r="P31" s="25">
        <f>VLOOKUP($D31,Résultats!$B$2:$AZ$251,P$2,FALSE)</f>
        <v>306.59164620000001</v>
      </c>
      <c r="Q31" s="25">
        <f>VLOOKUP($D31,Résultats!$B$2:$AZ$251,Q$2,FALSE)</f>
        <v>401.87881060000001</v>
      </c>
      <c r="R31" s="25">
        <f>VLOOKUP($D31,Résultats!$B$2:$AZ$251,R$2,FALSE)</f>
        <v>503.93874690000001</v>
      </c>
      <c r="S31" s="25">
        <f>VLOOKUP($D31,Résultats!$B$2:$AZ$251,S$2,FALSE)</f>
        <v>607.15172159999997</v>
      </c>
      <c r="T31" s="25">
        <f>VLOOKUP($D31,Résultats!$B$2:$AZ$251,T$2,FALSE)</f>
        <v>699.2669386</v>
      </c>
      <c r="U31" s="25">
        <f>VLOOKUP($D31,Résultats!$B$2:$AZ$251,U$2,FALSE)</f>
        <v>778.02719130000003</v>
      </c>
      <c r="V31" s="25">
        <f>VLOOKUP($D31,Résultats!$B$2:$AZ$251,V$2,FALSE)</f>
        <v>832.26862989999995</v>
      </c>
      <c r="W31" s="25">
        <f>VLOOKUP($D31,Résultats!$B$2:$AZ$251,W$2,FALSE)</f>
        <v>865.25786270000003</v>
      </c>
      <c r="X31" s="25">
        <f>VLOOKUP($D31,Résultats!$B$2:$AZ$251,X$2,FALSE)</f>
        <v>881.57066090000001</v>
      </c>
      <c r="Y31" s="25">
        <f>VLOOKUP($D31,Résultats!$B$2:$AZ$251,Y$2,FALSE)</f>
        <v>911.90318079999997</v>
      </c>
      <c r="Z31" s="25">
        <f>VLOOKUP($D31,Résultats!$B$2:$AZ$251,Z$2,FALSE)</f>
        <v>928.15193509999995</v>
      </c>
      <c r="AA31" s="25">
        <f>VLOOKUP($D31,Résultats!$B$2:$AZ$251,AA$2,FALSE)</f>
        <v>930.21745729999998</v>
      </c>
      <c r="AB31" s="25">
        <f>VLOOKUP($D31,Résultats!$B$2:$AZ$251,AB$2,FALSE)</f>
        <v>928.53313969999999</v>
      </c>
      <c r="AC31" s="25">
        <f>VLOOKUP($D31,Résultats!$B$2:$AZ$251,AC$2,FALSE)</f>
        <v>920.28727400000002</v>
      </c>
      <c r="AD31" s="25">
        <f>VLOOKUP($D31,Résultats!$B$2:$AZ$251,AD$2,FALSE)</f>
        <v>909.40508969999996</v>
      </c>
      <c r="AE31" s="25">
        <f>VLOOKUP($D31,Résultats!$B$2:$AZ$251,AE$2,FALSE)</f>
        <v>901.00843269999996</v>
      </c>
      <c r="AF31" s="25">
        <f>VLOOKUP($D31,Résultats!$B$2:$AZ$251,AF$2,FALSE)</f>
        <v>888.8945453</v>
      </c>
      <c r="AG31" s="25">
        <f>VLOOKUP($D31,Résultats!$B$2:$AZ$251,AG$2,FALSE)</f>
        <v>875.10873600000002</v>
      </c>
      <c r="AH31" s="25">
        <f>VLOOKUP($D31,Résultats!$B$2:$AZ$251,AH$2,FALSE)</f>
        <v>882.38686099999995</v>
      </c>
      <c r="AI31" s="25">
        <f>VLOOKUP($D31,Résultats!$B$2:$AZ$251,AI$2,FALSE)</f>
        <v>880.24357010000006</v>
      </c>
      <c r="AJ31" s="25">
        <f>VLOOKUP($D31,Résultats!$B$2:$AZ$251,AJ$2,FALSE)</f>
        <v>872.41455380000002</v>
      </c>
      <c r="AK31" s="25">
        <f>VLOOKUP($D31,Résultats!$B$2:$AZ$251,AK$2,FALSE)</f>
        <v>863.54999239999995</v>
      </c>
      <c r="AL31" s="25">
        <f>VLOOKUP($D31,Résultats!$B$2:$AZ$251,AL$2,FALSE)</f>
        <v>852.60863659999995</v>
      </c>
      <c r="AM31" s="102">
        <f>VLOOKUP($D31,Résultats!$B$2:$AZ$251,AM$2,FALSE)</f>
        <v>831.28230889999998</v>
      </c>
    </row>
    <row r="32" spans="1:39" x14ac:dyDescent="0.25">
      <c r="C32" s="218" t="s">
        <v>31</v>
      </c>
      <c r="D32" s="54" t="s">
        <v>163</v>
      </c>
      <c r="E32" s="25">
        <f>VLOOKUP($D32,Résultats!$B$2:$AZ$251,E$2,FALSE)</f>
        <v>0.30704934709999998</v>
      </c>
      <c r="F32" s="25">
        <f>VLOOKUP($D32,Résultats!$B$2:$AZ$251,F$2,FALSE)</f>
        <v>8.6821692590000001</v>
      </c>
      <c r="G32" s="25">
        <f>VLOOKUP($D32,Résultats!$B$2:$AZ$251,G$2,FALSE)</f>
        <v>21.613447050000001</v>
      </c>
      <c r="H32" s="25">
        <f>VLOOKUP($D32,Résultats!$B$2:$AZ$251,H$2,FALSE)</f>
        <v>27.94664092</v>
      </c>
      <c r="I32" s="25">
        <f>VLOOKUP($D32,Résultats!$B$2:$AZ$251,I$2,FALSE)</f>
        <v>33.983271029999997</v>
      </c>
      <c r="J32" s="25">
        <f>VLOOKUP($D32,Résultats!$B$2:$AZ$251,J$2,FALSE)</f>
        <v>38.415753129999999</v>
      </c>
      <c r="K32" s="25">
        <f>VLOOKUP($D32,Résultats!$B$2:$AZ$251,K$2,FALSE)</f>
        <v>48.635793560000003</v>
      </c>
      <c r="L32" s="25">
        <f>VLOOKUP($D32,Résultats!$B$2:$AZ$251,L$2,FALSE)</f>
        <v>60.883979969999999</v>
      </c>
      <c r="M32" s="25">
        <f>VLOOKUP($D32,Résultats!$B$2:$AZ$251,M$2,FALSE)</f>
        <v>68.889124390000006</v>
      </c>
      <c r="N32" s="25">
        <f>VLOOKUP($D32,Résultats!$B$2:$AZ$251,N$2,FALSE)</f>
        <v>77.410101310000002</v>
      </c>
      <c r="O32" s="25">
        <f>VLOOKUP($D32,Résultats!$B$2:$AZ$251,O$2,FALSE)</f>
        <v>89.412376280000004</v>
      </c>
      <c r="P32" s="25">
        <f>VLOOKUP($D32,Résultats!$B$2:$AZ$251,P$2,FALSE)</f>
        <v>111.3664358</v>
      </c>
      <c r="Q32" s="25">
        <f>VLOOKUP($D32,Résultats!$B$2:$AZ$251,Q$2,FALSE)</f>
        <v>145.24875420000001</v>
      </c>
      <c r="R32" s="25">
        <f>VLOOKUP($D32,Résultats!$B$2:$AZ$251,R$2,FALSE)</f>
        <v>181.17201840000001</v>
      </c>
      <c r="S32" s="25">
        <f>VLOOKUP($D32,Résultats!$B$2:$AZ$251,S$2,FALSE)</f>
        <v>217.0873205</v>
      </c>
      <c r="T32" s="25">
        <f>VLOOKUP($D32,Résultats!$B$2:$AZ$251,T$2,FALSE)</f>
        <v>248.57100199999999</v>
      </c>
      <c r="U32" s="25">
        <f>VLOOKUP($D32,Résultats!$B$2:$AZ$251,U$2,FALSE)</f>
        <v>274.96324870000001</v>
      </c>
      <c r="V32" s="25">
        <f>VLOOKUP($D32,Résultats!$B$2:$AZ$251,V$2,FALSE)</f>
        <v>292.29434659999998</v>
      </c>
      <c r="W32" s="25">
        <f>VLOOKUP($D32,Résultats!$B$2:$AZ$251,W$2,FALSE)</f>
        <v>301.88415500000002</v>
      </c>
      <c r="X32" s="25">
        <f>VLOOKUP($D32,Résultats!$B$2:$AZ$251,X$2,FALSE)</f>
        <v>305.46774979999998</v>
      </c>
      <c r="Y32" s="25">
        <f>VLOOKUP($D32,Résultats!$B$2:$AZ$251,Y$2,FALSE)</f>
        <v>313.93066800000003</v>
      </c>
      <c r="Z32" s="25">
        <f>VLOOKUP($D32,Résultats!$B$2:$AZ$251,Z$2,FALSE)</f>
        <v>317.30420839999999</v>
      </c>
      <c r="AA32" s="25">
        <f>VLOOKUP($D32,Résultats!$B$2:$AZ$251,AA$2,FALSE)</f>
        <v>315.64162779999998</v>
      </c>
      <c r="AB32" s="25">
        <f>VLOOKUP($D32,Résultats!$B$2:$AZ$251,AB$2,FALSE)</f>
        <v>312.70478910000003</v>
      </c>
      <c r="AC32" s="25">
        <f>VLOOKUP($D32,Résultats!$B$2:$AZ$251,AC$2,FALSE)</f>
        <v>307.53589779999999</v>
      </c>
      <c r="AD32" s="25">
        <f>VLOOKUP($D32,Résultats!$B$2:$AZ$251,AD$2,FALSE)</f>
        <v>301.84421320000001</v>
      </c>
      <c r="AE32" s="25">
        <f>VLOOKUP($D32,Résultats!$B$2:$AZ$251,AE$2,FALSE)</f>
        <v>297.11605049999997</v>
      </c>
      <c r="AF32" s="25">
        <f>VLOOKUP($D32,Résultats!$B$2:$AZ$251,AF$2,FALSE)</f>
        <v>291.18605220000001</v>
      </c>
      <c r="AG32" s="25">
        <f>VLOOKUP($D32,Résultats!$B$2:$AZ$251,AG$2,FALSE)</f>
        <v>284.750337</v>
      </c>
      <c r="AH32" s="25">
        <f>VLOOKUP($D32,Résultats!$B$2:$AZ$251,AH$2,FALSE)</f>
        <v>280.36026950000002</v>
      </c>
      <c r="AI32" s="25">
        <f>VLOOKUP($D32,Résultats!$B$2:$AZ$251,AI$2,FALSE)</f>
        <v>277.90132360000001</v>
      </c>
      <c r="AJ32" s="25">
        <f>VLOOKUP($D32,Résultats!$B$2:$AZ$251,AJ$2,FALSE)</f>
        <v>273.60995650000001</v>
      </c>
      <c r="AK32" s="25">
        <f>VLOOKUP($D32,Résultats!$B$2:$AZ$251,AK$2,FALSE)</f>
        <v>269.0630319</v>
      </c>
      <c r="AL32" s="25">
        <f>VLOOKUP($D32,Résultats!$B$2:$AZ$251,AL$2,FALSE)</f>
        <v>263.93448510000002</v>
      </c>
      <c r="AM32" s="102">
        <f>VLOOKUP($D32,Résultats!$B$2:$AZ$251,AM$2,FALSE)</f>
        <v>255.6039944</v>
      </c>
    </row>
    <row r="33" spans="2:39" x14ac:dyDescent="0.25">
      <c r="C33" s="218" t="s">
        <v>32</v>
      </c>
      <c r="D33" s="54" t="s">
        <v>164</v>
      </c>
      <c r="E33" s="25">
        <f>VLOOKUP($D33,Résultats!$B$2:$AZ$251,E$2,FALSE)</f>
        <v>4.1860481099999999E-3</v>
      </c>
      <c r="F33" s="25">
        <f>VLOOKUP($D33,Résultats!$B$2:$AZ$251,F$2,FALSE)</f>
        <v>3.3982260200000003E-2</v>
      </c>
      <c r="G33" s="25">
        <f>VLOOKUP($D33,Résultats!$B$2:$AZ$251,G$2,FALSE)</f>
        <v>0.2168310862</v>
      </c>
      <c r="H33" s="25">
        <f>VLOOKUP($D33,Résultats!$B$2:$AZ$251,H$2,FALSE)</f>
        <v>0.12251746920000001</v>
      </c>
      <c r="I33" s="25">
        <f>VLOOKUP($D33,Résultats!$B$2:$AZ$251,I$2,FALSE)</f>
        <v>0.1328830446</v>
      </c>
      <c r="J33" s="25">
        <f>VLOOKUP($D33,Résultats!$B$2:$AZ$251,J$2,FALSE)</f>
        <v>0.1511823883</v>
      </c>
      <c r="K33" s="25">
        <f>VLOOKUP($D33,Résultats!$B$2:$AZ$251,K$2,FALSE)</f>
        <v>0.19635342629999999</v>
      </c>
      <c r="L33" s="25">
        <f>VLOOKUP($D33,Résultats!$B$2:$AZ$251,L$2,FALSE)</f>
        <v>0.25015366490000002</v>
      </c>
      <c r="M33" s="25">
        <f>VLOOKUP($D33,Résultats!$B$2:$AZ$251,M$2,FALSE)</f>
        <v>0.28487952230000002</v>
      </c>
      <c r="N33" s="25">
        <f>VLOOKUP($D33,Résultats!$B$2:$AZ$251,N$2,FALSE)</f>
        <v>0.32203902540000001</v>
      </c>
      <c r="O33" s="25">
        <f>VLOOKUP($D33,Résultats!$B$2:$AZ$251,O$2,FALSE)</f>
        <v>0.37454921520000001</v>
      </c>
      <c r="P33" s="25">
        <f>VLOOKUP($D33,Résultats!$B$2:$AZ$251,P$2,FALSE)</f>
        <v>0.46942030089999998</v>
      </c>
      <c r="Q33" s="25">
        <f>VLOOKUP($D33,Résultats!$B$2:$AZ$251,Q$2,FALSE)</f>
        <v>0.61571306510000001</v>
      </c>
      <c r="R33" s="25">
        <f>VLOOKUP($D33,Résultats!$B$2:$AZ$251,R$2,FALSE)</f>
        <v>0.77263753209999997</v>
      </c>
      <c r="S33" s="25">
        <f>VLOOKUP($D33,Résultats!$B$2:$AZ$251,S$2,FALSE)</f>
        <v>0.93161772990000002</v>
      </c>
      <c r="T33" s="25">
        <f>VLOOKUP($D33,Résultats!$B$2:$AZ$251,T$2,FALSE)</f>
        <v>1.0739101040000001</v>
      </c>
      <c r="U33" s="25">
        <f>VLOOKUP($D33,Résultats!$B$2:$AZ$251,U$2,FALSE)</f>
        <v>1.1959807069999999</v>
      </c>
      <c r="V33" s="25">
        <f>VLOOKUP($D33,Résultats!$B$2:$AZ$251,V$2,FALSE)</f>
        <v>1.2807119119999999</v>
      </c>
      <c r="W33" s="25">
        <f>VLOOKUP($D33,Résultats!$B$2:$AZ$251,W$2,FALSE)</f>
        <v>1.3330332389999999</v>
      </c>
      <c r="X33" s="25">
        <f>VLOOKUP($D33,Résultats!$B$2:$AZ$251,X$2,FALSE)</f>
        <v>1.359909977</v>
      </c>
      <c r="Y33" s="25">
        <f>VLOOKUP($D33,Résultats!$B$2:$AZ$251,Y$2,FALSE)</f>
        <v>1.4084953410000001</v>
      </c>
      <c r="Z33" s="25">
        <f>VLOOKUP($D33,Résultats!$B$2:$AZ$251,Z$2,FALSE)</f>
        <v>1.4356500210000001</v>
      </c>
      <c r="AA33" s="25">
        <f>VLOOKUP($D33,Résultats!$B$2:$AZ$251,AA$2,FALSE)</f>
        <v>1.4411711330000001</v>
      </c>
      <c r="AB33" s="25">
        <f>VLOOKUP($D33,Résultats!$B$2:$AZ$251,AB$2,FALSE)</f>
        <v>1.4410251540000001</v>
      </c>
      <c r="AC33" s="25">
        <f>VLOOKUP($D33,Résultats!$B$2:$AZ$251,AC$2,FALSE)</f>
        <v>1.430869521</v>
      </c>
      <c r="AD33" s="25">
        <f>VLOOKUP($D33,Résultats!$B$2:$AZ$251,AD$2,FALSE)</f>
        <v>1.416346989</v>
      </c>
      <c r="AE33" s="25">
        <f>VLOOKUP($D33,Résultats!$B$2:$AZ$251,AE$2,FALSE)</f>
        <v>1.4056487209999999</v>
      </c>
      <c r="AF33" s="25">
        <f>VLOOKUP($D33,Résultats!$B$2:$AZ$251,AF$2,FALSE)</f>
        <v>1.3892396520000001</v>
      </c>
      <c r="AG33" s="25">
        <f>VLOOKUP($D33,Résultats!$B$2:$AZ$251,AG$2,FALSE)</f>
        <v>1.370287467</v>
      </c>
      <c r="AH33" s="25">
        <f>VLOOKUP($D33,Résultats!$B$2:$AZ$251,AH$2,FALSE)</f>
        <v>1.3919047760000001</v>
      </c>
      <c r="AI33" s="25">
        <f>VLOOKUP($D33,Résultats!$B$2:$AZ$251,AI$2,FALSE)</f>
        <v>1.3915281989999999</v>
      </c>
      <c r="AJ33" s="25">
        <f>VLOOKUP($D33,Résultats!$B$2:$AZ$251,AJ$2,FALSE)</f>
        <v>1.3823812170000001</v>
      </c>
      <c r="AK33" s="25">
        <f>VLOOKUP($D33,Résultats!$B$2:$AZ$251,AK$2,FALSE)</f>
        <v>1.3716328870000001</v>
      </c>
      <c r="AL33" s="25">
        <f>VLOOKUP($D33,Résultats!$B$2:$AZ$251,AL$2,FALSE)</f>
        <v>1.357631359</v>
      </c>
      <c r="AM33" s="102">
        <f>VLOOKUP($D33,Résultats!$B$2:$AZ$251,AM$2,FALSE)</f>
        <v>1.3272528079999999</v>
      </c>
    </row>
    <row r="34" spans="2:39" x14ac:dyDescent="0.25">
      <c r="C34" s="218" t="s">
        <v>33</v>
      </c>
      <c r="D34" s="54" t="s">
        <v>165</v>
      </c>
      <c r="E34" s="55">
        <f>VLOOKUP($D34,Résultats!$B$2:$AZ$251,E$2,FALSE)</f>
        <v>5.1428591099999997E-2</v>
      </c>
      <c r="F34" s="55">
        <f>VLOOKUP($D34,Résultats!$B$2:$AZ$251,F$2,FALSE)</f>
        <v>1.3392879870000001</v>
      </c>
      <c r="G34" s="55">
        <f>VLOOKUP($D34,Résultats!$B$2:$AZ$251,G$2,FALSE)</f>
        <v>3.5595771049999998</v>
      </c>
      <c r="H34" s="55">
        <f>VLOOKUP($D34,Résultats!$B$2:$AZ$251,H$2,FALSE)</f>
        <v>4.4821511970000003</v>
      </c>
      <c r="I34" s="55">
        <f>VLOOKUP($D34,Résultats!$B$2:$AZ$251,I$2,FALSE)</f>
        <v>5.27418341</v>
      </c>
      <c r="J34" s="55">
        <f>VLOOKUP($D34,Résultats!$B$2:$AZ$251,J$2,FALSE)</f>
        <v>5.7280485069999996</v>
      </c>
      <c r="K34" s="55">
        <f>VLOOKUP($D34,Résultats!$B$2:$AZ$251,K$2,FALSE)</f>
        <v>6.2338529730000003</v>
      </c>
      <c r="L34" s="55">
        <f>VLOOKUP($D34,Résultats!$B$2:$AZ$251,L$2,FALSE)</f>
        <v>7.0825064370000002</v>
      </c>
      <c r="M34" s="55">
        <f>VLOOKUP($D34,Résultats!$B$2:$AZ$251,M$2,FALSE)</f>
        <v>7.7432063329999998</v>
      </c>
      <c r="N34" s="55">
        <f>VLOOKUP($D34,Résultats!$B$2:$AZ$251,N$2,FALSE)</f>
        <v>8.4340088079999997</v>
      </c>
      <c r="O34" s="55">
        <f>VLOOKUP($D34,Résultats!$B$2:$AZ$251,O$2,FALSE)</f>
        <v>9.4049221880000005</v>
      </c>
      <c r="P34" s="55">
        <f>VLOOKUP($D34,Résultats!$B$2:$AZ$251,P$2,FALSE)</f>
        <v>11.35767819</v>
      </c>
      <c r="Q34" s="55">
        <f>VLOOKUP($D34,Résultats!$B$2:$AZ$251,Q$2,FALSE)</f>
        <v>14.4099986</v>
      </c>
      <c r="R34" s="55">
        <f>VLOOKUP($D34,Résultats!$B$2:$AZ$251,R$2,FALSE)</f>
        <v>17.464056200000002</v>
      </c>
      <c r="S34" s="55">
        <f>VLOOKUP($D34,Résultats!$B$2:$AZ$251,S$2,FALSE)</f>
        <v>20.323927260000001</v>
      </c>
      <c r="T34" s="55">
        <f>VLOOKUP($D34,Résultats!$B$2:$AZ$251,T$2,FALSE)</f>
        <v>22.57170717</v>
      </c>
      <c r="U34" s="55">
        <f>VLOOKUP($D34,Résultats!$B$2:$AZ$251,U$2,FALSE)</f>
        <v>24.232548529999999</v>
      </c>
      <c r="V34" s="55">
        <f>VLOOKUP($D34,Résultats!$B$2:$AZ$251,V$2,FALSE)</f>
        <v>24.96042306</v>
      </c>
      <c r="W34" s="55">
        <f>VLOOKUP($D34,Résultats!$B$2:$AZ$251,W$2,FALSE)</f>
        <v>24.95913474</v>
      </c>
      <c r="X34" s="55">
        <f>VLOOKUP($D34,Résultats!$B$2:$AZ$251,X$2,FALSE)</f>
        <v>24.44000218</v>
      </c>
      <c r="Y34" s="55">
        <f>VLOOKUP($D34,Résultats!$B$2:$AZ$251,Y$2,FALSE)</f>
        <v>24.371744</v>
      </c>
      <c r="Z34" s="55">
        <f>VLOOKUP($D34,Résultats!$B$2:$AZ$251,Z$2,FALSE)</f>
        <v>23.87457264</v>
      </c>
      <c r="AA34" s="55">
        <f>VLOOKUP($D34,Résultats!$B$2:$AZ$251,AA$2,FALSE)</f>
        <v>22.993555529999998</v>
      </c>
      <c r="AB34" s="55">
        <f>VLOOKUP($D34,Résultats!$B$2:$AZ$251,AB$2,FALSE)</f>
        <v>22.078105610000001</v>
      </c>
      <c r="AC34" s="55">
        <f>VLOOKUP($D34,Résultats!$B$2:$AZ$251,AC$2,FALSE)</f>
        <v>21.056286830000001</v>
      </c>
      <c r="AD34" s="55">
        <f>VLOOKUP($D34,Résultats!$B$2:$AZ$251,AD$2,FALSE)</f>
        <v>20.142981949999999</v>
      </c>
      <c r="AE34" s="55">
        <f>VLOOKUP($D34,Résultats!$B$2:$AZ$251,AE$2,FALSE)</f>
        <v>19.36688771</v>
      </c>
      <c r="AF34" s="55">
        <f>VLOOKUP($D34,Résultats!$B$2:$AZ$251,AF$2,FALSE)</f>
        <v>18.553510129999999</v>
      </c>
      <c r="AG34" s="55">
        <f>VLOOKUP($D34,Résultats!$B$2:$AZ$251,AG$2,FALSE)</f>
        <v>17.751424719999999</v>
      </c>
      <c r="AH34" s="55">
        <f>VLOOKUP($D34,Résultats!$B$2:$AZ$251,AH$2,FALSE)</f>
        <v>16.343611559999999</v>
      </c>
      <c r="AI34" s="55">
        <f>VLOOKUP($D34,Résultats!$B$2:$AZ$251,AI$2,FALSE)</f>
        <v>15.95682332</v>
      </c>
      <c r="AJ34" s="55">
        <f>VLOOKUP($D34,Résultats!$B$2:$AZ$251,AJ$2,FALSE)</f>
        <v>15.485086470000001</v>
      </c>
      <c r="AK34" s="55">
        <f>VLOOKUP($D34,Résultats!$B$2:$AZ$251,AK$2,FALSE)</f>
        <v>15.031616919999999</v>
      </c>
      <c r="AL34" s="55">
        <f>VLOOKUP($D34,Résultats!$B$2:$AZ$251,AL$2,FALSE)</f>
        <v>14.57536586</v>
      </c>
      <c r="AM34" s="214">
        <f>VLOOKUP($D34,Résultats!$B$2:$AZ$251,AM$2,FALSE)</f>
        <v>13.965631800000001</v>
      </c>
    </row>
    <row r="35" spans="2:39" x14ac:dyDescent="0.25">
      <c r="C35" s="217" t="s">
        <v>46</v>
      </c>
      <c r="D35" s="52" t="s">
        <v>150</v>
      </c>
      <c r="E35" s="53">
        <f>VLOOKUP($D35,Résultats!$B$2:$AZ$251,E$2,FALSE)</f>
        <v>2371.8135000000002</v>
      </c>
      <c r="F35" s="53">
        <f>VLOOKUP($D35,Résultats!$B$2:$AZ$251,F$2,FALSE)</f>
        <v>1906.3371</v>
      </c>
      <c r="G35" s="53">
        <f>VLOOKUP($D35,Résultats!$B$2:$AZ$251,G$2,FALSE)</f>
        <v>2120.0077139999999</v>
      </c>
      <c r="H35" s="53">
        <f>VLOOKUP($D35,Résultats!$B$2:$AZ$251,H$2,FALSE)</f>
        <v>2131.5866489999999</v>
      </c>
      <c r="I35" s="53">
        <f>VLOOKUP($D35,Résultats!$B$2:$AZ$251,I$2,FALSE)</f>
        <v>2033.4073659999999</v>
      </c>
      <c r="J35" s="53">
        <f>VLOOKUP($D35,Résultats!$B$2:$AZ$251,J$2,FALSE)</f>
        <v>1818.9685340000001</v>
      </c>
      <c r="K35" s="53">
        <f>VLOOKUP($D35,Résultats!$B$2:$AZ$251,K$2,FALSE)</f>
        <v>1881.4246720000001</v>
      </c>
      <c r="L35" s="53">
        <f>VLOOKUP($D35,Résultats!$B$2:$AZ$251,L$2,FALSE)</f>
        <v>1918.762823</v>
      </c>
      <c r="M35" s="53">
        <f>VLOOKUP($D35,Résultats!$B$2:$AZ$251,M$2,FALSE)</f>
        <v>1759.5509810000001</v>
      </c>
      <c r="N35" s="53">
        <f>VLOOKUP($D35,Résultats!$B$2:$AZ$251,N$2,FALSE)</f>
        <v>1618.119974</v>
      </c>
      <c r="O35" s="53">
        <f>VLOOKUP($D35,Résultats!$B$2:$AZ$251,O$2,FALSE)</f>
        <v>1440.8512639999999</v>
      </c>
      <c r="P35" s="53">
        <f>VLOOKUP($D35,Résultats!$B$2:$AZ$251,P$2,FALSE)</f>
        <v>1257.115996</v>
      </c>
      <c r="Q35" s="53">
        <f>VLOOKUP($D35,Résultats!$B$2:$AZ$251,Q$2,FALSE)</f>
        <v>1043.8013880000001</v>
      </c>
      <c r="R35" s="53">
        <f>VLOOKUP($D35,Résultats!$B$2:$AZ$251,R$2,FALSE)</f>
        <v>810.97545600000001</v>
      </c>
      <c r="S35" s="53">
        <f>VLOOKUP($D35,Résultats!$B$2:$AZ$251,S$2,FALSE)</f>
        <v>587.9953332</v>
      </c>
      <c r="T35" s="53">
        <f>VLOOKUP($D35,Résultats!$B$2:$AZ$251,T$2,FALSE)</f>
        <v>393.3914226</v>
      </c>
      <c r="U35" s="53">
        <f>VLOOKUP($D35,Résultats!$B$2:$AZ$251,U$2,FALSE)</f>
        <v>244.6674189</v>
      </c>
      <c r="V35" s="53">
        <f>VLOOKUP($D35,Résultats!$B$2:$AZ$251,V$2,FALSE)</f>
        <v>141.14162139999999</v>
      </c>
      <c r="W35" s="53">
        <f>VLOOKUP($D35,Résultats!$B$2:$AZ$251,W$2,FALSE)</f>
        <v>76.901121989999893</v>
      </c>
      <c r="X35" s="53">
        <f>VLOOKUP($D35,Résultats!$B$2:$AZ$251,X$2,FALSE)</f>
        <v>40.270705319999998</v>
      </c>
      <c r="Y35" s="53">
        <f>VLOOKUP($D35,Résultats!$B$2:$AZ$251,Y$2,FALSE)</f>
        <v>21.156315289999998</v>
      </c>
      <c r="Z35" s="53">
        <f>VLOOKUP($D35,Résultats!$B$2:$AZ$251,Z$2,FALSE)</f>
        <v>10.86705456</v>
      </c>
      <c r="AA35" s="53">
        <f>VLOOKUP($D35,Résultats!$B$2:$AZ$251,AA$2,FALSE)</f>
        <v>5.4786534690000002</v>
      </c>
      <c r="AB35" s="53">
        <f>VLOOKUP($D35,Résultats!$B$2:$AZ$251,AB$2,FALSE)</f>
        <v>2.7462251960000001</v>
      </c>
      <c r="AC35" s="53">
        <f>VLOOKUP($D35,Résultats!$B$2:$AZ$251,AC$2,FALSE)</f>
        <v>1.3657657519999999</v>
      </c>
      <c r="AD35" s="53">
        <f>VLOOKUP($D35,Résultats!$B$2:$AZ$251,AD$2,FALSE)</f>
        <v>0.67666172430000004</v>
      </c>
      <c r="AE35" s="53">
        <f>VLOOKUP($D35,Résultats!$B$2:$AZ$251,AE$2,FALSE)</f>
        <v>0.33602486469999998</v>
      </c>
      <c r="AF35" s="53">
        <f>VLOOKUP($D35,Résultats!$B$2:$AZ$251,AF$2,FALSE)</f>
        <v>0.16615325380000001</v>
      </c>
      <c r="AG35" s="53">
        <f>VLOOKUP($D35,Résultats!$B$2:$AZ$251,AG$2,FALSE)</f>
        <v>8.1987510700000002E-2</v>
      </c>
      <c r="AH35" s="53">
        <f>VLOOKUP($D35,Résultats!$B$2:$AZ$251,AH$2,FALSE)</f>
        <v>4.1756120200000003E-2</v>
      </c>
      <c r="AI35" s="53">
        <f>VLOOKUP($D35,Résultats!$B$2:$AZ$251,AI$2,FALSE)</f>
        <v>2.0879214300000001E-2</v>
      </c>
      <c r="AJ35" s="53">
        <f>VLOOKUP($D35,Résultats!$B$2:$AZ$251,AJ$2,FALSE)</f>
        <v>1.03743156E-2</v>
      </c>
      <c r="AK35" s="53">
        <f>VLOOKUP($D35,Résultats!$B$2:$AZ$251,AK$2,FALSE)</f>
        <v>5.1482622900000004E-3</v>
      </c>
      <c r="AL35" s="53">
        <f>VLOOKUP($D35,Résultats!$B$2:$AZ$251,AL$2,FALSE)</f>
        <v>2.54848079E-3</v>
      </c>
      <c r="AM35" s="213">
        <f>VLOOKUP($D35,Résultats!$B$2:$AZ$251,AM$2,FALSE)</f>
        <v>1.24603118E-3</v>
      </c>
    </row>
    <row r="36" spans="2:39" x14ac:dyDescent="0.25">
      <c r="C36" s="218" t="s">
        <v>27</v>
      </c>
      <c r="D36" s="3" t="s">
        <v>151</v>
      </c>
      <c r="E36" s="25">
        <f>VLOOKUP($D36,Résultats!$B$2:$AZ$251,E$2,FALSE)</f>
        <v>1.1865000000000001</v>
      </c>
      <c r="F36" s="25">
        <f>VLOOKUP($D36,Résultats!$B$2:$AZ$251,F$2,FALSE)</f>
        <v>24.329854480000002</v>
      </c>
      <c r="G36" s="25">
        <f>VLOOKUP($D36,Résultats!$B$2:$AZ$251,G$2,FALSE)</f>
        <v>33.643199320000001</v>
      </c>
      <c r="H36" s="25">
        <f>VLOOKUP($D36,Résultats!$B$2:$AZ$251,H$2,FALSE)</f>
        <v>39.004761940000002</v>
      </c>
      <c r="I36" s="25">
        <f>VLOOKUP($D36,Résultats!$B$2:$AZ$251,I$2,FALSE)</f>
        <v>62.631728649999999</v>
      </c>
      <c r="J36" s="25">
        <f>VLOOKUP($D36,Résultats!$B$2:$AZ$251,J$2,FALSE)</f>
        <v>56.388042130000002</v>
      </c>
      <c r="K36" s="25">
        <f>VLOOKUP($D36,Résultats!$B$2:$AZ$251,K$2,FALSE)</f>
        <v>88.778443629999998</v>
      </c>
      <c r="L36" s="25">
        <f>VLOOKUP($D36,Résultats!$B$2:$AZ$251,L$2,FALSE)</f>
        <v>107.077484</v>
      </c>
      <c r="M36" s="25">
        <f>VLOOKUP($D36,Résultats!$B$2:$AZ$251,M$2,FALSE)</f>
        <v>105.1904548</v>
      </c>
      <c r="N36" s="25">
        <f>VLOOKUP($D36,Résultats!$B$2:$AZ$251,N$2,FALSE)</f>
        <v>103.3264719</v>
      </c>
      <c r="O36" s="25">
        <f>VLOOKUP($D36,Résultats!$B$2:$AZ$251,O$2,FALSE)</f>
        <v>97.002073730000006</v>
      </c>
      <c r="P36" s="25">
        <f>VLOOKUP($D36,Résultats!$B$2:$AZ$251,P$2,FALSE)</f>
        <v>88.299648450000007</v>
      </c>
      <c r="Q36" s="25">
        <f>VLOOKUP($D36,Résultats!$B$2:$AZ$251,Q$2,FALSE)</f>
        <v>76.08128773</v>
      </c>
      <c r="R36" s="25">
        <f>VLOOKUP($D36,Résultats!$B$2:$AZ$251,R$2,FALSE)</f>
        <v>62.251896250000001</v>
      </c>
      <c r="S36" s="25">
        <f>VLOOKUP($D36,Résultats!$B$2:$AZ$251,S$2,FALSE)</f>
        <v>47.614220539999998</v>
      </c>
      <c r="T36" s="25">
        <f>VLOOKUP($D36,Résultats!$B$2:$AZ$251,T$2,FALSE)</f>
        <v>33.196725819999997</v>
      </c>
      <c r="U36" s="25">
        <f>VLOOKUP($D36,Résultats!$B$2:$AZ$251,U$2,FALSE)</f>
        <v>21.424431429999998</v>
      </c>
      <c r="V36" s="25">
        <f>VLOOKUP($D36,Résultats!$B$2:$AZ$251,V$2,FALSE)</f>
        <v>12.8302953</v>
      </c>
      <c r="W36" s="25">
        <f>VLOOKUP($D36,Résultats!$B$2:$AZ$251,W$2,FALSE)</f>
        <v>7.2618528470000001</v>
      </c>
      <c r="X36" s="25">
        <f>VLOOKUP($D36,Résultats!$B$2:$AZ$251,X$2,FALSE)</f>
        <v>3.9490268419999999</v>
      </c>
      <c r="Y36" s="25">
        <f>VLOOKUP($D36,Résultats!$B$2:$AZ$251,Y$2,FALSE)</f>
        <v>2.1419814920000002</v>
      </c>
      <c r="Z36" s="25">
        <f>VLOOKUP($D36,Résultats!$B$2:$AZ$251,Z$2,FALSE)</f>
        <v>1.1368474959999999</v>
      </c>
      <c r="AA36" s="25">
        <f>VLOOKUP($D36,Résultats!$B$2:$AZ$251,AA$2,FALSE)</f>
        <v>0.59312933629999998</v>
      </c>
      <c r="AB36" s="25">
        <f>VLOOKUP($D36,Résultats!$B$2:$AZ$251,AB$2,FALSE)</f>
        <v>0.30757295439999999</v>
      </c>
      <c r="AC36" s="25">
        <f>VLOOKUP($D36,Résultats!$B$2:$AZ$251,AC$2,FALSE)</f>
        <v>0.15813930239999999</v>
      </c>
      <c r="AD36" s="25">
        <f>VLOOKUP($D36,Résultats!$B$2:$AZ$251,AD$2,FALSE)</f>
        <v>8.1132012200000006E-2</v>
      </c>
      <c r="AE36" s="25">
        <f>VLOOKUP($D36,Résultats!$B$2:$AZ$251,AE$2,FALSE)</f>
        <v>4.1621967099999997E-2</v>
      </c>
      <c r="AF36" s="25">
        <f>VLOOKUP($D36,Résultats!$B$2:$AZ$251,AF$2,FALSE)</f>
        <v>2.12359687E-2</v>
      </c>
      <c r="AG36" s="25">
        <f>VLOOKUP($D36,Résultats!$B$2:$AZ$251,AG$2,FALSE)</f>
        <v>1.0822403499999999E-2</v>
      </c>
      <c r="AH36" s="25">
        <f>VLOOKUP($D36,Résultats!$B$2:$AZ$251,AH$2,FALSE)</f>
        <v>6.0346117200000002E-3</v>
      </c>
      <c r="AI36" s="25">
        <f>VLOOKUP($D36,Résultats!$B$2:$AZ$251,AI$2,FALSE)</f>
        <v>3.1093083700000001E-3</v>
      </c>
      <c r="AJ36" s="25">
        <f>VLOOKUP($D36,Résultats!$B$2:$AZ$251,AJ$2,FALSE)</f>
        <v>1.5937664299999999E-3</v>
      </c>
      <c r="AK36" s="25">
        <f>VLOOKUP($D36,Résultats!$B$2:$AZ$251,AK$2,FALSE)</f>
        <v>8.1513660700000001E-4</v>
      </c>
      <c r="AL36" s="25">
        <f>VLOOKUP($D36,Résultats!$B$2:$AZ$251,AL$2,FALSE)</f>
        <v>4.15592475E-4</v>
      </c>
      <c r="AM36" s="102">
        <f>VLOOKUP($D36,Résultats!$B$2:$AZ$251,AM$2,FALSE)</f>
        <v>2.0941052500000001E-4</v>
      </c>
    </row>
    <row r="37" spans="2:39" x14ac:dyDescent="0.25">
      <c r="C37" s="218" t="s">
        <v>28</v>
      </c>
      <c r="D37" s="3" t="s">
        <v>152</v>
      </c>
      <c r="E37" s="25">
        <f>VLOOKUP($D37,Résultats!$B$2:$AZ$251,E$2,FALSE)</f>
        <v>427.14</v>
      </c>
      <c r="F37" s="25">
        <f>VLOOKUP($D37,Résultats!$B$2:$AZ$251,F$2,FALSE)</f>
        <v>358.60693179999998</v>
      </c>
      <c r="G37" s="25">
        <f>VLOOKUP($D37,Résultats!$B$2:$AZ$251,G$2,FALSE)</f>
        <v>400.48548290000002</v>
      </c>
      <c r="H37" s="25">
        <f>VLOOKUP($D37,Résultats!$B$2:$AZ$251,H$2,FALSE)</f>
        <v>405.85389290000001</v>
      </c>
      <c r="I37" s="25">
        <f>VLOOKUP($D37,Résultats!$B$2:$AZ$251,I$2,FALSE)</f>
        <v>402.77380390000002</v>
      </c>
      <c r="J37" s="25">
        <f>VLOOKUP($D37,Résultats!$B$2:$AZ$251,J$2,FALSE)</f>
        <v>356.52762319999999</v>
      </c>
      <c r="K37" s="25">
        <f>VLOOKUP($D37,Résultats!$B$2:$AZ$251,K$2,FALSE)</f>
        <v>385.61902559999999</v>
      </c>
      <c r="L37" s="25">
        <f>VLOOKUP($D37,Résultats!$B$2:$AZ$251,L$2,FALSE)</f>
        <v>399.3427173</v>
      </c>
      <c r="M37" s="25">
        <f>VLOOKUP($D37,Résultats!$B$2:$AZ$251,M$2,FALSE)</f>
        <v>367.90689880000002</v>
      </c>
      <c r="N37" s="25">
        <f>VLOOKUP($D37,Résultats!$B$2:$AZ$251,N$2,FALSE)</f>
        <v>339.68091440000001</v>
      </c>
      <c r="O37" s="25">
        <f>VLOOKUP($D37,Résultats!$B$2:$AZ$251,O$2,FALSE)</f>
        <v>304.08469100000002</v>
      </c>
      <c r="P37" s="25">
        <f>VLOOKUP($D37,Résultats!$B$2:$AZ$251,P$2,FALSE)</f>
        <v>266.44860130000001</v>
      </c>
      <c r="Q37" s="25">
        <f>VLOOKUP($D37,Résultats!$B$2:$AZ$251,Q$2,FALSE)</f>
        <v>222.05325970000001</v>
      </c>
      <c r="R37" s="25">
        <f>VLOOKUP($D37,Résultats!$B$2:$AZ$251,R$2,FALSE)</f>
        <v>173.08694130000001</v>
      </c>
      <c r="S37" s="25">
        <f>VLOOKUP($D37,Résultats!$B$2:$AZ$251,S$2,FALSE)</f>
        <v>125.94369639999999</v>
      </c>
      <c r="T37" s="25">
        <f>VLOOKUP($D37,Résultats!$B$2:$AZ$251,T$2,FALSE)</f>
        <v>84.595132960000001</v>
      </c>
      <c r="U37" s="25">
        <f>VLOOKUP($D37,Résultats!$B$2:$AZ$251,U$2,FALSE)</f>
        <v>52.804100740000003</v>
      </c>
      <c r="V37" s="25">
        <f>VLOOKUP($D37,Résultats!$B$2:$AZ$251,V$2,FALSE)</f>
        <v>30.580345690000001</v>
      </c>
      <c r="W37" s="25">
        <f>VLOOKUP($D37,Résultats!$B$2:$AZ$251,W$2,FALSE)</f>
        <v>16.731816800000001</v>
      </c>
      <c r="X37" s="25">
        <f>VLOOKUP($D37,Résultats!$B$2:$AZ$251,X$2,FALSE)</f>
        <v>8.8002385299999997</v>
      </c>
      <c r="Y37" s="25">
        <f>VLOOKUP($D37,Résultats!$B$2:$AZ$251,Y$2,FALSE)</f>
        <v>4.6423236619999999</v>
      </c>
      <c r="Z37" s="25">
        <f>VLOOKUP($D37,Résultats!$B$2:$AZ$251,Z$2,FALSE)</f>
        <v>2.394855143</v>
      </c>
      <c r="AA37" s="25">
        <f>VLOOKUP($D37,Résultats!$B$2:$AZ$251,AA$2,FALSE)</f>
        <v>1.2129091030000001</v>
      </c>
      <c r="AB37" s="25">
        <f>VLOOKUP($D37,Résultats!$B$2:$AZ$251,AB$2,FALSE)</f>
        <v>0.61076839819999995</v>
      </c>
      <c r="AC37" s="25">
        <f>VLOOKUP($D37,Résultats!$B$2:$AZ$251,AC$2,FALSE)</f>
        <v>0.3051170171</v>
      </c>
      <c r="AD37" s="25">
        <f>VLOOKUP($D37,Résultats!$B$2:$AZ$251,AD$2,FALSE)</f>
        <v>0.15164364189999999</v>
      </c>
      <c r="AE37" s="25">
        <f>VLOOKUP($D37,Résultats!$B$2:$AZ$251,AE$2,FALSE)</f>
        <v>7.5516743799999994E-2</v>
      </c>
      <c r="AF37" s="25">
        <f>VLOOKUP($D37,Résultats!$B$2:$AZ$251,AF$2,FALSE)</f>
        <v>3.74367954E-2</v>
      </c>
      <c r="AG37" s="25">
        <f>VLOOKUP($D37,Résultats!$B$2:$AZ$251,AG$2,FALSE)</f>
        <v>1.85227146E-2</v>
      </c>
      <c r="AH37" s="25">
        <f>VLOOKUP($D37,Résultats!$B$2:$AZ$251,AH$2,FALSE)</f>
        <v>9.5421880300000008E-3</v>
      </c>
      <c r="AI37" s="25">
        <f>VLOOKUP($D37,Résultats!$B$2:$AZ$251,AI$2,FALSE)</f>
        <v>4.7791807599999996E-3</v>
      </c>
      <c r="AJ37" s="25">
        <f>VLOOKUP($D37,Résultats!$B$2:$AZ$251,AJ$2,FALSE)</f>
        <v>2.3786266200000001E-3</v>
      </c>
      <c r="AK37" s="25">
        <f>VLOOKUP($D37,Résultats!$B$2:$AZ$251,AK$2,FALSE)</f>
        <v>1.1820886E-3</v>
      </c>
      <c r="AL37" s="25">
        <f>VLOOKUP($D37,Résultats!$B$2:$AZ$251,AL$2,FALSE)</f>
        <v>5.8587563E-4</v>
      </c>
      <c r="AM37" s="102">
        <f>VLOOKUP($D37,Résultats!$B$2:$AZ$251,AM$2,FALSE)</f>
        <v>2.8679074499999999E-4</v>
      </c>
    </row>
    <row r="38" spans="2:39" x14ac:dyDescent="0.25">
      <c r="C38" s="218" t="s">
        <v>29</v>
      </c>
      <c r="D38" s="3" t="s">
        <v>153</v>
      </c>
      <c r="E38" s="25">
        <f>VLOOKUP($D38,Résultats!$B$2:$AZ$251,E$2,FALSE)</f>
        <v>673.93200000000002</v>
      </c>
      <c r="F38" s="25">
        <f>VLOOKUP($D38,Résultats!$B$2:$AZ$251,F$2,FALSE)</f>
        <v>551.01315360000001</v>
      </c>
      <c r="G38" s="25">
        <f>VLOOKUP($D38,Résultats!$B$2:$AZ$251,G$2,FALSE)</f>
        <v>613.85121979999997</v>
      </c>
      <c r="H38" s="25">
        <f>VLOOKUP($D38,Résultats!$B$2:$AZ$251,H$2,FALSE)</f>
        <v>619.37336749999997</v>
      </c>
      <c r="I38" s="25">
        <f>VLOOKUP($D38,Résultats!$B$2:$AZ$251,I$2,FALSE)</f>
        <v>598.60826770000006</v>
      </c>
      <c r="J38" s="25">
        <f>VLOOKUP($D38,Résultats!$B$2:$AZ$251,J$2,FALSE)</f>
        <v>534.47118450000005</v>
      </c>
      <c r="K38" s="25">
        <f>VLOOKUP($D38,Résultats!$B$2:$AZ$251,K$2,FALSE)</f>
        <v>558.11238909999997</v>
      </c>
      <c r="L38" s="25">
        <f>VLOOKUP($D38,Résultats!$B$2:$AZ$251,L$2,FALSE)</f>
        <v>568.33925810000005</v>
      </c>
      <c r="M38" s="25">
        <f>VLOOKUP($D38,Résultats!$B$2:$AZ$251,M$2,FALSE)</f>
        <v>520.41795030000003</v>
      </c>
      <c r="N38" s="25">
        <f>VLOOKUP($D38,Résultats!$B$2:$AZ$251,N$2,FALSE)</f>
        <v>477.74302089999998</v>
      </c>
      <c r="O38" s="25">
        <f>VLOOKUP($D38,Résultats!$B$2:$AZ$251,O$2,FALSE)</f>
        <v>424.93900289999999</v>
      </c>
      <c r="P38" s="25">
        <f>VLOOKUP($D38,Résultats!$B$2:$AZ$251,P$2,FALSE)</f>
        <v>370.36938020000002</v>
      </c>
      <c r="Q38" s="25">
        <f>VLOOKUP($D38,Résultats!$B$2:$AZ$251,Q$2,FALSE)</f>
        <v>307.20563759999999</v>
      </c>
      <c r="R38" s="25">
        <f>VLOOKUP($D38,Résultats!$B$2:$AZ$251,R$2,FALSE)</f>
        <v>238.19196819999999</v>
      </c>
      <c r="S38" s="25">
        <f>VLOOKUP($D38,Résultats!$B$2:$AZ$251,S$2,FALSE)</f>
        <v>172.3014014</v>
      </c>
      <c r="T38" s="25">
        <f>VLOOKUP($D38,Résultats!$B$2:$AZ$251,T$2,FALSE)</f>
        <v>115.07854469999999</v>
      </c>
      <c r="U38" s="25">
        <f>VLOOKUP($D38,Résultats!$B$2:$AZ$251,U$2,FALSE)</f>
        <v>71.452087140000003</v>
      </c>
      <c r="V38" s="25">
        <f>VLOOKUP($D38,Résultats!$B$2:$AZ$251,V$2,FALSE)</f>
        <v>41.143788960000002</v>
      </c>
      <c r="W38" s="25">
        <f>VLOOKUP($D38,Résultats!$B$2:$AZ$251,W$2,FALSE)</f>
        <v>22.372596049999999</v>
      </c>
      <c r="X38" s="25">
        <f>VLOOKUP($D38,Résultats!$B$2:$AZ$251,X$2,FALSE)</f>
        <v>11.69078451</v>
      </c>
      <c r="Y38" s="25">
        <f>VLOOKUP($D38,Résultats!$B$2:$AZ$251,Y$2,FALSE)</f>
        <v>6.1300520909999996</v>
      </c>
      <c r="Z38" s="25">
        <f>VLOOKUP($D38,Résultats!$B$2:$AZ$251,Z$2,FALSE)</f>
        <v>3.1420540699999999</v>
      </c>
      <c r="AA38" s="25">
        <f>VLOOKUP($D38,Résultats!$B$2:$AZ$251,AA$2,FALSE)</f>
        <v>1.5802411350000001</v>
      </c>
      <c r="AB38" s="25">
        <f>VLOOKUP($D38,Résultats!$B$2:$AZ$251,AB$2,FALSE)</f>
        <v>0.79003960129999995</v>
      </c>
      <c r="AC38" s="25">
        <f>VLOOKUP($D38,Résultats!$B$2:$AZ$251,AC$2,FALSE)</f>
        <v>0.39180804320000001</v>
      </c>
      <c r="AD38" s="25">
        <f>VLOOKUP($D38,Résultats!$B$2:$AZ$251,AD$2,FALSE)</f>
        <v>0.19346656540000001</v>
      </c>
      <c r="AE38" s="25">
        <f>VLOOKUP($D38,Résultats!$B$2:$AZ$251,AE$2,FALSE)</f>
        <v>9.5749847200000002E-2</v>
      </c>
      <c r="AF38" s="25">
        <f>VLOOKUP($D38,Résultats!$B$2:$AZ$251,AF$2,FALSE)</f>
        <v>4.71803711E-2</v>
      </c>
      <c r="AG38" s="25">
        <f>VLOOKUP($D38,Résultats!$B$2:$AZ$251,AG$2,FALSE)</f>
        <v>2.3192069199999998E-2</v>
      </c>
      <c r="AH38" s="25">
        <f>VLOOKUP($D38,Résultats!$B$2:$AZ$251,AH$2,FALSE)</f>
        <v>1.16706034E-2</v>
      </c>
      <c r="AI38" s="25">
        <f>VLOOKUP($D38,Résultats!$B$2:$AZ$251,AI$2,FALSE)</f>
        <v>5.8087132999999997E-3</v>
      </c>
      <c r="AJ38" s="25">
        <f>VLOOKUP($D38,Résultats!$B$2:$AZ$251,AJ$2,FALSE)</f>
        <v>2.87155392E-3</v>
      </c>
      <c r="AK38" s="25">
        <f>VLOOKUP($D38,Résultats!$B$2:$AZ$251,AK$2,FALSE)</f>
        <v>1.4175796599999999E-3</v>
      </c>
      <c r="AL38" s="25">
        <f>VLOOKUP($D38,Résultats!$B$2:$AZ$251,AL$2,FALSE)</f>
        <v>6.97940075E-4</v>
      </c>
      <c r="AM38" s="102">
        <f>VLOOKUP($D38,Résultats!$B$2:$AZ$251,AM$2,FALSE)</f>
        <v>3.3925606399999998E-4</v>
      </c>
    </row>
    <row r="39" spans="2:39" x14ac:dyDescent="0.25">
      <c r="C39" s="218" t="s">
        <v>30</v>
      </c>
      <c r="D39" s="3" t="s">
        <v>154</v>
      </c>
      <c r="E39" s="25">
        <f>VLOOKUP($D39,Résultats!$B$2:$AZ$251,E$2,FALSE)</f>
        <v>664.44</v>
      </c>
      <c r="F39" s="25">
        <f>VLOOKUP($D39,Résultats!$B$2:$AZ$251,F$2,FALSE)</f>
        <v>531.93597209999996</v>
      </c>
      <c r="G39" s="25">
        <f>VLOOKUP($D39,Résultats!$B$2:$AZ$251,G$2,FALSE)</f>
        <v>589.18393079999998</v>
      </c>
      <c r="H39" s="25">
        <f>VLOOKUP($D39,Résultats!$B$2:$AZ$251,H$2,FALSE)</f>
        <v>595.76124589999995</v>
      </c>
      <c r="I39" s="25">
        <f>VLOOKUP($D39,Résultats!$B$2:$AZ$251,I$2,FALSE)</f>
        <v>563.4232366</v>
      </c>
      <c r="J39" s="25">
        <f>VLOOKUP($D39,Résultats!$B$2:$AZ$251,J$2,FALSE)</f>
        <v>515.06818950000002</v>
      </c>
      <c r="K39" s="25">
        <f>VLOOKUP($D39,Résultats!$B$2:$AZ$251,K$2,FALSE)</f>
        <v>528.33009270000002</v>
      </c>
      <c r="L39" s="25">
        <f>VLOOKUP($D39,Résultats!$B$2:$AZ$251,L$2,FALSE)</f>
        <v>533.39180810000005</v>
      </c>
      <c r="M39" s="25">
        <f>VLOOKUP($D39,Résultats!$B$2:$AZ$251,M$2,FALSE)</f>
        <v>486.76385499999998</v>
      </c>
      <c r="N39" s="25">
        <f>VLOOKUP($D39,Résultats!$B$2:$AZ$251,N$2,FALSE)</f>
        <v>445.37924889999999</v>
      </c>
      <c r="O39" s="25">
        <f>VLOOKUP($D39,Résultats!$B$2:$AZ$251,O$2,FALSE)</f>
        <v>394.79525719999998</v>
      </c>
      <c r="P39" s="25">
        <f>VLOOKUP($D39,Résultats!$B$2:$AZ$251,P$2,FALSE)</f>
        <v>343.11092810000002</v>
      </c>
      <c r="Q39" s="25">
        <f>VLOOKUP($D39,Résultats!$B$2:$AZ$251,Q$2,FALSE)</f>
        <v>283.86498949999998</v>
      </c>
      <c r="R39" s="25">
        <f>VLOOKUP($D39,Résultats!$B$2:$AZ$251,R$2,FALSE)</f>
        <v>219.4067325</v>
      </c>
      <c r="S39" s="25">
        <f>VLOOKUP($D39,Résultats!$B$2:$AZ$251,S$2,FALSE)</f>
        <v>158.16560620000001</v>
      </c>
      <c r="T39" s="25">
        <f>VLOOKUP($D39,Résultats!$B$2:$AZ$251,T$2,FALSE)</f>
        <v>105.3019134</v>
      </c>
      <c r="U39" s="25">
        <f>VLOOKUP($D39,Résultats!$B$2:$AZ$251,U$2,FALSE)</f>
        <v>65.187305460000005</v>
      </c>
      <c r="V39" s="25">
        <f>VLOOKUP($D39,Résultats!$B$2:$AZ$251,V$2,FALSE)</f>
        <v>37.416397949999997</v>
      </c>
      <c r="W39" s="25">
        <f>VLOOKUP($D39,Résultats!$B$2:$AZ$251,W$2,FALSE)</f>
        <v>20.275672920000002</v>
      </c>
      <c r="X39" s="25">
        <f>VLOOKUP($D39,Résultats!$B$2:$AZ$251,X$2,FALSE)</f>
        <v>10.55681145</v>
      </c>
      <c r="Y39" s="25">
        <f>VLOOKUP($D39,Résultats!$B$2:$AZ$251,Y$2,FALSE)</f>
        <v>5.517133802</v>
      </c>
      <c r="Z39" s="25">
        <f>VLOOKUP($D39,Résultats!$B$2:$AZ$251,Z$2,FALSE)</f>
        <v>2.8179187099999998</v>
      </c>
      <c r="AA39" s="25">
        <f>VLOOKUP($D39,Résultats!$B$2:$AZ$251,AA$2,FALSE)</f>
        <v>1.4117878720000001</v>
      </c>
      <c r="AB39" s="25">
        <f>VLOOKUP($D39,Résultats!$B$2:$AZ$251,AB$2,FALSE)</f>
        <v>0.7030419255</v>
      </c>
      <c r="AC39" s="25">
        <f>VLOOKUP($D39,Résultats!$B$2:$AZ$251,AC$2,FALSE)</f>
        <v>0.34727167060000003</v>
      </c>
      <c r="AD39" s="25">
        <f>VLOOKUP($D39,Résultats!$B$2:$AZ$251,AD$2,FALSE)</f>
        <v>0.1708377425</v>
      </c>
      <c r="AE39" s="25">
        <f>VLOOKUP($D39,Résultats!$B$2:$AZ$251,AE$2,FALSE)</f>
        <v>8.4251268300000001E-2</v>
      </c>
      <c r="AF39" s="25">
        <f>VLOOKUP($D39,Résultats!$B$2:$AZ$251,AF$2,FALSE)</f>
        <v>4.1370551499999998E-2</v>
      </c>
      <c r="AG39" s="25">
        <f>VLOOKUP($D39,Résultats!$B$2:$AZ$251,AG$2,FALSE)</f>
        <v>2.0260967500000001E-2</v>
      </c>
      <c r="AH39" s="25">
        <f>VLOOKUP($D39,Résultats!$B$2:$AZ$251,AH$2,FALSE)</f>
        <v>1.00672443E-2</v>
      </c>
      <c r="AI39" s="25">
        <f>VLOOKUP($D39,Résultats!$B$2:$AZ$251,AI$2,FALSE)</f>
        <v>4.9929728400000001E-3</v>
      </c>
      <c r="AJ39" s="25">
        <f>VLOOKUP($D39,Résultats!$B$2:$AZ$251,AJ$2,FALSE)</f>
        <v>2.45897563E-3</v>
      </c>
      <c r="AK39" s="25">
        <f>VLOOKUP($D39,Résultats!$B$2:$AZ$251,AK$2,FALSE)</f>
        <v>1.20942221E-3</v>
      </c>
      <c r="AL39" s="25">
        <f>VLOOKUP($D39,Résultats!$B$2:$AZ$251,AL$2,FALSE)</f>
        <v>5.9328165499999996E-4</v>
      </c>
      <c r="AM39" s="102">
        <f>VLOOKUP($D39,Résultats!$B$2:$AZ$251,AM$2,FALSE)</f>
        <v>2.8728640599999999E-4</v>
      </c>
    </row>
    <row r="40" spans="2:39" x14ac:dyDescent="0.25">
      <c r="C40" s="218" t="s">
        <v>31</v>
      </c>
      <c r="D40" s="3" t="s">
        <v>155</v>
      </c>
      <c r="E40" s="25">
        <f>VLOOKUP($D40,Résultats!$B$2:$AZ$251,E$2,FALSE)</f>
        <v>427.14</v>
      </c>
      <c r="F40" s="25">
        <f>VLOOKUP($D40,Résultats!$B$2:$AZ$251,F$2,FALSE)</f>
        <v>328.35249779999998</v>
      </c>
      <c r="G40" s="25">
        <f>VLOOKUP($D40,Résultats!$B$2:$AZ$251,G$2,FALSE)</f>
        <v>355.88417950000002</v>
      </c>
      <c r="H40" s="25">
        <f>VLOOKUP($D40,Résultats!$B$2:$AZ$251,H$2,FALSE)</f>
        <v>352.91837520000001</v>
      </c>
      <c r="I40" s="25">
        <f>VLOOKUP($D40,Résultats!$B$2:$AZ$251,I$2,FALSE)</f>
        <v>314.30628539999998</v>
      </c>
      <c r="J40" s="25">
        <f>VLOOKUP($D40,Résultats!$B$2:$AZ$251,J$2,FALSE)</f>
        <v>300.1291617</v>
      </c>
      <c r="K40" s="25">
        <f>VLOOKUP($D40,Résultats!$B$2:$AZ$251,K$2,FALSE)</f>
        <v>281.98261939999998</v>
      </c>
      <c r="L40" s="25">
        <f>VLOOKUP($D40,Résultats!$B$2:$AZ$251,L$2,FALSE)</f>
        <v>276.99009719999998</v>
      </c>
      <c r="M40" s="25">
        <f>VLOOKUP($D40,Résultats!$B$2:$AZ$251,M$2,FALSE)</f>
        <v>250.24386250000001</v>
      </c>
      <c r="N40" s="25">
        <f>VLOOKUP($D40,Résultats!$B$2:$AZ$251,N$2,FALSE)</f>
        <v>226.8015202</v>
      </c>
      <c r="O40" s="25">
        <f>VLOOKUP($D40,Résultats!$B$2:$AZ$251,O$2,FALSE)</f>
        <v>198.962469</v>
      </c>
      <c r="P40" s="25">
        <f>VLOOKUP($D40,Résultats!$B$2:$AZ$251,P$2,FALSE)</f>
        <v>171.4403648</v>
      </c>
      <c r="Q40" s="25">
        <f>VLOOKUP($D40,Résultats!$B$2:$AZ$251,Q$2,FALSE)</f>
        <v>140.76833809999999</v>
      </c>
      <c r="R40" s="25">
        <f>VLOOKUP($D40,Résultats!$B$2:$AZ$251,R$2,FALSE)</f>
        <v>107.8696092</v>
      </c>
      <c r="S40" s="25">
        <f>VLOOKUP($D40,Résultats!$B$2:$AZ$251,S$2,FALSE)</f>
        <v>77.032002039999995</v>
      </c>
      <c r="T40" s="25">
        <f>VLOOKUP($D40,Résultats!$B$2:$AZ$251,T$2,FALSE)</f>
        <v>50.832465159999998</v>
      </c>
      <c r="U40" s="25">
        <f>VLOOKUP($D40,Résultats!$B$2:$AZ$251,U$2,FALSE)</f>
        <v>31.211240719999999</v>
      </c>
      <c r="V40" s="25">
        <f>VLOOKUP($D40,Résultats!$B$2:$AZ$251,V$2,FALSE)</f>
        <v>17.759411400000001</v>
      </c>
      <c r="W40" s="25">
        <f>VLOOKUP($D40,Résultats!$B$2:$AZ$251,W$2,FALSE)</f>
        <v>9.5350642190000006</v>
      </c>
      <c r="X40" s="25">
        <f>VLOOKUP($D40,Résultats!$B$2:$AZ$251,X$2,FALSE)</f>
        <v>4.9175175280000003</v>
      </c>
      <c r="Y40" s="25">
        <f>VLOOKUP($D40,Résultats!$B$2:$AZ$251,Y$2,FALSE)</f>
        <v>2.5478840260000002</v>
      </c>
      <c r="Z40" s="25">
        <f>VLOOKUP($D40,Résultats!$B$2:$AZ$251,Z$2,FALSE)</f>
        <v>1.289700912</v>
      </c>
      <c r="AA40" s="25">
        <f>VLOOKUP($D40,Résultats!$B$2:$AZ$251,AA$2,FALSE)</f>
        <v>0.64001989690000005</v>
      </c>
      <c r="AB40" s="25">
        <f>VLOOKUP($D40,Résultats!$B$2:$AZ$251,AB$2,FALSE)</f>
        <v>0.31570632240000002</v>
      </c>
      <c r="AC40" s="25">
        <f>VLOOKUP($D40,Résultats!$B$2:$AZ$251,AC$2,FALSE)</f>
        <v>0.1545016665</v>
      </c>
      <c r="AD40" s="25">
        <f>VLOOKUP($D40,Résultats!$B$2:$AZ$251,AD$2,FALSE)</f>
        <v>7.5397246200000004E-2</v>
      </c>
      <c r="AE40" s="25">
        <f>VLOOKUP($D40,Résultats!$B$2:$AZ$251,AE$2,FALSE)</f>
        <v>3.6910709899999998E-2</v>
      </c>
      <c r="AF40" s="25">
        <f>VLOOKUP($D40,Résultats!$B$2:$AZ$251,AF$2,FALSE)</f>
        <v>1.7999545499999998E-2</v>
      </c>
      <c r="AG40" s="25">
        <f>VLOOKUP($D40,Résultats!$B$2:$AZ$251,AG$2,FALSE)</f>
        <v>8.7527628800000007E-3</v>
      </c>
      <c r="AH40" s="25">
        <f>VLOOKUP($D40,Résultats!$B$2:$AZ$251,AH$2,FALSE)</f>
        <v>4.2508131400000003E-3</v>
      </c>
      <c r="AI40" s="25">
        <f>VLOOKUP($D40,Résultats!$B$2:$AZ$251,AI$2,FALSE)</f>
        <v>2.0972948300000001E-3</v>
      </c>
      <c r="AJ40" s="25">
        <f>VLOOKUP($D40,Résultats!$B$2:$AZ$251,AJ$2,FALSE)</f>
        <v>1.02753662E-3</v>
      </c>
      <c r="AK40" s="25">
        <f>VLOOKUP($D40,Résultats!$B$2:$AZ$251,AK$2,FALSE)</f>
        <v>5.0303070400000002E-4</v>
      </c>
      <c r="AL40" s="25">
        <f>VLOOKUP($D40,Résultats!$B$2:$AZ$251,AL$2,FALSE)</f>
        <v>2.45729063E-4</v>
      </c>
      <c r="AM40" s="102">
        <f>VLOOKUP($D40,Résultats!$B$2:$AZ$251,AM$2,FALSE)</f>
        <v>1.18521807E-4</v>
      </c>
    </row>
    <row r="41" spans="2:39" x14ac:dyDescent="0.25">
      <c r="C41" s="218" t="s">
        <v>32</v>
      </c>
      <c r="D41" s="3" t="s">
        <v>156</v>
      </c>
      <c r="E41" s="25">
        <f>VLOOKUP($D41,Résultats!$B$2:$AZ$251,E$2,FALSE)</f>
        <v>142.38</v>
      </c>
      <c r="F41" s="25">
        <f>VLOOKUP($D41,Résultats!$B$2:$AZ$251,F$2,FALSE)</f>
        <v>93.454703420000001</v>
      </c>
      <c r="G41" s="25">
        <f>VLOOKUP($D41,Résultats!$B$2:$AZ$251,G$2,FALSE)</f>
        <v>105.8532251</v>
      </c>
      <c r="H41" s="25">
        <f>VLOOKUP($D41,Résultats!$B$2:$AZ$251,H$2,FALSE)</f>
        <v>101.6257706</v>
      </c>
      <c r="I41" s="25">
        <f>VLOOKUP($D41,Résultats!$B$2:$AZ$251,I$2,FALSE)</f>
        <v>80.635424860000001</v>
      </c>
      <c r="J41" s="25">
        <f>VLOOKUP($D41,Résultats!$B$2:$AZ$251,J$2,FALSE)</f>
        <v>52.652678829999999</v>
      </c>
      <c r="K41" s="25">
        <f>VLOOKUP($D41,Résultats!$B$2:$AZ$251,K$2,FALSE)</f>
        <v>38.602101679999997</v>
      </c>
      <c r="L41" s="25">
        <f>VLOOKUP($D41,Résultats!$B$2:$AZ$251,L$2,FALSE)</f>
        <v>33.621458310000001</v>
      </c>
      <c r="M41" s="25">
        <f>VLOOKUP($D41,Résultats!$B$2:$AZ$251,M$2,FALSE)</f>
        <v>29.02795982</v>
      </c>
      <c r="N41" s="25">
        <f>VLOOKUP($D41,Résultats!$B$2:$AZ$251,N$2,FALSE)</f>
        <v>25.188797229999999</v>
      </c>
      <c r="O41" s="25">
        <f>VLOOKUP($D41,Résultats!$B$2:$AZ$251,O$2,FALSE)</f>
        <v>21.067769810000001</v>
      </c>
      <c r="P41" s="25">
        <f>VLOOKUP($D41,Résultats!$B$2:$AZ$251,P$2,FALSE)</f>
        <v>17.44707305</v>
      </c>
      <c r="Q41" s="25">
        <f>VLOOKUP($D41,Résultats!$B$2:$AZ$251,Q$2,FALSE)</f>
        <v>13.82787514</v>
      </c>
      <c r="R41" s="25">
        <f>VLOOKUP($D41,Résultats!$B$2:$AZ$251,R$2,FALSE)</f>
        <v>10.16830854</v>
      </c>
      <c r="S41" s="25">
        <f>VLOOKUP($D41,Résultats!$B$2:$AZ$251,S$2,FALSE)</f>
        <v>6.9384066659999997</v>
      </c>
      <c r="T41" s="25">
        <f>VLOOKUP($D41,Résultats!$B$2:$AZ$251,T$2,FALSE)</f>
        <v>4.386640614</v>
      </c>
      <c r="U41" s="25">
        <f>VLOOKUP($D41,Résultats!$B$2:$AZ$251,U$2,FALSE)</f>
        <v>2.5882534239999999</v>
      </c>
      <c r="V41" s="25">
        <f>VLOOKUP($D41,Résultats!$B$2:$AZ$251,V$2,FALSE)</f>
        <v>1.4113821150000001</v>
      </c>
      <c r="W41" s="25">
        <f>VLOOKUP($D41,Résultats!$B$2:$AZ$251,W$2,FALSE)</f>
        <v>0.72411915930000004</v>
      </c>
      <c r="X41" s="25">
        <f>VLOOKUP($D41,Résultats!$B$2:$AZ$251,X$2,FALSE)</f>
        <v>0.35632645950000003</v>
      </c>
      <c r="Y41" s="25">
        <f>VLOOKUP($D41,Résultats!$B$2:$AZ$251,Y$2,FALSE)</f>
        <v>0.17694021600000001</v>
      </c>
      <c r="Z41" s="25">
        <f>VLOOKUP($D41,Résultats!$B$2:$AZ$251,Z$2,FALSE)</f>
        <v>8.5678227999999995E-2</v>
      </c>
      <c r="AA41" s="25">
        <f>VLOOKUP($D41,Résultats!$B$2:$AZ$251,AA$2,FALSE)</f>
        <v>4.0566126600000002E-2</v>
      </c>
      <c r="AB41" s="25">
        <f>VLOOKUP($D41,Résultats!$B$2:$AZ$251,AB$2,FALSE)</f>
        <v>1.9095994299999999E-2</v>
      </c>
      <c r="AC41" s="25">
        <f>VLOOKUP($D41,Résultats!$B$2:$AZ$251,AC$2,FALSE)</f>
        <v>8.9280522500000004E-3</v>
      </c>
      <c r="AD41" s="25">
        <f>VLOOKUP($D41,Résultats!$B$2:$AZ$251,AD$2,FALSE)</f>
        <v>4.1845160899999997E-3</v>
      </c>
      <c r="AE41" s="25">
        <f>VLOOKUP($D41,Résultats!$B$2:$AZ$251,AE$2,FALSE)</f>
        <v>1.9743283499999999E-3</v>
      </c>
      <c r="AF41" s="25">
        <f>VLOOKUP($D41,Résultats!$B$2:$AZ$251,AF$2,FALSE)</f>
        <v>9.3002156899999995E-4</v>
      </c>
      <c r="AG41" s="25">
        <f>VLOOKUP($D41,Résultats!$B$2:$AZ$251,AG$2,FALSE)</f>
        <v>4.3659309699999998E-4</v>
      </c>
      <c r="AH41" s="25">
        <f>VLOOKUP($D41,Résultats!$B$2:$AZ$251,AH$2,FALSE)</f>
        <v>1.90659545E-4</v>
      </c>
      <c r="AI41" s="25">
        <f>VLOOKUP($D41,Résultats!$B$2:$AZ$251,AI$2,FALSE)</f>
        <v>9.1744167500000003E-5</v>
      </c>
      <c r="AJ41" s="25">
        <f>VLOOKUP($D41,Résultats!$B$2:$AZ$251,AJ$2,FALSE)</f>
        <v>4.3856431899999998E-5</v>
      </c>
      <c r="AK41" s="25">
        <f>VLOOKUP($D41,Résultats!$B$2:$AZ$251,AK$2,FALSE)</f>
        <v>2.1004514299999998E-5</v>
      </c>
      <c r="AL41" s="25">
        <f>VLOOKUP($D41,Résultats!$B$2:$AZ$251,AL$2,FALSE)</f>
        <v>1.0061894299999999E-5</v>
      </c>
      <c r="AM41" s="102">
        <f>VLOOKUP($D41,Résultats!$B$2:$AZ$251,AM$2,FALSE)</f>
        <v>4.7656364999999996E-6</v>
      </c>
    </row>
    <row r="42" spans="2:39" x14ac:dyDescent="0.25">
      <c r="C42" s="219" t="s">
        <v>33</v>
      </c>
      <c r="D42" s="7" t="s">
        <v>157</v>
      </c>
      <c r="E42" s="57">
        <f>VLOOKUP($D42,Résultats!$B$2:$AZ$251,E$2,FALSE)</f>
        <v>35.594999999999999</v>
      </c>
      <c r="F42" s="57">
        <f>VLOOKUP($D42,Résultats!$B$2:$AZ$251,F$2,FALSE)</f>
        <v>18.643987039999999</v>
      </c>
      <c r="G42" s="57">
        <f>VLOOKUP($D42,Résultats!$B$2:$AZ$251,G$2,FALSE)</f>
        <v>21.106476839999999</v>
      </c>
      <c r="H42" s="57">
        <f>VLOOKUP($D42,Résultats!$B$2:$AZ$251,H$2,FALSE)</f>
        <v>17.049234670000001</v>
      </c>
      <c r="I42" s="57">
        <f>VLOOKUP($D42,Résultats!$B$2:$AZ$251,I$2,FALSE)</f>
        <v>11.028619320000001</v>
      </c>
      <c r="J42" s="57">
        <f>VLOOKUP($D42,Résultats!$B$2:$AZ$251,J$2,FALSE)</f>
        <v>3.7316537489999999</v>
      </c>
      <c r="K42" s="57">
        <f>VLOOKUP($D42,Résultats!$B$2:$AZ$251,K$2,FALSE)</f>
        <v>0</v>
      </c>
      <c r="L42" s="57">
        <f>VLOOKUP($D42,Résultats!$B$2:$AZ$251,L$2,FALSE)</f>
        <v>0</v>
      </c>
      <c r="M42" s="57">
        <f>VLOOKUP($D42,Résultats!$B$2:$AZ$251,M$2,FALSE)</f>
        <v>0</v>
      </c>
      <c r="N42" s="57">
        <f>VLOOKUP($D42,Résultats!$B$2:$AZ$251,N$2,FALSE)</f>
        <v>0</v>
      </c>
      <c r="O42" s="57">
        <f>VLOOKUP($D42,Résultats!$B$2:$AZ$251,O$2,FALSE)</f>
        <v>0</v>
      </c>
      <c r="P42" s="57">
        <f>VLOOKUP($D42,Résultats!$B$2:$AZ$251,P$2,FALSE)</f>
        <v>0</v>
      </c>
      <c r="Q42" s="57">
        <f>VLOOKUP($D42,Résultats!$B$2:$AZ$251,Q$2,FALSE)</f>
        <v>0</v>
      </c>
      <c r="R42" s="57">
        <f>VLOOKUP($D42,Résultats!$B$2:$AZ$251,R$2,FALSE)</f>
        <v>0</v>
      </c>
      <c r="S42" s="57">
        <f>VLOOKUP($D42,Résultats!$B$2:$AZ$251,S$2,FALSE)</f>
        <v>0</v>
      </c>
      <c r="T42" s="57">
        <f>VLOOKUP($D42,Résultats!$B$2:$AZ$251,T$2,FALSE)</f>
        <v>0</v>
      </c>
      <c r="U42" s="57">
        <f>VLOOKUP($D42,Résultats!$B$2:$AZ$251,U$2,FALSE)</f>
        <v>0</v>
      </c>
      <c r="V42" s="57">
        <f>VLOOKUP($D42,Résultats!$B$2:$AZ$251,V$2,FALSE)</f>
        <v>0</v>
      </c>
      <c r="W42" s="57">
        <f>VLOOKUP($D42,Résultats!$B$2:$AZ$251,W$2,FALSE)</f>
        <v>0</v>
      </c>
      <c r="X42" s="57">
        <f>VLOOKUP($D42,Résultats!$B$2:$AZ$251,X$2,FALSE)</f>
        <v>0</v>
      </c>
      <c r="Y42" s="57">
        <f>VLOOKUP($D42,Résultats!$B$2:$AZ$251,Y$2,FALSE)</f>
        <v>0</v>
      </c>
      <c r="Z42" s="57">
        <f>VLOOKUP($D42,Résultats!$B$2:$AZ$251,Z$2,FALSE)</f>
        <v>0</v>
      </c>
      <c r="AA42" s="57">
        <f>VLOOKUP($D42,Résultats!$B$2:$AZ$251,AA$2,FALSE)</f>
        <v>0</v>
      </c>
      <c r="AB42" s="57">
        <f>VLOOKUP($D42,Résultats!$B$2:$AZ$251,AB$2,FALSE)</f>
        <v>0</v>
      </c>
      <c r="AC42" s="57">
        <f>VLOOKUP($D42,Résultats!$B$2:$AZ$251,AC$2,FALSE)</f>
        <v>0</v>
      </c>
      <c r="AD42" s="57">
        <f>VLOOKUP($D42,Résultats!$B$2:$AZ$251,AD$2,FALSE)</f>
        <v>0</v>
      </c>
      <c r="AE42" s="57">
        <f>VLOOKUP($D42,Résultats!$B$2:$AZ$251,AE$2,FALSE)</f>
        <v>0</v>
      </c>
      <c r="AF42" s="57">
        <f>VLOOKUP($D42,Résultats!$B$2:$AZ$251,AF$2,FALSE)</f>
        <v>0</v>
      </c>
      <c r="AG42" s="57">
        <f>VLOOKUP($D42,Résultats!$B$2:$AZ$251,AG$2,FALSE)</f>
        <v>0</v>
      </c>
      <c r="AH42" s="57">
        <f>VLOOKUP($D42,Résultats!$B$2:$AZ$251,AH$2,FALSE)</f>
        <v>0</v>
      </c>
      <c r="AI42" s="57">
        <f>VLOOKUP($D42,Résultats!$B$2:$AZ$251,AI$2,FALSE)</f>
        <v>0</v>
      </c>
      <c r="AJ42" s="57">
        <f>VLOOKUP($D42,Résultats!$B$2:$AZ$251,AJ$2,FALSE)</f>
        <v>0</v>
      </c>
      <c r="AK42" s="57">
        <f>VLOOKUP($D42,Résultats!$B$2:$AZ$251,AK$2,FALSE)</f>
        <v>0</v>
      </c>
      <c r="AL42" s="57">
        <f>VLOOKUP($D42,Résultats!$B$2:$AZ$251,AL$2,FALSE)</f>
        <v>0</v>
      </c>
      <c r="AM42" s="215">
        <f>VLOOKUP($D42,Résultats!$B$2:$AZ$251,AM$2,FALSE)</f>
        <v>0</v>
      </c>
    </row>
    <row r="43" spans="2:39" x14ac:dyDescent="0.25">
      <c r="B43" s="229" t="s">
        <v>78</v>
      </c>
      <c r="C43" s="220" t="s">
        <v>463</v>
      </c>
      <c r="D43" s="58" t="s">
        <v>130</v>
      </c>
      <c r="E43" s="99">
        <f>VLOOKUP($D48,Résultats!$B$2:$AZ$212,E$2,FALSE)</f>
        <v>32001.800439999999</v>
      </c>
      <c r="F43" s="99">
        <f>VLOOKUP($D48,Résultats!$B$2:$AZ$212,F$2,FALSE)</f>
        <v>35911.307350000003</v>
      </c>
      <c r="G43" s="99">
        <f>VLOOKUP($D48,Résultats!$B$2:$AZ$212,G$2,FALSE)</f>
        <v>36708.886160000002</v>
      </c>
      <c r="H43" s="99">
        <f>VLOOKUP($D48,Résultats!$B$2:$AZ$212,H$2,FALSE)</f>
        <v>37113.743849999999</v>
      </c>
      <c r="I43" s="99">
        <f>VLOOKUP($D48,Résultats!$B$2:$AZ$212,I$2,FALSE)</f>
        <v>37424.567750000002</v>
      </c>
      <c r="J43" s="99">
        <f>VLOOKUP($D48,Résultats!$B$2:$AZ$212,J$2,FALSE)</f>
        <v>37524.066039999998</v>
      </c>
      <c r="K43" s="99">
        <f>VLOOKUP($D48,Résultats!$B$2:$AZ$212,K$2,FALSE)</f>
        <v>37519.450830000002</v>
      </c>
      <c r="L43" s="99">
        <f>VLOOKUP($D48,Résultats!$B$2:$AZ$212,L$2,FALSE)</f>
        <v>37485.429020000003</v>
      </c>
      <c r="M43" s="99">
        <f>VLOOKUP($D48,Résultats!$B$2:$AZ$212,M$2,FALSE)</f>
        <v>37329.956899999997</v>
      </c>
      <c r="N43" s="99">
        <f>VLOOKUP($D48,Résultats!$B$2:$AZ$212,N$2,FALSE)</f>
        <v>37080.500119999997</v>
      </c>
      <c r="O43" s="99">
        <f>VLOOKUP($D48,Résultats!$B$2:$AZ$212,O$2,FALSE)</f>
        <v>36714.0069</v>
      </c>
      <c r="P43" s="99">
        <f>VLOOKUP($D48,Résultats!$B$2:$AZ$212,P$2,FALSE)</f>
        <v>36274.392760000002</v>
      </c>
      <c r="Q43" s="99">
        <f>VLOOKUP($D48,Résultats!$B$2:$AZ$212,Q$2,FALSE)</f>
        <v>35789.356370000001</v>
      </c>
      <c r="R43" s="99">
        <f>VLOOKUP($D48,Résultats!$B$2:$AZ$212,R$2,FALSE)</f>
        <v>35253.540430000001</v>
      </c>
      <c r="S43" s="99">
        <f>VLOOKUP($D48,Résultats!$B$2:$AZ$212,S$2,FALSE)</f>
        <v>34682.527520000003</v>
      </c>
      <c r="T43" s="99">
        <f>VLOOKUP($D48,Résultats!$B$2:$AZ$212,T$2,FALSE)</f>
        <v>34090.323759999999</v>
      </c>
      <c r="U43" s="99">
        <f>VLOOKUP($D48,Résultats!$B$2:$AZ$212,U$2,FALSE)</f>
        <v>33503.832549999999</v>
      </c>
      <c r="V43" s="99">
        <f>VLOOKUP($D48,Résultats!$B$2:$AZ$212,V$2,FALSE)</f>
        <v>32930.057000000001</v>
      </c>
      <c r="W43" s="99">
        <f>VLOOKUP($D48,Résultats!$B$2:$AZ$212,W$2,FALSE)</f>
        <v>32374.559529999999</v>
      </c>
      <c r="X43" s="99">
        <f>VLOOKUP($D48,Résultats!$B$2:$AZ$212,X$2,FALSE)</f>
        <v>31837.927520000001</v>
      </c>
      <c r="Y43" s="99">
        <f>VLOOKUP($D48,Résultats!$B$2:$AZ$212,Y$2,FALSE)</f>
        <v>31359.099770000001</v>
      </c>
      <c r="Z43" s="99">
        <f>VLOOKUP($D48,Résultats!$B$2:$AZ$212,Z$2,FALSE)</f>
        <v>30921.538329999999</v>
      </c>
      <c r="AA43" s="99">
        <f>VLOOKUP($D48,Résultats!$B$2:$AZ$212,AA$2,FALSE)</f>
        <v>30505.467270000001</v>
      </c>
      <c r="AB43" s="99">
        <f>VLOOKUP($D48,Résultats!$B$2:$AZ$212,AB$2,FALSE)</f>
        <v>30106.435829999999</v>
      </c>
      <c r="AC43" s="99">
        <f>VLOOKUP($D48,Résultats!$B$2:$AZ$212,AC$2,FALSE)</f>
        <v>29714.45048</v>
      </c>
      <c r="AD43" s="99">
        <f>VLOOKUP($D48,Résultats!$B$2:$AZ$212,AD$2,FALSE)</f>
        <v>29332.799169999998</v>
      </c>
      <c r="AE43" s="99">
        <f>VLOOKUP($D48,Résultats!$B$2:$AZ$212,AE$2,FALSE)</f>
        <v>28965.022239999998</v>
      </c>
      <c r="AF43" s="99">
        <f>VLOOKUP($D48,Résultats!$B$2:$AZ$212,AF$2,FALSE)</f>
        <v>28604.418409999998</v>
      </c>
      <c r="AG43" s="99">
        <f>VLOOKUP($D48,Résultats!$B$2:$AZ$212,AG$2,FALSE)</f>
        <v>28247.906449999999</v>
      </c>
      <c r="AH43" s="99">
        <f>VLOOKUP($D48,Résultats!$B$2:$AZ$212,AH$2,FALSE)</f>
        <v>27823.219120000002</v>
      </c>
      <c r="AI43" s="99">
        <f>VLOOKUP($D48,Résultats!$B$2:$AZ$212,AI$2,FALSE)</f>
        <v>27427.590270000001</v>
      </c>
      <c r="AJ43" s="99">
        <f>VLOOKUP($D48,Résultats!$B$2:$AZ$212,AJ$2,FALSE)</f>
        <v>27049.891609999999</v>
      </c>
      <c r="AK43" s="99">
        <f>VLOOKUP($D48,Résultats!$B$2:$AZ$212,AK$2,FALSE)</f>
        <v>26687.180680000001</v>
      </c>
      <c r="AL43" s="99">
        <f>VLOOKUP($D48,Résultats!$B$2:$AZ$212,AL$2,FALSE)</f>
        <v>26334.977180000002</v>
      </c>
      <c r="AM43" s="104">
        <f>VLOOKUP($D48,Résultats!$B$2:$AZ$212,AM$2,FALSE)</f>
        <v>25975.33439</v>
      </c>
    </row>
    <row r="44" spans="2:39" x14ac:dyDescent="0.25">
      <c r="B44" s="230"/>
      <c r="C44" s="218" t="s">
        <v>8</v>
      </c>
      <c r="D44" s="54" t="s">
        <v>145</v>
      </c>
      <c r="E44" s="25">
        <f>VLOOKUP($D44,Résultats!$B$2:$AZ$212,E$2,FALSE)</f>
        <v>0</v>
      </c>
      <c r="F44" s="25">
        <f>VLOOKUP($D44,Résultats!$B$2:$AZ$212,F$2,FALSE)</f>
        <v>0</v>
      </c>
      <c r="G44" s="25">
        <f>VLOOKUP($D44,Résultats!$B$2:$AZ$212,G$2,FALSE)</f>
        <v>0</v>
      </c>
      <c r="H44" s="25">
        <f>VLOOKUP($D44,Résultats!$B$2:$AZ$212,H$2,FALSE)</f>
        <v>0</v>
      </c>
      <c r="I44" s="25">
        <f>VLOOKUP($D44,Résultats!$B$2:$AZ$212,I$2,FALSE)</f>
        <v>0</v>
      </c>
      <c r="J44" s="25">
        <f>VLOOKUP($D44,Résultats!$B$2:$AZ$212,J$2,FALSE)</f>
        <v>0</v>
      </c>
      <c r="K44" s="25">
        <f>VLOOKUP($D44,Résultats!$B$2:$AZ$212,K$2,FALSE)</f>
        <v>0</v>
      </c>
      <c r="L44" s="25">
        <f>VLOOKUP($D44,Résultats!$B$2:$AZ$212,L$2,FALSE)</f>
        <v>0</v>
      </c>
      <c r="M44" s="25">
        <f>VLOOKUP($D44,Résultats!$B$2:$AZ$212,M$2,FALSE)</f>
        <v>0</v>
      </c>
      <c r="N44" s="25">
        <f>VLOOKUP($D44,Résultats!$B$2:$AZ$212,N$2,FALSE)</f>
        <v>0</v>
      </c>
      <c r="O44" s="25">
        <f>VLOOKUP($D44,Résultats!$B$2:$AZ$212,O$2,FALSE)</f>
        <v>0</v>
      </c>
      <c r="P44" s="25">
        <f>VLOOKUP($D44,Résultats!$B$2:$AZ$212,P$2,FALSE)</f>
        <v>0</v>
      </c>
      <c r="Q44" s="25">
        <f>VLOOKUP($D44,Résultats!$B$2:$AZ$212,Q$2,FALSE)</f>
        <v>0</v>
      </c>
      <c r="R44" s="25">
        <f>VLOOKUP($D44,Résultats!$B$2:$AZ$212,R$2,FALSE)</f>
        <v>0</v>
      </c>
      <c r="S44" s="25">
        <f>VLOOKUP($D44,Résultats!$B$2:$AZ$212,S$2,FALSE)</f>
        <v>0</v>
      </c>
      <c r="T44" s="25">
        <f>VLOOKUP($D44,Résultats!$B$2:$AZ$212,T$2,FALSE)</f>
        <v>0</v>
      </c>
      <c r="U44" s="25">
        <f>VLOOKUP($D44,Résultats!$B$2:$AZ$212,U$2,FALSE)</f>
        <v>0</v>
      </c>
      <c r="V44" s="25">
        <f>VLOOKUP($D44,Résultats!$B$2:$AZ$212,V$2,FALSE)</f>
        <v>0</v>
      </c>
      <c r="W44" s="25">
        <f>VLOOKUP($D44,Résultats!$B$2:$AZ$212,W$2,FALSE)</f>
        <v>0</v>
      </c>
      <c r="X44" s="25">
        <f>VLOOKUP($D44,Résultats!$B$2:$AZ$212,X$2,FALSE)</f>
        <v>0</v>
      </c>
      <c r="Y44" s="25">
        <f>VLOOKUP($D44,Résultats!$B$2:$AZ$212,Y$2,FALSE)</f>
        <v>0</v>
      </c>
      <c r="Z44" s="25">
        <f>VLOOKUP($D44,Résultats!$B$2:$AZ$212,Z$2,FALSE)</f>
        <v>0</v>
      </c>
      <c r="AA44" s="25">
        <f>VLOOKUP($D44,Résultats!$B$2:$AZ$212,AA$2,FALSE)</f>
        <v>0</v>
      </c>
      <c r="AB44" s="25">
        <f>VLOOKUP($D44,Résultats!$B$2:$AZ$212,AB$2,FALSE)</f>
        <v>0</v>
      </c>
      <c r="AC44" s="25">
        <f>VLOOKUP($D44,Résultats!$B$2:$AZ$212,AC$2,FALSE)</f>
        <v>0</v>
      </c>
      <c r="AD44" s="25">
        <f>VLOOKUP($D44,Résultats!$B$2:$AZ$212,AD$2,FALSE)</f>
        <v>0</v>
      </c>
      <c r="AE44" s="25">
        <f>VLOOKUP($D44,Résultats!$B$2:$AZ$212,AE$2,FALSE)</f>
        <v>0</v>
      </c>
      <c r="AF44" s="25">
        <f>VLOOKUP($D44,Résultats!$B$2:$AZ$212,AF$2,FALSE)</f>
        <v>0</v>
      </c>
      <c r="AG44" s="25">
        <f>VLOOKUP($D44,Résultats!$B$2:$AZ$212,AG$2,FALSE)</f>
        <v>0</v>
      </c>
      <c r="AH44" s="25">
        <f>VLOOKUP($D44,Résultats!$B$2:$AZ$212,AH$2,FALSE)</f>
        <v>0</v>
      </c>
      <c r="AI44" s="25">
        <f>VLOOKUP($D44,Résultats!$B$2:$AZ$212,AI$2,FALSE)</f>
        <v>0</v>
      </c>
      <c r="AJ44" s="25">
        <f>VLOOKUP($D44,Résultats!$B$2:$AZ$212,AJ$2,FALSE)</f>
        <v>0</v>
      </c>
      <c r="AK44" s="25">
        <f>VLOOKUP($D44,Résultats!$B$2:$AZ$212,AK$2,FALSE)</f>
        <v>0</v>
      </c>
      <c r="AL44" s="25">
        <f>VLOOKUP($D44,Résultats!$B$2:$AZ$212,AL$2,FALSE)</f>
        <v>0</v>
      </c>
      <c r="AM44" s="102">
        <f>VLOOKUP($D44,Résultats!$B$2:$AZ$212,AM$2,FALSE)</f>
        <v>0</v>
      </c>
    </row>
    <row r="45" spans="2:39" x14ac:dyDescent="0.25">
      <c r="B45" s="230"/>
      <c r="C45" s="218" t="s">
        <v>6</v>
      </c>
      <c r="D45" s="3" t="s">
        <v>146</v>
      </c>
      <c r="E45" s="25">
        <f>VLOOKUP($D45,Résultats!$B$2:$AZ$212,E$2,FALSE)</f>
        <v>31999.388770000001</v>
      </c>
      <c r="F45" s="25">
        <f>VLOOKUP($D45,Résultats!$B$2:$AZ$212,F$2,FALSE)</f>
        <v>35790.505729999997</v>
      </c>
      <c r="G45" s="25">
        <f>VLOOKUP($D45,Résultats!$B$2:$AZ$212,G$2,FALSE)</f>
        <v>36419.989690000002</v>
      </c>
      <c r="H45" s="25">
        <f>VLOOKUP($D45,Résultats!$B$2:$AZ$212,H$2,FALSE)</f>
        <v>36730.576849999998</v>
      </c>
      <c r="I45" s="25">
        <f>VLOOKUP($D45,Résultats!$B$2:$AZ$212,I$2,FALSE)</f>
        <v>36927.455379999999</v>
      </c>
      <c r="J45" s="25">
        <f>VLOOKUP($D45,Résultats!$B$2:$AZ$212,J$2,FALSE)</f>
        <v>36900.051140000003</v>
      </c>
      <c r="K45" s="25">
        <f>VLOOKUP($D45,Résultats!$B$2:$AZ$212,K$2,FALSE)</f>
        <v>36731.472970000003</v>
      </c>
      <c r="L45" s="25">
        <f>VLOOKUP($D45,Résultats!$B$2:$AZ$212,L$2,FALSE)</f>
        <v>36489.560920000004</v>
      </c>
      <c r="M45" s="25">
        <f>VLOOKUP($D45,Résultats!$B$2:$AZ$212,M$2,FALSE)</f>
        <v>36102.667139999998</v>
      </c>
      <c r="N45" s="25">
        <f>VLOOKUP($D45,Résultats!$B$2:$AZ$212,N$2,FALSE)</f>
        <v>35597.100810000004</v>
      </c>
      <c r="O45" s="25">
        <f>VLOOKUP($D45,Résultats!$B$2:$AZ$212,O$2,FALSE)</f>
        <v>34935.761079999997</v>
      </c>
      <c r="P45" s="25">
        <f>VLOOKUP($D45,Résultats!$B$2:$AZ$212,P$2,FALSE)</f>
        <v>34121.586889999999</v>
      </c>
      <c r="Q45" s="25">
        <f>VLOOKUP($D45,Résultats!$B$2:$AZ$212,Q$2,FALSE)</f>
        <v>33134.341439999997</v>
      </c>
      <c r="R45" s="25">
        <f>VLOOKUP($D45,Résultats!$B$2:$AZ$212,R$2,FALSE)</f>
        <v>31965.17697</v>
      </c>
      <c r="S45" s="25">
        <f>VLOOKUP($D45,Résultats!$B$2:$AZ$212,S$2,FALSE)</f>
        <v>30635.261689999999</v>
      </c>
      <c r="T45" s="25">
        <f>VLOOKUP($D45,Résultats!$B$2:$AZ$212,T$2,FALSE)</f>
        <v>29183.155419999999</v>
      </c>
      <c r="U45" s="25">
        <f>VLOOKUP($D45,Résultats!$B$2:$AZ$212,U$2,FALSE)</f>
        <v>27662.712630000002</v>
      </c>
      <c r="V45" s="25">
        <f>VLOOKUP($D45,Résultats!$B$2:$AZ$212,V$2,FALSE)</f>
        <v>26123.932430000001</v>
      </c>
      <c r="W45" s="25">
        <f>VLOOKUP($D45,Résultats!$B$2:$AZ$212,W$2,FALSE)</f>
        <v>24607.91084</v>
      </c>
      <c r="X45" s="25">
        <f>VLOOKUP($D45,Résultats!$B$2:$AZ$212,X$2,FALSE)</f>
        <v>23141.57476</v>
      </c>
      <c r="Y45" s="25">
        <f>VLOOKUP($D45,Résultats!$B$2:$AZ$212,Y$2,FALSE)</f>
        <v>21740.093280000001</v>
      </c>
      <c r="Z45" s="25">
        <f>VLOOKUP($D45,Résultats!$B$2:$AZ$212,Z$2,FALSE)</f>
        <v>20408.97927</v>
      </c>
      <c r="AA45" s="25">
        <f>VLOOKUP($D45,Résultats!$B$2:$AZ$212,AA$2,FALSE)</f>
        <v>19149.438549999999</v>
      </c>
      <c r="AB45" s="25">
        <f>VLOOKUP($D45,Résultats!$B$2:$AZ$212,AB$2,FALSE)</f>
        <v>17960.311010000001</v>
      </c>
      <c r="AC45" s="25">
        <f>VLOOKUP($D45,Résultats!$B$2:$AZ$212,AC$2,FALSE)</f>
        <v>16839.157329999998</v>
      </c>
      <c r="AD45" s="25">
        <f>VLOOKUP($D45,Résultats!$B$2:$AZ$212,AD$2,FALSE)</f>
        <v>15787.38666</v>
      </c>
      <c r="AE45" s="25">
        <f>VLOOKUP($D45,Résultats!$B$2:$AZ$212,AE$2,FALSE)</f>
        <v>14801.01102</v>
      </c>
      <c r="AF45" s="25">
        <f>VLOOKUP($D45,Résultats!$B$2:$AZ$212,AF$2,FALSE)</f>
        <v>13876.11399</v>
      </c>
      <c r="AG45" s="25">
        <f>VLOOKUP($D45,Résultats!$B$2:$AZ$212,AG$2,FALSE)</f>
        <v>13008.93885</v>
      </c>
      <c r="AH45" s="25">
        <f>VLOOKUP($D45,Résultats!$B$2:$AZ$212,AH$2,FALSE)</f>
        <v>12141.718010000001</v>
      </c>
      <c r="AI45" s="25">
        <f>VLOOKUP($D45,Résultats!$B$2:$AZ$212,AI$2,FALSE)</f>
        <v>11332.29103</v>
      </c>
      <c r="AJ45" s="25">
        <f>VLOOKUP($D45,Résultats!$B$2:$AZ$212,AJ$2,FALSE)</f>
        <v>10576.815329999999</v>
      </c>
      <c r="AK45" s="25">
        <f>VLOOKUP($D45,Résultats!$B$2:$AZ$212,AK$2,FALSE)</f>
        <v>9871.69945799999</v>
      </c>
      <c r="AL45" s="25">
        <f>VLOOKUP($D45,Résultats!$B$2:$AZ$212,AL$2,FALSE)</f>
        <v>9213.58871</v>
      </c>
      <c r="AM45" s="102">
        <f>VLOOKUP($D45,Résultats!$B$2:$AZ$212,AM$2,FALSE)</f>
        <v>8599.3507079999999</v>
      </c>
    </row>
    <row r="46" spans="2:39" x14ac:dyDescent="0.25">
      <c r="B46" s="230"/>
      <c r="C46" s="218" t="s">
        <v>34</v>
      </c>
      <c r="D46" s="3" t="s">
        <v>147</v>
      </c>
      <c r="E46" s="25">
        <f>VLOOKUP($D46,Résultats!$B$2:$AZ$212,E$2,FALSE)</f>
        <v>2.411668513</v>
      </c>
      <c r="F46" s="25">
        <f>VLOOKUP($D46,Résultats!$B$2:$AZ$212,F$2,FALSE)</f>
        <v>120.8016191</v>
      </c>
      <c r="G46" s="25">
        <f>VLOOKUP($D46,Résultats!$B$2:$AZ$212,G$2,FALSE)</f>
        <v>288.89646779999998</v>
      </c>
      <c r="H46" s="25">
        <f>VLOOKUP($D46,Résultats!$B$2:$AZ$212,H$2,FALSE)</f>
        <v>383.16699560000001</v>
      </c>
      <c r="I46" s="25">
        <f>VLOOKUP($D46,Résultats!$B$2:$AZ$212,I$2,FALSE)</f>
        <v>497.1123771</v>
      </c>
      <c r="J46" s="25">
        <f>VLOOKUP($D46,Résultats!$B$2:$AZ$212,J$2,FALSE)</f>
        <v>624.01489990000005</v>
      </c>
      <c r="K46" s="25">
        <f>VLOOKUP($D46,Résultats!$B$2:$AZ$212,K$2,FALSE)</f>
        <v>787.97785520000002</v>
      </c>
      <c r="L46" s="25">
        <f>VLOOKUP($D46,Résultats!$B$2:$AZ$212,L$2,FALSE)</f>
        <v>995.86810969999999</v>
      </c>
      <c r="M46" s="25">
        <f>VLOOKUP($D46,Résultats!$B$2:$AZ$212,M$2,FALSE)</f>
        <v>1227.289765</v>
      </c>
      <c r="N46" s="25">
        <f>VLOOKUP($D46,Résultats!$B$2:$AZ$212,N$2,FALSE)</f>
        <v>1483.399312</v>
      </c>
      <c r="O46" s="25">
        <f>VLOOKUP($D46,Résultats!$B$2:$AZ$212,O$2,FALSE)</f>
        <v>1778.2458200000001</v>
      </c>
      <c r="P46" s="25">
        <f>VLOOKUP($D46,Résultats!$B$2:$AZ$212,P$2,FALSE)</f>
        <v>2152.8058639999999</v>
      </c>
      <c r="Q46" s="25">
        <f>VLOOKUP($D46,Résultats!$B$2:$AZ$212,Q$2,FALSE)</f>
        <v>2655.0149249999999</v>
      </c>
      <c r="R46" s="25">
        <f>VLOOKUP($D46,Résultats!$B$2:$AZ$212,R$2,FALSE)</f>
        <v>3288.3634569999999</v>
      </c>
      <c r="S46" s="25">
        <f>VLOOKUP($D46,Résultats!$B$2:$AZ$212,S$2,FALSE)</f>
        <v>4047.2658339999998</v>
      </c>
      <c r="T46" s="25">
        <f>VLOOKUP($D46,Résultats!$B$2:$AZ$212,T$2,FALSE)</f>
        <v>4907.1683430000003</v>
      </c>
      <c r="U46" s="25">
        <f>VLOOKUP($D46,Résultats!$B$2:$AZ$212,U$2,FALSE)</f>
        <v>5841.1199200000001</v>
      </c>
      <c r="V46" s="25">
        <f>VLOOKUP($D46,Résultats!$B$2:$AZ$212,V$2,FALSE)</f>
        <v>6806.1245740000004</v>
      </c>
      <c r="W46" s="25">
        <f>VLOOKUP($D46,Résultats!$B$2:$AZ$212,W$2,FALSE)</f>
        <v>7766.6486839999998</v>
      </c>
      <c r="X46" s="25">
        <f>VLOOKUP($D46,Résultats!$B$2:$AZ$212,X$2,FALSE)</f>
        <v>8696.3527599999998</v>
      </c>
      <c r="Y46" s="25">
        <f>VLOOKUP($D46,Résultats!$B$2:$AZ$212,Y$2,FALSE)</f>
        <v>9619.0064849999999</v>
      </c>
      <c r="Z46" s="25">
        <f>VLOOKUP($D46,Résultats!$B$2:$AZ$212,Z$2,FALSE)</f>
        <v>10512.55905</v>
      </c>
      <c r="AA46" s="25">
        <f>VLOOKUP($D46,Résultats!$B$2:$AZ$212,AA$2,FALSE)</f>
        <v>11356.02872</v>
      </c>
      <c r="AB46" s="25">
        <f>VLOOKUP($D46,Résultats!$B$2:$AZ$212,AB$2,FALSE)</f>
        <v>12146.124830000001</v>
      </c>
      <c r="AC46" s="25">
        <f>VLOOKUP($D46,Résultats!$B$2:$AZ$212,AC$2,FALSE)</f>
        <v>12875.29315</v>
      </c>
      <c r="AD46" s="25">
        <f>VLOOKUP($D46,Résultats!$B$2:$AZ$212,AD$2,FALSE)</f>
        <v>13545.41251</v>
      </c>
      <c r="AE46" s="25">
        <f>VLOOKUP($D46,Résultats!$B$2:$AZ$212,AE$2,FALSE)</f>
        <v>14164.01122</v>
      </c>
      <c r="AF46" s="25">
        <f>VLOOKUP($D46,Résultats!$B$2:$AZ$212,AF$2,FALSE)</f>
        <v>14728.30442</v>
      </c>
      <c r="AG46" s="25">
        <f>VLOOKUP($D46,Résultats!$B$2:$AZ$212,AG$2,FALSE)</f>
        <v>15238.9676</v>
      </c>
      <c r="AH46" s="25">
        <f>VLOOKUP($D46,Résultats!$B$2:$AZ$212,AH$2,FALSE)</f>
        <v>15681.501099999999</v>
      </c>
      <c r="AI46" s="25">
        <f>VLOOKUP($D46,Résultats!$B$2:$AZ$212,AI$2,FALSE)</f>
        <v>16095.29924</v>
      </c>
      <c r="AJ46" s="25">
        <f>VLOOKUP($D46,Résultats!$B$2:$AZ$212,AJ$2,FALSE)</f>
        <v>16473.076280000001</v>
      </c>
      <c r="AK46" s="25">
        <f>VLOOKUP($D46,Résultats!$B$2:$AZ$212,AK$2,FALSE)</f>
        <v>16815.481220000001</v>
      </c>
      <c r="AL46" s="25">
        <f>VLOOKUP($D46,Résultats!$B$2:$AZ$212,AL$2,FALSE)</f>
        <v>17121.388470000002</v>
      </c>
      <c r="AM46" s="102">
        <f>VLOOKUP($D46,Résultats!$B$2:$AZ$212,AM$2,FALSE)</f>
        <v>17375.983680000001</v>
      </c>
    </row>
    <row r="47" spans="2:39" x14ac:dyDescent="0.25">
      <c r="B47" s="230"/>
      <c r="C47" s="218" t="s">
        <v>35</v>
      </c>
      <c r="D47" s="3" t="s">
        <v>148</v>
      </c>
      <c r="E47" s="25">
        <f>VLOOKUP($D47,Résultats!$B$2:$AZ$212,E$2,FALSE)</f>
        <v>2.2615513600000001E-2</v>
      </c>
      <c r="F47" s="25">
        <f>VLOOKUP($D47,Résultats!$B$2:$AZ$212,F$2,FALSE)</f>
        <v>0.24976126360000001</v>
      </c>
      <c r="G47" s="25">
        <f>VLOOKUP($D47,Résultats!$B$2:$AZ$212,G$2,FALSE)</f>
        <v>0.28926101430000001</v>
      </c>
      <c r="H47" s="25">
        <f>VLOOKUP($D47,Résultats!$B$2:$AZ$212,H$2,FALSE)</f>
        <v>0.3192710728</v>
      </c>
      <c r="I47" s="25">
        <f>VLOOKUP($D47,Résultats!$B$2:$AZ$212,I$2,FALSE)</f>
        <v>0.3744710986</v>
      </c>
      <c r="J47" s="25">
        <f>VLOOKUP($D47,Résultats!$B$2:$AZ$212,J$2,FALSE)</f>
        <v>0.41981081190000002</v>
      </c>
      <c r="K47" s="25">
        <f>VLOOKUP($D47,Résultats!$B$2:$AZ$212,K$2,FALSE)</f>
        <v>0.49717475459999999</v>
      </c>
      <c r="L47" s="25">
        <f>VLOOKUP($D47,Résultats!$B$2:$AZ$212,L$2,FALSE)</f>
        <v>0.58930377359999997</v>
      </c>
      <c r="M47" s="25">
        <f>VLOOKUP($D47,Résultats!$B$2:$AZ$212,M$2,FALSE)</f>
        <v>0.67385005279999999</v>
      </c>
      <c r="N47" s="25">
        <f>VLOOKUP($D47,Résultats!$B$2:$AZ$212,N$2,FALSE)</f>
        <v>0.75128888309999997</v>
      </c>
      <c r="O47" s="25">
        <f>VLOOKUP($D47,Résultats!$B$2:$AZ$212,O$2,FALSE)</f>
        <v>0.81681764950000002</v>
      </c>
      <c r="P47" s="25">
        <f>VLOOKUP($D47,Résultats!$B$2:$AZ$212,P$2,FALSE)</f>
        <v>0.86841638200000004</v>
      </c>
      <c r="Q47" s="25">
        <f>VLOOKUP($D47,Résultats!$B$2:$AZ$212,Q$2,FALSE)</f>
        <v>0.90290298950000003</v>
      </c>
      <c r="R47" s="25">
        <f>VLOOKUP($D47,Résultats!$B$2:$AZ$212,R$2,FALSE)</f>
        <v>0.91944940460000002</v>
      </c>
      <c r="S47" s="25">
        <f>VLOOKUP($D47,Résultats!$B$2:$AZ$212,S$2,FALSE)</f>
        <v>0.91820253399999996</v>
      </c>
      <c r="T47" s="25">
        <f>VLOOKUP($D47,Résultats!$B$2:$AZ$212,T$2,FALSE)</f>
        <v>0.90047910799999997</v>
      </c>
      <c r="U47" s="25">
        <f>VLOOKUP($D47,Résultats!$B$2:$AZ$212,U$2,FALSE)</f>
        <v>0.87027259420000003</v>
      </c>
      <c r="V47" s="25">
        <f>VLOOKUP($D47,Résultats!$B$2:$AZ$212,V$2,FALSE)</f>
        <v>0.83194817300000001</v>
      </c>
      <c r="W47" s="25">
        <f>VLOOKUP($D47,Résultats!$B$2:$AZ$212,W$2,FALSE)</f>
        <v>0.78944073859999997</v>
      </c>
      <c r="X47" s="25">
        <f>VLOOKUP($D47,Résultats!$B$2:$AZ$212,X$2,FALSE)</f>
        <v>0.74557801000000001</v>
      </c>
      <c r="Y47" s="25">
        <f>VLOOKUP($D47,Résultats!$B$2:$AZ$212,Y$2,FALSE)</f>
        <v>0.70216793150000001</v>
      </c>
      <c r="Z47" s="25">
        <f>VLOOKUP($D47,Résultats!$B$2:$AZ$212,Z$2,FALSE)</f>
        <v>0.66011102769999996</v>
      </c>
      <c r="AA47" s="25">
        <f>VLOOKUP($D47,Résultats!$B$2:$AZ$212,AA$2,FALSE)</f>
        <v>0.61986638039999997</v>
      </c>
      <c r="AB47" s="25">
        <f>VLOOKUP($D47,Résultats!$B$2:$AZ$212,AB$2,FALSE)</f>
        <v>0.58163358949999999</v>
      </c>
      <c r="AC47" s="25">
        <f>VLOOKUP($D47,Résultats!$B$2:$AZ$212,AC$2,FALSE)</f>
        <v>0.54546045970000001</v>
      </c>
      <c r="AD47" s="25">
        <f>VLOOKUP($D47,Résultats!$B$2:$AZ$212,AD$2,FALSE)</f>
        <v>0.51146099489999997</v>
      </c>
      <c r="AE47" s="25">
        <f>VLOOKUP($D47,Résultats!$B$2:$AZ$212,AE$2,FALSE)</f>
        <v>0.47954178240000001</v>
      </c>
      <c r="AF47" s="25">
        <f>VLOOKUP($D47,Résultats!$B$2:$AZ$212,AF$2,FALSE)</f>
        <v>0.44959445059999997</v>
      </c>
      <c r="AG47" s="25">
        <f>VLOOKUP($D47,Résultats!$B$2:$AZ$212,AG$2,FALSE)</f>
        <v>0.42150704309999998</v>
      </c>
      <c r="AH47" s="25">
        <f>VLOOKUP($D47,Résultats!$B$2:$AZ$212,AH$2,FALSE)</f>
        <v>0.39341340089999999</v>
      </c>
      <c r="AI47" s="25">
        <f>VLOOKUP($D47,Résultats!$B$2:$AZ$212,AI$2,FALSE)</f>
        <v>0.36718935850000001</v>
      </c>
      <c r="AJ47" s="25">
        <f>VLOOKUP($D47,Résultats!$B$2:$AZ$212,AJ$2,FALSE)</f>
        <v>0.34271187089999999</v>
      </c>
      <c r="AK47" s="25">
        <f>VLOOKUP($D47,Résultats!$B$2:$AZ$212,AK$2,FALSE)</f>
        <v>0.31986533499999997</v>
      </c>
      <c r="AL47" s="25">
        <f>VLOOKUP($D47,Résultats!$B$2:$AZ$212,AL$2,FALSE)</f>
        <v>0.2985414495</v>
      </c>
      <c r="AM47" s="102">
        <f>VLOOKUP($D47,Résultats!$B$2:$AZ$212,AM$2,FALSE)</f>
        <v>0.27863892299999998</v>
      </c>
    </row>
    <row r="48" spans="2:39" x14ac:dyDescent="0.25">
      <c r="B48" s="230"/>
      <c r="C48" s="220" t="s">
        <v>463</v>
      </c>
      <c r="D48" s="58" t="s">
        <v>130</v>
      </c>
      <c r="E48" s="59">
        <f>VLOOKUP($D48,Résultats!$B$2:$AZ$212,E$2,FALSE)</f>
        <v>32001.800439999999</v>
      </c>
      <c r="F48" s="59">
        <f>VLOOKUP($D48,Résultats!$B$2:$AZ$212,F$2,FALSE)</f>
        <v>35911.307350000003</v>
      </c>
      <c r="G48" s="59">
        <f>VLOOKUP($D48,Résultats!$B$2:$AZ$212,G$2,FALSE)</f>
        <v>36708.886160000002</v>
      </c>
      <c r="H48" s="59">
        <f>VLOOKUP($D48,Résultats!$B$2:$AZ$212,H$2,FALSE)</f>
        <v>37113.743849999999</v>
      </c>
      <c r="I48" s="59">
        <f>VLOOKUP($D48,Résultats!$B$2:$AZ$212,I$2,FALSE)</f>
        <v>37424.567750000002</v>
      </c>
      <c r="J48" s="59">
        <f>VLOOKUP($D48,Résultats!$B$2:$AZ$212,J$2,FALSE)</f>
        <v>37524.066039999998</v>
      </c>
      <c r="K48" s="59">
        <f>VLOOKUP($D48,Résultats!$B$2:$AZ$212,K$2,FALSE)</f>
        <v>37519.450830000002</v>
      </c>
      <c r="L48" s="59">
        <f>VLOOKUP($D48,Résultats!$B$2:$AZ$212,L$2,FALSE)</f>
        <v>37485.429020000003</v>
      </c>
      <c r="M48" s="59">
        <f>VLOOKUP($D48,Résultats!$B$2:$AZ$212,M$2,FALSE)</f>
        <v>37329.956899999997</v>
      </c>
      <c r="N48" s="59">
        <f>VLOOKUP($D48,Résultats!$B$2:$AZ$212,N$2,FALSE)</f>
        <v>37080.500119999997</v>
      </c>
      <c r="O48" s="59">
        <f>VLOOKUP($D48,Résultats!$B$2:$AZ$212,O$2,FALSE)</f>
        <v>36714.0069</v>
      </c>
      <c r="P48" s="59">
        <f>VLOOKUP($D48,Résultats!$B$2:$AZ$212,P$2,FALSE)</f>
        <v>36274.392760000002</v>
      </c>
      <c r="Q48" s="59">
        <f>VLOOKUP($D48,Résultats!$B$2:$AZ$212,Q$2,FALSE)</f>
        <v>35789.356370000001</v>
      </c>
      <c r="R48" s="59">
        <f>VLOOKUP($D48,Résultats!$B$2:$AZ$212,R$2,FALSE)</f>
        <v>35253.540430000001</v>
      </c>
      <c r="S48" s="59">
        <f>VLOOKUP($D48,Résultats!$B$2:$AZ$212,S$2,FALSE)</f>
        <v>34682.527520000003</v>
      </c>
      <c r="T48" s="59">
        <f>VLOOKUP($D48,Résultats!$B$2:$AZ$212,T$2,FALSE)</f>
        <v>34090.323759999999</v>
      </c>
      <c r="U48" s="59">
        <f>VLOOKUP($D48,Résultats!$B$2:$AZ$212,U$2,FALSE)</f>
        <v>33503.832549999999</v>
      </c>
      <c r="V48" s="59">
        <f>VLOOKUP($D48,Résultats!$B$2:$AZ$212,V$2,FALSE)</f>
        <v>32930.057000000001</v>
      </c>
      <c r="W48" s="59">
        <f>VLOOKUP($D48,Résultats!$B$2:$AZ$212,W$2,FALSE)</f>
        <v>32374.559529999999</v>
      </c>
      <c r="X48" s="59">
        <f>VLOOKUP($D48,Résultats!$B$2:$AZ$212,X$2,FALSE)</f>
        <v>31837.927520000001</v>
      </c>
      <c r="Y48" s="59">
        <f>VLOOKUP($D48,Résultats!$B$2:$AZ$212,Y$2,FALSE)</f>
        <v>31359.099770000001</v>
      </c>
      <c r="Z48" s="59">
        <f>VLOOKUP($D48,Résultats!$B$2:$AZ$212,Z$2,FALSE)</f>
        <v>30921.538329999999</v>
      </c>
      <c r="AA48" s="59">
        <f>VLOOKUP($D48,Résultats!$B$2:$AZ$212,AA$2,FALSE)</f>
        <v>30505.467270000001</v>
      </c>
      <c r="AB48" s="59">
        <f>VLOOKUP($D48,Résultats!$B$2:$AZ$212,AB$2,FALSE)</f>
        <v>30106.435829999999</v>
      </c>
      <c r="AC48" s="59">
        <f>VLOOKUP($D48,Résultats!$B$2:$AZ$212,AC$2,FALSE)</f>
        <v>29714.45048</v>
      </c>
      <c r="AD48" s="59">
        <f>VLOOKUP($D48,Résultats!$B$2:$AZ$212,AD$2,FALSE)</f>
        <v>29332.799169999998</v>
      </c>
      <c r="AE48" s="59">
        <f>VLOOKUP($D48,Résultats!$B$2:$AZ$212,AE$2,FALSE)</f>
        <v>28965.022239999998</v>
      </c>
      <c r="AF48" s="59">
        <f>VLOOKUP($D48,Résultats!$B$2:$AZ$212,AF$2,FALSE)</f>
        <v>28604.418409999998</v>
      </c>
      <c r="AG48" s="59">
        <f>VLOOKUP($D48,Résultats!$B$2:$AZ$212,AG$2,FALSE)</f>
        <v>28247.906449999999</v>
      </c>
      <c r="AH48" s="59">
        <f>VLOOKUP($D48,Résultats!$B$2:$AZ$212,AH$2,FALSE)</f>
        <v>27823.219120000002</v>
      </c>
      <c r="AI48" s="59">
        <f>VLOOKUP($D48,Résultats!$B$2:$AZ$212,AI$2,FALSE)</f>
        <v>27427.590270000001</v>
      </c>
      <c r="AJ48" s="59">
        <f>VLOOKUP($D48,Résultats!$B$2:$AZ$212,AJ$2,FALSE)</f>
        <v>27049.891609999999</v>
      </c>
      <c r="AK48" s="59">
        <f>VLOOKUP($D48,Résultats!$B$2:$AZ$212,AK$2,FALSE)</f>
        <v>26687.180680000001</v>
      </c>
      <c r="AL48" s="59">
        <f>VLOOKUP($D48,Résultats!$B$2:$AZ$212,AL$2,FALSE)</f>
        <v>26334.977180000002</v>
      </c>
      <c r="AM48" s="103">
        <f>VLOOKUP($D48,Résultats!$B$2:$AZ$212,AM$2,FALSE)</f>
        <v>25975.33439</v>
      </c>
    </row>
    <row r="49" spans="2:40" x14ac:dyDescent="0.25">
      <c r="B49" s="230"/>
      <c r="C49" s="221" t="s">
        <v>462</v>
      </c>
      <c r="D49" s="3" t="s">
        <v>147</v>
      </c>
      <c r="E49" s="61">
        <f>VLOOKUP($D49,Résultats!$B$2:$AZ$212,E$2,FALSE)</f>
        <v>2.411668513</v>
      </c>
      <c r="F49" s="61">
        <f>VLOOKUP($D49,Résultats!$B$2:$AZ$212,F$2,FALSE)</f>
        <v>120.8016191</v>
      </c>
      <c r="G49" s="61">
        <f>VLOOKUP($D49,Résultats!$B$2:$AZ$212,G$2,FALSE)</f>
        <v>288.89646779999998</v>
      </c>
      <c r="H49" s="61">
        <f>VLOOKUP($D49,Résultats!$B$2:$AZ$212,H$2,FALSE)</f>
        <v>383.16699560000001</v>
      </c>
      <c r="I49" s="61">
        <f>VLOOKUP($D49,Résultats!$B$2:$AZ$212,I$2,FALSE)</f>
        <v>497.1123771</v>
      </c>
      <c r="J49" s="61">
        <f>VLOOKUP($D49,Résultats!$B$2:$AZ$212,J$2,FALSE)</f>
        <v>624.01489990000005</v>
      </c>
      <c r="K49" s="61">
        <f>VLOOKUP($D49,Résultats!$B$2:$AZ$212,K$2,FALSE)</f>
        <v>787.97785520000002</v>
      </c>
      <c r="L49" s="61">
        <f>VLOOKUP($D49,Résultats!$B$2:$AZ$212,L$2,FALSE)</f>
        <v>995.86810969999999</v>
      </c>
      <c r="M49" s="61">
        <f>VLOOKUP($D49,Résultats!$B$2:$AZ$212,M$2,FALSE)</f>
        <v>1227.289765</v>
      </c>
      <c r="N49" s="61">
        <f>VLOOKUP($D49,Résultats!$B$2:$AZ$212,N$2,FALSE)</f>
        <v>1483.399312</v>
      </c>
      <c r="O49" s="61">
        <f>VLOOKUP($D49,Résultats!$B$2:$AZ$212,O$2,FALSE)</f>
        <v>1778.2458200000001</v>
      </c>
      <c r="P49" s="61">
        <f>VLOOKUP($D49,Résultats!$B$2:$AZ$212,P$2,FALSE)</f>
        <v>2152.8058639999999</v>
      </c>
      <c r="Q49" s="61">
        <f>VLOOKUP($D49,Résultats!$B$2:$AZ$212,Q$2,FALSE)</f>
        <v>2655.0149249999999</v>
      </c>
      <c r="R49" s="61">
        <f>VLOOKUP($D49,Résultats!$B$2:$AZ$212,R$2,FALSE)</f>
        <v>3288.3634569999999</v>
      </c>
      <c r="S49" s="61">
        <f>VLOOKUP($D49,Résultats!$B$2:$AZ$212,S$2,FALSE)</f>
        <v>4047.2658339999998</v>
      </c>
      <c r="T49" s="61">
        <f>VLOOKUP($D49,Résultats!$B$2:$AZ$212,T$2,FALSE)</f>
        <v>4907.1683430000003</v>
      </c>
      <c r="U49" s="61">
        <f>VLOOKUP($D49,Résultats!$B$2:$AZ$212,U$2,FALSE)</f>
        <v>5841.1199200000001</v>
      </c>
      <c r="V49" s="61">
        <f>VLOOKUP($D49,Résultats!$B$2:$AZ$212,V$2,FALSE)</f>
        <v>6806.1245740000004</v>
      </c>
      <c r="W49" s="61">
        <f>VLOOKUP($D49,Résultats!$B$2:$AZ$212,W$2,FALSE)</f>
        <v>7766.6486839999998</v>
      </c>
      <c r="X49" s="61">
        <f>VLOOKUP($D49,Résultats!$B$2:$AZ$212,X$2,FALSE)</f>
        <v>8696.3527599999998</v>
      </c>
      <c r="Y49" s="61">
        <f>VLOOKUP($D49,Résultats!$B$2:$AZ$212,Y$2,FALSE)</f>
        <v>9619.0064849999999</v>
      </c>
      <c r="Z49" s="61">
        <f>VLOOKUP($D49,Résultats!$B$2:$AZ$212,Z$2,FALSE)</f>
        <v>10512.55905</v>
      </c>
      <c r="AA49" s="61">
        <f>VLOOKUP($D49,Résultats!$B$2:$AZ$212,AA$2,FALSE)</f>
        <v>11356.02872</v>
      </c>
      <c r="AB49" s="61">
        <f>VLOOKUP($D49,Résultats!$B$2:$AZ$212,AB$2,FALSE)</f>
        <v>12146.124830000001</v>
      </c>
      <c r="AC49" s="61">
        <f>VLOOKUP($D49,Résultats!$B$2:$AZ$212,AC$2,FALSE)</f>
        <v>12875.29315</v>
      </c>
      <c r="AD49" s="61">
        <f>VLOOKUP($D49,Résultats!$B$2:$AZ$212,AD$2,FALSE)</f>
        <v>13545.41251</v>
      </c>
      <c r="AE49" s="61">
        <f>VLOOKUP($D49,Résultats!$B$2:$AZ$212,AE$2,FALSE)</f>
        <v>14164.01122</v>
      </c>
      <c r="AF49" s="61">
        <f>VLOOKUP($D49,Résultats!$B$2:$AZ$212,AF$2,FALSE)</f>
        <v>14728.30442</v>
      </c>
      <c r="AG49" s="61">
        <f>VLOOKUP($D49,Résultats!$B$2:$AZ$212,AG$2,FALSE)</f>
        <v>15238.9676</v>
      </c>
      <c r="AH49" s="61">
        <f>VLOOKUP($D49,Résultats!$B$2:$AZ$212,AH$2,FALSE)</f>
        <v>15681.501099999999</v>
      </c>
      <c r="AI49" s="61">
        <f>VLOOKUP($D49,Résultats!$B$2:$AZ$212,AI$2,FALSE)</f>
        <v>16095.29924</v>
      </c>
      <c r="AJ49" s="61">
        <f>VLOOKUP($D49,Résultats!$B$2:$AZ$212,AJ$2,FALSE)</f>
        <v>16473.076280000001</v>
      </c>
      <c r="AK49" s="61">
        <f>VLOOKUP($D49,Résultats!$B$2:$AZ$212,AK$2,FALSE)</f>
        <v>16815.481220000001</v>
      </c>
      <c r="AL49" s="61">
        <f>VLOOKUP($D49,Résultats!$B$2:$AZ$212,AL$2,FALSE)</f>
        <v>17121.388470000002</v>
      </c>
      <c r="AM49" s="225">
        <f>VLOOKUP($D49,Résultats!$B$2:$AZ$212,AM$2,FALSE)</f>
        <v>17375.983680000001</v>
      </c>
    </row>
    <row r="50" spans="2:40" x14ac:dyDescent="0.25">
      <c r="B50" s="230"/>
      <c r="C50" s="222" t="s">
        <v>27</v>
      </c>
      <c r="D50" s="63" t="s">
        <v>138</v>
      </c>
      <c r="E50" s="25">
        <f>VLOOKUP($D50,Résultats!$B$2:$AZ$212,E$2,FALSE)</f>
        <v>7.1825179100000001E-3</v>
      </c>
      <c r="F50" s="25">
        <f>VLOOKUP($D50,Résultats!$B$2:$AZ$212,F$2,FALSE)</f>
        <v>0.86561175180000005</v>
      </c>
      <c r="G50" s="25">
        <f>VLOOKUP($D50,Résultats!$B$2:$AZ$212,G$2,FALSE)</f>
        <v>1.676524052</v>
      </c>
      <c r="H50" s="25">
        <f>VLOOKUP($D50,Résultats!$B$2:$AZ$212,H$2,FALSE)</f>
        <v>2.2615848490000001</v>
      </c>
      <c r="I50" s="25">
        <f>VLOOKUP($D50,Résultats!$B$2:$AZ$212,I$2,FALSE)</f>
        <v>3.2860383689999999</v>
      </c>
      <c r="J50" s="25">
        <f>VLOOKUP($D50,Résultats!$B$2:$AZ$212,J$2,FALSE)</f>
        <v>4.8607020820000004</v>
      </c>
      <c r="K50" s="25">
        <f>VLOOKUP($D50,Résultats!$B$2:$AZ$212,K$2,FALSE)</f>
        <v>9.0541463150000006</v>
      </c>
      <c r="L50" s="25">
        <f>VLOOKUP($D50,Résultats!$B$2:$AZ$212,L$2,FALSE)</f>
        <v>16.049755829999999</v>
      </c>
      <c r="M50" s="25">
        <f>VLOOKUP($D50,Résultats!$B$2:$AZ$212,M$2,FALSE)</f>
        <v>24.43470606</v>
      </c>
      <c r="N50" s="25">
        <f>VLOOKUP($D50,Résultats!$B$2:$AZ$212,N$2,FALSE)</f>
        <v>34.326942520000003</v>
      </c>
      <c r="O50" s="25">
        <f>VLOOKUP($D50,Résultats!$B$2:$AZ$212,O$2,FALSE)</f>
        <v>46.51826286</v>
      </c>
      <c r="P50" s="25">
        <f>VLOOKUP($D50,Résultats!$B$2:$AZ$212,P$2,FALSE)</f>
        <v>62.74275961</v>
      </c>
      <c r="Q50" s="25">
        <f>VLOOKUP($D50,Résultats!$B$2:$AZ$212,Q$2,FALSE)</f>
        <v>85.28620651</v>
      </c>
      <c r="R50" s="25">
        <f>VLOOKUP($D50,Résultats!$B$2:$AZ$212,R$2,FALSE)</f>
        <v>114.9967405</v>
      </c>
      <c r="S50" s="25">
        <f>VLOOKUP($D50,Résultats!$B$2:$AZ$212,S$2,FALSE)</f>
        <v>152.3440531</v>
      </c>
      <c r="T50" s="25">
        <f>VLOOKUP($D50,Résultats!$B$2:$AZ$212,T$2,FALSE)</f>
        <v>196.96858779999999</v>
      </c>
      <c r="U50" s="25">
        <f>VLOOKUP($D50,Résultats!$B$2:$AZ$212,U$2,FALSE)</f>
        <v>248.0876294</v>
      </c>
      <c r="V50" s="25">
        <f>VLOOKUP($D50,Résultats!$B$2:$AZ$212,V$2,FALSE)</f>
        <v>304.11913010000001</v>
      </c>
      <c r="W50" s="25">
        <f>VLOOKUP($D50,Résultats!$B$2:$AZ$212,W$2,FALSE)</f>
        <v>363.52501030000002</v>
      </c>
      <c r="X50" s="25">
        <f>VLOOKUP($D50,Résultats!$B$2:$AZ$212,X$2,FALSE)</f>
        <v>425.00607539999999</v>
      </c>
      <c r="Y50" s="25">
        <f>VLOOKUP($D50,Résultats!$B$2:$AZ$212,Y$2,FALSE)</f>
        <v>489.75332529999997</v>
      </c>
      <c r="Z50" s="25">
        <f>VLOOKUP($D50,Résultats!$B$2:$AZ$212,Z$2,FALSE)</f>
        <v>556.70313429999999</v>
      </c>
      <c r="AA50" s="25">
        <f>VLOOKUP($D50,Résultats!$B$2:$AZ$212,AA$2,FALSE)</f>
        <v>624.68577119999998</v>
      </c>
      <c r="AB50" s="25">
        <f>VLOOKUP($D50,Résultats!$B$2:$AZ$212,AB$2,FALSE)</f>
        <v>693.29430579999996</v>
      </c>
      <c r="AC50" s="25">
        <f>VLOOKUP($D50,Résultats!$B$2:$AZ$212,AC$2,FALSE)</f>
        <v>761.8571134</v>
      </c>
      <c r="AD50" s="25">
        <f>VLOOKUP($D50,Résultats!$B$2:$AZ$212,AD$2,FALSE)</f>
        <v>829.5179961</v>
      </c>
      <c r="AE50" s="25">
        <f>VLOOKUP($D50,Résultats!$B$2:$AZ$212,AE$2,FALSE)</f>
        <v>896.42671029999997</v>
      </c>
      <c r="AF50" s="25">
        <f>VLOOKUP($D50,Résultats!$B$2:$AZ$212,AF$2,FALSE)</f>
        <v>962.18599759999995</v>
      </c>
      <c r="AG50" s="25">
        <f>VLOOKUP($D50,Résultats!$B$2:$AZ$212,AG$2,FALSE)</f>
        <v>1026.649013</v>
      </c>
      <c r="AH50" s="25">
        <f>VLOOKUP($D50,Résultats!$B$2:$AZ$212,AH$2,FALSE)</f>
        <v>1101.4325699999999</v>
      </c>
      <c r="AI50" s="25">
        <f>VLOOKUP($D50,Résultats!$B$2:$AZ$212,AI$2,FALSE)</f>
        <v>1175.826624</v>
      </c>
      <c r="AJ50" s="25">
        <f>VLOOKUP($D50,Résultats!$B$2:$AZ$212,AJ$2,FALSE)</f>
        <v>1249.168917</v>
      </c>
      <c r="AK50" s="25">
        <f>VLOOKUP($D50,Résultats!$B$2:$AZ$212,AK$2,FALSE)</f>
        <v>1321.325732</v>
      </c>
      <c r="AL50" s="25">
        <f>VLOOKUP($D50,Résultats!$B$2:$AZ$212,AL$2,FALSE)</f>
        <v>1391.9928629999999</v>
      </c>
      <c r="AM50" s="102">
        <f>VLOOKUP($D50,Résultats!$B$2:$AZ$212,AM$2,FALSE)</f>
        <v>1459.5044720000001</v>
      </c>
    </row>
    <row r="51" spans="2:40" x14ac:dyDescent="0.25">
      <c r="B51" s="230"/>
      <c r="C51" s="218" t="s">
        <v>28</v>
      </c>
      <c r="D51" s="54" t="s">
        <v>139</v>
      </c>
      <c r="E51" s="25">
        <f>VLOOKUP($D51,Résultats!$B$2:$AZ$212,E$2,FALSE)</f>
        <v>1.6464540999999999E-2</v>
      </c>
      <c r="F51" s="25">
        <f>VLOOKUP($D51,Résultats!$B$2:$AZ$212,F$2,FALSE)</f>
        <v>1.169766546</v>
      </c>
      <c r="G51" s="25">
        <f>VLOOKUP($D51,Résultats!$B$2:$AZ$212,G$2,FALSE)</f>
        <v>2.5286564579999999</v>
      </c>
      <c r="H51" s="25">
        <f>VLOOKUP($D51,Résultats!$B$2:$AZ$212,H$2,FALSE)</f>
        <v>3.3808901759999999</v>
      </c>
      <c r="I51" s="25">
        <f>VLOOKUP($D51,Résultats!$B$2:$AZ$212,I$2,FALSE)</f>
        <v>4.6250835989999999</v>
      </c>
      <c r="J51" s="25">
        <f>VLOOKUP($D51,Résultats!$B$2:$AZ$212,J$2,FALSE)</f>
        <v>6.3003862320000001</v>
      </c>
      <c r="K51" s="25">
        <f>VLOOKUP($D51,Résultats!$B$2:$AZ$212,K$2,FALSE)</f>
        <v>9.8674294929999995</v>
      </c>
      <c r="L51" s="25">
        <f>VLOOKUP($D51,Résultats!$B$2:$AZ$212,L$2,FALSE)</f>
        <v>15.436078520000001</v>
      </c>
      <c r="M51" s="25">
        <f>VLOOKUP($D51,Résultats!$B$2:$AZ$212,M$2,FALSE)</f>
        <v>21.996176630000001</v>
      </c>
      <c r="N51" s="25">
        <f>VLOOKUP($D51,Résultats!$B$2:$AZ$212,N$2,FALSE)</f>
        <v>29.621698439999999</v>
      </c>
      <c r="O51" s="25">
        <f>VLOOKUP($D51,Résultats!$B$2:$AZ$212,O$2,FALSE)</f>
        <v>38.873016819999997</v>
      </c>
      <c r="P51" s="25">
        <f>VLOOKUP($D51,Résultats!$B$2:$AZ$212,P$2,FALSE)</f>
        <v>51.046606609999998</v>
      </c>
      <c r="Q51" s="25">
        <f>VLOOKUP($D51,Résultats!$B$2:$AZ$212,Q$2,FALSE)</f>
        <v>67.810078020000006</v>
      </c>
      <c r="R51" s="25">
        <f>VLOOKUP($D51,Résultats!$B$2:$AZ$212,R$2,FALSE)</f>
        <v>89.672163859999998</v>
      </c>
      <c r="S51" s="25">
        <f>VLOOKUP($D51,Résultats!$B$2:$AZ$212,S$2,FALSE)</f>
        <v>116.8484275</v>
      </c>
      <c r="T51" s="25">
        <f>VLOOKUP($D51,Résultats!$B$2:$AZ$212,T$2,FALSE)</f>
        <v>148.92708569999999</v>
      </c>
      <c r="U51" s="25">
        <f>VLOOKUP($D51,Résultats!$B$2:$AZ$212,U$2,FALSE)</f>
        <v>185.23019880000001</v>
      </c>
      <c r="V51" s="25">
        <f>VLOOKUP($D51,Résultats!$B$2:$AZ$212,V$2,FALSE)</f>
        <v>224.49309940000001</v>
      </c>
      <c r="W51" s="25">
        <f>VLOOKUP($D51,Résultats!$B$2:$AZ$212,W$2,FALSE)</f>
        <v>265.53084239999998</v>
      </c>
      <c r="X51" s="25">
        <f>VLOOKUP($D51,Résultats!$B$2:$AZ$212,X$2,FALSE)</f>
        <v>307.3647661</v>
      </c>
      <c r="Y51" s="25">
        <f>VLOOKUP($D51,Résultats!$B$2:$AZ$212,Y$2,FALSE)</f>
        <v>350.82302010000001</v>
      </c>
      <c r="Z51" s="25">
        <f>VLOOKUP($D51,Résultats!$B$2:$AZ$212,Z$2,FALSE)</f>
        <v>395.08654610000002</v>
      </c>
      <c r="AA51" s="25">
        <f>VLOOKUP($D51,Résultats!$B$2:$AZ$212,AA$2,FALSE)</f>
        <v>439.28388819999998</v>
      </c>
      <c r="AB51" s="25">
        <f>VLOOKUP($D51,Résultats!$B$2:$AZ$212,AB$2,FALSE)</f>
        <v>483.12457330000001</v>
      </c>
      <c r="AC51" s="25">
        <f>VLOOKUP($D51,Résultats!$B$2:$AZ$212,AC$2,FALSE)</f>
        <v>526.13509120000003</v>
      </c>
      <c r="AD51" s="25">
        <f>VLOOKUP($D51,Résultats!$B$2:$AZ$212,AD$2,FALSE)</f>
        <v>567.88091770000005</v>
      </c>
      <c r="AE51" s="25">
        <f>VLOOKUP($D51,Résultats!$B$2:$AZ$212,AE$2,FALSE)</f>
        <v>608.49859579999998</v>
      </c>
      <c r="AF51" s="25">
        <f>VLOOKUP($D51,Résultats!$B$2:$AZ$212,AF$2,FALSE)</f>
        <v>647.72721869999998</v>
      </c>
      <c r="AG51" s="25">
        <f>VLOOKUP($D51,Résultats!$B$2:$AZ$212,AG$2,FALSE)</f>
        <v>685.47232540000005</v>
      </c>
      <c r="AH51" s="25">
        <f>VLOOKUP($D51,Résultats!$B$2:$AZ$212,AH$2,FALSE)</f>
        <v>726.39794280000001</v>
      </c>
      <c r="AI51" s="25">
        <f>VLOOKUP($D51,Résultats!$B$2:$AZ$212,AI$2,FALSE)</f>
        <v>766.46144779999997</v>
      </c>
      <c r="AJ51" s="25">
        <f>VLOOKUP($D51,Résultats!$B$2:$AZ$212,AJ$2,FALSE)</f>
        <v>805.21363099999996</v>
      </c>
      <c r="AK51" s="25">
        <f>VLOOKUP($D51,Résultats!$B$2:$AZ$212,AK$2,FALSE)</f>
        <v>842.57690539999999</v>
      </c>
      <c r="AL51" s="25">
        <f>VLOOKUP($D51,Résultats!$B$2:$AZ$212,AL$2,FALSE)</f>
        <v>878.37181599999997</v>
      </c>
      <c r="AM51" s="102">
        <f>VLOOKUP($D51,Résultats!$B$2:$AZ$212,AM$2,FALSE)</f>
        <v>911.59564369999998</v>
      </c>
    </row>
    <row r="52" spans="2:40" x14ac:dyDescent="0.25">
      <c r="B52" s="230"/>
      <c r="C52" s="218" t="s">
        <v>29</v>
      </c>
      <c r="D52" s="54" t="s">
        <v>140</v>
      </c>
      <c r="E52" s="25">
        <f>VLOOKUP($D52,Résultats!$B$2:$AZ$212,E$2,FALSE)</f>
        <v>6.7405168000000001E-2</v>
      </c>
      <c r="F52" s="25">
        <f>VLOOKUP($D52,Résultats!$B$2:$AZ$212,F$2,FALSE)</f>
        <v>3.5161818440000001</v>
      </c>
      <c r="G52" s="25">
        <f>VLOOKUP($D52,Résultats!$B$2:$AZ$212,G$2,FALSE)</f>
        <v>8.2989558540000008</v>
      </c>
      <c r="H52" s="25">
        <f>VLOOKUP($D52,Résultats!$B$2:$AZ$212,H$2,FALSE)</f>
        <v>11.021182489999999</v>
      </c>
      <c r="I52" s="25">
        <f>VLOOKUP($D52,Résultats!$B$2:$AZ$212,I$2,FALSE)</f>
        <v>14.39199661</v>
      </c>
      <c r="J52" s="25">
        <f>VLOOKUP($D52,Résultats!$B$2:$AZ$212,J$2,FALSE)</f>
        <v>18.250196299999999</v>
      </c>
      <c r="K52" s="25">
        <f>VLOOKUP($D52,Résultats!$B$2:$AZ$212,K$2,FALSE)</f>
        <v>23.68340851</v>
      </c>
      <c r="L52" s="25">
        <f>VLOOKUP($D52,Résultats!$B$2:$AZ$212,L$2,FALSE)</f>
        <v>30.842977080000001</v>
      </c>
      <c r="M52" s="25">
        <f>VLOOKUP($D52,Résultats!$B$2:$AZ$212,M$2,FALSE)</f>
        <v>38.890204990000001</v>
      </c>
      <c r="N52" s="25">
        <f>VLOOKUP($D52,Résultats!$B$2:$AZ$212,N$2,FALSE)</f>
        <v>47.867158529999998</v>
      </c>
      <c r="O52" s="25">
        <f>VLOOKUP($D52,Résultats!$B$2:$AZ$212,O$2,FALSE)</f>
        <v>58.284336549999999</v>
      </c>
      <c r="P52" s="25">
        <f>VLOOKUP($D52,Résultats!$B$2:$AZ$212,P$2,FALSE)</f>
        <v>71.572391039999999</v>
      </c>
      <c r="Q52" s="25">
        <f>VLOOKUP($D52,Résultats!$B$2:$AZ$212,Q$2,FALSE)</f>
        <v>89.431025660000003</v>
      </c>
      <c r="R52" s="25">
        <f>VLOOKUP($D52,Résultats!$B$2:$AZ$212,R$2,FALSE)</f>
        <v>112.0320451</v>
      </c>
      <c r="S52" s="25">
        <f>VLOOKUP($D52,Résultats!$B$2:$AZ$212,S$2,FALSE)</f>
        <v>139.2160092</v>
      </c>
      <c r="T52" s="25">
        <f>VLOOKUP($D52,Résultats!$B$2:$AZ$212,T$2,FALSE)</f>
        <v>170.14004130000001</v>
      </c>
      <c r="U52" s="25">
        <f>VLOOKUP($D52,Résultats!$B$2:$AZ$212,U$2,FALSE)</f>
        <v>203.84319360000001</v>
      </c>
      <c r="V52" s="25">
        <f>VLOOKUP($D52,Résultats!$B$2:$AZ$212,V$2,FALSE)</f>
        <v>238.7792274</v>
      </c>
      <c r="W52" s="25">
        <f>VLOOKUP($D52,Résultats!$B$2:$AZ$212,W$2,FALSE)</f>
        <v>273.64096230000001</v>
      </c>
      <c r="X52" s="25">
        <f>VLOOKUP($D52,Résultats!$B$2:$AZ$212,X$2,FALSE)</f>
        <v>307.4336778</v>
      </c>
      <c r="Y52" s="25">
        <f>VLOOKUP($D52,Résultats!$B$2:$AZ$212,Y$2,FALSE)</f>
        <v>340.95725140000002</v>
      </c>
      <c r="Z52" s="25">
        <f>VLOOKUP($D52,Résultats!$B$2:$AZ$212,Z$2,FALSE)</f>
        <v>373.3617792</v>
      </c>
      <c r="AA52" s="25">
        <f>VLOOKUP($D52,Résultats!$B$2:$AZ$212,AA$2,FALSE)</f>
        <v>403.82506489999997</v>
      </c>
      <c r="AB52" s="25">
        <f>VLOOKUP($D52,Résultats!$B$2:$AZ$212,AB$2,FALSE)</f>
        <v>432.16514289999998</v>
      </c>
      <c r="AC52" s="25">
        <f>VLOOKUP($D52,Résultats!$B$2:$AZ$212,AC$2,FALSE)</f>
        <v>458.04611069999999</v>
      </c>
      <c r="AD52" s="25">
        <f>VLOOKUP($D52,Résultats!$B$2:$AZ$212,AD$2,FALSE)</f>
        <v>481.5285566</v>
      </c>
      <c r="AE52" s="25">
        <f>VLOOKUP($D52,Résultats!$B$2:$AZ$212,AE$2,FALSE)</f>
        <v>502.85917110000003</v>
      </c>
      <c r="AF52" s="25">
        <f>VLOOKUP($D52,Résultats!$B$2:$AZ$212,AF$2,FALSE)</f>
        <v>521.90528789999996</v>
      </c>
      <c r="AG52" s="25">
        <f>VLOOKUP($D52,Résultats!$B$2:$AZ$212,AG$2,FALSE)</f>
        <v>538.65993130000004</v>
      </c>
      <c r="AH52" s="25">
        <f>VLOOKUP($D52,Résultats!$B$2:$AZ$212,AH$2,FALSE)</f>
        <v>550.88069810000002</v>
      </c>
      <c r="AI52" s="25">
        <f>VLOOKUP($D52,Résultats!$B$2:$AZ$212,AI$2,FALSE)</f>
        <v>561.58069539999997</v>
      </c>
      <c r="AJ52" s="25">
        <f>VLOOKUP($D52,Résultats!$B$2:$AZ$212,AJ$2,FALSE)</f>
        <v>570.46664239999996</v>
      </c>
      <c r="AK52" s="25">
        <f>VLOOKUP($D52,Résultats!$B$2:$AZ$212,AK$2,FALSE)</f>
        <v>577.55035729999997</v>
      </c>
      <c r="AL52" s="25">
        <f>VLOOKUP($D52,Résultats!$B$2:$AZ$212,AL$2,FALSE)</f>
        <v>582.78799509999999</v>
      </c>
      <c r="AM52" s="102">
        <f>VLOOKUP($D52,Résultats!$B$2:$AZ$212,AM$2,FALSE)</f>
        <v>585.68430030000002</v>
      </c>
    </row>
    <row r="53" spans="2:40" x14ac:dyDescent="0.25">
      <c r="B53" s="230"/>
      <c r="C53" s="218" t="s">
        <v>30</v>
      </c>
      <c r="D53" s="54" t="s">
        <v>141</v>
      </c>
      <c r="E53" s="25">
        <f>VLOOKUP($D53,Résultats!$B$2:$AZ$212,E$2,FALSE)</f>
        <v>1.5834689479999999</v>
      </c>
      <c r="F53" s="25">
        <f>VLOOKUP($D53,Résultats!$B$2:$AZ$212,F$2,FALSE)</f>
        <v>79.245036529999894</v>
      </c>
      <c r="G53" s="25">
        <f>VLOOKUP($D53,Résultats!$B$2:$AZ$212,G$2,FALSE)</f>
        <v>189.5507107</v>
      </c>
      <c r="H53" s="25">
        <f>VLOOKUP($D53,Résultats!$B$2:$AZ$212,H$2,FALSE)</f>
        <v>251.4524888</v>
      </c>
      <c r="I53" s="25">
        <f>VLOOKUP($D53,Résultats!$B$2:$AZ$212,I$2,FALSE)</f>
        <v>326.12061419999998</v>
      </c>
      <c r="J53" s="25">
        <f>VLOOKUP($D53,Résultats!$B$2:$AZ$212,J$2,FALSE)</f>
        <v>409.05441919999998</v>
      </c>
      <c r="K53" s="25">
        <f>VLOOKUP($D53,Résultats!$B$2:$AZ$212,K$2,FALSE)</f>
        <v>515.06596349999995</v>
      </c>
      <c r="L53" s="25">
        <f>VLOOKUP($D53,Résultats!$B$2:$AZ$212,L$2,FALSE)</f>
        <v>648.56321600000001</v>
      </c>
      <c r="M53" s="25">
        <f>VLOOKUP($D53,Résultats!$B$2:$AZ$212,M$2,FALSE)</f>
        <v>796.83868410000002</v>
      </c>
      <c r="N53" s="25">
        <f>VLOOKUP($D53,Résultats!$B$2:$AZ$212,N$2,FALSE)</f>
        <v>960.58913419999999</v>
      </c>
      <c r="O53" s="25">
        <f>VLOOKUP($D53,Résultats!$B$2:$AZ$212,O$2,FALSE)</f>
        <v>1148.655299</v>
      </c>
      <c r="P53" s="25">
        <f>VLOOKUP($D53,Résultats!$B$2:$AZ$212,P$2,FALSE)</f>
        <v>1387.1448519999999</v>
      </c>
      <c r="Q53" s="25">
        <f>VLOOKUP($D53,Résultats!$B$2:$AZ$212,Q$2,FALSE)</f>
        <v>1706.4555170000001</v>
      </c>
      <c r="R53" s="25">
        <f>VLOOKUP($D53,Résultats!$B$2:$AZ$212,R$2,FALSE)</f>
        <v>2108.4148500000001</v>
      </c>
      <c r="S53" s="25">
        <f>VLOOKUP($D53,Résultats!$B$2:$AZ$212,S$2,FALSE)</f>
        <v>2589.0616810000001</v>
      </c>
      <c r="T53" s="25">
        <f>VLOOKUP($D53,Résultats!$B$2:$AZ$212,T$2,FALSE)</f>
        <v>3132.3610480000002</v>
      </c>
      <c r="U53" s="25">
        <f>VLOOKUP($D53,Résultats!$B$2:$AZ$212,U$2,FALSE)</f>
        <v>3720.930918</v>
      </c>
      <c r="V53" s="25">
        <f>VLOOKUP($D53,Résultats!$B$2:$AZ$212,V$2,FALSE)</f>
        <v>4327.2320829999999</v>
      </c>
      <c r="W53" s="25">
        <f>VLOOKUP($D53,Résultats!$B$2:$AZ$212,W$2,FALSE)</f>
        <v>4928.6343310000002</v>
      </c>
      <c r="X53" s="25">
        <f>VLOOKUP($D53,Résultats!$B$2:$AZ$212,X$2,FALSE)</f>
        <v>5508.4518699999999</v>
      </c>
      <c r="Y53" s="25">
        <f>VLOOKUP($D53,Résultats!$B$2:$AZ$212,Y$2,FALSE)</f>
        <v>6081.720714</v>
      </c>
      <c r="Z53" s="25">
        <f>VLOOKUP($D53,Résultats!$B$2:$AZ$212,Z$2,FALSE)</f>
        <v>6634.4577909999998</v>
      </c>
      <c r="AA53" s="25">
        <f>VLOOKUP($D53,Résultats!$B$2:$AZ$212,AA$2,FALSE)</f>
        <v>7153.4485249999998</v>
      </c>
      <c r="AB53" s="25">
        <f>VLOOKUP($D53,Résultats!$B$2:$AZ$212,AB$2,FALSE)</f>
        <v>7636.7462800000003</v>
      </c>
      <c r="AC53" s="25">
        <f>VLOOKUP($D53,Résultats!$B$2:$AZ$212,AC$2,FALSE)</f>
        <v>8079.736911</v>
      </c>
      <c r="AD53" s="25">
        <f>VLOOKUP($D53,Résultats!$B$2:$AZ$212,AD$2,FALSE)</f>
        <v>8484.1584440000006</v>
      </c>
      <c r="AE53" s="25">
        <f>VLOOKUP($D53,Résultats!$B$2:$AZ$212,AE$2,FALSE)</f>
        <v>8854.9069739999995</v>
      </c>
      <c r="AF53" s="25">
        <f>VLOOKUP($D53,Résultats!$B$2:$AZ$212,AF$2,FALSE)</f>
        <v>9190.3698330000007</v>
      </c>
      <c r="AG53" s="25">
        <f>VLOOKUP($D53,Résultats!$B$2:$AZ$212,AG$2,FALSE)</f>
        <v>9491.0804549999903</v>
      </c>
      <c r="AH53" s="25">
        <f>VLOOKUP($D53,Résultats!$B$2:$AZ$212,AH$2,FALSE)</f>
        <v>9740.7286189999995</v>
      </c>
      <c r="AI53" s="25">
        <f>VLOOKUP($D53,Résultats!$B$2:$AZ$212,AI$2,FALSE)</f>
        <v>9971.5902810000007</v>
      </c>
      <c r="AJ53" s="25">
        <f>VLOOKUP($D53,Résultats!$B$2:$AZ$212,AJ$2,FALSE)</f>
        <v>10179.23215</v>
      </c>
      <c r="AK53" s="25">
        <f>VLOOKUP($D53,Résultats!$B$2:$AZ$212,AK$2,FALSE)</f>
        <v>10364.166670000001</v>
      </c>
      <c r="AL53" s="25">
        <f>VLOOKUP($D53,Résultats!$B$2:$AZ$212,AL$2,FALSE)</f>
        <v>10525.83086</v>
      </c>
      <c r="AM53" s="102">
        <f>VLOOKUP($D53,Résultats!$B$2:$AZ$212,AM$2,FALSE)</f>
        <v>10655.39111</v>
      </c>
    </row>
    <row r="54" spans="2:40" x14ac:dyDescent="0.25">
      <c r="B54" s="230"/>
      <c r="C54" s="218" t="s">
        <v>31</v>
      </c>
      <c r="D54" s="54" t="s">
        <v>142</v>
      </c>
      <c r="E54" s="25">
        <f>VLOOKUP($D54,Résultats!$B$2:$AZ$212,E$2,FALSE)</f>
        <v>0.62410555599999995</v>
      </c>
      <c r="F54" s="25">
        <f>VLOOKUP($D54,Résultats!$B$2:$AZ$212,F$2,FALSE)</f>
        <v>30.959526270000001</v>
      </c>
      <c r="G54" s="25">
        <f>VLOOKUP($D54,Résultats!$B$2:$AZ$212,G$2,FALSE)</f>
        <v>74.267079960000004</v>
      </c>
      <c r="H54" s="25">
        <f>VLOOKUP($D54,Résultats!$B$2:$AZ$212,H$2,FALSE)</f>
        <v>98.500366889999995</v>
      </c>
      <c r="I54" s="25">
        <f>VLOOKUP($D54,Résultats!$B$2:$AZ$212,I$2,FALSE)</f>
        <v>127.5586196</v>
      </c>
      <c r="J54" s="25">
        <f>VLOOKUP($D54,Résultats!$B$2:$AZ$212,J$2,FALSE)</f>
        <v>159.59644170000001</v>
      </c>
      <c r="K54" s="25">
        <f>VLOOKUP($D54,Résultats!$B$2:$AZ$212,K$2,FALSE)</f>
        <v>199.36576629999999</v>
      </c>
      <c r="L54" s="25">
        <f>VLOOKUP($D54,Résultats!$B$2:$AZ$212,L$2,FALSE)</f>
        <v>248.5223483</v>
      </c>
      <c r="M54" s="25">
        <f>VLOOKUP($D54,Résultats!$B$2:$AZ$212,M$2,FALSE)</f>
        <v>302.79251099999999</v>
      </c>
      <c r="N54" s="25">
        <f>VLOOKUP($D54,Résultats!$B$2:$AZ$212,N$2,FALSE)</f>
        <v>362.3912881</v>
      </c>
      <c r="O54" s="25">
        <f>VLOOKUP($D54,Résultats!$B$2:$AZ$212,O$2,FALSE)</f>
        <v>430.40260410000002</v>
      </c>
      <c r="P54" s="25">
        <f>VLOOKUP($D54,Résultats!$B$2:$AZ$212,P$2,FALSE)</f>
        <v>516.25109889999999</v>
      </c>
      <c r="Q54" s="25">
        <f>VLOOKUP($D54,Résultats!$B$2:$AZ$212,Q$2,FALSE)</f>
        <v>630.77062109999997</v>
      </c>
      <c r="R54" s="25">
        <f>VLOOKUP($D54,Résultats!$B$2:$AZ$212,R$2,FALSE)</f>
        <v>774.24718410000003</v>
      </c>
      <c r="S54" s="25">
        <f>VLOOKUP($D54,Résultats!$B$2:$AZ$212,S$2,FALSE)</f>
        <v>944.87967360000005</v>
      </c>
      <c r="T54" s="25">
        <f>VLOOKUP($D54,Résultats!$B$2:$AZ$212,T$2,FALSE)</f>
        <v>1136.530213</v>
      </c>
      <c r="U54" s="25">
        <f>VLOOKUP($D54,Résultats!$B$2:$AZ$212,U$2,FALSE)</f>
        <v>1342.7517150000001</v>
      </c>
      <c r="V54" s="25">
        <f>VLOOKUP($D54,Résultats!$B$2:$AZ$212,V$2,FALSE)</f>
        <v>1553.5024350000001</v>
      </c>
      <c r="W54" s="25">
        <f>VLOOKUP($D54,Résultats!$B$2:$AZ$212,W$2,FALSE)</f>
        <v>1760.660832</v>
      </c>
      <c r="X54" s="25">
        <f>VLOOKUP($D54,Résultats!$B$2:$AZ$212,X$2,FALSE)</f>
        <v>1958.3330209999999</v>
      </c>
      <c r="Y54" s="25">
        <f>VLOOKUP($D54,Résultats!$B$2:$AZ$212,Y$2,FALSE)</f>
        <v>2151.8743639999998</v>
      </c>
      <c r="Z54" s="25">
        <f>VLOOKUP($D54,Résultats!$B$2:$AZ$212,Z$2,FALSE)</f>
        <v>2336.3468210000001</v>
      </c>
      <c r="AA54" s="25">
        <f>VLOOKUP($D54,Résultats!$B$2:$AZ$212,AA$2,FALSE)</f>
        <v>2507.1735629999998</v>
      </c>
      <c r="AB54" s="25">
        <f>VLOOKUP($D54,Résultats!$B$2:$AZ$212,AB$2,FALSE)</f>
        <v>2663.8302050000002</v>
      </c>
      <c r="AC54" s="25">
        <f>VLOOKUP($D54,Résultats!$B$2:$AZ$212,AC$2,FALSE)</f>
        <v>2804.8767149999999</v>
      </c>
      <c r="AD54" s="25">
        <f>VLOOKUP($D54,Résultats!$B$2:$AZ$212,AD$2,FALSE)</f>
        <v>2931.4161340000001</v>
      </c>
      <c r="AE54" s="25">
        <f>VLOOKUP($D54,Résultats!$B$2:$AZ$212,AE$2,FALSE)</f>
        <v>3045.3186759999999</v>
      </c>
      <c r="AF54" s="25">
        <f>VLOOKUP($D54,Résultats!$B$2:$AZ$212,AF$2,FALSE)</f>
        <v>3146.1723109999998</v>
      </c>
      <c r="AG54" s="25">
        <f>VLOOKUP($D54,Résultats!$B$2:$AZ$212,AG$2,FALSE)</f>
        <v>3234.2868790000002</v>
      </c>
      <c r="AH54" s="25">
        <f>VLOOKUP($D54,Résultats!$B$2:$AZ$212,AH$2,FALSE)</f>
        <v>3299.0280229999998</v>
      </c>
      <c r="AI54" s="25">
        <f>VLOOKUP($D54,Résultats!$B$2:$AZ$212,AI$2,FALSE)</f>
        <v>3356.9941450000001</v>
      </c>
      <c r="AJ54" s="25">
        <f>VLOOKUP($D54,Résultats!$B$2:$AZ$212,AJ$2,FALSE)</f>
        <v>3406.8044920000002</v>
      </c>
      <c r="AK54" s="25">
        <f>VLOOKUP($D54,Résultats!$B$2:$AZ$212,AK$2,FALSE)</f>
        <v>3448.7472240000002</v>
      </c>
      <c r="AL54" s="25">
        <f>VLOOKUP($D54,Résultats!$B$2:$AZ$212,AL$2,FALSE)</f>
        <v>3482.7652280000002</v>
      </c>
      <c r="AM54" s="102">
        <f>VLOOKUP($D54,Résultats!$B$2:$AZ$212,AM$2,FALSE)</f>
        <v>3506.184874</v>
      </c>
    </row>
    <row r="55" spans="2:40" x14ac:dyDescent="0.25">
      <c r="B55" s="230"/>
      <c r="C55" s="218" t="s">
        <v>32</v>
      </c>
      <c r="D55" s="54" t="s">
        <v>143</v>
      </c>
      <c r="E55" s="25">
        <f>VLOOKUP($D55,Résultats!$B$2:$AZ$212,E$2,FALSE)</f>
        <v>8.5085212099999998E-3</v>
      </c>
      <c r="F55" s="25">
        <f>VLOOKUP($D55,Résultats!$B$2:$AZ$212,F$2,FALSE)</f>
        <v>0.14698164620000001</v>
      </c>
      <c r="G55" s="25">
        <f>VLOOKUP($D55,Résultats!$B$2:$AZ$212,G$2,FALSE)</f>
        <v>0.59752195379999995</v>
      </c>
      <c r="H55" s="25">
        <f>VLOOKUP($D55,Résultats!$B$2:$AZ$212,H$2,FALSE)</f>
        <v>0.69016332530000002</v>
      </c>
      <c r="I55" s="25">
        <f>VLOOKUP($D55,Résultats!$B$2:$AZ$212,I$2,FALSE)</f>
        <v>0.78853820370000005</v>
      </c>
      <c r="J55" s="25">
        <f>VLOOKUP($D55,Résultats!$B$2:$AZ$212,J$2,FALSE)</f>
        <v>0.90029368180000002</v>
      </c>
      <c r="K55" s="25">
        <f>VLOOKUP($D55,Résultats!$B$2:$AZ$212,K$2,FALSE)</f>
        <v>1.046630792</v>
      </c>
      <c r="L55" s="25">
        <f>VLOOKUP($D55,Résultats!$B$2:$AZ$212,L$2,FALSE)</f>
        <v>1.2352179400000001</v>
      </c>
      <c r="M55" s="25">
        <f>VLOOKUP($D55,Résultats!$B$2:$AZ$212,M$2,FALSE)</f>
        <v>1.447437584</v>
      </c>
      <c r="N55" s="25">
        <f>VLOOKUP($D55,Résultats!$B$2:$AZ$212,N$2,FALSE)</f>
        <v>1.684333222</v>
      </c>
      <c r="O55" s="25">
        <f>VLOOKUP($D55,Résultats!$B$2:$AZ$212,O$2,FALSE)</f>
        <v>1.9594139399999999</v>
      </c>
      <c r="P55" s="25">
        <f>VLOOKUP($D55,Résultats!$B$2:$AZ$212,P$2,FALSE)</f>
        <v>2.312663454</v>
      </c>
      <c r="Q55" s="25">
        <f>VLOOKUP($D55,Résultats!$B$2:$AZ$212,Q$2,FALSE)</f>
        <v>2.7907179800000002</v>
      </c>
      <c r="R55" s="25">
        <f>VLOOKUP($D55,Résultats!$B$2:$AZ$212,R$2,FALSE)</f>
        <v>3.396579537</v>
      </c>
      <c r="S55" s="25">
        <f>VLOOKUP($D55,Résultats!$B$2:$AZ$212,S$2,FALSE)</f>
        <v>4.124402495</v>
      </c>
      <c r="T55" s="25">
        <f>VLOOKUP($D55,Résultats!$B$2:$AZ$212,T$2,FALSE)</f>
        <v>4.9498546169999997</v>
      </c>
      <c r="U55" s="25">
        <f>VLOOKUP($D55,Résultats!$B$2:$AZ$212,U$2,FALSE)</f>
        <v>5.8464489559999997</v>
      </c>
      <c r="V55" s="25">
        <f>VLOOKUP($D55,Résultats!$B$2:$AZ$212,V$2,FALSE)</f>
        <v>6.7721133609999997</v>
      </c>
      <c r="W55" s="25">
        <f>VLOOKUP($D55,Résultats!$B$2:$AZ$212,W$2,FALSE)</f>
        <v>7.6922128589999996</v>
      </c>
      <c r="X55" s="25">
        <f>VLOOKUP($D55,Résultats!$B$2:$AZ$212,X$2,FALSE)</f>
        <v>8.581171028</v>
      </c>
      <c r="Y55" s="25">
        <f>VLOOKUP($D55,Résultats!$B$2:$AZ$212,Y$2,FALSE)</f>
        <v>9.4621353629999998</v>
      </c>
      <c r="Z55" s="25">
        <f>VLOOKUP($D55,Résultats!$B$2:$AZ$212,Z$2,FALSE)</f>
        <v>10.31370295</v>
      </c>
      <c r="AA55" s="25">
        <f>VLOOKUP($D55,Résultats!$B$2:$AZ$212,AA$2,FALSE)</f>
        <v>11.115594979999999</v>
      </c>
      <c r="AB55" s="25">
        <f>VLOOKUP($D55,Résultats!$B$2:$AZ$212,AB$2,FALSE)</f>
        <v>11.86477812</v>
      </c>
      <c r="AC55" s="25">
        <f>VLOOKUP($D55,Résultats!$B$2:$AZ$212,AC$2,FALSE)</f>
        <v>12.55409901</v>
      </c>
      <c r="AD55" s="25">
        <f>VLOOKUP($D55,Résultats!$B$2:$AZ$212,AD$2,FALSE)</f>
        <v>13.18581481</v>
      </c>
      <c r="AE55" s="25">
        <f>VLOOKUP($D55,Résultats!$B$2:$AZ$212,AE$2,FALSE)</f>
        <v>13.767350110000001</v>
      </c>
      <c r="AF55" s="25">
        <f>VLOOKUP($D55,Résultats!$B$2:$AZ$212,AF$2,FALSE)</f>
        <v>14.296130379999999</v>
      </c>
      <c r="AG55" s="25">
        <f>VLOOKUP($D55,Résultats!$B$2:$AZ$212,AG$2,FALSE)</f>
        <v>14.7729097</v>
      </c>
      <c r="AH55" s="25">
        <f>VLOOKUP($D55,Résultats!$B$2:$AZ$212,AH$2,FALSE)</f>
        <v>15.179953830000001</v>
      </c>
      <c r="AI55" s="25">
        <f>VLOOKUP($D55,Résultats!$B$2:$AZ$212,AI$2,FALSE)</f>
        <v>15.5594851</v>
      </c>
      <c r="AJ55" s="25">
        <f>VLOOKUP($D55,Résultats!$B$2:$AZ$212,AJ$2,FALSE)</f>
        <v>15.904567309999999</v>
      </c>
      <c r="AK55" s="25">
        <f>VLOOKUP($D55,Résultats!$B$2:$AZ$212,AK$2,FALSE)</f>
        <v>16.215895710000002</v>
      </c>
      <c r="AL55" s="25">
        <f>VLOOKUP($D55,Résultats!$B$2:$AZ$212,AL$2,FALSE)</f>
        <v>16.492467359999999</v>
      </c>
      <c r="AM55" s="102">
        <f>VLOOKUP($D55,Résultats!$B$2:$AZ$212,AM$2,FALSE)</f>
        <v>16.720222339999999</v>
      </c>
    </row>
    <row r="56" spans="2:40" x14ac:dyDescent="0.25">
      <c r="B56" s="230"/>
      <c r="C56" s="218" t="s">
        <v>33</v>
      </c>
      <c r="D56" s="54" t="s">
        <v>144</v>
      </c>
      <c r="E56" s="25">
        <f>VLOOKUP($D56,Résultats!$B$2:$AZ$212,E$2,FALSE)</f>
        <v>0.1045332606</v>
      </c>
      <c r="F56" s="25">
        <f>VLOOKUP($D56,Résultats!$B$2:$AZ$212,F$2,FALSE)</f>
        <v>4.8985145130000003</v>
      </c>
      <c r="G56" s="25">
        <f>VLOOKUP($D56,Résultats!$B$2:$AZ$212,G$2,FALSE)</f>
        <v>11.97701882</v>
      </c>
      <c r="H56" s="25">
        <f>VLOOKUP($D56,Résultats!$B$2:$AZ$212,H$2,FALSE)</f>
        <v>15.860319069999999</v>
      </c>
      <c r="I56" s="25">
        <f>VLOOKUP($D56,Résultats!$B$2:$AZ$212,I$2,FALSE)</f>
        <v>20.341486530000001</v>
      </c>
      <c r="J56" s="25">
        <f>VLOOKUP($D56,Résultats!$B$2:$AZ$212,J$2,FALSE)</f>
        <v>25.052460709999998</v>
      </c>
      <c r="K56" s="25">
        <f>VLOOKUP($D56,Résultats!$B$2:$AZ$212,K$2,FALSE)</f>
        <v>29.894510310000001</v>
      </c>
      <c r="L56" s="25">
        <f>VLOOKUP($D56,Résultats!$B$2:$AZ$212,L$2,FALSE)</f>
        <v>35.218516139999998</v>
      </c>
      <c r="M56" s="25">
        <f>VLOOKUP($D56,Résultats!$B$2:$AZ$212,M$2,FALSE)</f>
        <v>40.890045049999998</v>
      </c>
      <c r="N56" s="25">
        <f>VLOOKUP($D56,Résultats!$B$2:$AZ$212,N$2,FALSE)</f>
        <v>46.91875709</v>
      </c>
      <c r="O56" s="25">
        <f>VLOOKUP($D56,Résultats!$B$2:$AZ$212,O$2,FALSE)</f>
        <v>53.552886540000003</v>
      </c>
      <c r="P56" s="25">
        <f>VLOOKUP($D56,Résultats!$B$2:$AZ$212,P$2,FALSE)</f>
        <v>61.735492409999999</v>
      </c>
      <c r="Q56" s="25">
        <f>VLOOKUP($D56,Résultats!$B$2:$AZ$212,Q$2,FALSE)</f>
        <v>72.470759319999999</v>
      </c>
      <c r="R56" s="25">
        <f>VLOOKUP($D56,Résultats!$B$2:$AZ$212,R$2,FALSE)</f>
        <v>85.603893650000003</v>
      </c>
      <c r="S56" s="25">
        <f>VLOOKUP($D56,Résultats!$B$2:$AZ$212,S$2,FALSE)</f>
        <v>100.7915873</v>
      </c>
      <c r="T56" s="25">
        <f>VLOOKUP($D56,Résultats!$B$2:$AZ$212,T$2,FALSE)</f>
        <v>117.29151210000001</v>
      </c>
      <c r="U56" s="25">
        <f>VLOOKUP($D56,Résultats!$B$2:$AZ$212,U$2,FALSE)</f>
        <v>134.42981589999999</v>
      </c>
      <c r="V56" s="25">
        <f>VLOOKUP($D56,Résultats!$B$2:$AZ$212,V$2,FALSE)</f>
        <v>151.226485</v>
      </c>
      <c r="W56" s="25">
        <f>VLOOKUP($D56,Résultats!$B$2:$AZ$212,W$2,FALSE)</f>
        <v>166.9644926</v>
      </c>
      <c r="X56" s="25">
        <f>VLOOKUP($D56,Résultats!$B$2:$AZ$212,X$2,FALSE)</f>
        <v>181.1821789</v>
      </c>
      <c r="Y56" s="25">
        <f>VLOOKUP($D56,Résultats!$B$2:$AZ$212,Y$2,FALSE)</f>
        <v>194.41567420000001</v>
      </c>
      <c r="Z56" s="25">
        <f>VLOOKUP($D56,Résultats!$B$2:$AZ$212,Z$2,FALSE)</f>
        <v>206.2892793</v>
      </c>
      <c r="AA56" s="25">
        <f>VLOOKUP($D56,Résultats!$B$2:$AZ$212,AA$2,FALSE)</f>
        <v>216.49630930000001</v>
      </c>
      <c r="AB56" s="25">
        <f>VLOOKUP($D56,Résultats!$B$2:$AZ$212,AB$2,FALSE)</f>
        <v>225.0995408</v>
      </c>
      <c r="AC56" s="25">
        <f>VLOOKUP($D56,Résultats!$B$2:$AZ$212,AC$2,FALSE)</f>
        <v>232.08710640000001</v>
      </c>
      <c r="AD56" s="25">
        <f>VLOOKUP($D56,Résultats!$B$2:$AZ$212,AD$2,FALSE)</f>
        <v>237.7246442</v>
      </c>
      <c r="AE56" s="25">
        <f>VLOOKUP($D56,Résultats!$B$2:$AZ$212,AE$2,FALSE)</f>
        <v>242.2337416</v>
      </c>
      <c r="AF56" s="25">
        <f>VLOOKUP($D56,Résultats!$B$2:$AZ$212,AF$2,FALSE)</f>
        <v>245.64764289999999</v>
      </c>
      <c r="AG56" s="25">
        <f>VLOOKUP($D56,Résultats!$B$2:$AZ$212,AG$2,FALSE)</f>
        <v>248.0460899</v>
      </c>
      <c r="AH56" s="25">
        <f>VLOOKUP($D56,Résultats!$B$2:$AZ$212,AH$2,FALSE)</f>
        <v>247.8532955</v>
      </c>
      <c r="AI56" s="25">
        <f>VLOOKUP($D56,Résultats!$B$2:$AZ$212,AI$2,FALSE)</f>
        <v>247.28656580000001</v>
      </c>
      <c r="AJ56" s="25">
        <f>VLOOKUP($D56,Résultats!$B$2:$AZ$212,AJ$2,FALSE)</f>
        <v>246.28588120000001</v>
      </c>
      <c r="AK56" s="25">
        <f>VLOOKUP($D56,Résultats!$B$2:$AZ$212,AK$2,FALSE)</f>
        <v>244.8984394</v>
      </c>
      <c r="AL56" s="25">
        <f>VLOOKUP($D56,Résultats!$B$2:$AZ$212,AL$2,FALSE)</f>
        <v>243.1472426</v>
      </c>
      <c r="AM56" s="102">
        <f>VLOOKUP($D56,Résultats!$B$2:$AZ$212,AM$2,FALSE)</f>
        <v>240.9030582</v>
      </c>
    </row>
    <row r="57" spans="2:40" x14ac:dyDescent="0.25">
      <c r="B57" s="230"/>
      <c r="C57" s="223" t="s">
        <v>46</v>
      </c>
      <c r="D57" s="52" t="s">
        <v>146</v>
      </c>
      <c r="E57" s="61">
        <f>VLOOKUP($D57,Résultats!$B$2:$AZ$212,E$2,FALSE)</f>
        <v>31999.388770000001</v>
      </c>
      <c r="F57" s="61">
        <f>VLOOKUP($D57,Résultats!$B$2:$AZ$212,F$2,FALSE)</f>
        <v>35790.505729999997</v>
      </c>
      <c r="G57" s="61">
        <f>VLOOKUP($D57,Résultats!$B$2:$AZ$212,G$2,FALSE)</f>
        <v>36419.989690000002</v>
      </c>
      <c r="H57" s="61">
        <f>VLOOKUP($D57,Résultats!$B$2:$AZ$212,H$2,FALSE)</f>
        <v>36730.576849999998</v>
      </c>
      <c r="I57" s="61">
        <f>VLOOKUP($D57,Résultats!$B$2:$AZ$212,I$2,FALSE)</f>
        <v>36927.455379999999</v>
      </c>
      <c r="J57" s="61">
        <f>VLOOKUP($D57,Résultats!$B$2:$AZ$212,J$2,FALSE)</f>
        <v>36900.051140000003</v>
      </c>
      <c r="K57" s="61">
        <f>VLOOKUP($D57,Résultats!$B$2:$AZ$212,K$2,FALSE)</f>
        <v>36731.472970000003</v>
      </c>
      <c r="L57" s="61">
        <f>VLOOKUP($D57,Résultats!$B$2:$AZ$212,L$2,FALSE)</f>
        <v>36489.560920000004</v>
      </c>
      <c r="M57" s="61">
        <f>VLOOKUP($D57,Résultats!$B$2:$AZ$212,M$2,FALSE)</f>
        <v>36102.667139999998</v>
      </c>
      <c r="N57" s="61">
        <f>VLOOKUP($D57,Résultats!$B$2:$AZ$212,N$2,FALSE)</f>
        <v>35597.100810000004</v>
      </c>
      <c r="O57" s="61">
        <f>VLOOKUP($D57,Résultats!$B$2:$AZ$212,O$2,FALSE)</f>
        <v>34935.761079999997</v>
      </c>
      <c r="P57" s="61">
        <f>VLOOKUP($D57,Résultats!$B$2:$AZ$212,P$2,FALSE)</f>
        <v>34121.586889999999</v>
      </c>
      <c r="Q57" s="61">
        <f>VLOOKUP($D57,Résultats!$B$2:$AZ$212,Q$2,FALSE)</f>
        <v>33134.341439999997</v>
      </c>
      <c r="R57" s="61">
        <f>VLOOKUP($D57,Résultats!$B$2:$AZ$212,R$2,FALSE)</f>
        <v>31965.17697</v>
      </c>
      <c r="S57" s="61">
        <f>VLOOKUP($D57,Résultats!$B$2:$AZ$212,S$2,FALSE)</f>
        <v>30635.261689999999</v>
      </c>
      <c r="T57" s="61">
        <f>VLOOKUP($D57,Résultats!$B$2:$AZ$212,T$2,FALSE)</f>
        <v>29183.155419999999</v>
      </c>
      <c r="U57" s="61">
        <f>VLOOKUP($D57,Résultats!$B$2:$AZ$212,U$2,FALSE)</f>
        <v>27662.712630000002</v>
      </c>
      <c r="V57" s="61">
        <f>VLOOKUP($D57,Résultats!$B$2:$AZ$212,V$2,FALSE)</f>
        <v>26123.932430000001</v>
      </c>
      <c r="W57" s="61">
        <f>VLOOKUP($D57,Résultats!$B$2:$AZ$212,W$2,FALSE)</f>
        <v>24607.91084</v>
      </c>
      <c r="X57" s="61">
        <f>VLOOKUP($D57,Résultats!$B$2:$AZ$212,X$2,FALSE)</f>
        <v>23141.57476</v>
      </c>
      <c r="Y57" s="61">
        <f>VLOOKUP($D57,Résultats!$B$2:$AZ$212,Y$2,FALSE)</f>
        <v>21740.093280000001</v>
      </c>
      <c r="Z57" s="61">
        <f>VLOOKUP($D57,Résultats!$B$2:$AZ$212,Z$2,FALSE)</f>
        <v>20408.97927</v>
      </c>
      <c r="AA57" s="61">
        <f>VLOOKUP($D57,Résultats!$B$2:$AZ$212,AA$2,FALSE)</f>
        <v>19149.438549999999</v>
      </c>
      <c r="AB57" s="61">
        <f>VLOOKUP($D57,Résultats!$B$2:$AZ$212,AB$2,FALSE)</f>
        <v>17960.311010000001</v>
      </c>
      <c r="AC57" s="61">
        <f>VLOOKUP($D57,Résultats!$B$2:$AZ$212,AC$2,FALSE)</f>
        <v>16839.157329999998</v>
      </c>
      <c r="AD57" s="61">
        <f>VLOOKUP($D57,Résultats!$B$2:$AZ$212,AD$2,FALSE)</f>
        <v>15787.38666</v>
      </c>
      <c r="AE57" s="61">
        <f>VLOOKUP($D57,Résultats!$B$2:$AZ$212,AE$2,FALSE)</f>
        <v>14801.01102</v>
      </c>
      <c r="AF57" s="61">
        <f>VLOOKUP($D57,Résultats!$B$2:$AZ$212,AF$2,FALSE)</f>
        <v>13876.11399</v>
      </c>
      <c r="AG57" s="61">
        <f>VLOOKUP($D57,Résultats!$B$2:$AZ$212,AG$2,FALSE)</f>
        <v>13008.93885</v>
      </c>
      <c r="AH57" s="61">
        <f>VLOOKUP($D57,Résultats!$B$2:$AZ$212,AH$2,FALSE)</f>
        <v>12141.718010000001</v>
      </c>
      <c r="AI57" s="61">
        <f>VLOOKUP($D57,Résultats!$B$2:$AZ$212,AI$2,FALSE)</f>
        <v>11332.29103</v>
      </c>
      <c r="AJ57" s="61">
        <f>VLOOKUP($D57,Résultats!$B$2:$AZ$212,AJ$2,FALSE)</f>
        <v>10576.815329999999</v>
      </c>
      <c r="AK57" s="61">
        <f>VLOOKUP($D57,Résultats!$B$2:$AZ$212,AK$2,FALSE)</f>
        <v>9871.69945799999</v>
      </c>
      <c r="AL57" s="61">
        <f>VLOOKUP($D57,Résultats!$B$2:$AZ$212,AL$2,FALSE)</f>
        <v>9213.58871</v>
      </c>
      <c r="AM57" s="225">
        <f>VLOOKUP($D57,Résultats!$B$2:$AZ$212,AM$2,FALSE)</f>
        <v>8599.3507079999999</v>
      </c>
      <c r="AN57" s="212"/>
    </row>
    <row r="58" spans="2:40" x14ac:dyDescent="0.25">
      <c r="B58" s="230"/>
      <c r="C58" s="218" t="s">
        <v>27</v>
      </c>
      <c r="D58" s="54" t="s">
        <v>131</v>
      </c>
      <c r="E58" s="65">
        <f>VLOOKUP($D58,Résultats!$B$2:$AZ$212,E$2,FALSE)</f>
        <v>18.581072330000001</v>
      </c>
      <c r="F58" s="65">
        <f>VLOOKUP($D58,Résultats!$B$2:$AZ$212,F$2,FALSE)</f>
        <v>217.49754279999999</v>
      </c>
      <c r="G58" s="65">
        <f>VLOOKUP($D58,Résultats!$B$2:$AZ$212,G$2,FALSE)</f>
        <v>252.00593269999999</v>
      </c>
      <c r="H58" s="65">
        <f>VLOOKUP($D58,Résultats!$B$2:$AZ$212,H$2,FALSE)</f>
        <v>278.41039799999999</v>
      </c>
      <c r="I58" s="65">
        <f>VLOOKUP($D58,Résultats!$B$2:$AZ$212,I$2,FALSE)</f>
        <v>327.1216068</v>
      </c>
      <c r="J58" s="65">
        <f>VLOOKUP($D58,Résultats!$B$2:$AZ$212,J$2,FALSE)</f>
        <v>367.15356850000001</v>
      </c>
      <c r="K58" s="65">
        <f>VLOOKUP($D58,Résultats!$B$2:$AZ$212,K$2,FALSE)</f>
        <v>435.53459170000002</v>
      </c>
      <c r="L58" s="65">
        <f>VLOOKUP($D58,Résultats!$B$2:$AZ$212,L$2,FALSE)</f>
        <v>516.99239379999995</v>
      </c>
      <c r="M58" s="65">
        <f>VLOOKUP($D58,Résultats!$B$2:$AZ$212,M$2,FALSE)</f>
        <v>591.77153129999999</v>
      </c>
      <c r="N58" s="65">
        <f>VLOOKUP($D58,Résultats!$B$2:$AZ$212,N$2,FALSE)</f>
        <v>660.28791309999997</v>
      </c>
      <c r="O58" s="65">
        <f>VLOOKUP($D58,Résultats!$B$2:$AZ$212,O$2,FALSE)</f>
        <v>718.29660609999996</v>
      </c>
      <c r="P58" s="65">
        <f>VLOOKUP($D58,Résultats!$B$2:$AZ$212,P$2,FALSE)</f>
        <v>764.00949930000002</v>
      </c>
      <c r="Q58" s="65">
        <f>VLOOKUP($D58,Résultats!$B$2:$AZ$212,Q$2,FALSE)</f>
        <v>794.61403110000003</v>
      </c>
      <c r="R58" s="65">
        <f>VLOOKUP($D58,Résultats!$B$2:$AZ$212,R$2,FALSE)</f>
        <v>809.37903310000002</v>
      </c>
      <c r="S58" s="65">
        <f>VLOOKUP($D58,Résultats!$B$2:$AZ$212,S$2,FALSE)</f>
        <v>808.43051160000005</v>
      </c>
      <c r="T58" s="65">
        <f>VLOOKUP($D58,Résultats!$B$2:$AZ$212,T$2,FALSE)</f>
        <v>792.92660420000004</v>
      </c>
      <c r="U58" s="65">
        <f>VLOOKUP($D58,Résultats!$B$2:$AZ$212,U$2,FALSE)</f>
        <v>766.39176520000001</v>
      </c>
      <c r="V58" s="65">
        <f>VLOOKUP($D58,Résultats!$B$2:$AZ$212,V$2,FALSE)</f>
        <v>732.68005049999999</v>
      </c>
      <c r="W58" s="65">
        <f>VLOOKUP($D58,Résultats!$B$2:$AZ$212,W$2,FALSE)</f>
        <v>695.26629049999997</v>
      </c>
      <c r="X58" s="65">
        <f>VLOOKUP($D58,Résultats!$B$2:$AZ$212,X$2,FALSE)</f>
        <v>656.64799340000002</v>
      </c>
      <c r="Y58" s="65">
        <f>VLOOKUP($D58,Résultats!$B$2:$AZ$212,Y$2,FALSE)</f>
        <v>618.4222704</v>
      </c>
      <c r="Z58" s="65">
        <f>VLOOKUP($D58,Résultats!$B$2:$AZ$212,Z$2,FALSE)</f>
        <v>581.3849037</v>
      </c>
      <c r="AA58" s="65">
        <f>VLOOKUP($D58,Résultats!$B$2:$AZ$212,AA$2,FALSE)</f>
        <v>545.94177869999999</v>
      </c>
      <c r="AB58" s="65">
        <f>VLOOKUP($D58,Résultats!$B$2:$AZ$212,AB$2,FALSE)</f>
        <v>512.26957289999996</v>
      </c>
      <c r="AC58" s="65">
        <f>VLOOKUP($D58,Résultats!$B$2:$AZ$212,AC$2,FALSE)</f>
        <v>480.41086389999998</v>
      </c>
      <c r="AD58" s="65">
        <f>VLOOKUP($D58,Résultats!$B$2:$AZ$212,AD$2,FALSE)</f>
        <v>450.46631689999998</v>
      </c>
      <c r="AE58" s="65">
        <f>VLOOKUP($D58,Résultats!$B$2:$AZ$212,AE$2,FALSE)</f>
        <v>422.35379399999999</v>
      </c>
      <c r="AF58" s="65">
        <f>VLOOKUP($D58,Résultats!$B$2:$AZ$212,AF$2,FALSE)</f>
        <v>395.97791790000002</v>
      </c>
      <c r="AG58" s="65">
        <f>VLOOKUP($D58,Résultats!$B$2:$AZ$212,AG$2,FALSE)</f>
        <v>371.24012040000002</v>
      </c>
      <c r="AH58" s="65">
        <f>VLOOKUP($D58,Résultats!$B$2:$AZ$212,AH$2,FALSE)</f>
        <v>346.49681370000002</v>
      </c>
      <c r="AI58" s="65">
        <f>VLOOKUP($D58,Résultats!$B$2:$AZ$212,AI$2,FALSE)</f>
        <v>323.40013540000001</v>
      </c>
      <c r="AJ58" s="65">
        <f>VLOOKUP($D58,Résultats!$B$2:$AZ$212,AJ$2,FALSE)</f>
        <v>301.84172009999997</v>
      </c>
      <c r="AK58" s="65">
        <f>VLOOKUP($D58,Résultats!$B$2:$AZ$212,AK$2,FALSE)</f>
        <v>281.7197539</v>
      </c>
      <c r="AL58" s="65">
        <f>VLOOKUP($D58,Résultats!$B$2:$AZ$212,AL$2,FALSE)</f>
        <v>262.93885260000002</v>
      </c>
      <c r="AM58" s="226">
        <f>VLOOKUP($D58,Résultats!$B$2:$AZ$212,AM$2,FALSE)</f>
        <v>245.40980519999999</v>
      </c>
    </row>
    <row r="59" spans="2:40" x14ac:dyDescent="0.25">
      <c r="B59" s="230"/>
      <c r="C59" s="218" t="s">
        <v>28</v>
      </c>
      <c r="D59" s="54" t="s">
        <v>132</v>
      </c>
      <c r="E59" s="65">
        <f>VLOOKUP($D59,Résultats!$B$2:$AZ$212,E$2,FALSE)</f>
        <v>1622.772802</v>
      </c>
      <c r="F59" s="65">
        <f>VLOOKUP($D59,Résultats!$B$2:$AZ$212,F$2,FALSE)</f>
        <v>4034.3502239999998</v>
      </c>
      <c r="G59" s="65">
        <f>VLOOKUP($D59,Résultats!$B$2:$AZ$212,G$2,FALSE)</f>
        <v>4546.8092809999998</v>
      </c>
      <c r="H59" s="65">
        <f>VLOOKUP($D59,Résultats!$B$2:$AZ$212,H$2,FALSE)</f>
        <v>4725.322709</v>
      </c>
      <c r="I59" s="65">
        <f>VLOOKUP($D59,Résultats!$B$2:$AZ$212,I$2,FALSE)</f>
        <v>4891.8303779999997</v>
      </c>
      <c r="J59" s="65">
        <f>VLOOKUP($D59,Résultats!$B$2:$AZ$212,J$2,FALSE)</f>
        <v>5003.766482</v>
      </c>
      <c r="K59" s="65">
        <f>VLOOKUP($D59,Résultats!$B$2:$AZ$212,K$2,FALSE)</f>
        <v>5111.3984810000002</v>
      </c>
      <c r="L59" s="65">
        <f>VLOOKUP($D59,Résultats!$B$2:$AZ$212,L$2,FALSE)</f>
        <v>5210.0706989999999</v>
      </c>
      <c r="M59" s="65">
        <f>VLOOKUP($D59,Résultats!$B$2:$AZ$212,M$2,FALSE)</f>
        <v>5271.5028510000002</v>
      </c>
      <c r="N59" s="65">
        <f>VLOOKUP($D59,Résultats!$B$2:$AZ$212,N$2,FALSE)</f>
        <v>5301.0953630000004</v>
      </c>
      <c r="O59" s="65">
        <f>VLOOKUP($D59,Résultats!$B$2:$AZ$212,O$2,FALSE)</f>
        <v>5292.1232410000002</v>
      </c>
      <c r="P59" s="65">
        <f>VLOOKUP($D59,Résultats!$B$2:$AZ$212,P$2,FALSE)</f>
        <v>5244.8095949999997</v>
      </c>
      <c r="Q59" s="65">
        <f>VLOOKUP($D59,Résultats!$B$2:$AZ$212,Q$2,FALSE)</f>
        <v>5154.6718069999997</v>
      </c>
      <c r="R59" s="65">
        <f>VLOOKUP($D59,Résultats!$B$2:$AZ$212,R$2,FALSE)</f>
        <v>5019.7106320000003</v>
      </c>
      <c r="S59" s="65">
        <f>VLOOKUP($D59,Résultats!$B$2:$AZ$212,S$2,FALSE)</f>
        <v>4844.4716909999997</v>
      </c>
      <c r="T59" s="65">
        <f>VLOOKUP($D59,Résultats!$B$2:$AZ$212,T$2,FALSE)</f>
        <v>4637.2311799999998</v>
      </c>
      <c r="U59" s="65">
        <f>VLOOKUP($D59,Résultats!$B$2:$AZ$212,U$2,FALSE)</f>
        <v>4409.5575879999997</v>
      </c>
      <c r="V59" s="65">
        <f>VLOOKUP($D59,Résultats!$B$2:$AZ$212,V$2,FALSE)</f>
        <v>4172.351036</v>
      </c>
      <c r="W59" s="65">
        <f>VLOOKUP($D59,Résultats!$B$2:$AZ$212,W$2,FALSE)</f>
        <v>3934.6712040000002</v>
      </c>
      <c r="X59" s="65">
        <f>VLOOKUP($D59,Résultats!$B$2:$AZ$212,X$2,FALSE)</f>
        <v>3702.573206</v>
      </c>
      <c r="Y59" s="65">
        <f>VLOOKUP($D59,Résultats!$B$2:$AZ$212,Y$2,FALSE)</f>
        <v>3479.598324</v>
      </c>
      <c r="Z59" s="65">
        <f>VLOOKUP($D59,Résultats!$B$2:$AZ$212,Z$2,FALSE)</f>
        <v>3267.2031590000001</v>
      </c>
      <c r="AA59" s="65">
        <f>VLOOKUP($D59,Résultats!$B$2:$AZ$212,AA$2,FALSE)</f>
        <v>3065.903476</v>
      </c>
      <c r="AB59" s="65">
        <f>VLOOKUP($D59,Résultats!$B$2:$AZ$212,AB$2,FALSE)</f>
        <v>2875.690376</v>
      </c>
      <c r="AC59" s="65">
        <f>VLOOKUP($D59,Résultats!$B$2:$AZ$212,AC$2,FALSE)</f>
        <v>2696.2648450000002</v>
      </c>
      <c r="AD59" s="65">
        <f>VLOOKUP($D59,Résultats!$B$2:$AZ$212,AD$2,FALSE)</f>
        <v>2527.8999359999998</v>
      </c>
      <c r="AE59" s="65">
        <f>VLOOKUP($D59,Résultats!$B$2:$AZ$212,AE$2,FALSE)</f>
        <v>2369.981706</v>
      </c>
      <c r="AF59" s="65">
        <f>VLOOKUP($D59,Résultats!$B$2:$AZ$212,AF$2,FALSE)</f>
        <v>2221.8952869999998</v>
      </c>
      <c r="AG59" s="65">
        <f>VLOOKUP($D59,Résultats!$B$2:$AZ$212,AG$2,FALSE)</f>
        <v>2083.0453539999999</v>
      </c>
      <c r="AH59" s="65">
        <f>VLOOKUP($D59,Résultats!$B$2:$AZ$212,AH$2,FALSE)</f>
        <v>1944.1852060000001</v>
      </c>
      <c r="AI59" s="65">
        <f>VLOOKUP($D59,Résultats!$B$2:$AZ$212,AI$2,FALSE)</f>
        <v>1814.577638</v>
      </c>
      <c r="AJ59" s="65">
        <f>VLOOKUP($D59,Résultats!$B$2:$AZ$212,AJ$2,FALSE)</f>
        <v>1693.608174</v>
      </c>
      <c r="AK59" s="65">
        <f>VLOOKUP($D59,Résultats!$B$2:$AZ$212,AK$2,FALSE)</f>
        <v>1580.702145</v>
      </c>
      <c r="AL59" s="65">
        <f>VLOOKUP($D59,Résultats!$B$2:$AZ$212,AL$2,FALSE)</f>
        <v>1475.3225870000001</v>
      </c>
      <c r="AM59" s="226">
        <f>VLOOKUP($D59,Résultats!$B$2:$AZ$212,AM$2,FALSE)</f>
        <v>1376.9680350000001</v>
      </c>
    </row>
    <row r="60" spans="2:40" x14ac:dyDescent="0.25">
      <c r="B60" s="230"/>
      <c r="C60" s="218" t="s">
        <v>29</v>
      </c>
      <c r="D60" s="54" t="s">
        <v>133</v>
      </c>
      <c r="E60" s="65">
        <f>VLOOKUP($D60,Résultats!$B$2:$AZ$212,E$2,FALSE)</f>
        <v>3840.9962489999998</v>
      </c>
      <c r="F60" s="65">
        <f>VLOOKUP($D60,Résultats!$B$2:$AZ$212,F$2,FALSE)</f>
        <v>7002.195068</v>
      </c>
      <c r="G60" s="65">
        <f>VLOOKUP($D60,Résultats!$B$2:$AZ$212,G$2,FALSE)</f>
        <v>7677.6506330000002</v>
      </c>
      <c r="H60" s="65">
        <f>VLOOKUP($D60,Résultats!$B$2:$AZ$212,H$2,FALSE)</f>
        <v>7913.1414679999998</v>
      </c>
      <c r="I60" s="65">
        <f>VLOOKUP($D60,Résultats!$B$2:$AZ$212,I$2,FALSE)</f>
        <v>8116.0926630000004</v>
      </c>
      <c r="J60" s="65">
        <f>VLOOKUP($D60,Résultats!$B$2:$AZ$212,J$2,FALSE)</f>
        <v>8244.7592139999997</v>
      </c>
      <c r="K60" s="65">
        <f>VLOOKUP($D60,Résultats!$B$2:$AZ$212,K$2,FALSE)</f>
        <v>8344.8294249999999</v>
      </c>
      <c r="L60" s="65">
        <f>VLOOKUP($D60,Résultats!$B$2:$AZ$212,L$2,FALSE)</f>
        <v>8422.2963639999998</v>
      </c>
      <c r="M60" s="65">
        <f>VLOOKUP($D60,Résultats!$B$2:$AZ$212,M$2,FALSE)</f>
        <v>8447.28511599999</v>
      </c>
      <c r="N60" s="65">
        <f>VLOOKUP($D60,Résultats!$B$2:$AZ$212,N$2,FALSE)</f>
        <v>8428.1290119999994</v>
      </c>
      <c r="O60" s="65">
        <f>VLOOKUP($D60,Résultats!$B$2:$AZ$212,O$2,FALSE)</f>
        <v>8355.3438609999994</v>
      </c>
      <c r="P60" s="65">
        <f>VLOOKUP($D60,Résultats!$B$2:$AZ$212,P$2,FALSE)</f>
        <v>8230.3371229999902</v>
      </c>
      <c r="Q60" s="65">
        <f>VLOOKUP($D60,Résultats!$B$2:$AZ$212,Q$2,FALSE)</f>
        <v>8047.6417410000004</v>
      </c>
      <c r="R60" s="65">
        <f>VLOOKUP($D60,Résultats!$B$2:$AZ$212,R$2,FALSE)</f>
        <v>7804.8989439999996</v>
      </c>
      <c r="S60" s="65">
        <f>VLOOKUP($D60,Résultats!$B$2:$AZ$212,S$2,FALSE)</f>
        <v>7508.9064090000002</v>
      </c>
      <c r="T60" s="65">
        <f>VLOOKUP($D60,Résultats!$B$2:$AZ$212,T$2,FALSE)</f>
        <v>7171.6411939999998</v>
      </c>
      <c r="U60" s="65">
        <f>VLOOKUP($D60,Résultats!$B$2:$AZ$212,U$2,FALSE)</f>
        <v>6809.3246609999997</v>
      </c>
      <c r="V60" s="65">
        <f>VLOOKUP($D60,Résultats!$B$2:$AZ$212,V$2,FALSE)</f>
        <v>6436.9467089999998</v>
      </c>
      <c r="W60" s="65">
        <f>VLOOKUP($D60,Résultats!$B$2:$AZ$212,W$2,FALSE)</f>
        <v>6066.8225540000003</v>
      </c>
      <c r="X60" s="65">
        <f>VLOOKUP($D60,Résultats!$B$2:$AZ$212,X$2,FALSE)</f>
        <v>5707.0752229999998</v>
      </c>
      <c r="Y60" s="65">
        <f>VLOOKUP($D60,Résultats!$B$2:$AZ$212,Y$2,FALSE)</f>
        <v>5362.3604869999999</v>
      </c>
      <c r="Z60" s="65">
        <f>VLOOKUP($D60,Résultats!$B$2:$AZ$212,Z$2,FALSE)</f>
        <v>5034.4926349999996</v>
      </c>
      <c r="AA60" s="65">
        <f>VLOOKUP($D60,Résultats!$B$2:$AZ$212,AA$2,FALSE)</f>
        <v>4724.0175470000004</v>
      </c>
      <c r="AB60" s="65">
        <f>VLOOKUP($D60,Résultats!$B$2:$AZ$212,AB$2,FALSE)</f>
        <v>4430.7815979999996</v>
      </c>
      <c r="AC60" s="65">
        <f>VLOOKUP($D60,Résultats!$B$2:$AZ$212,AC$2,FALSE)</f>
        <v>4154.2495570000001</v>
      </c>
      <c r="AD60" s="65">
        <f>VLOOKUP($D60,Résultats!$B$2:$AZ$212,AD$2,FALSE)</f>
        <v>3894.8024260000002</v>
      </c>
      <c r="AE60" s="65">
        <f>VLOOKUP($D60,Résultats!$B$2:$AZ$212,AE$2,FALSE)</f>
        <v>3651.4730239999999</v>
      </c>
      <c r="AF60" s="65">
        <f>VLOOKUP($D60,Résultats!$B$2:$AZ$212,AF$2,FALSE)</f>
        <v>3423.30314</v>
      </c>
      <c r="AG60" s="65">
        <f>VLOOKUP($D60,Résultats!$B$2:$AZ$212,AG$2,FALSE)</f>
        <v>3209.369886</v>
      </c>
      <c r="AH60" s="65">
        <f>VLOOKUP($D60,Résultats!$B$2:$AZ$212,AH$2,FALSE)</f>
        <v>2995.4235640000002</v>
      </c>
      <c r="AI60" s="65">
        <f>VLOOKUP($D60,Résultats!$B$2:$AZ$212,AI$2,FALSE)</f>
        <v>2795.734469</v>
      </c>
      <c r="AJ60" s="65">
        <f>VLOOKUP($D60,Résultats!$B$2:$AZ$212,AJ$2,FALSE)</f>
        <v>2609.3550420000001</v>
      </c>
      <c r="AK60" s="65">
        <f>VLOOKUP($D60,Résultats!$B$2:$AZ$212,AK$2,FALSE)</f>
        <v>2435.399457</v>
      </c>
      <c r="AL60" s="65">
        <f>VLOOKUP($D60,Résultats!$B$2:$AZ$212,AL$2,FALSE)</f>
        <v>2273.040191</v>
      </c>
      <c r="AM60" s="226">
        <f>VLOOKUP($D60,Résultats!$B$2:$AZ$212,AM$2,FALSE)</f>
        <v>2121.5045180000002</v>
      </c>
    </row>
    <row r="61" spans="2:40" x14ac:dyDescent="0.25">
      <c r="B61" s="230"/>
      <c r="C61" s="218" t="s">
        <v>30</v>
      </c>
      <c r="D61" s="54" t="s">
        <v>134</v>
      </c>
      <c r="E61" s="65">
        <f>VLOOKUP($D61,Résultats!$B$2:$AZ$212,E$2,FALSE)</f>
        <v>5377.3855290000001</v>
      </c>
      <c r="F61" s="65">
        <f>VLOOKUP($D61,Résultats!$B$2:$AZ$212,F$2,FALSE)</f>
        <v>7838.0557150000004</v>
      </c>
      <c r="G61" s="65">
        <f>VLOOKUP($D61,Résultats!$B$2:$AZ$212,G$2,FALSE)</f>
        <v>8332.06986399999</v>
      </c>
      <c r="H61" s="65">
        <f>VLOOKUP($D61,Résultats!$B$2:$AZ$212,H$2,FALSE)</f>
        <v>8511.2276170000005</v>
      </c>
      <c r="I61" s="65">
        <f>VLOOKUP($D61,Résultats!$B$2:$AZ$212,I$2,FALSE)</f>
        <v>8649.089473</v>
      </c>
      <c r="J61" s="65">
        <f>VLOOKUP($D61,Résultats!$B$2:$AZ$212,J$2,FALSE)</f>
        <v>8731.7031889999998</v>
      </c>
      <c r="K61" s="65">
        <f>VLOOKUP($D61,Résultats!$B$2:$AZ$212,K$2,FALSE)</f>
        <v>8774.9386599999998</v>
      </c>
      <c r="L61" s="65">
        <f>VLOOKUP($D61,Résultats!$B$2:$AZ$212,L$2,FALSE)</f>
        <v>8792.1576050000003</v>
      </c>
      <c r="M61" s="65">
        <f>VLOOKUP($D61,Résultats!$B$2:$AZ$212,M$2,FALSE)</f>
        <v>8761.7357190000002</v>
      </c>
      <c r="N61" s="65">
        <f>VLOOKUP($D61,Résultats!$B$2:$AZ$212,N$2,FALSE)</f>
        <v>8691.7187489999997</v>
      </c>
      <c r="O61" s="65">
        <f>VLOOKUP($D61,Résultats!$B$2:$AZ$212,O$2,FALSE)</f>
        <v>8573.2235290000008</v>
      </c>
      <c r="P61" s="65">
        <f>VLOOKUP($D61,Résultats!$B$2:$AZ$212,P$2,FALSE)</f>
        <v>8408.0405719999999</v>
      </c>
      <c r="Q61" s="65">
        <f>VLOOKUP($D61,Résultats!$B$2:$AZ$212,Q$2,FALSE)</f>
        <v>8191.4269560000002</v>
      </c>
      <c r="R61" s="65">
        <f>VLOOKUP($D61,Résultats!$B$2:$AZ$212,R$2,FALSE)</f>
        <v>7921.3061809999999</v>
      </c>
      <c r="S61" s="65">
        <f>VLOOKUP($D61,Résultats!$B$2:$AZ$212,S$2,FALSE)</f>
        <v>7604.1934160000001</v>
      </c>
      <c r="T61" s="65">
        <f>VLOOKUP($D61,Résultats!$B$2:$AZ$212,T$2,FALSE)</f>
        <v>7251.4113889999999</v>
      </c>
      <c r="U61" s="65">
        <f>VLOOKUP($D61,Résultats!$B$2:$AZ$212,U$2,FALSE)</f>
        <v>6878.0052640000004</v>
      </c>
      <c r="V61" s="65">
        <f>VLOOKUP($D61,Résultats!$B$2:$AZ$212,V$2,FALSE)</f>
        <v>6497.729034</v>
      </c>
      <c r="W61" s="65">
        <f>VLOOKUP($D61,Résultats!$B$2:$AZ$212,W$2,FALSE)</f>
        <v>6121.8017170000003</v>
      </c>
      <c r="X61" s="65">
        <f>VLOOKUP($D61,Résultats!$B$2:$AZ$212,X$2,FALSE)</f>
        <v>5757.5543420000004</v>
      </c>
      <c r="Y61" s="65">
        <f>VLOOKUP($D61,Résultats!$B$2:$AZ$212,Y$2,FALSE)</f>
        <v>5409.1234629999999</v>
      </c>
      <c r="Z61" s="65">
        <f>VLOOKUP($D61,Résultats!$B$2:$AZ$212,Z$2,FALSE)</f>
        <v>5078.0448720000004</v>
      </c>
      <c r="AA61" s="65">
        <f>VLOOKUP($D61,Résultats!$B$2:$AZ$212,AA$2,FALSE)</f>
        <v>4764.7018120000002</v>
      </c>
      <c r="AB61" s="65">
        <f>VLOOKUP($D61,Résultats!$B$2:$AZ$212,AB$2,FALSE)</f>
        <v>4468.8466500000004</v>
      </c>
      <c r="AC61" s="65">
        <f>VLOOKUP($D61,Résultats!$B$2:$AZ$212,AC$2,FALSE)</f>
        <v>4189.8910059999998</v>
      </c>
      <c r="AD61" s="65">
        <f>VLOOKUP($D61,Résultats!$B$2:$AZ$212,AD$2,FALSE)</f>
        <v>3928.1936559999999</v>
      </c>
      <c r="AE61" s="65">
        <f>VLOOKUP($D61,Résultats!$B$2:$AZ$212,AE$2,FALSE)</f>
        <v>3682.7658040000001</v>
      </c>
      <c r="AF61" s="65">
        <f>VLOOKUP($D61,Résultats!$B$2:$AZ$212,AF$2,FALSE)</f>
        <v>3452.6343120000001</v>
      </c>
      <c r="AG61" s="65">
        <f>VLOOKUP($D61,Résultats!$B$2:$AZ$212,AG$2,FALSE)</f>
        <v>3236.864928</v>
      </c>
      <c r="AH61" s="65">
        <f>VLOOKUP($D61,Résultats!$B$2:$AZ$212,AH$2,FALSE)</f>
        <v>3021.0839999999998</v>
      </c>
      <c r="AI61" s="65">
        <f>VLOOKUP($D61,Résultats!$B$2:$AZ$212,AI$2,FALSE)</f>
        <v>2819.6833929999998</v>
      </c>
      <c r="AJ61" s="65">
        <f>VLOOKUP($D61,Résultats!$B$2:$AZ$212,AJ$2,FALSE)</f>
        <v>2631.7069590000001</v>
      </c>
      <c r="AK61" s="65">
        <f>VLOOKUP($D61,Résultats!$B$2:$AZ$212,AK$2,FALSE)</f>
        <v>2456.2610380000001</v>
      </c>
      <c r="AL61" s="65">
        <f>VLOOKUP($D61,Résultats!$B$2:$AZ$212,AL$2,FALSE)</f>
        <v>2292.5108949999999</v>
      </c>
      <c r="AM61" s="226">
        <f>VLOOKUP($D61,Résultats!$B$2:$AZ$212,AM$2,FALSE)</f>
        <v>2139.6771229999999</v>
      </c>
    </row>
    <row r="62" spans="2:40" x14ac:dyDescent="0.25">
      <c r="B62" s="230"/>
      <c r="C62" s="218" t="s">
        <v>31</v>
      </c>
      <c r="D62" s="54" t="s">
        <v>135</v>
      </c>
      <c r="E62" s="65">
        <f>VLOOKUP($D62,Résultats!$B$2:$AZ$212,E$2,FALSE)</f>
        <v>13959.64589</v>
      </c>
      <c r="F62" s="65">
        <f>VLOOKUP($D62,Résultats!$B$2:$AZ$212,F$2,FALSE)</f>
        <v>11298.060890000001</v>
      </c>
      <c r="G62" s="65">
        <f>VLOOKUP($D62,Résultats!$B$2:$AZ$212,G$2,FALSE)</f>
        <v>10644.51664</v>
      </c>
      <c r="H62" s="65">
        <f>VLOOKUP($D62,Résultats!$B$2:$AZ$212,H$2,FALSE)</f>
        <v>10465.20918</v>
      </c>
      <c r="I62" s="65">
        <f>VLOOKUP($D62,Résultats!$B$2:$AZ$212,I$2,FALSE)</f>
        <v>10256.255010000001</v>
      </c>
      <c r="J62" s="65">
        <f>VLOOKUP($D62,Résultats!$B$2:$AZ$212,J$2,FALSE)</f>
        <v>10043.57142</v>
      </c>
      <c r="K62" s="65">
        <f>VLOOKUP($D62,Résultats!$B$2:$AZ$212,K$2,FALSE)</f>
        <v>9767.5778470000005</v>
      </c>
      <c r="L62" s="65">
        <f>VLOOKUP($D62,Résultats!$B$2:$AZ$212,L$2,FALSE)</f>
        <v>9470.0045420000006</v>
      </c>
      <c r="M62" s="65">
        <f>VLOOKUP($D62,Résultats!$B$2:$AZ$212,M$2,FALSE)</f>
        <v>9163.1893139999902</v>
      </c>
      <c r="N62" s="65">
        <f>VLOOKUP($D62,Résultats!$B$2:$AZ$212,N$2,FALSE)</f>
        <v>8850.9796979999901</v>
      </c>
      <c r="O62" s="65">
        <f>VLOOKUP($D62,Résultats!$B$2:$AZ$212,O$2,FALSE)</f>
        <v>8527.2465150000007</v>
      </c>
      <c r="P62" s="65">
        <f>VLOOKUP($D62,Résultats!$B$2:$AZ$212,P$2,FALSE)</f>
        <v>8193.1189049999903</v>
      </c>
      <c r="Q62" s="65">
        <f>VLOOKUP($D62,Résultats!$B$2:$AZ$212,Q$2,FALSE)</f>
        <v>7846.2015940000001</v>
      </c>
      <c r="R62" s="65">
        <f>VLOOKUP($D62,Résultats!$B$2:$AZ$212,R$2,FALSE)</f>
        <v>7485.1746940000003</v>
      </c>
      <c r="S62" s="65">
        <f>VLOOKUP($D62,Résultats!$B$2:$AZ$212,S$2,FALSE)</f>
        <v>7113.0962140000001</v>
      </c>
      <c r="T62" s="65">
        <f>VLOOKUP($D62,Résultats!$B$2:$AZ$212,T$2,FALSE)</f>
        <v>6735.4289070000004</v>
      </c>
      <c r="U62" s="65">
        <f>VLOOKUP($D62,Résultats!$B$2:$AZ$212,U$2,FALSE)</f>
        <v>6359.2553349999998</v>
      </c>
      <c r="V62" s="65">
        <f>VLOOKUP($D62,Résultats!$B$2:$AZ$212,V$2,FALSE)</f>
        <v>5990.825151</v>
      </c>
      <c r="W62" s="65">
        <f>VLOOKUP($D62,Résultats!$B$2:$AZ$212,W$2,FALSE)</f>
        <v>5635.0659990000004</v>
      </c>
      <c r="X62" s="65">
        <f>VLOOKUP($D62,Résultats!$B$2:$AZ$212,X$2,FALSE)</f>
        <v>5294.9794760000004</v>
      </c>
      <c r="Y62" s="65">
        <f>VLOOKUP($D62,Résultats!$B$2:$AZ$212,Y$2,FALSE)</f>
        <v>4972.0163259999999</v>
      </c>
      <c r="Z62" s="65">
        <f>VLOOKUP($D62,Résultats!$B$2:$AZ$212,Z$2,FALSE)</f>
        <v>4666.391439</v>
      </c>
      <c r="AA62" s="65">
        <f>VLOOKUP($D62,Résultats!$B$2:$AZ$212,AA$2,FALSE)</f>
        <v>4377.7923199999996</v>
      </c>
      <c r="AB62" s="65">
        <f>VLOOKUP($D62,Résultats!$B$2:$AZ$212,AB$2,FALSE)</f>
        <v>4105.6313259999997</v>
      </c>
      <c r="AC62" s="65">
        <f>VLOOKUP($D62,Résultats!$B$2:$AZ$212,AC$2,FALSE)</f>
        <v>3849.1838699999998</v>
      </c>
      <c r="AD62" s="65">
        <f>VLOOKUP($D62,Résultats!$B$2:$AZ$212,AD$2,FALSE)</f>
        <v>3608.6852749999998</v>
      </c>
      <c r="AE62" s="65">
        <f>VLOOKUP($D62,Résultats!$B$2:$AZ$212,AE$2,FALSE)</f>
        <v>3383.1793560000001</v>
      </c>
      <c r="AF62" s="65">
        <f>VLOOKUP($D62,Résultats!$B$2:$AZ$212,AF$2,FALSE)</f>
        <v>3171.748646</v>
      </c>
      <c r="AG62" s="65">
        <f>VLOOKUP($D62,Résultats!$B$2:$AZ$212,AG$2,FALSE)</f>
        <v>2973.5231079999999</v>
      </c>
      <c r="AH62" s="65">
        <f>VLOOKUP($D62,Résultats!$B$2:$AZ$212,AH$2,FALSE)</f>
        <v>2775.2924849999999</v>
      </c>
      <c r="AI62" s="65">
        <f>VLOOKUP($D62,Résultats!$B$2:$AZ$212,AI$2,FALSE)</f>
        <v>2590.2750839999999</v>
      </c>
      <c r="AJ62" s="65">
        <f>VLOOKUP($D62,Résultats!$B$2:$AZ$212,AJ$2,FALSE)</f>
        <v>2417.5911059999999</v>
      </c>
      <c r="AK62" s="65">
        <f>VLOOKUP($D62,Résultats!$B$2:$AZ$212,AK$2,FALSE)</f>
        <v>2256.4188680000002</v>
      </c>
      <c r="AL62" s="65">
        <f>VLOOKUP($D62,Résultats!$B$2:$AZ$212,AL$2,FALSE)</f>
        <v>2105.9911889999998</v>
      </c>
      <c r="AM62" s="226">
        <f>VLOOKUP($D62,Résultats!$B$2:$AZ$212,AM$2,FALSE)</f>
        <v>1965.591895</v>
      </c>
    </row>
    <row r="63" spans="2:40" x14ac:dyDescent="0.25">
      <c r="B63" s="230"/>
      <c r="C63" s="218" t="s">
        <v>32</v>
      </c>
      <c r="D63" s="54" t="s">
        <v>136</v>
      </c>
      <c r="E63" s="65">
        <f>VLOOKUP($D63,Résultats!$B$2:$AZ$212,E$2,FALSE)</f>
        <v>4923.9468200000001</v>
      </c>
      <c r="F63" s="65">
        <f>VLOOKUP($D63,Résultats!$B$2:$AZ$212,F$2,FALSE)</f>
        <v>3858.8887589999999</v>
      </c>
      <c r="G63" s="65">
        <f>VLOOKUP($D63,Résultats!$B$2:$AZ$212,G$2,FALSE)</f>
        <v>3590.1242590000002</v>
      </c>
      <c r="H63" s="65">
        <f>VLOOKUP($D63,Résultats!$B$2:$AZ$212,H$2,FALSE)</f>
        <v>3512.243817</v>
      </c>
      <c r="I63" s="65">
        <f>VLOOKUP($D63,Résultats!$B$2:$AZ$212,I$2,FALSE)</f>
        <v>3417.2670509999998</v>
      </c>
      <c r="J63" s="65">
        <f>VLOOKUP($D63,Résultats!$B$2:$AZ$212,J$2,FALSE)</f>
        <v>3299.0563769999999</v>
      </c>
      <c r="K63" s="65">
        <f>VLOOKUP($D63,Résultats!$B$2:$AZ$212,K$2,FALSE)</f>
        <v>3154.3775690000002</v>
      </c>
      <c r="L63" s="65">
        <f>VLOOKUP($D63,Résultats!$B$2:$AZ$212,L$2,FALSE)</f>
        <v>3002.4474049999999</v>
      </c>
      <c r="M63" s="65">
        <f>VLOOKUP($D63,Résultats!$B$2:$AZ$212,M$2,FALSE)</f>
        <v>2854.8608119999999</v>
      </c>
      <c r="N63" s="65">
        <f>VLOOKUP($D63,Résultats!$B$2:$AZ$212,N$2,FALSE)</f>
        <v>2712.1166199999998</v>
      </c>
      <c r="O63" s="65">
        <f>VLOOKUP($D63,Résultats!$B$2:$AZ$212,O$2,FALSE)</f>
        <v>2573.020023</v>
      </c>
      <c r="P63" s="65">
        <f>VLOOKUP($D63,Résultats!$B$2:$AZ$212,P$2,FALSE)</f>
        <v>2437.916502</v>
      </c>
      <c r="Q63" s="65">
        <f>VLOOKUP($D63,Résultats!$B$2:$AZ$212,Q$2,FALSE)</f>
        <v>2306.6302989999999</v>
      </c>
      <c r="R63" s="65">
        <f>VLOOKUP($D63,Résultats!$B$2:$AZ$212,R$2,FALSE)</f>
        <v>2178.9521759999998</v>
      </c>
      <c r="S63" s="65">
        <f>VLOOKUP($D63,Résultats!$B$2:$AZ$212,S$2,FALSE)</f>
        <v>2055.153452</v>
      </c>
      <c r="T63" s="65">
        <f>VLOOKUP($D63,Résultats!$B$2:$AZ$212,T$2,FALSE)</f>
        <v>1935.7356669999999</v>
      </c>
      <c r="U63" s="65">
        <f>VLOOKUP($D63,Résultats!$B$2:$AZ$212,U$2,FALSE)</f>
        <v>1821.2431349999999</v>
      </c>
      <c r="V63" s="65">
        <f>VLOOKUP($D63,Résultats!$B$2:$AZ$212,V$2,FALSE)</f>
        <v>1712.0527070000001</v>
      </c>
      <c r="W63" s="65">
        <f>VLOOKUP($D63,Résultats!$B$2:$AZ$212,W$2,FALSE)</f>
        <v>1608.383368</v>
      </c>
      <c r="X63" s="65">
        <f>VLOOKUP($D63,Résultats!$B$2:$AZ$212,X$2,FALSE)</f>
        <v>1510.2672439999999</v>
      </c>
      <c r="Y63" s="65">
        <f>VLOOKUP($D63,Résultats!$B$2:$AZ$212,Y$2,FALSE)</f>
        <v>1417.599886</v>
      </c>
      <c r="Z63" s="65">
        <f>VLOOKUP($D63,Résultats!$B$2:$AZ$212,Z$2,FALSE)</f>
        <v>1330.1793990000001</v>
      </c>
      <c r="AA63" s="65">
        <f>VLOOKUP($D63,Résultats!$B$2:$AZ$212,AA$2,FALSE)</f>
        <v>1247.7708279999999</v>
      </c>
      <c r="AB63" s="65">
        <f>VLOOKUP($D63,Résultats!$B$2:$AZ$212,AB$2,FALSE)</f>
        <v>1170.1278400000001</v>
      </c>
      <c r="AC63" s="65">
        <f>VLOOKUP($D63,Résultats!$B$2:$AZ$212,AC$2,FALSE)</f>
        <v>1097.003778</v>
      </c>
      <c r="AD63" s="65">
        <f>VLOOKUP($D63,Résultats!$B$2:$AZ$212,AD$2,FALSE)</f>
        <v>1028.445226</v>
      </c>
      <c r="AE63" s="65">
        <f>VLOOKUP($D63,Résultats!$B$2:$AZ$212,AE$2,FALSE)</f>
        <v>964.16937380000002</v>
      </c>
      <c r="AF63" s="65">
        <f>VLOOKUP($D63,Résultats!$B$2:$AZ$212,AF$2,FALSE)</f>
        <v>903.909718</v>
      </c>
      <c r="AG63" s="65">
        <f>VLOOKUP($D63,Résultats!$B$2:$AZ$212,AG$2,FALSE)</f>
        <v>847.41579720000004</v>
      </c>
      <c r="AH63" s="65">
        <f>VLOOKUP($D63,Résultats!$B$2:$AZ$212,AH$2,FALSE)</f>
        <v>790.92160139999999</v>
      </c>
      <c r="AI63" s="65">
        <f>VLOOKUP($D63,Résultats!$B$2:$AZ$212,AI$2,FALSE)</f>
        <v>738.19358629999999</v>
      </c>
      <c r="AJ63" s="65">
        <f>VLOOKUP($D63,Résultats!$B$2:$AZ$212,AJ$2,FALSE)</f>
        <v>688.98072439999999</v>
      </c>
      <c r="AK63" s="65">
        <f>VLOOKUP($D63,Résultats!$B$2:$AZ$212,AK$2,FALSE)</f>
        <v>643.04869710000003</v>
      </c>
      <c r="AL63" s="65">
        <f>VLOOKUP($D63,Résultats!$B$2:$AZ$212,AL$2,FALSE)</f>
        <v>600.1787941</v>
      </c>
      <c r="AM63" s="226">
        <f>VLOOKUP($D63,Résultats!$B$2:$AZ$212,AM$2,FALSE)</f>
        <v>560.16687920000004</v>
      </c>
    </row>
    <row r="64" spans="2:40" x14ac:dyDescent="0.25">
      <c r="B64" s="230"/>
      <c r="C64" s="219" t="s">
        <v>33</v>
      </c>
      <c r="D64" s="54" t="s">
        <v>137</v>
      </c>
      <c r="E64" s="224">
        <f>VLOOKUP($D64,Résultats!$B$2:$AZ$212,E$2,FALSE)</f>
        <v>2256.0604069999999</v>
      </c>
      <c r="F64" s="224">
        <f>VLOOKUP($D64,Résultats!$B$2:$AZ$212,F$2,FALSE)</f>
        <v>1541.457539</v>
      </c>
      <c r="G64" s="224">
        <f>VLOOKUP($D64,Résultats!$B$2:$AZ$212,G$2,FALSE)</f>
        <v>1376.813083</v>
      </c>
      <c r="H64" s="224">
        <f>VLOOKUP($D64,Résultats!$B$2:$AZ$212,H$2,FALSE)</f>
        <v>1325.0216640000001</v>
      </c>
      <c r="I64" s="224">
        <f>VLOOKUP($D64,Résultats!$B$2:$AZ$212,I$2,FALSE)</f>
        <v>1269.7991999999999</v>
      </c>
      <c r="J64" s="224">
        <f>VLOOKUP($D64,Résultats!$B$2:$AZ$212,J$2,FALSE)</f>
        <v>1210.040894</v>
      </c>
      <c r="K64" s="224">
        <f>VLOOKUP($D64,Résultats!$B$2:$AZ$212,K$2,FALSE)</f>
        <v>1142.8163999999999</v>
      </c>
      <c r="L64" s="224">
        <f>VLOOKUP($D64,Résultats!$B$2:$AZ$212,L$2,FALSE)</f>
        <v>1075.5919060000001</v>
      </c>
      <c r="M64" s="224">
        <f>VLOOKUP($D64,Résultats!$B$2:$AZ$212,M$2,FALSE)</f>
        <v>1012.321794</v>
      </c>
      <c r="N64" s="224">
        <f>VLOOKUP($D64,Résultats!$B$2:$AZ$212,N$2,FALSE)</f>
        <v>952.77345270000001</v>
      </c>
      <c r="O64" s="224">
        <f>VLOOKUP($D64,Résultats!$B$2:$AZ$212,O$2,FALSE)</f>
        <v>896.50730399999998</v>
      </c>
      <c r="P64" s="224">
        <f>VLOOKUP($D64,Résultats!$B$2:$AZ$212,P$2,FALSE)</f>
        <v>843.35469699999999</v>
      </c>
      <c r="Q64" s="224">
        <f>VLOOKUP($D64,Résultats!$B$2:$AZ$212,Q$2,FALSE)</f>
        <v>793.15501270000004</v>
      </c>
      <c r="R64" s="224">
        <f>VLOOKUP($D64,Résultats!$B$2:$AZ$212,R$2,FALSE)</f>
        <v>745.7553107</v>
      </c>
      <c r="S64" s="224">
        <f>VLOOKUP($D64,Résultats!$B$2:$AZ$212,S$2,FALSE)</f>
        <v>701.00999209999998</v>
      </c>
      <c r="T64" s="224">
        <f>VLOOKUP($D64,Résultats!$B$2:$AZ$212,T$2,FALSE)</f>
        <v>658.78047449999997</v>
      </c>
      <c r="U64" s="224">
        <f>VLOOKUP($D64,Résultats!$B$2:$AZ$212,U$2,FALSE)</f>
        <v>618.93488130000003</v>
      </c>
      <c r="V64" s="224">
        <f>VLOOKUP($D64,Résultats!$B$2:$AZ$212,V$2,FALSE)</f>
        <v>581.34774270000003</v>
      </c>
      <c r="W64" s="224">
        <f>VLOOKUP($D64,Résultats!$B$2:$AZ$212,W$2,FALSE)</f>
        <v>545.89970960000005</v>
      </c>
      <c r="X64" s="224">
        <f>VLOOKUP($D64,Résultats!$B$2:$AZ$212,X$2,FALSE)</f>
        <v>512.47727840000005</v>
      </c>
      <c r="Y64" s="224">
        <f>VLOOKUP($D64,Résultats!$B$2:$AZ$212,Y$2,FALSE)</f>
        <v>480.9725277</v>
      </c>
      <c r="Z64" s="224">
        <f>VLOOKUP($D64,Résultats!$B$2:$AZ$212,Z$2,FALSE)</f>
        <v>451.28286550000001</v>
      </c>
      <c r="AA64" s="224">
        <f>VLOOKUP($D64,Résultats!$B$2:$AZ$212,AA$2,FALSE)</f>
        <v>423.31078710000003</v>
      </c>
      <c r="AB64" s="224">
        <f>VLOOKUP($D64,Résultats!$B$2:$AZ$212,AB$2,FALSE)</f>
        <v>396.96364260000001</v>
      </c>
      <c r="AC64" s="224">
        <f>VLOOKUP($D64,Résultats!$B$2:$AZ$212,AC$2,FALSE)</f>
        <v>372.153415</v>
      </c>
      <c r="AD64" s="224">
        <f>VLOOKUP($D64,Résultats!$B$2:$AZ$212,AD$2,FALSE)</f>
        <v>348.89382649999999</v>
      </c>
      <c r="AE64" s="224">
        <f>VLOOKUP($D64,Résultats!$B$2:$AZ$212,AE$2,FALSE)</f>
        <v>327.08796239999998</v>
      </c>
      <c r="AF64" s="224">
        <f>VLOOKUP($D64,Résultats!$B$2:$AZ$212,AF$2,FALSE)</f>
        <v>306.6449647</v>
      </c>
      <c r="AG64" s="224">
        <f>VLOOKUP($D64,Résultats!$B$2:$AZ$212,AG$2,FALSE)</f>
        <v>287.47965440000002</v>
      </c>
      <c r="AH64" s="224">
        <f>VLOOKUP($D64,Résultats!$B$2:$AZ$212,AH$2,FALSE)</f>
        <v>268.31434410000003</v>
      </c>
      <c r="AI64" s="224">
        <f>VLOOKUP($D64,Résultats!$B$2:$AZ$212,AI$2,FALSE)</f>
        <v>250.4267212</v>
      </c>
      <c r="AJ64" s="224">
        <f>VLOOKUP($D64,Résultats!$B$2:$AZ$212,AJ$2,FALSE)</f>
        <v>233.7316064</v>
      </c>
      <c r="AK64" s="224">
        <f>VLOOKUP($D64,Résultats!$B$2:$AZ$212,AK$2,FALSE)</f>
        <v>218.1494994</v>
      </c>
      <c r="AL64" s="224">
        <f>VLOOKUP($D64,Résultats!$B$2:$AZ$212,AL$2,FALSE)</f>
        <v>203.60619940000001</v>
      </c>
      <c r="AM64" s="227">
        <f>VLOOKUP($D64,Résultats!$B$2:$AZ$212,AM$2,FALSE)</f>
        <v>190.03245279999999</v>
      </c>
    </row>
    <row r="65" spans="2:39" s="3" customFormat="1" x14ac:dyDescent="0.25"/>
    <row r="66" spans="2:39" s="3" customFormat="1" x14ac:dyDescent="0.25"/>
    <row r="67" spans="2:39" x14ac:dyDescent="0.25">
      <c r="C67" s="11"/>
      <c r="D67" s="11"/>
      <c r="E67" s="93">
        <v>2006</v>
      </c>
      <c r="F67" s="93">
        <v>2015</v>
      </c>
      <c r="G67" s="93">
        <v>2018</v>
      </c>
      <c r="H67" s="93">
        <v>2019</v>
      </c>
      <c r="I67" s="93">
        <v>2020</v>
      </c>
      <c r="J67" s="20">
        <v>2021</v>
      </c>
      <c r="K67" s="4">
        <v>2022</v>
      </c>
      <c r="L67" s="4">
        <v>2023</v>
      </c>
      <c r="M67" s="4">
        <v>2024</v>
      </c>
      <c r="N67" s="92">
        <v>2025</v>
      </c>
      <c r="O67" s="20">
        <v>2026</v>
      </c>
      <c r="P67" s="4">
        <v>2027</v>
      </c>
      <c r="Q67" s="4">
        <v>2028</v>
      </c>
      <c r="R67" s="4">
        <v>2029</v>
      </c>
      <c r="S67" s="92">
        <v>2030</v>
      </c>
      <c r="T67" s="92">
        <v>2031</v>
      </c>
      <c r="U67" s="92">
        <v>2032</v>
      </c>
      <c r="V67" s="92">
        <v>2033</v>
      </c>
      <c r="W67" s="92">
        <v>2034</v>
      </c>
      <c r="X67" s="93">
        <v>2035</v>
      </c>
      <c r="Y67" s="93">
        <v>2036</v>
      </c>
      <c r="Z67" s="93">
        <v>2037</v>
      </c>
      <c r="AA67" s="93">
        <v>2038</v>
      </c>
      <c r="AB67" s="93">
        <v>2039</v>
      </c>
      <c r="AC67" s="93">
        <v>2040</v>
      </c>
      <c r="AD67" s="93">
        <v>2041</v>
      </c>
      <c r="AE67" s="93">
        <v>2042</v>
      </c>
      <c r="AF67" s="93">
        <v>2043</v>
      </c>
      <c r="AG67" s="93">
        <v>2044</v>
      </c>
      <c r="AH67" s="93">
        <v>2045</v>
      </c>
      <c r="AI67" s="93">
        <v>2046</v>
      </c>
      <c r="AJ67" s="93">
        <v>2047</v>
      </c>
      <c r="AK67" s="93">
        <v>2048</v>
      </c>
      <c r="AL67" s="93">
        <v>2049</v>
      </c>
      <c r="AM67" s="93">
        <v>2050</v>
      </c>
    </row>
    <row r="68" spans="2:39" x14ac:dyDescent="0.25">
      <c r="B68" s="229" t="s">
        <v>79</v>
      </c>
      <c r="C68" s="50" t="s">
        <v>51</v>
      </c>
      <c r="D68" s="50" t="s">
        <v>149</v>
      </c>
      <c r="E68" s="51">
        <f t="shared" ref="E68:AM68" si="11">E26</f>
        <v>2373</v>
      </c>
      <c r="F68" s="51">
        <f t="shared" si="11"/>
        <v>1940.3869999999999</v>
      </c>
      <c r="G68" s="51">
        <f t="shared" si="11"/>
        <v>2203.7420000000002</v>
      </c>
      <c r="H68" s="51">
        <f t="shared" si="11"/>
        <v>2240.3020000000001</v>
      </c>
      <c r="I68" s="51">
        <f t="shared" si="11"/>
        <v>2166.5110979999999</v>
      </c>
      <c r="J68" s="51">
        <f t="shared" si="11"/>
        <v>1970.7266749999999</v>
      </c>
      <c r="K68" s="51">
        <f t="shared" si="11"/>
        <v>2080.0551220000002</v>
      </c>
      <c r="L68" s="51">
        <f t="shared" si="11"/>
        <v>2173.0047159999999</v>
      </c>
      <c r="M68" s="51">
        <f t="shared" si="11"/>
        <v>2049.5531139999998</v>
      </c>
      <c r="N68" s="51">
        <f t="shared" si="11"/>
        <v>1946.4230359999999</v>
      </c>
      <c r="O68" s="51">
        <f t="shared" si="11"/>
        <v>1823.3000930000001</v>
      </c>
      <c r="P68" s="51">
        <f t="shared" si="11"/>
        <v>1737.1056349999999</v>
      </c>
      <c r="Q68" s="51">
        <f t="shared" si="11"/>
        <v>1674.1536550000001</v>
      </c>
      <c r="R68" s="51">
        <f t="shared" si="11"/>
        <v>1602.9902179999999</v>
      </c>
      <c r="S68" s="51">
        <f t="shared" si="11"/>
        <v>1544.1995179999999</v>
      </c>
      <c r="T68" s="51">
        <f t="shared" si="11"/>
        <v>1497.105127</v>
      </c>
      <c r="U68" s="51">
        <f t="shared" si="11"/>
        <v>1475.4235329999999</v>
      </c>
      <c r="V68" s="51">
        <f t="shared" si="11"/>
        <v>1460.8701570000001</v>
      </c>
      <c r="W68" s="51">
        <f t="shared" si="11"/>
        <v>1452.432828</v>
      </c>
      <c r="X68" s="51">
        <f t="shared" si="11"/>
        <v>1445.483884</v>
      </c>
      <c r="Y68" s="51">
        <f t="shared" si="11"/>
        <v>1478.4218900000001</v>
      </c>
      <c r="Z68" s="51">
        <f t="shared" si="11"/>
        <v>1498.1854559999999</v>
      </c>
      <c r="AA68" s="51">
        <f t="shared" si="11"/>
        <v>1500.5532169999999</v>
      </c>
      <c r="AB68" s="51">
        <f t="shared" si="11"/>
        <v>1499.649101</v>
      </c>
      <c r="AC68" s="51">
        <f t="shared" si="11"/>
        <v>1489.6668890000001</v>
      </c>
      <c r="AD68" s="51">
        <f t="shared" si="11"/>
        <v>1475.501843</v>
      </c>
      <c r="AE68" s="51">
        <f t="shared" si="11"/>
        <v>1465.5230180000001</v>
      </c>
      <c r="AF68" s="51">
        <f t="shared" si="11"/>
        <v>1449.710057</v>
      </c>
      <c r="AG68" s="51">
        <f t="shared" si="11"/>
        <v>1431.2641940000001</v>
      </c>
      <c r="AH68" s="51">
        <f t="shared" si="11"/>
        <v>1458.506429</v>
      </c>
      <c r="AI68" s="51">
        <f t="shared" si="11"/>
        <v>1459.252428</v>
      </c>
      <c r="AJ68" s="51">
        <f t="shared" si="11"/>
        <v>1450.80736</v>
      </c>
      <c r="AK68" s="51">
        <f t="shared" si="11"/>
        <v>1440.6151729999999</v>
      </c>
      <c r="AL68" s="51">
        <f t="shared" si="11"/>
        <v>1426.9418800000001</v>
      </c>
      <c r="AM68" s="100">
        <f t="shared" si="11"/>
        <v>1396.0223550000001</v>
      </c>
    </row>
    <row r="69" spans="2:39" x14ac:dyDescent="0.25">
      <c r="B69" s="230"/>
      <c r="C69" s="52" t="s">
        <v>45</v>
      </c>
      <c r="D69" s="52" t="s">
        <v>425</v>
      </c>
      <c r="E69" s="124">
        <f t="shared" ref="E69:AM69" si="12">E27/E$26</f>
        <v>5.0000000000000001E-4</v>
      </c>
      <c r="F69" s="124">
        <f t="shared" si="12"/>
        <v>1.754799417332728E-2</v>
      </c>
      <c r="G69" s="124">
        <f t="shared" si="12"/>
        <v>3.7996410568932291E-2</v>
      </c>
      <c r="H69" s="124">
        <f t="shared" si="12"/>
        <v>4.8527096480742327E-2</v>
      </c>
      <c r="I69" s="124">
        <f t="shared" si="12"/>
        <v>6.1436902549390958E-2</v>
      </c>
      <c r="J69" s="123">
        <f t="shared" si="12"/>
        <v>7.700618438120041E-2</v>
      </c>
      <c r="K69" s="67">
        <f t="shared" si="12"/>
        <v>9.5492877856532113E-2</v>
      </c>
      <c r="L69" s="67">
        <f t="shared" si="12"/>
        <v>0.11700015707651139</v>
      </c>
      <c r="M69" s="67">
        <f t="shared" si="12"/>
        <v>0.14149529998469706</v>
      </c>
      <c r="N69" s="124">
        <f t="shared" si="12"/>
        <v>0.1686699428787484</v>
      </c>
      <c r="O69" s="123">
        <f t="shared" si="12"/>
        <v>0.20975638106326802</v>
      </c>
      <c r="P69" s="67">
        <f t="shared" si="12"/>
        <v>0.27631574558791872</v>
      </c>
      <c r="Q69" s="67">
        <f t="shared" si="12"/>
        <v>0.37651996005109817</v>
      </c>
      <c r="R69" s="67">
        <f t="shared" si="12"/>
        <v>0.49408583614950047</v>
      </c>
      <c r="S69" s="124">
        <f t="shared" si="12"/>
        <v>0.61922321134929925</v>
      </c>
      <c r="T69" s="124">
        <f t="shared" si="12"/>
        <v>0.7372319312082618</v>
      </c>
      <c r="U69" s="124">
        <f t="shared" si="12"/>
        <v>0.83417139992167932</v>
      </c>
      <c r="V69" s="124">
        <f t="shared" si="12"/>
        <v>0.9033852390483188</v>
      </c>
      <c r="W69" s="124">
        <f t="shared" si="12"/>
        <v>0.94705357761302267</v>
      </c>
      <c r="X69" s="118">
        <f t="shared" si="12"/>
        <v>0.97214032930719285</v>
      </c>
      <c r="Y69" s="118">
        <f t="shared" si="12"/>
        <v>0.9856899338794286</v>
      </c>
      <c r="Z69" s="118">
        <f t="shared" si="12"/>
        <v>0.99274652283101605</v>
      </c>
      <c r="AA69" s="118">
        <f t="shared" si="12"/>
        <v>0.99634891122958424</v>
      </c>
      <c r="AB69" s="118">
        <f t="shared" si="12"/>
        <v>0.99816875494529445</v>
      </c>
      <c r="AC69" s="118">
        <f t="shared" si="12"/>
        <v>0.99908317355370846</v>
      </c>
      <c r="AD69" s="118">
        <f t="shared" si="12"/>
        <v>0.99954140280934911</v>
      </c>
      <c r="AE69" s="118">
        <f t="shared" si="12"/>
        <v>0.99977071325671929</v>
      </c>
      <c r="AF69" s="118">
        <f t="shared" si="12"/>
        <v>0.99988538880640465</v>
      </c>
      <c r="AG69" s="118">
        <f t="shared" si="12"/>
        <v>0.99994271707463678</v>
      </c>
      <c r="AH69" s="118">
        <f t="shared" si="12"/>
        <v>0.99997137071241526</v>
      </c>
      <c r="AI69" s="118">
        <f t="shared" si="12"/>
        <v>0.99998569198885723</v>
      </c>
      <c r="AJ69" s="118">
        <f t="shared" si="12"/>
        <v>0.99999284880936912</v>
      </c>
      <c r="AK69" s="118">
        <f t="shared" si="12"/>
        <v>0.99999642652660026</v>
      </c>
      <c r="AL69" s="118">
        <f t="shared" si="12"/>
        <v>0.9999982136623532</v>
      </c>
      <c r="AM69" s="118">
        <f t="shared" si="12"/>
        <v>0.99999910746414944</v>
      </c>
    </row>
    <row r="70" spans="2:39" x14ac:dyDescent="0.25">
      <c r="B70" s="230"/>
      <c r="C70" s="35" t="s">
        <v>27</v>
      </c>
      <c r="D70" s="54" t="s">
        <v>426</v>
      </c>
      <c r="E70" s="111">
        <f t="shared" ref="E70:AM70" si="13">E28/E$26</f>
        <v>1.489117985672145E-6</v>
      </c>
      <c r="F70" s="111">
        <f t="shared" si="13"/>
        <v>1.5774391273493379E-4</v>
      </c>
      <c r="G70" s="111">
        <f t="shared" si="13"/>
        <v>1.60020410102453E-4</v>
      </c>
      <c r="H70" s="111">
        <f t="shared" si="13"/>
        <v>2.9857001417666007E-4</v>
      </c>
      <c r="I70" s="111">
        <f t="shared" si="13"/>
        <v>5.2505282020023144E-4</v>
      </c>
      <c r="J70" s="110">
        <f t="shared" si="13"/>
        <v>8.8239818035649217E-4</v>
      </c>
      <c r="K70" s="68">
        <f t="shared" si="13"/>
        <v>2.1458485353543434E-3</v>
      </c>
      <c r="L70" s="68">
        <f t="shared" si="13"/>
        <v>3.4644224679170003E-3</v>
      </c>
      <c r="M70" s="68">
        <f t="shared" si="13"/>
        <v>4.5517500621357404E-3</v>
      </c>
      <c r="N70" s="111">
        <f t="shared" si="13"/>
        <v>5.8207141512683991E-3</v>
      </c>
      <c r="O70" s="110">
        <f t="shared" si="13"/>
        <v>7.7982236959168519E-3</v>
      </c>
      <c r="P70" s="68">
        <f t="shared" si="13"/>
        <v>1.0927658132891845E-2</v>
      </c>
      <c r="Q70" s="68">
        <f t="shared" si="13"/>
        <v>1.5696369859193121E-2</v>
      </c>
      <c r="R70" s="68">
        <f t="shared" si="13"/>
        <v>2.1713993522323543E-2</v>
      </c>
      <c r="S70" s="111">
        <f t="shared" si="13"/>
        <v>2.8653756567226182E-2</v>
      </c>
      <c r="T70" s="111">
        <f t="shared" si="13"/>
        <v>3.5937280769194772E-2</v>
      </c>
      <c r="U70" s="111">
        <f t="shared" si="13"/>
        <v>4.2721606948911257E-2</v>
      </c>
      <c r="V70" s="111">
        <f t="shared" si="13"/>
        <v>4.8667946757160019E-2</v>
      </c>
      <c r="W70" s="111">
        <f t="shared" si="13"/>
        <v>5.3668388752502086E-2</v>
      </c>
      <c r="X70" s="116">
        <f t="shared" si="13"/>
        <v>5.7930565187816377E-2</v>
      </c>
      <c r="Y70" s="116">
        <f t="shared" si="13"/>
        <v>6.1467347842096683E-2</v>
      </c>
      <c r="Z70" s="116">
        <f t="shared" si="13"/>
        <v>6.4866132127236464E-2</v>
      </c>
      <c r="AA70" s="116">
        <f t="shared" si="13"/>
        <v>6.8300829546653799E-2</v>
      </c>
      <c r="AB70" s="116">
        <f t="shared" si="13"/>
        <v>7.1676361909145045E-2</v>
      </c>
      <c r="AC70" s="116">
        <f t="shared" si="13"/>
        <v>7.5113236809011191E-2</v>
      </c>
      <c r="AD70" s="116">
        <f t="shared" si="13"/>
        <v>7.8127284521460269E-2</v>
      </c>
      <c r="AE70" s="116">
        <f t="shared" si="13"/>
        <v>8.103154125962693E-2</v>
      </c>
      <c r="AF70" s="116">
        <f t="shared" si="13"/>
        <v>8.4007113085785817E-2</v>
      </c>
      <c r="AG70" s="116">
        <f t="shared" si="13"/>
        <v>8.7055653611914502E-2</v>
      </c>
      <c r="AH70" s="116">
        <f t="shared" si="13"/>
        <v>9.8201023905119866E-2</v>
      </c>
      <c r="AI70" s="116">
        <f t="shared" si="13"/>
        <v>0.10130042565877437</v>
      </c>
      <c r="AJ70" s="116">
        <f t="shared" si="13"/>
        <v>0.10458365354584361</v>
      </c>
      <c r="AK70" s="116">
        <f t="shared" si="13"/>
        <v>0.10789470068978652</v>
      </c>
      <c r="AL70" s="116">
        <f t="shared" si="13"/>
        <v>0.11125576705338552</v>
      </c>
      <c r="AM70" s="116">
        <f t="shared" si="13"/>
        <v>0.11483421667699584</v>
      </c>
    </row>
    <row r="71" spans="2:39" x14ac:dyDescent="0.25">
      <c r="B71" s="230"/>
      <c r="C71" s="35" t="s">
        <v>28</v>
      </c>
      <c r="D71" s="54" t="s">
        <v>427</v>
      </c>
      <c r="E71" s="111">
        <f t="shared" ref="E71:AM71" si="14">E29/E$26</f>
        <v>3.4135166076696166E-6</v>
      </c>
      <c r="F71" s="111">
        <f t="shared" si="14"/>
        <v>1.9153491865282545E-4</v>
      </c>
      <c r="G71" s="111">
        <f t="shared" si="14"/>
        <v>2.9162155951104984E-4</v>
      </c>
      <c r="H71" s="111">
        <f t="shared" si="14"/>
        <v>4.3684580962745194E-4</v>
      </c>
      <c r="I71" s="111">
        <f t="shared" si="14"/>
        <v>6.5231049695735279E-4</v>
      </c>
      <c r="J71" s="110">
        <f t="shared" si="14"/>
        <v>9.6743847697702682E-4</v>
      </c>
      <c r="K71" s="68">
        <f t="shared" si="14"/>
        <v>1.8831542864276073E-3</v>
      </c>
      <c r="L71" s="68">
        <f t="shared" si="14"/>
        <v>2.8297619465451726E-3</v>
      </c>
      <c r="M71" s="68">
        <f t="shared" si="14"/>
        <v>3.6437712582256115E-3</v>
      </c>
      <c r="N71" s="111">
        <f t="shared" si="14"/>
        <v>4.5824645444650352E-3</v>
      </c>
      <c r="O71" s="110">
        <f t="shared" si="14"/>
        <v>6.0333629786086997E-3</v>
      </c>
      <c r="P71" s="68">
        <f t="shared" si="14"/>
        <v>8.3347344100924529E-3</v>
      </c>
      <c r="Q71" s="68">
        <f t="shared" si="14"/>
        <v>1.1828042092110117E-2</v>
      </c>
      <c r="R71" s="68">
        <f t="shared" si="14"/>
        <v>1.616633754155573E-2</v>
      </c>
      <c r="S71" s="111">
        <f t="shared" si="14"/>
        <v>2.1083152190182204E-2</v>
      </c>
      <c r="T71" s="111">
        <f t="shared" si="14"/>
        <v>2.6128906684319969E-2</v>
      </c>
      <c r="U71" s="111">
        <f t="shared" si="14"/>
        <v>3.07103680580917E-2</v>
      </c>
      <c r="V71" s="111">
        <f t="shared" si="14"/>
        <v>3.4576445988690287E-2</v>
      </c>
      <c r="W71" s="111">
        <f t="shared" si="14"/>
        <v>3.7679089562687854E-2</v>
      </c>
      <c r="X71" s="116">
        <f t="shared" si="14"/>
        <v>4.018786694407725E-2</v>
      </c>
      <c r="Y71" s="116">
        <f t="shared" si="14"/>
        <v>4.2175802057422183E-2</v>
      </c>
      <c r="Z71" s="116">
        <f t="shared" si="14"/>
        <v>4.3999404583727322E-2</v>
      </c>
      <c r="AA71" s="116">
        <f t="shared" si="14"/>
        <v>4.5773903092435279E-2</v>
      </c>
      <c r="AB71" s="116">
        <f t="shared" si="14"/>
        <v>4.7465774455193635E-2</v>
      </c>
      <c r="AC71" s="116">
        <f t="shared" si="14"/>
        <v>4.9142398358026466E-2</v>
      </c>
      <c r="AD71" s="116">
        <f t="shared" si="14"/>
        <v>5.0578906460911816E-2</v>
      </c>
      <c r="AE71" s="116">
        <f t="shared" si="14"/>
        <v>5.1933838312459721E-2</v>
      </c>
      <c r="AF71" s="116">
        <f t="shared" si="14"/>
        <v>5.3293267041190154E-2</v>
      </c>
      <c r="AG71" s="116">
        <f t="shared" si="14"/>
        <v>5.465661627527587E-2</v>
      </c>
      <c r="AH71" s="116">
        <f t="shared" si="14"/>
        <v>5.9392108720008864E-2</v>
      </c>
      <c r="AI71" s="116">
        <f t="shared" si="14"/>
        <v>6.0640662864122362E-2</v>
      </c>
      <c r="AJ71" s="116">
        <f t="shared" si="14"/>
        <v>6.1930767314276651E-2</v>
      </c>
      <c r="AK71" s="116">
        <f t="shared" si="14"/>
        <v>6.3198128769118553E-2</v>
      </c>
      <c r="AL71" s="116">
        <f t="shared" si="14"/>
        <v>6.4450210277660361E-2</v>
      </c>
      <c r="AM71" s="116">
        <f t="shared" si="14"/>
        <v>6.5745328870467828E-2</v>
      </c>
    </row>
    <row r="72" spans="2:39" x14ac:dyDescent="0.25">
      <c r="B72" s="230"/>
      <c r="C72" s="35" t="s">
        <v>29</v>
      </c>
      <c r="D72" s="54" t="s">
        <v>428</v>
      </c>
      <c r="E72" s="111">
        <f t="shared" ref="E72:AM72" si="15">E30/E$26</f>
        <v>1.3974799536451749E-5</v>
      </c>
      <c r="F72" s="111">
        <f t="shared" si="15"/>
        <v>5.189613891455673E-4</v>
      </c>
      <c r="G72" s="111">
        <f t="shared" si="15"/>
        <v>1.0755857328126432E-3</v>
      </c>
      <c r="H72" s="111">
        <f t="shared" si="15"/>
        <v>1.400335504766768E-3</v>
      </c>
      <c r="I72" s="111">
        <f t="shared" si="15"/>
        <v>1.8102253192335135E-3</v>
      </c>
      <c r="J72" s="110">
        <f t="shared" si="15"/>
        <v>2.3228992503488595E-3</v>
      </c>
      <c r="K72" s="68">
        <f t="shared" si="15"/>
        <v>3.0994909388752244E-3</v>
      </c>
      <c r="L72" s="68">
        <f t="shared" si="15"/>
        <v>3.9358912495797826E-3</v>
      </c>
      <c r="M72" s="68">
        <f t="shared" si="15"/>
        <v>4.8115467804363526E-3</v>
      </c>
      <c r="N72" s="111">
        <f t="shared" si="15"/>
        <v>5.7873403888341569E-3</v>
      </c>
      <c r="O72" s="110">
        <f t="shared" si="15"/>
        <v>7.2637404949663425E-3</v>
      </c>
      <c r="P72" s="68">
        <f t="shared" si="15"/>
        <v>9.6388194377137002E-3</v>
      </c>
      <c r="Q72" s="68">
        <f t="shared" si="15"/>
        <v>1.3211986799383714E-2</v>
      </c>
      <c r="R72" s="68">
        <f t="shared" si="15"/>
        <v>1.7433358423650718E-2</v>
      </c>
      <c r="S72" s="111">
        <f t="shared" si="15"/>
        <v>2.1956933935527882E-2</v>
      </c>
      <c r="T72" s="111">
        <f t="shared" si="15"/>
        <v>2.6257700966379763E-2</v>
      </c>
      <c r="U72" s="111">
        <f t="shared" si="15"/>
        <v>2.9817797788914625E-2</v>
      </c>
      <c r="V72" s="111">
        <f t="shared" si="15"/>
        <v>3.2388350821790389E-2</v>
      </c>
      <c r="W72" s="111">
        <f t="shared" si="15"/>
        <v>3.4026664040672588E-2</v>
      </c>
      <c r="X72" s="116">
        <f t="shared" si="15"/>
        <v>3.4968389692541187E-2</v>
      </c>
      <c r="Y72" s="116">
        <f t="shared" si="15"/>
        <v>3.5458880414710306E-2</v>
      </c>
      <c r="Z72" s="116">
        <f t="shared" si="15"/>
        <v>3.5677339875337839E-2</v>
      </c>
      <c r="AA72" s="116">
        <f t="shared" si="15"/>
        <v>3.5723854430948852E-2</v>
      </c>
      <c r="AB72" s="116">
        <f t="shared" si="15"/>
        <v>3.5657953693528741E-2</v>
      </c>
      <c r="AC72" s="116">
        <f t="shared" si="15"/>
        <v>3.5505447285268887E-2</v>
      </c>
      <c r="AD72" s="116">
        <f t="shared" si="15"/>
        <v>3.5317019817507608E-2</v>
      </c>
      <c r="AE72" s="116">
        <f t="shared" si="15"/>
        <v>3.5090645884348709E-2</v>
      </c>
      <c r="AF72" s="116">
        <f t="shared" si="15"/>
        <v>3.4817179294769837E-2</v>
      </c>
      <c r="AG72" s="116">
        <f t="shared" si="15"/>
        <v>3.4496582934848433E-2</v>
      </c>
      <c r="AH72" s="116">
        <f t="shared" si="15"/>
        <v>3.3000491381447311E-2</v>
      </c>
      <c r="AI72" s="116">
        <f t="shared" si="15"/>
        <v>3.2499776104535631E-2</v>
      </c>
      <c r="AJ72" s="116">
        <f t="shared" si="15"/>
        <v>3.1930262657338601E-2</v>
      </c>
      <c r="AK72" s="116">
        <f t="shared" si="15"/>
        <v>3.131636065310274E-2</v>
      </c>
      <c r="AL72" s="116">
        <f t="shared" si="15"/>
        <v>3.0653662593461757E-2</v>
      </c>
      <c r="AM72" s="116">
        <f t="shared" si="15"/>
        <v>2.9905565731431286E-2</v>
      </c>
    </row>
    <row r="73" spans="2:39" x14ac:dyDescent="0.25">
      <c r="B73" s="230"/>
      <c r="C73" s="35" t="s">
        <v>30</v>
      </c>
      <c r="D73" s="54" t="s">
        <v>429</v>
      </c>
      <c r="E73" s="111">
        <f t="shared" ref="E73:AM73" si="16">E31/E$26</f>
        <v>3.2829324167720186E-4</v>
      </c>
      <c r="F73" s="111">
        <f t="shared" si="16"/>
        <v>1.1497571479297686E-2</v>
      </c>
      <c r="G73" s="111">
        <f t="shared" si="16"/>
        <v>2.4947936164941266E-2</v>
      </c>
      <c r="H73" s="111">
        <f t="shared" si="16"/>
        <v>3.1861469440280822E-2</v>
      </c>
      <c r="I73" s="111">
        <f t="shared" si="16"/>
        <v>4.0267852719764838E-2</v>
      </c>
      <c r="J73" s="110">
        <f t="shared" si="16"/>
        <v>5.0356975916003167E-2</v>
      </c>
      <c r="K73" s="68">
        <f t="shared" si="16"/>
        <v>6.1891047231583889E-2</v>
      </c>
      <c r="L73" s="68">
        <f t="shared" si="16"/>
        <v>7.5377310133734651E-2</v>
      </c>
      <c r="M73" s="68">
        <f t="shared" si="16"/>
        <v>9.0959460541211429E-2</v>
      </c>
      <c r="N73" s="111">
        <f t="shared" si="16"/>
        <v>0.10821045060833323</v>
      </c>
      <c r="O73" s="110">
        <f t="shared" si="16"/>
        <v>0.13425868316456011</v>
      </c>
      <c r="P73" s="68">
        <f t="shared" si="16"/>
        <v>0.17649568340730185</v>
      </c>
      <c r="Q73" s="68">
        <f t="shared" si="16"/>
        <v>0.24004894019121559</v>
      </c>
      <c r="R73" s="68">
        <f t="shared" si="16"/>
        <v>0.31437418721665589</v>
      </c>
      <c r="S73" s="111">
        <f t="shared" si="16"/>
        <v>0.39318217271973011</v>
      </c>
      <c r="T73" s="111">
        <f t="shared" si="16"/>
        <v>0.46707938272927974</v>
      </c>
      <c r="U73" s="111">
        <f t="shared" si="16"/>
        <v>0.5273246453633732</v>
      </c>
      <c r="V73" s="111">
        <f t="shared" si="16"/>
        <v>0.56970746230392044</v>
      </c>
      <c r="W73" s="111">
        <f t="shared" si="16"/>
        <v>0.59573003723102302</v>
      </c>
      <c r="X73" s="116">
        <f t="shared" si="16"/>
        <v>0.60987927341014891</v>
      </c>
      <c r="Y73" s="116">
        <f t="shared" si="16"/>
        <v>0.61680849490127609</v>
      </c>
      <c r="Z73" s="116">
        <f t="shared" si="16"/>
        <v>0.61951738443521509</v>
      </c>
      <c r="AA73" s="116">
        <f t="shared" si="16"/>
        <v>0.61991633936165824</v>
      </c>
      <c r="AB73" s="116">
        <f t="shared" si="16"/>
        <v>0.61916693650590204</v>
      </c>
      <c r="AC73" s="116">
        <f t="shared" si="16"/>
        <v>0.6177805795346506</v>
      </c>
      <c r="AD73" s="116">
        <f t="shared" si="16"/>
        <v>0.6163361259183463</v>
      </c>
      <c r="AE73" s="116">
        <f t="shared" si="16"/>
        <v>0.61480333071097482</v>
      </c>
      <c r="AF73" s="116">
        <f t="shared" si="16"/>
        <v>0.61315332745877471</v>
      </c>
      <c r="AG73" s="116">
        <f t="shared" si="16"/>
        <v>0.61142362092794722</v>
      </c>
      <c r="AH73" s="116">
        <f t="shared" si="16"/>
        <v>0.60499346691601041</v>
      </c>
      <c r="AI73" s="116">
        <f t="shared" si="16"/>
        <v>0.60321542264379224</v>
      </c>
      <c r="AJ73" s="116">
        <f t="shared" si="16"/>
        <v>0.60133038875678158</v>
      </c>
      <c r="AK73" s="116">
        <f t="shared" si="16"/>
        <v>0.59943141554014434</v>
      </c>
      <c r="AL73" s="116">
        <f t="shared" si="16"/>
        <v>0.59750761299402044</v>
      </c>
      <c r="AM73" s="116">
        <f t="shared" si="16"/>
        <v>0.59546489776662637</v>
      </c>
    </row>
    <row r="74" spans="2:39" x14ac:dyDescent="0.25">
      <c r="B74" s="230"/>
      <c r="C74" s="35" t="s">
        <v>31</v>
      </c>
      <c r="D74" s="54" t="s">
        <v>430</v>
      </c>
      <c r="E74" s="111">
        <f t="shared" ref="E74:AM74" si="17">E32/E$26</f>
        <v>1.2939289806152549E-4</v>
      </c>
      <c r="F74" s="111">
        <f t="shared" si="17"/>
        <v>4.4744523948057786E-3</v>
      </c>
      <c r="G74" s="111">
        <f t="shared" si="17"/>
        <v>9.8076122567886809E-3</v>
      </c>
      <c r="H74" s="111">
        <f t="shared" si="17"/>
        <v>1.247449715261603E-2</v>
      </c>
      <c r="I74" s="111">
        <f t="shared" si="17"/>
        <v>1.5685712877894522E-2</v>
      </c>
      <c r="J74" s="110">
        <f t="shared" si="17"/>
        <v>1.9493191834935711E-2</v>
      </c>
      <c r="K74" s="68">
        <f t="shared" si="17"/>
        <v>2.3381973412914196E-2</v>
      </c>
      <c r="L74" s="68">
        <f t="shared" si="17"/>
        <v>2.8018337706175508E-2</v>
      </c>
      <c r="M74" s="68">
        <f t="shared" si="17"/>
        <v>3.361177806002446E-2</v>
      </c>
      <c r="N74" s="111">
        <f t="shared" si="17"/>
        <v>3.977044038128616E-2</v>
      </c>
      <c r="O74" s="110">
        <f t="shared" si="17"/>
        <v>4.9038760335323471E-2</v>
      </c>
      <c r="P74" s="68">
        <f t="shared" si="17"/>
        <v>6.4110341683394523E-2</v>
      </c>
      <c r="Q74" s="68">
        <f t="shared" si="17"/>
        <v>8.6759512047297718E-2</v>
      </c>
      <c r="R74" s="68">
        <f t="shared" si="17"/>
        <v>0.1130212875697037</v>
      </c>
      <c r="S74" s="111">
        <f t="shared" si="17"/>
        <v>0.1405824299059262</v>
      </c>
      <c r="T74" s="111">
        <f t="shared" si="17"/>
        <v>0.16603443373285567</v>
      </c>
      <c r="U74" s="111">
        <f t="shared" si="17"/>
        <v>0.18636224958464181</v>
      </c>
      <c r="V74" s="111">
        <f t="shared" si="17"/>
        <v>0.20008235858568502</v>
      </c>
      <c r="W74" s="111">
        <f t="shared" si="17"/>
        <v>0.20784724028559345</v>
      </c>
      <c r="X74" s="116">
        <f t="shared" si="17"/>
        <v>0.2113256005004342</v>
      </c>
      <c r="Y74" s="116">
        <f t="shared" si="17"/>
        <v>0.21234173419875432</v>
      </c>
      <c r="Z74" s="116">
        <f t="shared" si="17"/>
        <v>0.21179234328383442</v>
      </c>
      <c r="AA74" s="116">
        <f t="shared" si="17"/>
        <v>0.21035017233913939</v>
      </c>
      <c r="AB74" s="116">
        <f t="shared" si="17"/>
        <v>0.20851863872120577</v>
      </c>
      <c r="AC74" s="116">
        <f t="shared" si="17"/>
        <v>0.20644608541070955</v>
      </c>
      <c r="AD74" s="116">
        <f t="shared" si="17"/>
        <v>0.20457054298643801</v>
      </c>
      <c r="AE74" s="116">
        <f t="shared" si="17"/>
        <v>0.20273721180133655</v>
      </c>
      <c r="AF74" s="116">
        <f t="shared" si="17"/>
        <v>0.20085813076483336</v>
      </c>
      <c r="AG74" s="116">
        <f t="shared" si="17"/>
        <v>0.19895022749377883</v>
      </c>
      <c r="AH74" s="116">
        <f t="shared" si="17"/>
        <v>0.19222422604761794</v>
      </c>
      <c r="AI74" s="116">
        <f t="shared" si="17"/>
        <v>0.19044088484463362</v>
      </c>
      <c r="AJ74" s="116">
        <f t="shared" si="17"/>
        <v>0.18859151396915991</v>
      </c>
      <c r="AK74" s="116">
        <f t="shared" si="17"/>
        <v>0.18676953911271904</v>
      </c>
      <c r="AL74" s="116">
        <f t="shared" si="17"/>
        <v>0.18496512633016279</v>
      </c>
      <c r="AM74" s="116">
        <f t="shared" si="17"/>
        <v>0.1830944851882404</v>
      </c>
    </row>
    <row r="75" spans="2:39" x14ac:dyDescent="0.25">
      <c r="B75" s="230"/>
      <c r="C75" s="35" t="s">
        <v>32</v>
      </c>
      <c r="D75" s="54" t="s">
        <v>431</v>
      </c>
      <c r="E75" s="111">
        <f t="shared" ref="E75:AM75" si="18">E33/E$26</f>
        <v>1.7640320733249051E-6</v>
      </c>
      <c r="F75" s="111">
        <f t="shared" si="18"/>
        <v>1.7513135369387656E-5</v>
      </c>
      <c r="G75" s="111">
        <f t="shared" si="18"/>
        <v>9.839222840060224E-5</v>
      </c>
      <c r="H75" s="111">
        <f t="shared" si="18"/>
        <v>5.468792564573883E-5</v>
      </c>
      <c r="I75" s="111">
        <f t="shared" si="18"/>
        <v>6.1335039881711237E-5</v>
      </c>
      <c r="J75" s="110">
        <f t="shared" si="18"/>
        <v>7.6714031538645513E-5</v>
      </c>
      <c r="K75" s="68">
        <f t="shared" si="18"/>
        <v>9.4398184078508268E-5</v>
      </c>
      <c r="L75" s="68">
        <f t="shared" si="18"/>
        <v>1.1511878601003461E-4</v>
      </c>
      <c r="M75" s="68">
        <f t="shared" si="18"/>
        <v>1.3899592079563938E-4</v>
      </c>
      <c r="N75" s="111">
        <f t="shared" si="18"/>
        <v>1.6545171293379617E-4</v>
      </c>
      <c r="O75" s="110">
        <f t="shared" si="18"/>
        <v>2.0542378988404954E-4</v>
      </c>
      <c r="P75" s="68">
        <f t="shared" si="18"/>
        <v>2.7023129246829021E-4</v>
      </c>
      <c r="Q75" s="68">
        <f t="shared" si="18"/>
        <v>3.6777571954708065E-4</v>
      </c>
      <c r="R75" s="68">
        <f t="shared" si="18"/>
        <v>4.8199765876550098E-4</v>
      </c>
      <c r="S75" s="111">
        <f t="shared" si="18"/>
        <v>6.0330139923019978E-4</v>
      </c>
      <c r="T75" s="111">
        <f t="shared" si="18"/>
        <v>7.1732444477828579E-4</v>
      </c>
      <c r="U75" s="111">
        <f t="shared" si="18"/>
        <v>8.1060162065342361E-4</v>
      </c>
      <c r="V75" s="111">
        <f t="shared" si="18"/>
        <v>8.7667744177212308E-4</v>
      </c>
      <c r="W75" s="111">
        <f t="shared" si="18"/>
        <v>9.1779338314432527E-4</v>
      </c>
      <c r="X75" s="116">
        <f t="shared" si="18"/>
        <v>9.4079912758127993E-4</v>
      </c>
      <c r="Y75" s="116">
        <f t="shared" si="18"/>
        <v>9.5270189823826266E-4</v>
      </c>
      <c r="Z75" s="116">
        <f t="shared" si="18"/>
        <v>9.582592163409709E-4</v>
      </c>
      <c r="AA75" s="116">
        <f t="shared" si="18"/>
        <v>9.6042653914086423E-4</v>
      </c>
      <c r="AB75" s="116">
        <f t="shared" si="18"/>
        <v>9.6090822382322093E-4</v>
      </c>
      <c r="AC75" s="116">
        <f t="shared" si="18"/>
        <v>9.60529855074197E-4</v>
      </c>
      <c r="AD75" s="116">
        <f t="shared" si="18"/>
        <v>9.5990865461765466E-4</v>
      </c>
      <c r="AE75" s="116">
        <f t="shared" si="18"/>
        <v>9.5914475838004192E-4</v>
      </c>
      <c r="AF75" s="116">
        <f t="shared" si="18"/>
        <v>9.5828793163983694E-4</v>
      </c>
      <c r="AG75" s="116">
        <f t="shared" si="18"/>
        <v>9.5739659578181267E-4</v>
      </c>
      <c r="AH75" s="116">
        <f t="shared" si="18"/>
        <v>9.5433571517016609E-4</v>
      </c>
      <c r="AI75" s="116">
        <f t="shared" si="18"/>
        <v>9.5358977809423934E-4</v>
      </c>
      <c r="AJ75" s="116">
        <f t="shared" si="18"/>
        <v>9.5283581756850201E-4</v>
      </c>
      <c r="AK75" s="116">
        <f t="shared" si="18"/>
        <v>9.5211609089445584E-4</v>
      </c>
      <c r="AL75" s="116">
        <f t="shared" si="18"/>
        <v>9.5142722911741853E-4</v>
      </c>
      <c r="AM75" s="116">
        <f t="shared" si="18"/>
        <v>9.5073893569562495E-4</v>
      </c>
    </row>
    <row r="76" spans="2:39" x14ac:dyDescent="0.25">
      <c r="B76" s="230"/>
      <c r="C76" s="35" t="s">
        <v>33</v>
      </c>
      <c r="D76" s="54" t="s">
        <v>432</v>
      </c>
      <c r="E76" s="126">
        <f t="shared" ref="E76:AM76" si="19">E34/E$26</f>
        <v>2.1672394058154232E-5</v>
      </c>
      <c r="F76" s="126">
        <f t="shared" si="19"/>
        <v>6.9021694486718374E-4</v>
      </c>
      <c r="G76" s="126">
        <f t="shared" si="19"/>
        <v>1.615242213017676E-3</v>
      </c>
      <c r="H76" s="126">
        <f t="shared" si="19"/>
        <v>2.0006906198360755E-3</v>
      </c>
      <c r="I76" s="126">
        <f t="shared" si="19"/>
        <v>2.4344132900444527E-3</v>
      </c>
      <c r="J76" s="125">
        <f t="shared" si="19"/>
        <v>2.9065666891630215E-3</v>
      </c>
      <c r="K76" s="69">
        <f t="shared" si="19"/>
        <v>2.9969652760961783E-3</v>
      </c>
      <c r="L76" s="69">
        <f t="shared" si="19"/>
        <v>3.2593148026099361E-3</v>
      </c>
      <c r="M76" s="69">
        <f t="shared" si="19"/>
        <v>3.7779973986075484E-3</v>
      </c>
      <c r="N76" s="126">
        <f t="shared" si="19"/>
        <v>4.3330810682000167E-3</v>
      </c>
      <c r="O76" s="125">
        <f t="shared" si="19"/>
        <v>5.1581866441554559E-3</v>
      </c>
      <c r="P76" s="69">
        <f t="shared" si="19"/>
        <v>6.5382772130607933E-3</v>
      </c>
      <c r="Q76" s="69">
        <f t="shared" si="19"/>
        <v>8.6073333573434743E-3</v>
      </c>
      <c r="R76" s="69">
        <f t="shared" si="19"/>
        <v>1.0894674218155461E-2</v>
      </c>
      <c r="S76" s="126">
        <f t="shared" si="19"/>
        <v>1.3161464579604928E-2</v>
      </c>
      <c r="T76" s="126">
        <f t="shared" si="19"/>
        <v>1.5076901924202682E-2</v>
      </c>
      <c r="U76" s="126">
        <f t="shared" si="19"/>
        <v>1.6424130419505786E-2</v>
      </c>
      <c r="V76" s="126">
        <f t="shared" si="19"/>
        <v>1.7085996959002838E-2</v>
      </c>
      <c r="W76" s="126">
        <f t="shared" si="19"/>
        <v>1.7184364232780892E-2</v>
      </c>
      <c r="X76" s="119">
        <f t="shared" si="19"/>
        <v>1.6907834428681878E-2</v>
      </c>
      <c r="Y76" s="119">
        <f t="shared" si="19"/>
        <v>1.6484972364688134E-2</v>
      </c>
      <c r="Z76" s="119">
        <f t="shared" si="19"/>
        <v>1.5935659063025909E-2</v>
      </c>
      <c r="AA76" s="119">
        <f t="shared" si="19"/>
        <v>1.5323385581732421E-2</v>
      </c>
      <c r="AB76" s="119">
        <f t="shared" si="19"/>
        <v>1.4722181072410754E-2</v>
      </c>
      <c r="AC76" s="119">
        <f t="shared" si="19"/>
        <v>1.4134896187519411E-2</v>
      </c>
      <c r="AD76" s="119">
        <f t="shared" si="19"/>
        <v>1.3651614225737026E-2</v>
      </c>
      <c r="AE76" s="119">
        <f t="shared" si="19"/>
        <v>1.3215000700862413E-2</v>
      </c>
      <c r="AF76" s="119">
        <f t="shared" si="19"/>
        <v>1.2798083341157368E-2</v>
      </c>
      <c r="AG76" s="119">
        <f t="shared" si="19"/>
        <v>1.2402619163125657E-2</v>
      </c>
      <c r="AH76" s="119">
        <f t="shared" si="19"/>
        <v>1.1205717873458889E-2</v>
      </c>
      <c r="AI76" s="119">
        <f t="shared" si="19"/>
        <v>1.093493011477792E-2</v>
      </c>
      <c r="AJ76" s="119">
        <f t="shared" si="19"/>
        <v>1.0673427015148311E-2</v>
      </c>
      <c r="AK76" s="119">
        <f t="shared" si="19"/>
        <v>1.0434165349444089E-2</v>
      </c>
      <c r="AL76" s="119">
        <f t="shared" si="19"/>
        <v>1.0214407513219809E-2</v>
      </c>
      <c r="AM76" s="119">
        <f t="shared" si="19"/>
        <v>1.000387404254712E-2</v>
      </c>
    </row>
    <row r="77" spans="2:39" x14ac:dyDescent="0.25">
      <c r="B77" s="230"/>
      <c r="C77" s="52" t="s">
        <v>46</v>
      </c>
      <c r="D77" s="52" t="s">
        <v>433</v>
      </c>
      <c r="E77" s="124">
        <f t="shared" ref="E77:AM77" si="20">E35/E$26</f>
        <v>0.99950000000000006</v>
      </c>
      <c r="F77" s="124">
        <f t="shared" si="20"/>
        <v>0.98245200570813962</v>
      </c>
      <c r="G77" s="124">
        <f t="shared" si="20"/>
        <v>0.96200358934938834</v>
      </c>
      <c r="H77" s="124">
        <f t="shared" si="20"/>
        <v>0.95147290365316806</v>
      </c>
      <c r="I77" s="124">
        <f t="shared" si="20"/>
        <v>0.93856309708135177</v>
      </c>
      <c r="J77" s="123">
        <f t="shared" si="20"/>
        <v>0.92299381597399865</v>
      </c>
      <c r="K77" s="67">
        <f t="shared" si="20"/>
        <v>0.90450712199924088</v>
      </c>
      <c r="L77" s="67">
        <f t="shared" si="20"/>
        <v>0.88299984296950784</v>
      </c>
      <c r="M77" s="67">
        <f t="shared" si="20"/>
        <v>0.85850469986892974</v>
      </c>
      <c r="N77" s="124">
        <f t="shared" si="20"/>
        <v>0.83133005727538056</v>
      </c>
      <c r="O77" s="123">
        <f t="shared" si="20"/>
        <v>0.79024361899157747</v>
      </c>
      <c r="P77" s="67">
        <f t="shared" si="20"/>
        <v>0.72368425423938021</v>
      </c>
      <c r="Q77" s="67">
        <f t="shared" si="20"/>
        <v>0.62348004012809688</v>
      </c>
      <c r="R77" s="67">
        <f t="shared" si="20"/>
        <v>0.50591416397526645</v>
      </c>
      <c r="S77" s="124">
        <f t="shared" si="20"/>
        <v>0.38077678845642537</v>
      </c>
      <c r="T77" s="124">
        <f t="shared" si="20"/>
        <v>0.26276806852455592</v>
      </c>
      <c r="U77" s="124">
        <f t="shared" si="20"/>
        <v>0.16582860001054356</v>
      </c>
      <c r="V77" s="124">
        <f t="shared" si="20"/>
        <v>9.661476122549062E-2</v>
      </c>
      <c r="W77" s="124">
        <f t="shared" si="20"/>
        <v>5.2946422380092263E-2</v>
      </c>
      <c r="X77" s="118">
        <f t="shared" si="20"/>
        <v>2.7859670914186407E-2</v>
      </c>
      <c r="Y77" s="118">
        <f t="shared" si="20"/>
        <v>1.431006631672641E-2</v>
      </c>
      <c r="Z77" s="118">
        <f t="shared" si="20"/>
        <v>7.2534775427695779E-3</v>
      </c>
      <c r="AA77" s="118">
        <f t="shared" si="20"/>
        <v>3.6510890829671923E-3</v>
      </c>
      <c r="AB77" s="118">
        <f t="shared" si="20"/>
        <v>1.8312451854028754E-3</v>
      </c>
      <c r="AC77" s="118">
        <f t="shared" si="20"/>
        <v>9.168262798113383E-4</v>
      </c>
      <c r="AD77" s="118">
        <f t="shared" si="20"/>
        <v>4.5859768153471569E-4</v>
      </c>
      <c r="AE77" s="118">
        <f t="shared" si="20"/>
        <v>2.2928665095862721E-4</v>
      </c>
      <c r="AF77" s="118">
        <f t="shared" si="20"/>
        <v>1.1461136866487229E-4</v>
      </c>
      <c r="AG77" s="118">
        <f t="shared" si="20"/>
        <v>5.7283282180676137E-5</v>
      </c>
      <c r="AH77" s="118">
        <f t="shared" si="20"/>
        <v>2.8629369997792448E-5</v>
      </c>
      <c r="AI77" s="118">
        <f t="shared" si="20"/>
        <v>1.4308157998829795E-5</v>
      </c>
      <c r="AJ77" s="118">
        <f t="shared" si="20"/>
        <v>7.1507188935131951E-6</v>
      </c>
      <c r="AK77" s="118">
        <f t="shared" si="20"/>
        <v>3.5736554678089598E-6</v>
      </c>
      <c r="AL77" s="118">
        <f t="shared" si="20"/>
        <v>1.7859737847206502E-6</v>
      </c>
      <c r="AM77" s="118">
        <f t="shared" si="20"/>
        <v>8.9255818543106351E-7</v>
      </c>
    </row>
    <row r="78" spans="2:39" x14ac:dyDescent="0.25">
      <c r="B78" s="230"/>
      <c r="C78" s="35" t="s">
        <v>27</v>
      </c>
      <c r="D78" s="3" t="s">
        <v>434</v>
      </c>
      <c r="E78" s="111">
        <f t="shared" ref="E78:AM78" si="21">E36/E$26</f>
        <v>5.0000000000000001E-4</v>
      </c>
      <c r="F78" s="111">
        <f t="shared" si="21"/>
        <v>1.2538660834153188E-2</v>
      </c>
      <c r="G78" s="111">
        <f t="shared" si="21"/>
        <v>1.5266396574553644E-2</v>
      </c>
      <c r="H78" s="111">
        <f t="shared" si="21"/>
        <v>1.7410492844268318E-2</v>
      </c>
      <c r="I78" s="111">
        <f t="shared" si="21"/>
        <v>2.8909027379466486E-2</v>
      </c>
      <c r="J78" s="110">
        <f t="shared" si="21"/>
        <v>2.8612817213731583E-2</v>
      </c>
      <c r="K78" s="68">
        <f t="shared" si="21"/>
        <v>4.2680812970301657E-2</v>
      </c>
      <c r="L78" s="68">
        <f t="shared" si="21"/>
        <v>4.9276231759452845E-2</v>
      </c>
      <c r="M78" s="68">
        <f t="shared" si="21"/>
        <v>5.1323605171034375E-2</v>
      </c>
      <c r="N78" s="111">
        <f t="shared" si="21"/>
        <v>5.3085310844009144E-2</v>
      </c>
      <c r="O78" s="110">
        <f t="shared" si="21"/>
        <v>5.3201375956930863E-2</v>
      </c>
      <c r="P78" s="68">
        <f t="shared" si="21"/>
        <v>5.0831478910031869E-2</v>
      </c>
      <c r="Q78" s="68">
        <f t="shared" si="21"/>
        <v>4.5444626604479739E-2</v>
      </c>
      <c r="R78" s="68">
        <f t="shared" si="21"/>
        <v>3.8834857225560439E-2</v>
      </c>
      <c r="S78" s="111">
        <f t="shared" si="21"/>
        <v>3.0834241291351056E-2</v>
      </c>
      <c r="T78" s="111">
        <f t="shared" si="21"/>
        <v>2.2173944381929832E-2</v>
      </c>
      <c r="U78" s="111">
        <f t="shared" si="21"/>
        <v>1.4520868720615697E-2</v>
      </c>
      <c r="V78" s="111">
        <f t="shared" si="21"/>
        <v>8.7826390583184456E-3</v>
      </c>
      <c r="W78" s="111">
        <f t="shared" si="21"/>
        <v>4.9997856747699453E-3</v>
      </c>
      <c r="X78" s="116">
        <f t="shared" si="21"/>
        <v>2.7319756973506319E-3</v>
      </c>
      <c r="Y78" s="116">
        <f t="shared" si="21"/>
        <v>1.448829665258812E-3</v>
      </c>
      <c r="Z78" s="116">
        <f t="shared" si="21"/>
        <v>7.5881626767040249E-4</v>
      </c>
      <c r="AA78" s="116">
        <f t="shared" si="21"/>
        <v>3.9527377608494373E-4</v>
      </c>
      <c r="AB78" s="116">
        <f t="shared" si="21"/>
        <v>2.0509661506475308E-4</v>
      </c>
      <c r="AC78" s="116">
        <f t="shared" si="21"/>
        <v>1.0615749303937169E-4</v>
      </c>
      <c r="AD78" s="116">
        <f t="shared" si="21"/>
        <v>5.4986045991675527E-5</v>
      </c>
      <c r="AE78" s="116">
        <f t="shared" si="21"/>
        <v>2.840075972112776E-5</v>
      </c>
      <c r="AF78" s="116">
        <f t="shared" si="21"/>
        <v>1.4648424764290643E-5</v>
      </c>
      <c r="AG78" s="116">
        <f t="shared" si="21"/>
        <v>7.5614296405713052E-6</v>
      </c>
      <c r="AH78" s="116">
        <f t="shared" si="21"/>
        <v>4.1375283646418542E-6</v>
      </c>
      <c r="AI78" s="116">
        <f t="shared" si="21"/>
        <v>2.1307542892092418E-6</v>
      </c>
      <c r="AJ78" s="116">
        <f t="shared" si="21"/>
        <v>1.0985375963353259E-6</v>
      </c>
      <c r="AK78" s="116">
        <f t="shared" si="21"/>
        <v>5.6582536563357445E-7</v>
      </c>
      <c r="AL78" s="116">
        <f t="shared" si="21"/>
        <v>2.9124695323960913E-7</v>
      </c>
      <c r="AM78" s="116">
        <f t="shared" si="21"/>
        <v>1.500051372744672E-7</v>
      </c>
    </row>
    <row r="79" spans="2:39" x14ac:dyDescent="0.25">
      <c r="B79" s="230"/>
      <c r="C79" s="35" t="s">
        <v>28</v>
      </c>
      <c r="D79" s="3" t="s">
        <v>435</v>
      </c>
      <c r="E79" s="111">
        <f t="shared" ref="E79:AM79" si="22">E37/E$26</f>
        <v>0.18</v>
      </c>
      <c r="F79" s="111">
        <f t="shared" si="22"/>
        <v>0.18481206676812409</v>
      </c>
      <c r="G79" s="111">
        <f t="shared" si="22"/>
        <v>0.18172975007963726</v>
      </c>
      <c r="H79" s="111">
        <f t="shared" si="22"/>
        <v>0.18116034931897573</v>
      </c>
      <c r="I79" s="111">
        <f t="shared" si="22"/>
        <v>0.18590895023423509</v>
      </c>
      <c r="J79" s="110">
        <f t="shared" si="22"/>
        <v>0.1809117559135896</v>
      </c>
      <c r="K79" s="68">
        <f t="shared" si="22"/>
        <v>0.18538884932492666</v>
      </c>
      <c r="L79" s="68">
        <f t="shared" si="22"/>
        <v>0.18377443654843867</v>
      </c>
      <c r="M79" s="68">
        <f t="shared" si="22"/>
        <v>0.17950591096513543</v>
      </c>
      <c r="N79" s="111">
        <f t="shared" si="22"/>
        <v>0.17451546149909009</v>
      </c>
      <c r="O79" s="110">
        <f t="shared" si="22"/>
        <v>0.16677709399974236</v>
      </c>
      <c r="P79" s="68">
        <f t="shared" si="22"/>
        <v>0.15338652752686513</v>
      </c>
      <c r="Q79" s="68">
        <f t="shared" si="22"/>
        <v>0.13263612873096764</v>
      </c>
      <c r="R79" s="68">
        <f t="shared" si="22"/>
        <v>0.1079775405716169</v>
      </c>
      <c r="S79" s="111">
        <f t="shared" si="22"/>
        <v>8.1559212350434104E-2</v>
      </c>
      <c r="T79" s="111">
        <f t="shared" si="22"/>
        <v>5.6505806729496288E-2</v>
      </c>
      <c r="U79" s="111">
        <f t="shared" si="22"/>
        <v>3.5789113809668378E-2</v>
      </c>
      <c r="V79" s="111">
        <f t="shared" si="22"/>
        <v>2.0932966248553463E-2</v>
      </c>
      <c r="W79" s="111">
        <f t="shared" si="22"/>
        <v>1.1519855842861739E-2</v>
      </c>
      <c r="X79" s="116">
        <f t="shared" si="22"/>
        <v>6.0880917645706519E-3</v>
      </c>
      <c r="Y79" s="116">
        <f t="shared" si="22"/>
        <v>3.1400533862495769E-3</v>
      </c>
      <c r="Z79" s="116">
        <f t="shared" si="22"/>
        <v>1.5985037989849503E-3</v>
      </c>
      <c r="AA79" s="116">
        <f t="shared" si="22"/>
        <v>8.0830795553184318E-4</v>
      </c>
      <c r="AB79" s="116">
        <f t="shared" si="22"/>
        <v>4.0727420687461206E-4</v>
      </c>
      <c r="AC79" s="116">
        <f t="shared" si="22"/>
        <v>2.0482231252707931E-4</v>
      </c>
      <c r="AD79" s="116">
        <f t="shared" si="22"/>
        <v>1.0277428159064657E-4</v>
      </c>
      <c r="AE79" s="116">
        <f t="shared" si="22"/>
        <v>5.1528869128959657E-5</v>
      </c>
      <c r="AF79" s="116">
        <f t="shared" si="22"/>
        <v>2.5823643299730519E-5</v>
      </c>
      <c r="AG79" s="116">
        <f t="shared" si="22"/>
        <v>1.2941506311447626E-5</v>
      </c>
      <c r="AH79" s="116">
        <f t="shared" si="22"/>
        <v>6.5424380998734702E-6</v>
      </c>
      <c r="AI79" s="116">
        <f t="shared" si="22"/>
        <v>3.2750884413810273E-6</v>
      </c>
      <c r="AJ79" s="116">
        <f t="shared" si="22"/>
        <v>1.6395192673960519E-6</v>
      </c>
      <c r="AK79" s="116">
        <f t="shared" si="22"/>
        <v>8.205443217277568E-7</v>
      </c>
      <c r="AL79" s="116">
        <f t="shared" si="22"/>
        <v>4.1058128450193077E-7</v>
      </c>
      <c r="AM79" s="116">
        <f t="shared" si="22"/>
        <v>2.0543420667500698E-7</v>
      </c>
    </row>
    <row r="80" spans="2:39" x14ac:dyDescent="0.25">
      <c r="B80" s="230"/>
      <c r="C80" s="35" t="s">
        <v>29</v>
      </c>
      <c r="D80" s="3" t="s">
        <v>436</v>
      </c>
      <c r="E80" s="111">
        <f t="shared" ref="E80:AM80" si="23">E38/E$26</f>
        <v>0.28400000000000003</v>
      </c>
      <c r="F80" s="111">
        <f t="shared" si="23"/>
        <v>0.28397075098936453</v>
      </c>
      <c r="G80" s="111">
        <f t="shared" si="23"/>
        <v>0.27854949436004756</v>
      </c>
      <c r="H80" s="111">
        <f t="shared" si="23"/>
        <v>0.27646869372968463</v>
      </c>
      <c r="I80" s="111">
        <f t="shared" si="23"/>
        <v>0.27630057757497817</v>
      </c>
      <c r="J80" s="110">
        <f t="shared" si="23"/>
        <v>0.27120513020913978</v>
      </c>
      <c r="K80" s="68">
        <f t="shared" si="23"/>
        <v>0.2683161533543244</v>
      </c>
      <c r="L80" s="68">
        <f t="shared" si="23"/>
        <v>0.26154534038296129</v>
      </c>
      <c r="M80" s="68">
        <f t="shared" si="23"/>
        <v>0.25391776711964736</v>
      </c>
      <c r="N80" s="111">
        <f t="shared" si="23"/>
        <v>0.24544665371500463</v>
      </c>
      <c r="O80" s="110">
        <f t="shared" si="23"/>
        <v>0.23306037471912747</v>
      </c>
      <c r="P80" s="68">
        <f t="shared" si="23"/>
        <v>0.21321062619199899</v>
      </c>
      <c r="Q80" s="68">
        <f t="shared" si="23"/>
        <v>0.18349906932527049</v>
      </c>
      <c r="R80" s="68">
        <f t="shared" si="23"/>
        <v>0.14859227805967809</v>
      </c>
      <c r="S80" s="111">
        <f t="shared" si="23"/>
        <v>0.11157975338780025</v>
      </c>
      <c r="T80" s="111">
        <f t="shared" si="23"/>
        <v>7.6867377330142553E-2</v>
      </c>
      <c r="U80" s="111">
        <f t="shared" si="23"/>
        <v>4.8428187257333118E-2</v>
      </c>
      <c r="V80" s="111">
        <f t="shared" si="23"/>
        <v>2.8163891748252064E-2</v>
      </c>
      <c r="W80" s="111">
        <f t="shared" si="23"/>
        <v>1.540353234841646E-2</v>
      </c>
      <c r="X80" s="116">
        <f t="shared" si="23"/>
        <v>8.0877999674744214E-3</v>
      </c>
      <c r="Y80" s="116">
        <f t="shared" si="23"/>
        <v>4.1463483004841057E-3</v>
      </c>
      <c r="Z80" s="116">
        <f t="shared" si="23"/>
        <v>2.0972397358528356E-3</v>
      </c>
      <c r="AA80" s="116">
        <f t="shared" si="23"/>
        <v>1.05310569268534E-3</v>
      </c>
      <c r="AB80" s="116">
        <f t="shared" si="23"/>
        <v>5.2681630707689131E-4</v>
      </c>
      <c r="AC80" s="116">
        <f t="shared" si="23"/>
        <v>2.6301721954967878E-4</v>
      </c>
      <c r="AD80" s="116">
        <f t="shared" si="23"/>
        <v>1.3111916214665143E-4</v>
      </c>
      <c r="AE80" s="116">
        <f t="shared" si="23"/>
        <v>6.5334932323799226E-5</v>
      </c>
      <c r="AF80" s="116">
        <f t="shared" si="23"/>
        <v>3.2544694625099091E-5</v>
      </c>
      <c r="AG80" s="116">
        <f t="shared" si="23"/>
        <v>1.6203905119141126E-5</v>
      </c>
      <c r="AH80" s="116">
        <f t="shared" si="23"/>
        <v>8.001749713233523E-6</v>
      </c>
      <c r="AI80" s="116">
        <f t="shared" si="23"/>
        <v>3.9806089669908703E-6</v>
      </c>
      <c r="AJ80" s="116">
        <f t="shared" si="23"/>
        <v>1.9792799507165443E-6</v>
      </c>
      <c r="AK80" s="116">
        <f t="shared" si="23"/>
        <v>9.840099469783941E-7</v>
      </c>
      <c r="AL80" s="116">
        <f t="shared" si="23"/>
        <v>4.8911597927169953E-7</v>
      </c>
      <c r="AM80" s="116">
        <f t="shared" si="23"/>
        <v>2.4301621158494987E-7</v>
      </c>
    </row>
    <row r="81" spans="2:39" x14ac:dyDescent="0.25">
      <c r="B81" s="230"/>
      <c r="C81" s="35" t="s">
        <v>30</v>
      </c>
      <c r="D81" s="3" t="s">
        <v>437</v>
      </c>
      <c r="E81" s="111">
        <f t="shared" ref="E81:AM81" si="24">E39/E$26</f>
        <v>0.28000000000000003</v>
      </c>
      <c r="F81" s="111">
        <f t="shared" si="24"/>
        <v>0.27413911353766024</v>
      </c>
      <c r="G81" s="111">
        <f t="shared" si="24"/>
        <v>0.2673561291657553</v>
      </c>
      <c r="H81" s="111">
        <f t="shared" si="24"/>
        <v>0.26592898899344819</v>
      </c>
      <c r="I81" s="111">
        <f t="shared" si="24"/>
        <v>0.26006016637538593</v>
      </c>
      <c r="J81" s="110">
        <f t="shared" si="24"/>
        <v>0.26135952592208156</v>
      </c>
      <c r="K81" s="68">
        <f t="shared" si="24"/>
        <v>0.25399812106517816</v>
      </c>
      <c r="L81" s="68">
        <f t="shared" si="24"/>
        <v>0.24546279360214701</v>
      </c>
      <c r="M81" s="68">
        <f t="shared" si="24"/>
        <v>0.23749755577205306</v>
      </c>
      <c r="N81" s="111">
        <f t="shared" si="24"/>
        <v>0.22881934741960175</v>
      </c>
      <c r="O81" s="110">
        <f t="shared" si="24"/>
        <v>0.21652785447425521</v>
      </c>
      <c r="P81" s="68">
        <f t="shared" si="24"/>
        <v>0.19751874680897</v>
      </c>
      <c r="Q81" s="68">
        <f t="shared" si="24"/>
        <v>0.16955730954098114</v>
      </c>
      <c r="R81" s="68">
        <f t="shared" si="24"/>
        <v>0.13687340698419659</v>
      </c>
      <c r="S81" s="111">
        <f t="shared" si="24"/>
        <v>0.10242562852554914</v>
      </c>
      <c r="T81" s="111">
        <f t="shared" si="24"/>
        <v>7.0337020093579575E-2</v>
      </c>
      <c r="U81" s="111">
        <f t="shared" si="24"/>
        <v>4.4182096870485535E-2</v>
      </c>
      <c r="V81" s="111">
        <f t="shared" si="24"/>
        <v>2.5612404888082051E-2</v>
      </c>
      <c r="W81" s="111">
        <f t="shared" si="24"/>
        <v>1.3959800776411535E-2</v>
      </c>
      <c r="X81" s="116">
        <f t="shared" si="24"/>
        <v>7.3033062262768192E-3</v>
      </c>
      <c r="Y81" s="116">
        <f t="shared" si="24"/>
        <v>3.7317722629228657E-3</v>
      </c>
      <c r="Z81" s="116">
        <f t="shared" si="24"/>
        <v>1.8808877757521096E-3</v>
      </c>
      <c r="AA81" s="116">
        <f t="shared" si="24"/>
        <v>9.4084492039711522E-4</v>
      </c>
      <c r="AB81" s="116">
        <f t="shared" si="24"/>
        <v>4.6880428563668376E-4</v>
      </c>
      <c r="AC81" s="116">
        <f t="shared" si="24"/>
        <v>2.3312035272068129E-4</v>
      </c>
      <c r="AD81" s="116">
        <f t="shared" si="24"/>
        <v>1.1578280522689933E-4</v>
      </c>
      <c r="AE81" s="116">
        <f t="shared" si="24"/>
        <v>5.7488874118795991E-5</v>
      </c>
      <c r="AF81" s="116">
        <f t="shared" si="24"/>
        <v>2.8537121130008135E-5</v>
      </c>
      <c r="AG81" s="116">
        <f t="shared" si="24"/>
        <v>1.4155994109917627E-5</v>
      </c>
      <c r="AH81" s="116">
        <f t="shared" si="24"/>
        <v>6.9024339556065127E-6</v>
      </c>
      <c r="AI81" s="116">
        <f t="shared" si="24"/>
        <v>3.4215963901757511E-6</v>
      </c>
      <c r="AJ81" s="116">
        <f t="shared" si="24"/>
        <v>1.6949015408909975E-6</v>
      </c>
      <c r="AK81" s="116">
        <f t="shared" si="24"/>
        <v>8.3951788976472205E-7</v>
      </c>
      <c r="AL81" s="116">
        <f t="shared" si="24"/>
        <v>4.1577142230908517E-7</v>
      </c>
      <c r="AM81" s="116">
        <f t="shared" si="24"/>
        <v>2.0578925901225985E-7</v>
      </c>
    </row>
    <row r="82" spans="2:39" x14ac:dyDescent="0.25">
      <c r="B82" s="230"/>
      <c r="C82" s="35" t="s">
        <v>31</v>
      </c>
      <c r="D82" s="3" t="s">
        <v>438</v>
      </c>
      <c r="E82" s="111">
        <f t="shared" ref="E82:AM82" si="25">E40/E$26</f>
        <v>0.18</v>
      </c>
      <c r="F82" s="111">
        <f t="shared" si="25"/>
        <v>0.16922010805061052</v>
      </c>
      <c r="G82" s="111">
        <f t="shared" si="25"/>
        <v>0.1614908548732111</v>
      </c>
      <c r="H82" s="111">
        <f t="shared" si="25"/>
        <v>0.15753160743506903</v>
      </c>
      <c r="I82" s="111">
        <f t="shared" si="25"/>
        <v>0.14507485592395519</v>
      </c>
      <c r="J82" s="110">
        <f t="shared" si="25"/>
        <v>0.15229365162979794</v>
      </c>
      <c r="K82" s="68">
        <f t="shared" si="25"/>
        <v>0.13556497441705775</v>
      </c>
      <c r="L82" s="68">
        <f t="shared" si="25"/>
        <v>0.12746870504260793</v>
      </c>
      <c r="M82" s="68">
        <f t="shared" si="25"/>
        <v>0.12209679309633155</v>
      </c>
      <c r="N82" s="111">
        <f t="shared" si="25"/>
        <v>0.11652221331396122</v>
      </c>
      <c r="O82" s="110">
        <f t="shared" si="25"/>
        <v>0.10912217345013868</v>
      </c>
      <c r="P82" s="68">
        <f t="shared" si="25"/>
        <v>9.869311419279346E-2</v>
      </c>
      <c r="Q82" s="68">
        <f t="shared" si="25"/>
        <v>8.4083284517871795E-2</v>
      </c>
      <c r="R82" s="68">
        <f t="shared" si="25"/>
        <v>6.7292743267382812E-2</v>
      </c>
      <c r="S82" s="111">
        <f t="shared" si="25"/>
        <v>4.9884746849143881E-2</v>
      </c>
      <c r="T82" s="111">
        <f t="shared" si="25"/>
        <v>3.3953838139517641E-2</v>
      </c>
      <c r="U82" s="111">
        <f t="shared" si="25"/>
        <v>2.1154088993373812E-2</v>
      </c>
      <c r="V82" s="111">
        <f t="shared" si="25"/>
        <v>1.2156735021865464E-2</v>
      </c>
      <c r="W82" s="111">
        <f t="shared" si="25"/>
        <v>6.5648917011396557E-3</v>
      </c>
      <c r="X82" s="116">
        <f t="shared" si="25"/>
        <v>3.4019871009506185E-3</v>
      </c>
      <c r="Y82" s="116">
        <f t="shared" si="25"/>
        <v>1.7233808855468178E-3</v>
      </c>
      <c r="Z82" s="116">
        <f t="shared" si="25"/>
        <v>8.608419650817916E-4</v>
      </c>
      <c r="AA82" s="116">
        <f t="shared" si="25"/>
        <v>4.2652262488868472E-4</v>
      </c>
      <c r="AB82" s="116">
        <f t="shared" si="25"/>
        <v>2.1052012913519563E-4</v>
      </c>
      <c r="AC82" s="116">
        <f t="shared" si="25"/>
        <v>1.0371558073880234E-4</v>
      </c>
      <c r="AD82" s="116">
        <f t="shared" si="25"/>
        <v>5.1099391408893008E-5</v>
      </c>
      <c r="AE82" s="116">
        <f t="shared" si="25"/>
        <v>2.5186032185541554E-5</v>
      </c>
      <c r="AF82" s="116">
        <f t="shared" si="25"/>
        <v>1.2415962359568565E-5</v>
      </c>
      <c r="AG82" s="116">
        <f t="shared" si="25"/>
        <v>6.1154068666654562E-6</v>
      </c>
      <c r="AH82" s="116">
        <f t="shared" si="25"/>
        <v>2.9144973621504688E-6</v>
      </c>
      <c r="AI82" s="116">
        <f t="shared" si="25"/>
        <v>1.4372392258921773E-6</v>
      </c>
      <c r="AJ82" s="116">
        <f t="shared" si="25"/>
        <v>7.0825159034208379E-7</v>
      </c>
      <c r="AK82" s="116">
        <f t="shared" si="25"/>
        <v>3.4917770784856232E-7</v>
      </c>
      <c r="AL82" s="116">
        <f t="shared" si="25"/>
        <v>1.7220677761591804E-7</v>
      </c>
      <c r="AM82" s="116">
        <f t="shared" si="25"/>
        <v>8.4899648329771902E-8</v>
      </c>
    </row>
    <row r="83" spans="2:39" x14ac:dyDescent="0.25">
      <c r="B83" s="230"/>
      <c r="C83" s="35" t="s">
        <v>32</v>
      </c>
      <c r="D83" s="3" t="s">
        <v>439</v>
      </c>
      <c r="E83" s="111">
        <f t="shared" ref="E83:AM83" si="26">E41/E$26</f>
        <v>0.06</v>
      </c>
      <c r="F83" s="111">
        <f t="shared" si="26"/>
        <v>4.8162919778374107E-2</v>
      </c>
      <c r="G83" s="111">
        <f t="shared" si="26"/>
        <v>4.8033401868276773E-2</v>
      </c>
      <c r="H83" s="111">
        <f t="shared" si="26"/>
        <v>4.5362531747951837E-2</v>
      </c>
      <c r="I83" s="111">
        <f t="shared" si="26"/>
        <v>3.7219022295541457E-2</v>
      </c>
      <c r="J83" s="110">
        <f t="shared" si="26"/>
        <v>2.6717392877426801E-2</v>
      </c>
      <c r="K83" s="68">
        <f t="shared" si="26"/>
        <v>1.8558210920335404E-2</v>
      </c>
      <c r="L83" s="68">
        <f t="shared" si="26"/>
        <v>1.5472335638502132E-2</v>
      </c>
      <c r="M83" s="68">
        <f t="shared" si="26"/>
        <v>1.4163067852068362E-2</v>
      </c>
      <c r="N83" s="111">
        <f t="shared" si="26"/>
        <v>1.2941070242245119E-2</v>
      </c>
      <c r="O83" s="110">
        <f t="shared" si="26"/>
        <v>1.1554746193938795E-2</v>
      </c>
      <c r="P83" s="68">
        <f t="shared" si="26"/>
        <v>1.0043760551153818E-2</v>
      </c>
      <c r="Q83" s="68">
        <f t="shared" si="26"/>
        <v>8.2596212711431201E-3</v>
      </c>
      <c r="R83" s="68">
        <f t="shared" si="26"/>
        <v>6.3433378605932331E-3</v>
      </c>
      <c r="S83" s="111">
        <f t="shared" si="26"/>
        <v>4.4932060819358449E-3</v>
      </c>
      <c r="T83" s="111">
        <f t="shared" si="26"/>
        <v>2.9300818859596357E-3</v>
      </c>
      <c r="U83" s="111">
        <f t="shared" si="26"/>
        <v>1.7542443685558322E-3</v>
      </c>
      <c r="V83" s="111">
        <f t="shared" si="26"/>
        <v>9.6612427068698071E-4</v>
      </c>
      <c r="W83" s="111">
        <f t="shared" si="26"/>
        <v>4.9855604014205053E-4</v>
      </c>
      <c r="X83" s="116">
        <f t="shared" si="26"/>
        <v>2.4651015721735992E-4</v>
      </c>
      <c r="Y83" s="116">
        <f t="shared" si="26"/>
        <v>1.1968181558783603E-4</v>
      </c>
      <c r="Z83" s="116">
        <f t="shared" si="26"/>
        <v>5.7187998760014661E-5</v>
      </c>
      <c r="AA83" s="116">
        <f t="shared" si="26"/>
        <v>2.7034113912402486E-5</v>
      </c>
      <c r="AB83" s="116">
        <f t="shared" si="26"/>
        <v>1.2733641681421579E-5</v>
      </c>
      <c r="AC83" s="116">
        <f t="shared" si="26"/>
        <v>5.993321269289486E-6</v>
      </c>
      <c r="AD83" s="116">
        <f t="shared" si="26"/>
        <v>2.8359951631724258E-6</v>
      </c>
      <c r="AE83" s="116">
        <f t="shared" si="26"/>
        <v>1.3471834462855224E-6</v>
      </c>
      <c r="AF83" s="116">
        <f t="shared" si="26"/>
        <v>6.4152246479173036E-7</v>
      </c>
      <c r="AG83" s="116">
        <f t="shared" si="26"/>
        <v>3.050401867315909E-7</v>
      </c>
      <c r="AH83" s="116">
        <f t="shared" si="26"/>
        <v>1.3072245772047946E-7</v>
      </c>
      <c r="AI83" s="116">
        <f t="shared" si="26"/>
        <v>6.2870662909049483E-8</v>
      </c>
      <c r="AJ83" s="116">
        <f t="shared" si="26"/>
        <v>3.02289836053768E-8</v>
      </c>
      <c r="AK83" s="116">
        <f t="shared" si="26"/>
        <v>1.4580239534933734E-8</v>
      </c>
      <c r="AL83" s="116">
        <f t="shared" si="26"/>
        <v>7.0513693942461052E-9</v>
      </c>
      <c r="AM83" s="116">
        <f t="shared" si="26"/>
        <v>3.4137250617308339E-9</v>
      </c>
    </row>
    <row r="84" spans="2:39" x14ac:dyDescent="0.25">
      <c r="B84" s="230"/>
      <c r="C84" s="56" t="s">
        <v>33</v>
      </c>
      <c r="D84" s="7" t="s">
        <v>440</v>
      </c>
      <c r="E84" s="113">
        <f t="shared" ref="E84:AM84" si="27">E42/E$26</f>
        <v>1.4999999999999999E-2</v>
      </c>
      <c r="F84" s="113">
        <f t="shared" si="27"/>
        <v>9.6083858735396595E-3</v>
      </c>
      <c r="G84" s="113">
        <f t="shared" si="27"/>
        <v>9.577562545887857E-3</v>
      </c>
      <c r="H84" s="113">
        <f t="shared" si="27"/>
        <v>7.6102394543235688E-3</v>
      </c>
      <c r="I84" s="113">
        <f t="shared" si="27"/>
        <v>5.0904974962653069E-3</v>
      </c>
      <c r="J84" s="112">
        <f t="shared" si="27"/>
        <v>1.8935420098274156E-3</v>
      </c>
      <c r="K84" s="70">
        <f t="shared" si="27"/>
        <v>0</v>
      </c>
      <c r="L84" s="70">
        <f t="shared" si="27"/>
        <v>0</v>
      </c>
      <c r="M84" s="70">
        <f t="shared" si="27"/>
        <v>0</v>
      </c>
      <c r="N84" s="113">
        <f t="shared" si="27"/>
        <v>0</v>
      </c>
      <c r="O84" s="112">
        <f t="shared" si="27"/>
        <v>0</v>
      </c>
      <c r="P84" s="70">
        <f t="shared" si="27"/>
        <v>0</v>
      </c>
      <c r="Q84" s="70">
        <f t="shared" si="27"/>
        <v>0</v>
      </c>
      <c r="R84" s="70">
        <f t="shared" si="27"/>
        <v>0</v>
      </c>
      <c r="S84" s="113">
        <f t="shared" si="27"/>
        <v>0</v>
      </c>
      <c r="T84" s="113">
        <f t="shared" si="27"/>
        <v>0</v>
      </c>
      <c r="U84" s="113">
        <f t="shared" si="27"/>
        <v>0</v>
      </c>
      <c r="V84" s="113">
        <f t="shared" si="27"/>
        <v>0</v>
      </c>
      <c r="W84" s="113">
        <f t="shared" si="27"/>
        <v>0</v>
      </c>
      <c r="X84" s="117">
        <f t="shared" si="27"/>
        <v>0</v>
      </c>
      <c r="Y84" s="117">
        <f t="shared" si="27"/>
        <v>0</v>
      </c>
      <c r="Z84" s="117">
        <f t="shared" si="27"/>
        <v>0</v>
      </c>
      <c r="AA84" s="117">
        <f t="shared" si="27"/>
        <v>0</v>
      </c>
      <c r="AB84" s="117">
        <f t="shared" si="27"/>
        <v>0</v>
      </c>
      <c r="AC84" s="117">
        <f t="shared" si="27"/>
        <v>0</v>
      </c>
      <c r="AD84" s="117">
        <f t="shared" si="27"/>
        <v>0</v>
      </c>
      <c r="AE84" s="117">
        <f t="shared" si="27"/>
        <v>0</v>
      </c>
      <c r="AF84" s="117">
        <f t="shared" si="27"/>
        <v>0</v>
      </c>
      <c r="AG84" s="117">
        <f t="shared" si="27"/>
        <v>0</v>
      </c>
      <c r="AH84" s="117">
        <f t="shared" si="27"/>
        <v>0</v>
      </c>
      <c r="AI84" s="117">
        <f t="shared" si="27"/>
        <v>0</v>
      </c>
      <c r="AJ84" s="117">
        <f t="shared" si="27"/>
        <v>0</v>
      </c>
      <c r="AK84" s="117">
        <f t="shared" si="27"/>
        <v>0</v>
      </c>
      <c r="AL84" s="117">
        <f t="shared" si="27"/>
        <v>0</v>
      </c>
      <c r="AM84" s="117">
        <f t="shared" si="27"/>
        <v>0</v>
      </c>
    </row>
    <row r="85" spans="2:39" x14ac:dyDescent="0.25">
      <c r="B85" s="229" t="s">
        <v>80</v>
      </c>
      <c r="C85" s="58" t="s">
        <v>52</v>
      </c>
      <c r="D85" s="58" t="s">
        <v>130</v>
      </c>
      <c r="E85" s="100">
        <f t="shared" ref="E85:AM85" si="28">E43</f>
        <v>32001.800439999999</v>
      </c>
      <c r="F85" s="100">
        <f t="shared" si="28"/>
        <v>35911.307350000003</v>
      </c>
      <c r="G85" s="100">
        <f t="shared" si="28"/>
        <v>36708.886160000002</v>
      </c>
      <c r="H85" s="100">
        <f t="shared" si="28"/>
        <v>37113.743849999999</v>
      </c>
      <c r="I85" s="100">
        <f t="shared" si="28"/>
        <v>37424.567750000002</v>
      </c>
      <c r="J85" s="99">
        <f t="shared" si="28"/>
        <v>37524.066039999998</v>
      </c>
      <c r="K85" s="51">
        <f t="shared" si="28"/>
        <v>37519.450830000002</v>
      </c>
      <c r="L85" s="51">
        <f t="shared" si="28"/>
        <v>37485.429020000003</v>
      </c>
      <c r="M85" s="51">
        <f t="shared" si="28"/>
        <v>37329.956899999997</v>
      </c>
      <c r="N85" s="100">
        <f t="shared" si="28"/>
        <v>37080.500119999997</v>
      </c>
      <c r="O85" s="99">
        <f t="shared" si="28"/>
        <v>36714.0069</v>
      </c>
      <c r="P85" s="51">
        <f t="shared" si="28"/>
        <v>36274.392760000002</v>
      </c>
      <c r="Q85" s="51">
        <f t="shared" si="28"/>
        <v>35789.356370000001</v>
      </c>
      <c r="R85" s="51">
        <f t="shared" si="28"/>
        <v>35253.540430000001</v>
      </c>
      <c r="S85" s="100">
        <f t="shared" si="28"/>
        <v>34682.527520000003</v>
      </c>
      <c r="T85" s="100">
        <f t="shared" si="28"/>
        <v>34090.323759999999</v>
      </c>
      <c r="U85" s="100">
        <f t="shared" si="28"/>
        <v>33503.832549999999</v>
      </c>
      <c r="V85" s="100">
        <f t="shared" si="28"/>
        <v>32930.057000000001</v>
      </c>
      <c r="W85" s="100">
        <f t="shared" si="28"/>
        <v>32374.559529999999</v>
      </c>
      <c r="X85" s="104">
        <f t="shared" si="28"/>
        <v>31837.927520000001</v>
      </c>
      <c r="Y85" s="104">
        <f t="shared" si="28"/>
        <v>31359.099770000001</v>
      </c>
      <c r="Z85" s="104">
        <f t="shared" si="28"/>
        <v>30921.538329999999</v>
      </c>
      <c r="AA85" s="104">
        <f t="shared" si="28"/>
        <v>30505.467270000001</v>
      </c>
      <c r="AB85" s="104">
        <f t="shared" si="28"/>
        <v>30106.435829999999</v>
      </c>
      <c r="AC85" s="104">
        <f t="shared" si="28"/>
        <v>29714.45048</v>
      </c>
      <c r="AD85" s="104">
        <f t="shared" si="28"/>
        <v>29332.799169999998</v>
      </c>
      <c r="AE85" s="104">
        <f t="shared" si="28"/>
        <v>28965.022239999998</v>
      </c>
      <c r="AF85" s="104">
        <f t="shared" si="28"/>
        <v>28604.418409999998</v>
      </c>
      <c r="AG85" s="104">
        <f t="shared" si="28"/>
        <v>28247.906449999999</v>
      </c>
      <c r="AH85" s="104">
        <f t="shared" si="28"/>
        <v>27823.219120000002</v>
      </c>
      <c r="AI85" s="104">
        <f t="shared" si="28"/>
        <v>27427.590270000001</v>
      </c>
      <c r="AJ85" s="104">
        <f t="shared" si="28"/>
        <v>27049.891609999999</v>
      </c>
      <c r="AK85" s="104">
        <f t="shared" si="28"/>
        <v>26687.180680000001</v>
      </c>
      <c r="AL85" s="104">
        <f t="shared" si="28"/>
        <v>26334.977180000002</v>
      </c>
      <c r="AM85" s="104">
        <f t="shared" si="28"/>
        <v>25975.33439</v>
      </c>
    </row>
    <row r="86" spans="2:39" x14ac:dyDescent="0.25">
      <c r="B86" s="230"/>
      <c r="C86" s="35" t="s">
        <v>8</v>
      </c>
      <c r="D86" s="54" t="s">
        <v>441</v>
      </c>
      <c r="E86" s="111">
        <f t="shared" ref="E86:AM89" si="29">E44/E$43</f>
        <v>0</v>
      </c>
      <c r="F86" s="111">
        <f t="shared" si="29"/>
        <v>0</v>
      </c>
      <c r="G86" s="111">
        <f t="shared" si="29"/>
        <v>0</v>
      </c>
      <c r="H86" s="111">
        <f t="shared" si="29"/>
        <v>0</v>
      </c>
      <c r="I86" s="111">
        <f t="shared" si="29"/>
        <v>0</v>
      </c>
      <c r="J86" s="110">
        <f t="shared" si="29"/>
        <v>0</v>
      </c>
      <c r="K86" s="68">
        <f t="shared" si="29"/>
        <v>0</v>
      </c>
      <c r="L86" s="68">
        <f t="shared" si="29"/>
        <v>0</v>
      </c>
      <c r="M86" s="68">
        <f t="shared" si="29"/>
        <v>0</v>
      </c>
      <c r="N86" s="111">
        <f t="shared" si="29"/>
        <v>0</v>
      </c>
      <c r="O86" s="110">
        <f t="shared" si="29"/>
        <v>0</v>
      </c>
      <c r="P86" s="68">
        <f t="shared" si="29"/>
        <v>0</v>
      </c>
      <c r="Q86" s="68">
        <f t="shared" si="29"/>
        <v>0</v>
      </c>
      <c r="R86" s="68">
        <f t="shared" si="29"/>
        <v>0</v>
      </c>
      <c r="S86" s="111">
        <f t="shared" si="29"/>
        <v>0</v>
      </c>
      <c r="T86" s="111">
        <f t="shared" si="29"/>
        <v>0</v>
      </c>
      <c r="U86" s="111">
        <f t="shared" si="29"/>
        <v>0</v>
      </c>
      <c r="V86" s="111">
        <f t="shared" si="29"/>
        <v>0</v>
      </c>
      <c r="W86" s="111">
        <f t="shared" si="29"/>
        <v>0</v>
      </c>
      <c r="X86" s="116">
        <f t="shared" si="29"/>
        <v>0</v>
      </c>
      <c r="Y86" s="116">
        <f t="shared" si="29"/>
        <v>0</v>
      </c>
      <c r="Z86" s="116">
        <f t="shared" si="29"/>
        <v>0</v>
      </c>
      <c r="AA86" s="116">
        <f t="shared" si="29"/>
        <v>0</v>
      </c>
      <c r="AB86" s="116">
        <f t="shared" si="29"/>
        <v>0</v>
      </c>
      <c r="AC86" s="116">
        <f t="shared" si="29"/>
        <v>0</v>
      </c>
      <c r="AD86" s="116">
        <f t="shared" si="29"/>
        <v>0</v>
      </c>
      <c r="AE86" s="116">
        <f t="shared" si="29"/>
        <v>0</v>
      </c>
      <c r="AF86" s="116">
        <f t="shared" si="29"/>
        <v>0</v>
      </c>
      <c r="AG86" s="116">
        <f t="shared" si="29"/>
        <v>0</v>
      </c>
      <c r="AH86" s="116">
        <f t="shared" si="29"/>
        <v>0</v>
      </c>
      <c r="AI86" s="116">
        <f t="shared" si="29"/>
        <v>0</v>
      </c>
      <c r="AJ86" s="116">
        <f t="shared" si="29"/>
        <v>0</v>
      </c>
      <c r="AK86" s="116">
        <f t="shared" si="29"/>
        <v>0</v>
      </c>
      <c r="AL86" s="116">
        <f t="shared" si="29"/>
        <v>0</v>
      </c>
      <c r="AM86" s="116">
        <f t="shared" si="29"/>
        <v>0</v>
      </c>
    </row>
    <row r="87" spans="2:39" x14ac:dyDescent="0.25">
      <c r="B87" s="230"/>
      <c r="C87" s="35" t="s">
        <v>6</v>
      </c>
      <c r="D87" s="3" t="s">
        <v>424</v>
      </c>
      <c r="E87" s="111">
        <f t="shared" si="29"/>
        <v>0.9999246395525615</v>
      </c>
      <c r="F87" s="111">
        <f t="shared" si="29"/>
        <v>0.99663611188468737</v>
      </c>
      <c r="G87" s="111">
        <f t="shared" si="29"/>
        <v>0.99213006712486973</v>
      </c>
      <c r="H87" s="111">
        <f t="shared" si="29"/>
        <v>0.98967587313345107</v>
      </c>
      <c r="I87" s="111">
        <f t="shared" si="29"/>
        <v>0.98671695092590606</v>
      </c>
      <c r="J87" s="110">
        <f t="shared" si="29"/>
        <v>0.98337027497673613</v>
      </c>
      <c r="K87" s="68">
        <f t="shared" si="29"/>
        <v>0.97899815049078642</v>
      </c>
      <c r="L87" s="68">
        <f t="shared" si="29"/>
        <v>0.97343319454957644</v>
      </c>
      <c r="M87" s="68">
        <f t="shared" si="29"/>
        <v>0.96712319375862987</v>
      </c>
      <c r="N87" s="111">
        <f t="shared" si="29"/>
        <v>0.95999516443415234</v>
      </c>
      <c r="O87" s="110">
        <f t="shared" si="29"/>
        <v>0.95156492112551183</v>
      </c>
      <c r="P87" s="68">
        <f t="shared" si="29"/>
        <v>0.94065218722630373</v>
      </c>
      <c r="Q87" s="68">
        <f t="shared" si="29"/>
        <v>0.92581551613972191</v>
      </c>
      <c r="R87" s="68">
        <f t="shared" si="29"/>
        <v>0.90672246191756467</v>
      </c>
      <c r="S87" s="111">
        <f t="shared" si="29"/>
        <v>0.88330533789193677</v>
      </c>
      <c r="T87" s="111">
        <f t="shared" si="29"/>
        <v>0.85605392384809664</v>
      </c>
      <c r="U87" s="111">
        <f t="shared" si="29"/>
        <v>0.82565815683077737</v>
      </c>
      <c r="V87" s="111">
        <f t="shared" si="29"/>
        <v>0.79331573674470102</v>
      </c>
      <c r="W87" s="111">
        <f t="shared" si="29"/>
        <v>0.76010025147051019</v>
      </c>
      <c r="X87" s="116">
        <f t="shared" si="29"/>
        <v>0.72685556386994377</v>
      </c>
      <c r="Y87" s="116">
        <f t="shared" si="29"/>
        <v>0.69326267142393805</v>
      </c>
      <c r="Z87" s="116">
        <f t="shared" si="29"/>
        <v>0.66002470679795577</v>
      </c>
      <c r="AA87" s="116">
        <f t="shared" si="29"/>
        <v>0.62773791925594058</v>
      </c>
      <c r="AB87" s="116">
        <f t="shared" si="29"/>
        <v>0.59656051986410119</v>
      </c>
      <c r="AC87" s="116">
        <f t="shared" si="29"/>
        <v>0.56669926779679081</v>
      </c>
      <c r="AD87" s="116">
        <f t="shared" si="29"/>
        <v>0.53821616438660536</v>
      </c>
      <c r="AE87" s="116">
        <f t="shared" si="29"/>
        <v>0.5109960177955658</v>
      </c>
      <c r="AF87" s="116">
        <f t="shared" si="29"/>
        <v>0.4851038672105622</v>
      </c>
      <c r="AG87" s="116">
        <f t="shared" si="29"/>
        <v>0.46052753937805546</v>
      </c>
      <c r="AH87" s="116">
        <f t="shared" si="29"/>
        <v>0.4363879663828058</v>
      </c>
      <c r="AI87" s="116">
        <f t="shared" si="29"/>
        <v>0.41317122351777058</v>
      </c>
      <c r="AJ87" s="116">
        <f t="shared" si="29"/>
        <v>0.39101137566443656</v>
      </c>
      <c r="AK87" s="116">
        <f t="shared" si="29"/>
        <v>0.36990417145854876</v>
      </c>
      <c r="AL87" s="116">
        <f t="shared" si="29"/>
        <v>0.3498612756344906</v>
      </c>
      <c r="AM87" s="116">
        <f t="shared" si="29"/>
        <v>0.33105832552094433</v>
      </c>
    </row>
    <row r="88" spans="2:39" x14ac:dyDescent="0.25">
      <c r="B88" s="230"/>
      <c r="C88" s="35" t="s">
        <v>34</v>
      </c>
      <c r="D88" s="3" t="s">
        <v>423</v>
      </c>
      <c r="E88" s="111">
        <f t="shared" si="29"/>
        <v>7.5360400972489787E-5</v>
      </c>
      <c r="F88" s="111">
        <f t="shared" si="29"/>
        <v>3.3638880902507715E-3</v>
      </c>
      <c r="G88" s="111">
        <f t="shared" si="29"/>
        <v>7.8699328151993157E-3</v>
      </c>
      <c r="H88" s="111">
        <f t="shared" si="29"/>
        <v>1.0324126747994463E-2</v>
      </c>
      <c r="I88" s="111">
        <f t="shared" si="29"/>
        <v>1.3283049263808798E-2</v>
      </c>
      <c r="J88" s="110">
        <f t="shared" si="29"/>
        <v>1.6629725020599076E-2</v>
      </c>
      <c r="K88" s="68">
        <f t="shared" si="29"/>
        <v>2.1001849381279976E-2</v>
      </c>
      <c r="L88" s="68">
        <f t="shared" si="29"/>
        <v>2.6566805709190729E-2</v>
      </c>
      <c r="M88" s="68">
        <f t="shared" si="29"/>
        <v>3.2876806375310874E-2</v>
      </c>
      <c r="N88" s="111">
        <f t="shared" si="29"/>
        <v>4.0004835619784518E-2</v>
      </c>
      <c r="O88" s="110">
        <f t="shared" si="29"/>
        <v>4.8435078874488093E-2</v>
      </c>
      <c r="P88" s="68">
        <f t="shared" si="29"/>
        <v>5.934781260829023E-2</v>
      </c>
      <c r="Q88" s="68">
        <f t="shared" si="29"/>
        <v>7.4184483720571584E-2</v>
      </c>
      <c r="R88" s="68">
        <f t="shared" si="29"/>
        <v>9.3277537997337526E-2</v>
      </c>
      <c r="S88" s="111">
        <f t="shared" si="29"/>
        <v>0.11669466222339495</v>
      </c>
      <c r="T88" s="111">
        <f t="shared" si="29"/>
        <v>0.14394607623990488</v>
      </c>
      <c r="U88" s="111">
        <f t="shared" si="29"/>
        <v>0.17434184316922274</v>
      </c>
      <c r="V88" s="111">
        <f t="shared" si="29"/>
        <v>0.20668426337676854</v>
      </c>
      <c r="W88" s="111">
        <f t="shared" si="29"/>
        <v>0.23989974834415917</v>
      </c>
      <c r="X88" s="116">
        <f t="shared" si="29"/>
        <v>0.27314443613005623</v>
      </c>
      <c r="Y88" s="116">
        <f t="shared" si="29"/>
        <v>0.3067373284166186</v>
      </c>
      <c r="Z88" s="116">
        <f t="shared" si="29"/>
        <v>0.33997529287864509</v>
      </c>
      <c r="AA88" s="116">
        <f t="shared" si="29"/>
        <v>0.37226208074405936</v>
      </c>
      <c r="AB88" s="116">
        <f t="shared" si="29"/>
        <v>0.40343948046805383</v>
      </c>
      <c r="AC88" s="116">
        <f t="shared" si="29"/>
        <v>0.43330073220320914</v>
      </c>
      <c r="AD88" s="116">
        <f t="shared" si="29"/>
        <v>0.4617838356133947</v>
      </c>
      <c r="AE88" s="116">
        <f t="shared" si="29"/>
        <v>0.4890039822044342</v>
      </c>
      <c r="AF88" s="116">
        <f t="shared" si="29"/>
        <v>0.51489613278943791</v>
      </c>
      <c r="AG88" s="116">
        <f t="shared" si="29"/>
        <v>0.53947246062194465</v>
      </c>
      <c r="AH88" s="116">
        <f t="shared" si="29"/>
        <v>0.56361203325778209</v>
      </c>
      <c r="AI88" s="116">
        <f t="shared" si="29"/>
        <v>0.58682877648222942</v>
      </c>
      <c r="AJ88" s="116">
        <f t="shared" si="29"/>
        <v>0.60898862433556356</v>
      </c>
      <c r="AK88" s="116">
        <f t="shared" si="29"/>
        <v>0.63009582846650858</v>
      </c>
      <c r="AL88" s="116">
        <f t="shared" si="29"/>
        <v>0.65013872436550946</v>
      </c>
      <c r="AM88" s="116">
        <f t="shared" si="29"/>
        <v>0.66894167440205954</v>
      </c>
    </row>
    <row r="89" spans="2:39" x14ac:dyDescent="0.25">
      <c r="B89" s="230"/>
      <c r="C89" s="35" t="s">
        <v>35</v>
      </c>
      <c r="D89" s="3" t="s">
        <v>442</v>
      </c>
      <c r="E89" s="111">
        <f t="shared" si="29"/>
        <v>7.0669503868701714E-7</v>
      </c>
      <c r="F89" s="111">
        <f t="shared" si="29"/>
        <v>6.9549476761112678E-6</v>
      </c>
      <c r="G89" s="111">
        <f t="shared" si="29"/>
        <v>7.8798635578105483E-6</v>
      </c>
      <c r="H89" s="111">
        <f t="shared" si="29"/>
        <v>8.6025024608235534E-6</v>
      </c>
      <c r="I89" s="111">
        <f t="shared" si="29"/>
        <v>1.0006023345453334E-5</v>
      </c>
      <c r="J89" s="110">
        <f t="shared" si="29"/>
        <v>1.118777510551466E-5</v>
      </c>
      <c r="K89" s="68">
        <f t="shared" si="29"/>
        <v>1.3251120248339732E-5</v>
      </c>
      <c r="L89" s="68">
        <f t="shared" si="29"/>
        <v>1.5720875791112925E-5</v>
      </c>
      <c r="M89" s="68">
        <f t="shared" si="29"/>
        <v>1.805118753833868E-5</v>
      </c>
      <c r="N89" s="111">
        <f t="shared" si="29"/>
        <v>2.0261023467015743E-5</v>
      </c>
      <c r="O89" s="110">
        <f t="shared" si="29"/>
        <v>2.2248120498664504E-5</v>
      </c>
      <c r="P89" s="68">
        <f t="shared" si="29"/>
        <v>2.3940204533419733E-5</v>
      </c>
      <c r="Q89" s="68">
        <f t="shared" si="29"/>
        <v>2.5228254461062274E-5</v>
      </c>
      <c r="R89" s="68">
        <f t="shared" si="29"/>
        <v>2.608105153085755E-5</v>
      </c>
      <c r="S89" s="111">
        <f t="shared" si="29"/>
        <v>2.6474498822800903E-5</v>
      </c>
      <c r="T89" s="111">
        <f t="shared" si="29"/>
        <v>2.6414507364009849E-5</v>
      </c>
      <c r="U89" s="111">
        <f t="shared" si="29"/>
        <v>2.5975314701720596E-5</v>
      </c>
      <c r="V89" s="111">
        <f t="shared" si="29"/>
        <v>2.5264097568977787E-5</v>
      </c>
      <c r="W89" s="111">
        <f t="shared" si="29"/>
        <v>2.438460167677222E-5</v>
      </c>
      <c r="X89" s="116">
        <f t="shared" si="29"/>
        <v>2.3417919069375404E-5</v>
      </c>
      <c r="Y89" s="116">
        <f t="shared" si="29"/>
        <v>2.2391201809043512E-5</v>
      </c>
      <c r="Z89" s="116">
        <f t="shared" si="29"/>
        <v>2.1347936207286358E-5</v>
      </c>
      <c r="AA89" s="116">
        <f t="shared" si="29"/>
        <v>2.0319845453067205E-5</v>
      </c>
      <c r="AB89" s="116">
        <f t="shared" si="29"/>
        <v>1.9319244323182975E-5</v>
      </c>
      <c r="AC89" s="116">
        <f t="shared" si="29"/>
        <v>1.8356740605623342E-5</v>
      </c>
      <c r="AD89" s="116">
        <f t="shared" si="29"/>
        <v>1.7436487801106095E-5</v>
      </c>
      <c r="AE89" s="116">
        <f t="shared" si="29"/>
        <v>1.655589208344416E-5</v>
      </c>
      <c r="AF89" s="116">
        <f t="shared" si="29"/>
        <v>1.5717657466610941E-5</v>
      </c>
      <c r="AG89" s="116">
        <f t="shared" si="29"/>
        <v>1.492170911306597E-5</v>
      </c>
      <c r="AH89" s="116">
        <f t="shared" si="29"/>
        <v>1.4139751378272579E-5</v>
      </c>
      <c r="AI89" s="116">
        <f t="shared" si="29"/>
        <v>1.3387590921599399E-5</v>
      </c>
      <c r="AJ89" s="116">
        <f t="shared" si="29"/>
        <v>1.2669620856199802E-5</v>
      </c>
      <c r="AK89" s="116">
        <f t="shared" si="29"/>
        <v>1.1985729734265807E-5</v>
      </c>
      <c r="AL89" s="116">
        <f t="shared" si="29"/>
        <v>1.1336309405528028E-5</v>
      </c>
      <c r="AM89" s="116">
        <f t="shared" si="29"/>
        <v>1.0727058170510812E-5</v>
      </c>
    </row>
    <row r="90" spans="2:39" x14ac:dyDescent="0.25">
      <c r="B90" s="230"/>
      <c r="C90" s="58" t="s">
        <v>52</v>
      </c>
      <c r="D90" s="58" t="s">
        <v>130</v>
      </c>
      <c r="E90" s="59">
        <f>E43</f>
        <v>32001.800439999999</v>
      </c>
      <c r="F90" s="59">
        <f t="shared" ref="F90:AM90" si="30">F43</f>
        <v>35911.307350000003</v>
      </c>
      <c r="G90" s="59">
        <f t="shared" si="30"/>
        <v>36708.886160000002</v>
      </c>
      <c r="H90" s="59">
        <f t="shared" si="30"/>
        <v>37113.743849999999</v>
      </c>
      <c r="I90" s="59">
        <f t="shared" si="30"/>
        <v>37424.567750000002</v>
      </c>
      <c r="J90" s="59">
        <f t="shared" si="30"/>
        <v>37524.066039999998</v>
      </c>
      <c r="K90" s="59">
        <f t="shared" si="30"/>
        <v>37519.450830000002</v>
      </c>
      <c r="L90" s="59">
        <f t="shared" si="30"/>
        <v>37485.429020000003</v>
      </c>
      <c r="M90" s="59">
        <f t="shared" si="30"/>
        <v>37329.956899999997</v>
      </c>
      <c r="N90" s="59">
        <f t="shared" si="30"/>
        <v>37080.500119999997</v>
      </c>
      <c r="O90" s="59">
        <f t="shared" si="30"/>
        <v>36714.0069</v>
      </c>
      <c r="P90" s="59">
        <f t="shared" si="30"/>
        <v>36274.392760000002</v>
      </c>
      <c r="Q90" s="59">
        <f t="shared" si="30"/>
        <v>35789.356370000001</v>
      </c>
      <c r="R90" s="59">
        <f t="shared" si="30"/>
        <v>35253.540430000001</v>
      </c>
      <c r="S90" s="59">
        <f t="shared" si="30"/>
        <v>34682.527520000003</v>
      </c>
      <c r="T90" s="59">
        <f t="shared" si="30"/>
        <v>34090.323759999999</v>
      </c>
      <c r="U90" s="59">
        <f t="shared" si="30"/>
        <v>33503.832549999999</v>
      </c>
      <c r="V90" s="59">
        <f t="shared" si="30"/>
        <v>32930.057000000001</v>
      </c>
      <c r="W90" s="59">
        <f t="shared" si="30"/>
        <v>32374.559529999999</v>
      </c>
      <c r="X90" s="59">
        <f t="shared" si="30"/>
        <v>31837.927520000001</v>
      </c>
      <c r="Y90" s="59">
        <f t="shared" si="30"/>
        <v>31359.099770000001</v>
      </c>
      <c r="Z90" s="59">
        <f t="shared" si="30"/>
        <v>30921.538329999999</v>
      </c>
      <c r="AA90" s="59">
        <f t="shared" si="30"/>
        <v>30505.467270000001</v>
      </c>
      <c r="AB90" s="59">
        <f t="shared" si="30"/>
        <v>30106.435829999999</v>
      </c>
      <c r="AC90" s="59">
        <f t="shared" si="30"/>
        <v>29714.45048</v>
      </c>
      <c r="AD90" s="59">
        <f t="shared" si="30"/>
        <v>29332.799169999998</v>
      </c>
      <c r="AE90" s="59">
        <f t="shared" si="30"/>
        <v>28965.022239999998</v>
      </c>
      <c r="AF90" s="59">
        <f t="shared" si="30"/>
        <v>28604.418409999998</v>
      </c>
      <c r="AG90" s="59">
        <f t="shared" si="30"/>
        <v>28247.906449999999</v>
      </c>
      <c r="AH90" s="59">
        <f t="shared" si="30"/>
        <v>27823.219120000002</v>
      </c>
      <c r="AI90" s="59">
        <f t="shared" si="30"/>
        <v>27427.590270000001</v>
      </c>
      <c r="AJ90" s="59">
        <f t="shared" si="30"/>
        <v>27049.891609999999</v>
      </c>
      <c r="AK90" s="59">
        <f t="shared" si="30"/>
        <v>26687.180680000001</v>
      </c>
      <c r="AL90" s="59">
        <f t="shared" si="30"/>
        <v>26334.977180000002</v>
      </c>
      <c r="AM90" s="59">
        <f t="shared" si="30"/>
        <v>25975.33439</v>
      </c>
    </row>
    <row r="91" spans="2:39" x14ac:dyDescent="0.25">
      <c r="B91" s="230"/>
      <c r="C91" s="60" t="s">
        <v>45</v>
      </c>
      <c r="D91" s="3" t="s">
        <v>423</v>
      </c>
      <c r="E91" s="128">
        <f t="shared" ref="E91:AM98" si="31">E49/E$48</f>
        <v>7.5360400972489787E-5</v>
      </c>
      <c r="F91" s="128">
        <f t="shared" si="31"/>
        <v>3.3638880902507715E-3</v>
      </c>
      <c r="G91" s="128">
        <f t="shared" si="31"/>
        <v>7.8699328151993157E-3</v>
      </c>
      <c r="H91" s="128">
        <f t="shared" si="31"/>
        <v>1.0324126747994463E-2</v>
      </c>
      <c r="I91" s="128">
        <f t="shared" si="31"/>
        <v>1.3283049263808798E-2</v>
      </c>
      <c r="J91" s="127">
        <f t="shared" si="31"/>
        <v>1.6629725020599076E-2</v>
      </c>
      <c r="K91" s="71">
        <f t="shared" si="31"/>
        <v>2.1001849381279976E-2</v>
      </c>
      <c r="L91" s="71">
        <f t="shared" si="31"/>
        <v>2.6566805709190729E-2</v>
      </c>
      <c r="M91" s="71">
        <f t="shared" si="31"/>
        <v>3.2876806375310874E-2</v>
      </c>
      <c r="N91" s="128">
        <f t="shared" si="31"/>
        <v>4.0004835619784518E-2</v>
      </c>
      <c r="O91" s="127">
        <f t="shared" si="31"/>
        <v>4.8435078874488093E-2</v>
      </c>
      <c r="P91" s="71">
        <f t="shared" si="31"/>
        <v>5.934781260829023E-2</v>
      </c>
      <c r="Q91" s="71">
        <f t="shared" si="31"/>
        <v>7.4184483720571584E-2</v>
      </c>
      <c r="R91" s="71">
        <f t="shared" si="31"/>
        <v>9.3277537997337526E-2</v>
      </c>
      <c r="S91" s="128">
        <f t="shared" si="31"/>
        <v>0.11669466222339495</v>
      </c>
      <c r="T91" s="128">
        <f t="shared" si="31"/>
        <v>0.14394607623990488</v>
      </c>
      <c r="U91" s="128">
        <f t="shared" si="31"/>
        <v>0.17434184316922274</v>
      </c>
      <c r="V91" s="128">
        <f t="shared" si="31"/>
        <v>0.20668426337676854</v>
      </c>
      <c r="W91" s="128">
        <f t="shared" si="31"/>
        <v>0.23989974834415917</v>
      </c>
      <c r="X91" s="120">
        <f t="shared" si="31"/>
        <v>0.27314443613005623</v>
      </c>
      <c r="Y91" s="120">
        <f t="shared" si="31"/>
        <v>0.3067373284166186</v>
      </c>
      <c r="Z91" s="120">
        <f t="shared" si="31"/>
        <v>0.33997529287864509</v>
      </c>
      <c r="AA91" s="120">
        <f t="shared" si="31"/>
        <v>0.37226208074405936</v>
      </c>
      <c r="AB91" s="120">
        <f t="shared" si="31"/>
        <v>0.40343948046805383</v>
      </c>
      <c r="AC91" s="120">
        <f t="shared" si="31"/>
        <v>0.43330073220320914</v>
      </c>
      <c r="AD91" s="120">
        <f t="shared" si="31"/>
        <v>0.4617838356133947</v>
      </c>
      <c r="AE91" s="120">
        <f t="shared" si="31"/>
        <v>0.4890039822044342</v>
      </c>
      <c r="AF91" s="120">
        <f t="shared" si="31"/>
        <v>0.51489613278943791</v>
      </c>
      <c r="AG91" s="120">
        <f t="shared" si="31"/>
        <v>0.53947246062194465</v>
      </c>
      <c r="AH91" s="120">
        <f t="shared" si="31"/>
        <v>0.56361203325778209</v>
      </c>
      <c r="AI91" s="120">
        <f t="shared" si="31"/>
        <v>0.58682877648222942</v>
      </c>
      <c r="AJ91" s="120">
        <f t="shared" si="31"/>
        <v>0.60898862433556356</v>
      </c>
      <c r="AK91" s="120">
        <f t="shared" si="31"/>
        <v>0.63009582846650858</v>
      </c>
      <c r="AL91" s="120">
        <f t="shared" si="31"/>
        <v>0.65013872436550946</v>
      </c>
      <c r="AM91" s="120">
        <f t="shared" si="31"/>
        <v>0.66894167440205954</v>
      </c>
    </row>
    <row r="92" spans="2:39" x14ac:dyDescent="0.25">
      <c r="B92" s="230"/>
      <c r="C92" s="62" t="s">
        <v>27</v>
      </c>
      <c r="D92" s="63" t="s">
        <v>443</v>
      </c>
      <c r="E92" s="111">
        <f t="shared" si="31"/>
        <v>2.2444105679199093E-7</v>
      </c>
      <c r="F92" s="111">
        <f t="shared" si="31"/>
        <v>2.4104155924025415E-5</v>
      </c>
      <c r="G92" s="111">
        <f t="shared" si="31"/>
        <v>4.5670796021777196E-5</v>
      </c>
      <c r="H92" s="111">
        <f t="shared" si="31"/>
        <v>6.093658613748287E-5</v>
      </c>
      <c r="I92" s="111">
        <f t="shared" si="31"/>
        <v>8.7804310552123867E-5</v>
      </c>
      <c r="J92" s="110">
        <f t="shared" si="31"/>
        <v>1.2953559128743076E-4</v>
      </c>
      <c r="K92" s="68">
        <f t="shared" si="31"/>
        <v>2.4131873240960228E-4</v>
      </c>
      <c r="L92" s="68">
        <f t="shared" si="31"/>
        <v>4.2815985436465992E-4</v>
      </c>
      <c r="M92" s="68">
        <f t="shared" si="31"/>
        <v>6.5456025372480407E-4</v>
      </c>
      <c r="N92" s="111">
        <f t="shared" si="31"/>
        <v>9.2574108787397893E-4</v>
      </c>
      <c r="O92" s="110">
        <f t="shared" si="31"/>
        <v>1.2670440191043272E-3</v>
      </c>
      <c r="P92" s="68">
        <f t="shared" si="31"/>
        <v>1.7296708459083243E-3</v>
      </c>
      <c r="Q92" s="68">
        <f t="shared" si="31"/>
        <v>2.3830047578472279E-3</v>
      </c>
      <c r="R92" s="68">
        <f t="shared" si="31"/>
        <v>3.2619912524343305E-3</v>
      </c>
      <c r="S92" s="111">
        <f t="shared" si="31"/>
        <v>4.392530302531999E-3</v>
      </c>
      <c r="T92" s="111">
        <f t="shared" si="31"/>
        <v>5.7778444460276374E-3</v>
      </c>
      <c r="U92" s="111">
        <f t="shared" si="31"/>
        <v>7.4047537406283989E-3</v>
      </c>
      <c r="V92" s="111">
        <f t="shared" si="31"/>
        <v>9.2353053048162045E-3</v>
      </c>
      <c r="W92" s="111">
        <f t="shared" si="31"/>
        <v>1.1228724516333213E-2</v>
      </c>
      <c r="X92" s="116">
        <f t="shared" si="31"/>
        <v>1.3349049655729601E-2</v>
      </c>
      <c r="Y92" s="116">
        <f t="shared" si="31"/>
        <v>1.5617582420797915E-2</v>
      </c>
      <c r="Z92" s="116">
        <f t="shared" si="31"/>
        <v>1.8003733461083596E-2</v>
      </c>
      <c r="AA92" s="116">
        <f t="shared" si="31"/>
        <v>2.0477829946710401E-2</v>
      </c>
      <c r="AB92" s="116">
        <f t="shared" si="31"/>
        <v>2.3028109661162772E-2</v>
      </c>
      <c r="AC92" s="116">
        <f t="shared" si="31"/>
        <v>2.5639279915769791E-2</v>
      </c>
      <c r="AD92" s="116">
        <f t="shared" si="31"/>
        <v>2.8279537567910878E-2</v>
      </c>
      <c r="AE92" s="116">
        <f t="shared" si="31"/>
        <v>3.0948593889289555E-2</v>
      </c>
      <c r="AF92" s="116">
        <f t="shared" si="31"/>
        <v>3.3637670369960161E-2</v>
      </c>
      <c r="AG92" s="116">
        <f t="shared" si="31"/>
        <v>3.6344251380795695E-2</v>
      </c>
      <c r="AH92" s="116">
        <f t="shared" si="31"/>
        <v>3.9586812915126113E-2</v>
      </c>
      <c r="AI92" s="116">
        <f t="shared" si="31"/>
        <v>4.2870212527788353E-2</v>
      </c>
      <c r="AJ92" s="116">
        <f t="shared" si="31"/>
        <v>4.6180181976707008E-2</v>
      </c>
      <c r="AK92" s="116">
        <f t="shared" si="31"/>
        <v>4.9511626868484933E-2</v>
      </c>
      <c r="AL92" s="116">
        <f t="shared" si="31"/>
        <v>5.2857188881756223E-2</v>
      </c>
      <c r="AM92" s="116">
        <f t="shared" si="31"/>
        <v>5.6188091752223258E-2</v>
      </c>
    </row>
    <row r="93" spans="2:39" x14ac:dyDescent="0.25">
      <c r="B93" s="230"/>
      <c r="C93" s="35" t="s">
        <v>28</v>
      </c>
      <c r="D93" s="54" t="s">
        <v>444</v>
      </c>
      <c r="E93" s="111">
        <f t="shared" si="31"/>
        <v>5.1448795922808401E-7</v>
      </c>
      <c r="F93" s="111">
        <f t="shared" si="31"/>
        <v>3.2573766657927031E-5</v>
      </c>
      <c r="G93" s="111">
        <f t="shared" si="31"/>
        <v>6.8884042053974425E-5</v>
      </c>
      <c r="H93" s="111">
        <f t="shared" si="31"/>
        <v>9.1095368596181119E-5</v>
      </c>
      <c r="I93" s="111">
        <f t="shared" si="31"/>
        <v>1.2358415546429391E-4</v>
      </c>
      <c r="J93" s="110">
        <f t="shared" si="31"/>
        <v>1.6790254620285282E-4</v>
      </c>
      <c r="K93" s="68">
        <f t="shared" si="31"/>
        <v>2.6299504056467019E-4</v>
      </c>
      <c r="L93" s="68">
        <f t="shared" si="31"/>
        <v>4.1178876495622402E-4</v>
      </c>
      <c r="M93" s="68">
        <f t="shared" si="31"/>
        <v>5.8923659325200029E-4</v>
      </c>
      <c r="N93" s="111">
        <f t="shared" si="31"/>
        <v>7.9884840668648462E-4</v>
      </c>
      <c r="O93" s="110">
        <f t="shared" si="31"/>
        <v>1.0588061642489912E-3</v>
      </c>
      <c r="P93" s="68">
        <f t="shared" si="31"/>
        <v>1.4072353174245113E-3</v>
      </c>
      <c r="Q93" s="68">
        <f t="shared" si="31"/>
        <v>1.8946995670713147E-3</v>
      </c>
      <c r="R93" s="68">
        <f t="shared" si="31"/>
        <v>2.5436356963367832E-3</v>
      </c>
      <c r="S93" s="111">
        <f t="shared" si="31"/>
        <v>3.369086276443326E-3</v>
      </c>
      <c r="T93" s="111">
        <f t="shared" si="31"/>
        <v>4.3686028548295605E-3</v>
      </c>
      <c r="U93" s="111">
        <f t="shared" si="31"/>
        <v>5.5286271659688085E-3</v>
      </c>
      <c r="V93" s="111">
        <f t="shared" si="31"/>
        <v>6.8172702950377523E-3</v>
      </c>
      <c r="W93" s="111">
        <f t="shared" si="31"/>
        <v>8.2018364498193368E-3</v>
      </c>
      <c r="X93" s="116">
        <f t="shared" si="31"/>
        <v>9.6540444068452351E-3</v>
      </c>
      <c r="Y93" s="116">
        <f t="shared" si="31"/>
        <v>1.1187279694668352E-2</v>
      </c>
      <c r="Z93" s="116">
        <f t="shared" si="31"/>
        <v>1.2777066324565361E-2</v>
      </c>
      <c r="AA93" s="116">
        <f t="shared" si="31"/>
        <v>1.4400169134009792E-2</v>
      </c>
      <c r="AB93" s="116">
        <f t="shared" si="31"/>
        <v>1.6047219140386704E-2</v>
      </c>
      <c r="AC93" s="116">
        <f t="shared" si="31"/>
        <v>1.7706371233556128E-2</v>
      </c>
      <c r="AD93" s="116">
        <f t="shared" si="31"/>
        <v>1.9359929286285025E-2</v>
      </c>
      <c r="AE93" s="116">
        <f t="shared" si="31"/>
        <v>2.1008048630450492E-2</v>
      </c>
      <c r="AF93" s="116">
        <f t="shared" si="31"/>
        <v>2.2644306533900965E-2</v>
      </c>
      <c r="AG93" s="116">
        <f t="shared" si="31"/>
        <v>2.4266305420308415E-2</v>
      </c>
      <c r="AH93" s="116">
        <f t="shared" si="31"/>
        <v>2.6107616795421333E-2</v>
      </c>
      <c r="AI93" s="116">
        <f t="shared" si="31"/>
        <v>2.7944906579647544E-2</v>
      </c>
      <c r="AJ93" s="116">
        <f t="shared" si="31"/>
        <v>2.9767721165371429E-2</v>
      </c>
      <c r="AK93" s="116">
        <f t="shared" si="31"/>
        <v>3.1572346120152243E-2</v>
      </c>
      <c r="AL93" s="116">
        <f t="shared" si="31"/>
        <v>3.3353809650045037E-2</v>
      </c>
      <c r="AM93" s="116">
        <f t="shared" si="31"/>
        <v>3.5094664423297922E-2</v>
      </c>
    </row>
    <row r="94" spans="2:39" x14ac:dyDescent="0.25">
      <c r="B94" s="230"/>
      <c r="C94" s="35" t="s">
        <v>29</v>
      </c>
      <c r="D94" s="54" t="s">
        <v>445</v>
      </c>
      <c r="E94" s="111">
        <f t="shared" si="31"/>
        <v>2.1062929920576682E-6</v>
      </c>
      <c r="F94" s="111">
        <f t="shared" si="31"/>
        <v>9.7912944514396796E-5</v>
      </c>
      <c r="G94" s="111">
        <f t="shared" si="31"/>
        <v>2.2607484786729907E-4</v>
      </c>
      <c r="H94" s="111">
        <f t="shared" si="31"/>
        <v>2.9695690455114245E-4</v>
      </c>
      <c r="I94" s="111">
        <f t="shared" si="31"/>
        <v>3.8456012922153255E-4</v>
      </c>
      <c r="J94" s="110">
        <f t="shared" si="31"/>
        <v>4.8635977456562432E-4</v>
      </c>
      <c r="K94" s="68">
        <f t="shared" si="31"/>
        <v>6.3123014825854258E-4</v>
      </c>
      <c r="L94" s="68">
        <f t="shared" si="31"/>
        <v>8.2279909517759598E-4</v>
      </c>
      <c r="M94" s="68">
        <f t="shared" si="31"/>
        <v>1.0417961396039009E-3</v>
      </c>
      <c r="N94" s="111">
        <f t="shared" si="31"/>
        <v>1.2908984068470543E-3</v>
      </c>
      <c r="O94" s="110">
        <f t="shared" si="31"/>
        <v>1.587523168167188E-3</v>
      </c>
      <c r="P94" s="68">
        <f t="shared" si="31"/>
        <v>1.9730830923494693E-3</v>
      </c>
      <c r="Q94" s="68">
        <f t="shared" si="31"/>
        <v>2.4988162607742365E-3</v>
      </c>
      <c r="R94" s="68">
        <f t="shared" si="31"/>
        <v>3.17789486484209E-3</v>
      </c>
      <c r="S94" s="111">
        <f t="shared" si="31"/>
        <v>4.0140099108901392E-3</v>
      </c>
      <c r="T94" s="111">
        <f t="shared" si="31"/>
        <v>4.9908602364062736E-3</v>
      </c>
      <c r="U94" s="111">
        <f t="shared" si="31"/>
        <v>6.0841753938386377E-3</v>
      </c>
      <c r="V94" s="111">
        <f t="shared" si="31"/>
        <v>7.2511027660838844E-3</v>
      </c>
      <c r="W94" s="111">
        <f t="shared" si="31"/>
        <v>8.4523454920345607E-3</v>
      </c>
      <c r="X94" s="116">
        <f t="shared" si="31"/>
        <v>9.6562088599163945E-3</v>
      </c>
      <c r="Y94" s="116">
        <f t="shared" si="31"/>
        <v>1.087267344728372E-2</v>
      </c>
      <c r="Z94" s="116">
        <f t="shared" si="31"/>
        <v>1.2074489154304634E-2</v>
      </c>
      <c r="AA94" s="116">
        <f t="shared" si="31"/>
        <v>1.3237793124943664E-2</v>
      </c>
      <c r="AB94" s="116">
        <f t="shared" si="31"/>
        <v>1.4354576720415464E-2</v>
      </c>
      <c r="AC94" s="116">
        <f t="shared" si="31"/>
        <v>1.5414927865090373E-2</v>
      </c>
      <c r="AD94" s="116">
        <f t="shared" si="31"/>
        <v>1.6416045185775566E-2</v>
      </c>
      <c r="AE94" s="116">
        <f t="shared" si="31"/>
        <v>1.7360910926750944E-2</v>
      </c>
      <c r="AF94" s="116">
        <f t="shared" si="31"/>
        <v>1.8245617876906171E-2</v>
      </c>
      <c r="AG94" s="116">
        <f t="shared" si="31"/>
        <v>1.9069021353970112E-2</v>
      </c>
      <c r="AH94" s="116">
        <f t="shared" si="31"/>
        <v>1.9799315662363946E-2</v>
      </c>
      <c r="AI94" s="116">
        <f t="shared" si="31"/>
        <v>2.0475028607024614E-2</v>
      </c>
      <c r="AJ94" s="116">
        <f t="shared" si="31"/>
        <v>2.1089424335774629E-2</v>
      </c>
      <c r="AK94" s="116">
        <f t="shared" si="31"/>
        <v>2.164149013060903E-2</v>
      </c>
      <c r="AL94" s="116">
        <f t="shared" si="31"/>
        <v>2.2129808243866494E-2</v>
      </c>
      <c r="AM94" s="116">
        <f t="shared" si="31"/>
        <v>2.2547709742881197E-2</v>
      </c>
    </row>
    <row r="95" spans="2:39" x14ac:dyDescent="0.25">
      <c r="B95" s="230"/>
      <c r="C95" s="35" t="s">
        <v>30</v>
      </c>
      <c r="D95" s="54" t="s">
        <v>446</v>
      </c>
      <c r="E95" s="111">
        <f t="shared" si="31"/>
        <v>4.9480620659729355E-5</v>
      </c>
      <c r="F95" s="111">
        <f t="shared" si="31"/>
        <v>2.2066875972422623E-3</v>
      </c>
      <c r="G95" s="111">
        <f t="shared" si="31"/>
        <v>5.1636192357845155E-3</v>
      </c>
      <c r="H95" s="111">
        <f t="shared" si="31"/>
        <v>6.7751852202321003E-3</v>
      </c>
      <c r="I95" s="111">
        <f t="shared" si="31"/>
        <v>8.7140783129018226E-3</v>
      </c>
      <c r="J95" s="110">
        <f t="shared" si="31"/>
        <v>1.0901121929695869E-2</v>
      </c>
      <c r="K95" s="68">
        <f t="shared" si="31"/>
        <v>1.3727971814772959E-2</v>
      </c>
      <c r="L95" s="68">
        <f t="shared" si="31"/>
        <v>1.7301741848918552E-2</v>
      </c>
      <c r="M95" s="68">
        <f t="shared" si="31"/>
        <v>2.1345823844227372E-2</v>
      </c>
      <c r="N95" s="111">
        <f t="shared" si="31"/>
        <v>2.5905506427673287E-2</v>
      </c>
      <c r="O95" s="110">
        <f t="shared" si="31"/>
        <v>3.1286568696482976E-2</v>
      </c>
      <c r="P95" s="68">
        <f t="shared" si="31"/>
        <v>3.82403328203915E-2</v>
      </c>
      <c r="Q95" s="68">
        <f t="shared" si="31"/>
        <v>4.7680531031578315E-2</v>
      </c>
      <c r="R95" s="68">
        <f t="shared" si="31"/>
        <v>5.9807180336582159E-2</v>
      </c>
      <c r="S95" s="111">
        <f t="shared" si="31"/>
        <v>7.4650317209638009E-2</v>
      </c>
      <c r="T95" s="111">
        <f t="shared" si="31"/>
        <v>9.1884168365551494E-2</v>
      </c>
      <c r="U95" s="111">
        <f t="shared" si="31"/>
        <v>0.11105985897126865</v>
      </c>
      <c r="V95" s="111">
        <f t="shared" si="31"/>
        <v>0.13140675957530229</v>
      </c>
      <c r="W95" s="111">
        <f t="shared" si="31"/>
        <v>0.15223788068631061</v>
      </c>
      <c r="X95" s="116">
        <f t="shared" si="31"/>
        <v>0.17301540329657739</v>
      </c>
      <c r="Y95" s="116">
        <f t="shared" si="31"/>
        <v>0.19393798797177653</v>
      </c>
      <c r="Z95" s="116">
        <f t="shared" si="31"/>
        <v>0.21455781792600095</v>
      </c>
      <c r="AA95" s="116">
        <f t="shared" si="31"/>
        <v>0.23449726115275465</v>
      </c>
      <c r="AB95" s="116">
        <f t="shared" si="31"/>
        <v>0.25365826506737316</v>
      </c>
      <c r="AC95" s="116">
        <f t="shared" si="31"/>
        <v>0.27191271521034033</v>
      </c>
      <c r="AD95" s="116">
        <f t="shared" si="31"/>
        <v>0.28923794128305147</v>
      </c>
      <c r="AE95" s="116">
        <f t="shared" si="31"/>
        <v>0.30571034610743664</v>
      </c>
      <c r="AF95" s="116">
        <f t="shared" si="31"/>
        <v>0.32129196620152506</v>
      </c>
      <c r="AG95" s="116">
        <f t="shared" si="31"/>
        <v>0.33599234944365197</v>
      </c>
      <c r="AH95" s="116">
        <f t="shared" si="31"/>
        <v>0.35009351638963043</v>
      </c>
      <c r="AI95" s="116">
        <f t="shared" si="31"/>
        <v>0.363560567400878</v>
      </c>
      <c r="AJ95" s="116">
        <f t="shared" si="31"/>
        <v>0.37631323248026871</v>
      </c>
      <c r="AK95" s="116">
        <f t="shared" si="31"/>
        <v>0.38835749621791821</v>
      </c>
      <c r="AL95" s="116">
        <f t="shared" si="31"/>
        <v>0.39969014546911408</v>
      </c>
      <c r="AM95" s="116">
        <f t="shared" si="31"/>
        <v>0.41021189371491285</v>
      </c>
    </row>
    <row r="96" spans="2:39" x14ac:dyDescent="0.25">
      <c r="B96" s="230"/>
      <c r="C96" s="35" t="s">
        <v>31</v>
      </c>
      <c r="D96" s="54" t="s">
        <v>447</v>
      </c>
      <c r="E96" s="111">
        <f t="shared" si="31"/>
        <v>1.950220135801834E-5</v>
      </c>
      <c r="F96" s="111">
        <f t="shared" si="31"/>
        <v>8.6211081006495297E-4</v>
      </c>
      <c r="G96" s="111">
        <f t="shared" si="31"/>
        <v>2.0231362955633737E-3</v>
      </c>
      <c r="H96" s="111">
        <f t="shared" si="31"/>
        <v>2.654013221843153E-3</v>
      </c>
      <c r="I96" s="111">
        <f t="shared" si="31"/>
        <v>3.4084193156780013E-3</v>
      </c>
      <c r="J96" s="110">
        <f t="shared" si="31"/>
        <v>4.2531755894969648E-3</v>
      </c>
      <c r="K96" s="68">
        <f t="shared" si="31"/>
        <v>5.3136642965091073E-3</v>
      </c>
      <c r="L96" s="68">
        <f t="shared" si="31"/>
        <v>6.6298387079257708E-3</v>
      </c>
      <c r="M96" s="68">
        <f t="shared" si="31"/>
        <v>8.1112472701515507E-3</v>
      </c>
      <c r="N96" s="111">
        <f t="shared" si="31"/>
        <v>9.7730960188570411E-3</v>
      </c>
      <c r="O96" s="110">
        <f t="shared" si="31"/>
        <v>1.1723117154504865E-2</v>
      </c>
      <c r="P96" s="68">
        <f t="shared" si="31"/>
        <v>1.4231832971419807E-2</v>
      </c>
      <c r="Q96" s="68">
        <f t="shared" si="31"/>
        <v>1.7624531008016E-2</v>
      </c>
      <c r="R96" s="68">
        <f t="shared" si="31"/>
        <v>2.196225328452777E-2</v>
      </c>
      <c r="S96" s="111">
        <f t="shared" si="31"/>
        <v>2.7243679776657752E-2</v>
      </c>
      <c r="T96" s="111">
        <f t="shared" si="31"/>
        <v>3.3338791998612574E-2</v>
      </c>
      <c r="U96" s="111">
        <f t="shared" si="31"/>
        <v>4.0077555694445474E-2</v>
      </c>
      <c r="V96" s="111">
        <f t="shared" si="31"/>
        <v>4.7175819798915018E-2</v>
      </c>
      <c r="W96" s="111">
        <f t="shared" si="31"/>
        <v>5.4384086071301678E-2</v>
      </c>
      <c r="X96" s="116">
        <f t="shared" si="31"/>
        <v>6.1509437753754892E-2</v>
      </c>
      <c r="Y96" s="116">
        <f t="shared" si="31"/>
        <v>6.8620412568686437E-2</v>
      </c>
      <c r="Z96" s="116">
        <f t="shared" si="31"/>
        <v>7.5557263550930204E-2</v>
      </c>
      <c r="AA96" s="116">
        <f t="shared" si="31"/>
        <v>8.2187679369384065E-2</v>
      </c>
      <c r="AB96" s="116">
        <f t="shared" si="31"/>
        <v>8.8480423921372578E-2</v>
      </c>
      <c r="AC96" s="116">
        <f t="shared" si="31"/>
        <v>9.4394366030355739E-2</v>
      </c>
      <c r="AD96" s="116">
        <f t="shared" si="31"/>
        <v>9.9936460786125517E-2</v>
      </c>
      <c r="AE96" s="116">
        <f t="shared" si="31"/>
        <v>0.10513779864441078</v>
      </c>
      <c r="AF96" s="116">
        <f t="shared" si="31"/>
        <v>0.10998903266986577</v>
      </c>
      <c r="AG96" s="116">
        <f t="shared" si="31"/>
        <v>0.11449651621881524</v>
      </c>
      <c r="AH96" s="116">
        <f t="shared" si="31"/>
        <v>0.11857103984882104</v>
      </c>
      <c r="AI96" s="116">
        <f t="shared" si="31"/>
        <v>0.12239478977020608</v>
      </c>
      <c r="AJ96" s="116">
        <f t="shared" si="31"/>
        <v>0.12594521786329629</v>
      </c>
      <c r="AK96" s="116">
        <f t="shared" si="31"/>
        <v>0.12922860849758372</v>
      </c>
      <c r="AL96" s="116">
        <f t="shared" si="31"/>
        <v>0.13224865182890583</v>
      </c>
      <c r="AM96" s="116">
        <f t="shared" si="31"/>
        <v>0.13498131809805741</v>
      </c>
    </row>
    <row r="97" spans="2:40" x14ac:dyDescent="0.25">
      <c r="B97" s="230"/>
      <c r="C97" s="35" t="s">
        <v>32</v>
      </c>
      <c r="D97" s="54" t="s">
        <v>448</v>
      </c>
      <c r="E97" s="111">
        <f t="shared" si="31"/>
        <v>2.6587632861321598E-7</v>
      </c>
      <c r="F97" s="111">
        <f t="shared" si="31"/>
        <v>4.0929071383417622E-6</v>
      </c>
      <c r="G97" s="111">
        <f t="shared" si="31"/>
        <v>1.6277310926723032E-5</v>
      </c>
      <c r="H97" s="111">
        <f t="shared" si="31"/>
        <v>1.8595896121107709E-5</v>
      </c>
      <c r="I97" s="111">
        <f t="shared" si="31"/>
        <v>2.1070068436528569E-5</v>
      </c>
      <c r="J97" s="110">
        <f t="shared" si="31"/>
        <v>2.3992434104563795E-5</v>
      </c>
      <c r="K97" s="68">
        <f t="shared" si="31"/>
        <v>2.789568527381348E-5</v>
      </c>
      <c r="L97" s="68">
        <f t="shared" si="31"/>
        <v>3.2951948858340691E-5</v>
      </c>
      <c r="M97" s="68">
        <f t="shared" si="31"/>
        <v>3.8774156313049484E-5</v>
      </c>
      <c r="N97" s="111">
        <f t="shared" si="31"/>
        <v>4.5423692144096142E-5</v>
      </c>
      <c r="O97" s="110">
        <f t="shared" si="31"/>
        <v>5.3369656581940662E-5</v>
      </c>
      <c r="P97" s="68">
        <f t="shared" si="31"/>
        <v>6.3754711741175951E-5</v>
      </c>
      <c r="Q97" s="68">
        <f t="shared" si="31"/>
        <v>7.7976199156777401E-5</v>
      </c>
      <c r="R97" s="68">
        <f t="shared" si="31"/>
        <v>9.6347189404828807E-5</v>
      </c>
      <c r="S97" s="111">
        <f t="shared" si="31"/>
        <v>1.1891874064315598E-4</v>
      </c>
      <c r="T97" s="111">
        <f t="shared" si="31"/>
        <v>1.4519822844299087E-4</v>
      </c>
      <c r="U97" s="111">
        <f t="shared" si="31"/>
        <v>1.7450090067382454E-4</v>
      </c>
      <c r="V97" s="111">
        <f t="shared" si="31"/>
        <v>2.0565143148704539E-4</v>
      </c>
      <c r="W97" s="111">
        <f t="shared" si="31"/>
        <v>2.3760054100109017E-4</v>
      </c>
      <c r="X97" s="116">
        <f t="shared" si="31"/>
        <v>2.6952668394038731E-4</v>
      </c>
      <c r="Y97" s="116">
        <f t="shared" si="31"/>
        <v>3.0173491689490549E-4</v>
      </c>
      <c r="Z97" s="116">
        <f t="shared" si="31"/>
        <v>3.3354430300104669E-4</v>
      </c>
      <c r="AA97" s="116">
        <f t="shared" si="31"/>
        <v>3.6438042012657223E-4</v>
      </c>
      <c r="AB97" s="116">
        <f t="shared" si="31"/>
        <v>3.9409441180603545E-4</v>
      </c>
      <c r="AC97" s="116">
        <f t="shared" si="31"/>
        <v>4.2249137396802364E-4</v>
      </c>
      <c r="AD97" s="116">
        <f t="shared" si="31"/>
        <v>4.4952459987131877E-4</v>
      </c>
      <c r="AE97" s="116">
        <f t="shared" si="31"/>
        <v>4.7530949556764441E-4</v>
      </c>
      <c r="AF97" s="116">
        <f t="shared" si="31"/>
        <v>4.9978748650250919E-4</v>
      </c>
      <c r="AG97" s="116">
        <f t="shared" si="31"/>
        <v>5.229736131471789E-4</v>
      </c>
      <c r="AH97" s="116">
        <f t="shared" si="31"/>
        <v>5.4558582040883561E-4</v>
      </c>
      <c r="AI97" s="116">
        <f t="shared" si="31"/>
        <v>5.6729318714589358E-4</v>
      </c>
      <c r="AJ97" s="116">
        <f t="shared" si="31"/>
        <v>5.8797157265207979E-4</v>
      </c>
      <c r="AK97" s="116">
        <f t="shared" si="31"/>
        <v>6.0762865528738949E-4</v>
      </c>
      <c r="AL97" s="116">
        <f t="shared" si="31"/>
        <v>6.2625713503656046E-4</v>
      </c>
      <c r="AM97" s="116">
        <f t="shared" si="31"/>
        <v>6.4369613453126365E-4</v>
      </c>
    </row>
    <row r="98" spans="2:40" x14ac:dyDescent="0.25">
      <c r="B98" s="230"/>
      <c r="C98" s="35" t="s">
        <v>33</v>
      </c>
      <c r="D98" s="54" t="s">
        <v>449</v>
      </c>
      <c r="E98" s="111">
        <f t="shared" si="31"/>
        <v>3.2664806093016185E-6</v>
      </c>
      <c r="F98" s="111">
        <f t="shared" si="31"/>
        <v>1.364059087367088E-4</v>
      </c>
      <c r="G98" s="111">
        <f t="shared" si="31"/>
        <v>3.2627028692172117E-4</v>
      </c>
      <c r="H98" s="111">
        <f t="shared" si="31"/>
        <v>4.2734355052137914E-4</v>
      </c>
      <c r="I98" s="111">
        <f t="shared" si="31"/>
        <v>5.4353297186712334E-4</v>
      </c>
      <c r="J98" s="110">
        <f t="shared" si="31"/>
        <v>6.6763715540033735E-4</v>
      </c>
      <c r="K98" s="68">
        <f t="shared" si="31"/>
        <v>7.9677366402433559E-4</v>
      </c>
      <c r="L98" s="68">
        <f t="shared" si="31"/>
        <v>9.3952549192406168E-4</v>
      </c>
      <c r="M98" s="68">
        <f t="shared" si="31"/>
        <v>1.0953681291284855E-3</v>
      </c>
      <c r="N98" s="111">
        <f t="shared" si="31"/>
        <v>1.2653215824533492E-3</v>
      </c>
      <c r="O98" s="110">
        <f t="shared" ref="O98:AM106" si="32">O56/O$48</f>
        <v>1.4586500102226653E-3</v>
      </c>
      <c r="P98" s="68">
        <f t="shared" si="32"/>
        <v>1.7019028497170629E-3</v>
      </c>
      <c r="Q98" s="68">
        <f t="shared" si="32"/>
        <v>2.0249249126130624E-3</v>
      </c>
      <c r="R98" s="68">
        <f t="shared" si="32"/>
        <v>2.4282353660329938E-3</v>
      </c>
      <c r="S98" s="111">
        <f t="shared" si="32"/>
        <v>2.9061200122129966E-3</v>
      </c>
      <c r="T98" s="111">
        <f t="shared" si="32"/>
        <v>3.4406100958661004E-3</v>
      </c>
      <c r="U98" s="111">
        <f t="shared" si="32"/>
        <v>4.0123712921314725E-3</v>
      </c>
      <c r="V98" s="111">
        <f t="shared" si="32"/>
        <v>4.5923541826848342E-3</v>
      </c>
      <c r="W98" s="111">
        <f t="shared" si="32"/>
        <v>5.1572745706480348E-3</v>
      </c>
      <c r="X98" s="116">
        <f t="shared" si="32"/>
        <v>5.6907654804536096E-3</v>
      </c>
      <c r="Y98" s="116">
        <f t="shared" si="32"/>
        <v>6.199657376197697E-3</v>
      </c>
      <c r="Z98" s="116">
        <f t="shared" si="32"/>
        <v>6.6713782832679659E-3</v>
      </c>
      <c r="AA98" s="116">
        <f t="shared" si="32"/>
        <v>7.0969674840191356E-3</v>
      </c>
      <c r="AB98" s="116">
        <f t="shared" si="32"/>
        <v>7.4767914100179293E-3</v>
      </c>
      <c r="AC98" s="116">
        <f t="shared" si="32"/>
        <v>7.8105804634082537E-3</v>
      </c>
      <c r="AD98" s="116">
        <f t="shared" si="32"/>
        <v>8.1043968160778839E-3</v>
      </c>
      <c r="AE98" s="116">
        <f t="shared" si="32"/>
        <v>8.362974472896521E-3</v>
      </c>
      <c r="AF98" s="116">
        <f t="shared" si="32"/>
        <v>8.5877517025174863E-3</v>
      </c>
      <c r="AG98" s="116">
        <f t="shared" si="32"/>
        <v>8.7810433080785007E-3</v>
      </c>
      <c r="AH98" s="116">
        <f t="shared" si="32"/>
        <v>8.908145906159258E-3</v>
      </c>
      <c r="AI98" s="116">
        <f t="shared" si="32"/>
        <v>9.015978559023443E-3</v>
      </c>
      <c r="AJ98" s="116">
        <f t="shared" si="32"/>
        <v>9.1048749751348832E-3</v>
      </c>
      <c r="AK98" s="116">
        <f t="shared" si="32"/>
        <v>9.1766321192381563E-3</v>
      </c>
      <c r="AL98" s="116">
        <f t="shared" si="32"/>
        <v>9.2328632350081267E-3</v>
      </c>
      <c r="AM98" s="116">
        <f t="shared" si="32"/>
        <v>9.2743005569446302E-3</v>
      </c>
    </row>
    <row r="99" spans="2:40" x14ac:dyDescent="0.25">
      <c r="B99" s="230"/>
      <c r="C99" s="64" t="s">
        <v>46</v>
      </c>
      <c r="D99" s="52" t="s">
        <v>424</v>
      </c>
      <c r="E99" s="128">
        <f t="shared" ref="E99:AM106" si="33">E57/E$48</f>
        <v>0.9999246395525615</v>
      </c>
      <c r="F99" s="128">
        <f t="shared" si="33"/>
        <v>0.99663611188468737</v>
      </c>
      <c r="G99" s="128">
        <f t="shared" si="33"/>
        <v>0.99213006712486973</v>
      </c>
      <c r="H99" s="128">
        <f t="shared" si="33"/>
        <v>0.98967587313345107</v>
      </c>
      <c r="I99" s="128">
        <f t="shared" si="33"/>
        <v>0.98671695092590606</v>
      </c>
      <c r="J99" s="127">
        <f t="shared" si="33"/>
        <v>0.98337027497673613</v>
      </c>
      <c r="K99" s="71">
        <f t="shared" si="33"/>
        <v>0.97899815049078642</v>
      </c>
      <c r="L99" s="71">
        <f t="shared" si="33"/>
        <v>0.97343319454957644</v>
      </c>
      <c r="M99" s="71">
        <f t="shared" si="33"/>
        <v>0.96712319375862987</v>
      </c>
      <c r="N99" s="128">
        <f t="shared" si="33"/>
        <v>0.95999516443415234</v>
      </c>
      <c r="O99" s="127">
        <f t="shared" si="33"/>
        <v>0.95156492112551183</v>
      </c>
      <c r="P99" s="71">
        <f t="shared" si="33"/>
        <v>0.94065218722630373</v>
      </c>
      <c r="Q99" s="71">
        <f t="shared" si="33"/>
        <v>0.92581551613972191</v>
      </c>
      <c r="R99" s="71">
        <f t="shared" si="33"/>
        <v>0.90672246191756467</v>
      </c>
      <c r="S99" s="128">
        <f t="shared" si="33"/>
        <v>0.88330533789193677</v>
      </c>
      <c r="T99" s="128">
        <f t="shared" si="32"/>
        <v>0.85605392384809664</v>
      </c>
      <c r="U99" s="128">
        <f t="shared" si="32"/>
        <v>0.82565815683077737</v>
      </c>
      <c r="V99" s="128">
        <f t="shared" si="32"/>
        <v>0.79331573674470102</v>
      </c>
      <c r="W99" s="128">
        <f t="shared" si="32"/>
        <v>0.76010025147051019</v>
      </c>
      <c r="X99" s="120">
        <f t="shared" si="33"/>
        <v>0.72685556386994377</v>
      </c>
      <c r="Y99" s="120">
        <f t="shared" si="32"/>
        <v>0.69326267142393805</v>
      </c>
      <c r="Z99" s="120">
        <f t="shared" si="32"/>
        <v>0.66002470679795577</v>
      </c>
      <c r="AA99" s="120">
        <f t="shared" si="32"/>
        <v>0.62773791925594058</v>
      </c>
      <c r="AB99" s="120">
        <f t="shared" si="32"/>
        <v>0.59656051986410119</v>
      </c>
      <c r="AC99" s="120">
        <f t="shared" si="33"/>
        <v>0.56669926779679081</v>
      </c>
      <c r="AD99" s="120">
        <f t="shared" si="32"/>
        <v>0.53821616438660536</v>
      </c>
      <c r="AE99" s="120">
        <f t="shared" si="32"/>
        <v>0.5109960177955658</v>
      </c>
      <c r="AF99" s="120">
        <f t="shared" si="32"/>
        <v>0.4851038672105622</v>
      </c>
      <c r="AG99" s="120">
        <f t="shared" si="32"/>
        <v>0.46052753937805546</v>
      </c>
      <c r="AH99" s="120">
        <f t="shared" si="33"/>
        <v>0.4363879663828058</v>
      </c>
      <c r="AI99" s="120">
        <f t="shared" si="32"/>
        <v>0.41317122351777058</v>
      </c>
      <c r="AJ99" s="120">
        <f t="shared" si="32"/>
        <v>0.39101137566443656</v>
      </c>
      <c r="AK99" s="120">
        <f t="shared" si="32"/>
        <v>0.36990417145854876</v>
      </c>
      <c r="AL99" s="120">
        <f t="shared" si="32"/>
        <v>0.3498612756344906</v>
      </c>
      <c r="AM99" s="120">
        <f t="shared" si="33"/>
        <v>0.33105832552094433</v>
      </c>
      <c r="AN99" s="232"/>
    </row>
    <row r="100" spans="2:40" x14ac:dyDescent="0.25">
      <c r="B100" s="230"/>
      <c r="C100" s="35" t="s">
        <v>27</v>
      </c>
      <c r="D100" s="54" t="s">
        <v>450</v>
      </c>
      <c r="E100" s="130">
        <f t="shared" si="33"/>
        <v>5.806258421252752E-4</v>
      </c>
      <c r="F100" s="130">
        <f t="shared" si="33"/>
        <v>6.0565197663292525E-3</v>
      </c>
      <c r="G100" s="130">
        <f t="shared" si="33"/>
        <v>6.864984450947448E-3</v>
      </c>
      <c r="H100" s="130">
        <f t="shared" si="33"/>
        <v>7.5015444177561732E-3</v>
      </c>
      <c r="I100" s="130">
        <f t="shared" si="33"/>
        <v>8.7408252510812225E-3</v>
      </c>
      <c r="J100" s="129">
        <f t="shared" si="33"/>
        <v>9.7844825267235352E-3</v>
      </c>
      <c r="K100" s="72">
        <f t="shared" si="33"/>
        <v>1.1608234717331016E-2</v>
      </c>
      <c r="L100" s="72">
        <f t="shared" si="33"/>
        <v>1.3791822777969634E-2</v>
      </c>
      <c r="M100" s="72">
        <f t="shared" si="33"/>
        <v>1.585245685885054E-2</v>
      </c>
      <c r="N100" s="130">
        <f t="shared" si="33"/>
        <v>1.78068772255815E-2</v>
      </c>
      <c r="O100" s="129">
        <f t="shared" si="33"/>
        <v>1.9564647575963712E-2</v>
      </c>
      <c r="P100" s="72">
        <f t="shared" si="33"/>
        <v>2.1061951453050318E-2</v>
      </c>
      <c r="Q100" s="72">
        <f t="shared" si="33"/>
        <v>2.2202523646557549E-2</v>
      </c>
      <c r="R100" s="72">
        <f t="shared" si="33"/>
        <v>2.2958801392079075E-2</v>
      </c>
      <c r="S100" s="130">
        <f t="shared" si="33"/>
        <v>2.3309446266100736E-2</v>
      </c>
      <c r="T100" s="130">
        <f t="shared" si="32"/>
        <v>2.3259579750028167E-2</v>
      </c>
      <c r="U100" s="130">
        <f t="shared" si="32"/>
        <v>2.2874749151645939E-2</v>
      </c>
      <c r="V100" s="130">
        <f t="shared" si="32"/>
        <v>2.2249583427687354E-2</v>
      </c>
      <c r="W100" s="130">
        <f t="shared" si="32"/>
        <v>2.1475698838643011E-2</v>
      </c>
      <c r="X100" s="121">
        <f t="shared" si="33"/>
        <v>2.0624709098527403E-2</v>
      </c>
      <c r="Y100" s="121">
        <f t="shared" si="32"/>
        <v>1.9720664015732362E-2</v>
      </c>
      <c r="Z100" s="121">
        <f t="shared" si="32"/>
        <v>1.8801939848378819E-2</v>
      </c>
      <c r="AA100" s="121">
        <f t="shared" si="32"/>
        <v>1.7896522412456067E-2</v>
      </c>
      <c r="AB100" s="121">
        <f t="shared" si="32"/>
        <v>1.7015284565486209E-2</v>
      </c>
      <c r="AC100" s="121">
        <f t="shared" si="33"/>
        <v>1.6167583655075556E-2</v>
      </c>
      <c r="AD100" s="121">
        <f t="shared" si="32"/>
        <v>1.5357085912234131E-2</v>
      </c>
      <c r="AE100" s="121">
        <f t="shared" si="32"/>
        <v>1.4581511124018388E-2</v>
      </c>
      <c r="AF100" s="121">
        <f t="shared" si="32"/>
        <v>1.3843243104064217E-2</v>
      </c>
      <c r="AG100" s="121">
        <f t="shared" si="32"/>
        <v>1.3142217142962822E-2</v>
      </c>
      <c r="AH100" s="121">
        <f t="shared" si="33"/>
        <v>1.2453512737170292E-2</v>
      </c>
      <c r="AI100" s="121">
        <f t="shared" si="32"/>
        <v>1.1791051718959488E-2</v>
      </c>
      <c r="AJ100" s="121">
        <f t="shared" si="32"/>
        <v>1.1158703496926877E-2</v>
      </c>
      <c r="AK100" s="121">
        <f t="shared" si="32"/>
        <v>1.0556370014428964E-2</v>
      </c>
      <c r="AL100" s="121">
        <f t="shared" si="32"/>
        <v>9.9843964474625752E-3</v>
      </c>
      <c r="AM100" s="121">
        <f t="shared" si="33"/>
        <v>9.447801576501668E-3</v>
      </c>
    </row>
    <row r="101" spans="2:40" x14ac:dyDescent="0.25">
      <c r="B101" s="230"/>
      <c r="C101" s="35" t="s">
        <v>28</v>
      </c>
      <c r="D101" s="54" t="s">
        <v>451</v>
      </c>
      <c r="E101" s="130">
        <f t="shared" si="33"/>
        <v>5.070879699542305E-2</v>
      </c>
      <c r="F101" s="130">
        <f t="shared" si="33"/>
        <v>0.1123420594154448</v>
      </c>
      <c r="G101" s="130">
        <f t="shared" si="33"/>
        <v>0.12386127057035172</v>
      </c>
      <c r="H101" s="130">
        <f t="shared" si="33"/>
        <v>0.12732002268749829</v>
      </c>
      <c r="I101" s="130">
        <f t="shared" si="33"/>
        <v>0.13071174023112128</v>
      </c>
      <c r="J101" s="129">
        <f t="shared" si="33"/>
        <v>0.1333481951733608</v>
      </c>
      <c r="K101" s="72">
        <f t="shared" si="33"/>
        <v>0.1362332968080919</v>
      </c>
      <c r="L101" s="72">
        <f t="shared" si="33"/>
        <v>0.13898922421883486</v>
      </c>
      <c r="M101" s="72">
        <f t="shared" si="33"/>
        <v>0.14121374061913264</v>
      </c>
      <c r="N101" s="130">
        <f t="shared" si="33"/>
        <v>0.14296180865534672</v>
      </c>
      <c r="O101" s="129">
        <f t="shared" si="33"/>
        <v>0.14414452923687826</v>
      </c>
      <c r="P101" s="72">
        <f t="shared" si="33"/>
        <v>0.14458710941630107</v>
      </c>
      <c r="Q101" s="72">
        <f t="shared" si="33"/>
        <v>0.14402806671652921</v>
      </c>
      <c r="R101" s="72">
        <f t="shared" si="33"/>
        <v>0.14238883728478899</v>
      </c>
      <c r="S101" s="130">
        <f t="shared" si="33"/>
        <v>0.13968046844931903</v>
      </c>
      <c r="T101" s="130">
        <f t="shared" si="32"/>
        <v>0.13602778350380795</v>
      </c>
      <c r="U101" s="130">
        <f t="shared" si="32"/>
        <v>0.13161352753955308</v>
      </c>
      <c r="V101" s="130">
        <f t="shared" si="32"/>
        <v>0.12670342587017083</v>
      </c>
      <c r="W101" s="130">
        <f t="shared" si="32"/>
        <v>0.12153589920980773</v>
      </c>
      <c r="X101" s="121">
        <f t="shared" si="33"/>
        <v>0.1162944165782811</v>
      </c>
      <c r="Y101" s="121">
        <f t="shared" si="32"/>
        <v>0.11095976445499857</v>
      </c>
      <c r="Z101" s="121">
        <f t="shared" si="32"/>
        <v>0.10566108076939264</v>
      </c>
      <c r="AA101" s="121">
        <f t="shared" si="32"/>
        <v>0.10050340972862599</v>
      </c>
      <c r="AB101" s="121">
        <f t="shared" si="32"/>
        <v>9.5517463184216458E-2</v>
      </c>
      <c r="AC101" s="121">
        <f t="shared" si="33"/>
        <v>9.0739179134905548E-2</v>
      </c>
      <c r="AD101" s="121">
        <f t="shared" si="32"/>
        <v>8.6179976256251706E-2</v>
      </c>
      <c r="AE101" s="121">
        <f t="shared" si="32"/>
        <v>8.182219527962635E-2</v>
      </c>
      <c r="AF101" s="121">
        <f t="shared" si="32"/>
        <v>7.7676646144402409E-2</v>
      </c>
      <c r="AG101" s="121">
        <f t="shared" si="32"/>
        <v>7.3741583564328181E-2</v>
      </c>
      <c r="AH101" s="121">
        <f t="shared" si="33"/>
        <v>6.9876357498923361E-2</v>
      </c>
      <c r="AI101" s="121">
        <f t="shared" si="32"/>
        <v>6.6158842980265947E-2</v>
      </c>
      <c r="AJ101" s="121">
        <f t="shared" si="32"/>
        <v>6.2610534578774232E-2</v>
      </c>
      <c r="AK101" s="121">
        <f t="shared" si="32"/>
        <v>5.9230765660631034E-2</v>
      </c>
      <c r="AL101" s="121">
        <f t="shared" si="32"/>
        <v>5.6021411255310606E-2</v>
      </c>
      <c r="AM101" s="121">
        <f t="shared" si="33"/>
        <v>5.3010598990791281E-2</v>
      </c>
    </row>
    <row r="102" spans="2:40" x14ac:dyDescent="0.25">
      <c r="B102" s="230"/>
      <c r="C102" s="35" t="s">
        <v>29</v>
      </c>
      <c r="D102" s="54" t="s">
        <v>452</v>
      </c>
      <c r="E102" s="130">
        <f t="shared" si="33"/>
        <v>0.1200243797595533</v>
      </c>
      <c r="F102" s="130">
        <f t="shared" si="33"/>
        <v>0.19498580209723274</v>
      </c>
      <c r="G102" s="130">
        <f t="shared" si="33"/>
        <v>0.20914964838584468</v>
      </c>
      <c r="H102" s="130">
        <f t="shared" si="33"/>
        <v>0.21321323712266771</v>
      </c>
      <c r="I102" s="130">
        <f t="shared" si="33"/>
        <v>0.21686536815111243</v>
      </c>
      <c r="J102" s="129">
        <f t="shared" si="33"/>
        <v>0.21971923845382935</v>
      </c>
      <c r="K102" s="72">
        <f t="shared" si="33"/>
        <v>0.22241342131606034</v>
      </c>
      <c r="L102" s="72">
        <f t="shared" si="33"/>
        <v>0.22468187197501091</v>
      </c>
      <c r="M102" s="72">
        <f t="shared" si="33"/>
        <v>0.22628703104663886</v>
      </c>
      <c r="N102" s="130">
        <f t="shared" si="33"/>
        <v>0.22729275454011866</v>
      </c>
      <c r="O102" s="129">
        <f t="shared" si="33"/>
        <v>0.2275791875225692</v>
      </c>
      <c r="P102" s="72">
        <f t="shared" si="33"/>
        <v>0.22689110683268651</v>
      </c>
      <c r="Q102" s="72">
        <f t="shared" si="33"/>
        <v>0.22486131512959645</v>
      </c>
      <c r="R102" s="72">
        <f t="shared" si="33"/>
        <v>0.22139333663515393</v>
      </c>
      <c r="S102" s="130">
        <f t="shared" si="33"/>
        <v>0.21650401357484456</v>
      </c>
      <c r="T102" s="130">
        <f t="shared" si="32"/>
        <v>0.21037175371196884</v>
      </c>
      <c r="U102" s="130">
        <f t="shared" si="32"/>
        <v>0.20324017113080992</v>
      </c>
      <c r="V102" s="130">
        <f t="shared" si="32"/>
        <v>0.19547329386645154</v>
      </c>
      <c r="W102" s="130">
        <f t="shared" si="32"/>
        <v>0.18739475199278488</v>
      </c>
      <c r="X102" s="121">
        <f t="shared" si="33"/>
        <v>0.17925398000277876</v>
      </c>
      <c r="Y102" s="121">
        <f t="shared" si="32"/>
        <v>0.1709985467162535</v>
      </c>
      <c r="Z102" s="121">
        <f t="shared" si="32"/>
        <v>0.1628150767038504</v>
      </c>
      <c r="AA102" s="121">
        <f t="shared" si="32"/>
        <v>0.15485806216926046</v>
      </c>
      <c r="AB102" s="121">
        <f t="shared" si="32"/>
        <v>0.14717057917513046</v>
      </c>
      <c r="AC102" s="121">
        <f t="shared" si="33"/>
        <v>0.13980570025335365</v>
      </c>
      <c r="AD102" s="121">
        <f t="shared" si="32"/>
        <v>0.13277977336657981</v>
      </c>
      <c r="AE102" s="121">
        <f t="shared" si="32"/>
        <v>0.12606491352723367</v>
      </c>
      <c r="AF102" s="121">
        <f t="shared" si="32"/>
        <v>0.11967742503735808</v>
      </c>
      <c r="AG102" s="121">
        <f t="shared" si="32"/>
        <v>0.11361443339812534</v>
      </c>
      <c r="AH102" s="121">
        <f t="shared" si="33"/>
        <v>0.10765912999070684</v>
      </c>
      <c r="AI102" s="121">
        <f t="shared" si="32"/>
        <v>0.10193146541415066</v>
      </c>
      <c r="AJ102" s="121">
        <f t="shared" si="32"/>
        <v>9.646452856895571E-2</v>
      </c>
      <c r="AK102" s="121">
        <f t="shared" si="32"/>
        <v>9.1257277649607449E-2</v>
      </c>
      <c r="AL102" s="121">
        <f t="shared" si="32"/>
        <v>8.6312593911273702E-2</v>
      </c>
      <c r="AM102" s="121">
        <f t="shared" si="33"/>
        <v>8.1673809705284803E-2</v>
      </c>
    </row>
    <row r="103" spans="2:40" x14ac:dyDescent="0.25">
      <c r="B103" s="230"/>
      <c r="C103" s="35" t="s">
        <v>30</v>
      </c>
      <c r="D103" s="54" t="s">
        <v>453</v>
      </c>
      <c r="E103" s="130">
        <f t="shared" si="33"/>
        <v>0.16803384356708401</v>
      </c>
      <c r="F103" s="130">
        <f t="shared" si="33"/>
        <v>0.21826149737764977</v>
      </c>
      <c r="G103" s="130">
        <f t="shared" si="33"/>
        <v>0.22697691855001217</v>
      </c>
      <c r="H103" s="130">
        <f t="shared" si="33"/>
        <v>0.2293281877301096</v>
      </c>
      <c r="I103" s="130">
        <f t="shared" si="33"/>
        <v>0.23110726437181092</v>
      </c>
      <c r="J103" s="129">
        <f t="shared" si="33"/>
        <v>0.23269608308684236</v>
      </c>
      <c r="K103" s="72">
        <f t="shared" si="33"/>
        <v>0.23387705485773497</v>
      </c>
      <c r="L103" s="72">
        <f t="shared" si="33"/>
        <v>0.23454867224032641</v>
      </c>
      <c r="M103" s="72">
        <f t="shared" si="33"/>
        <v>0.23471057688255731</v>
      </c>
      <c r="N103" s="130">
        <f t="shared" si="33"/>
        <v>0.23440133549633474</v>
      </c>
      <c r="O103" s="129">
        <f t="shared" si="33"/>
        <v>0.23351369825558324</v>
      </c>
      <c r="P103" s="72">
        <f t="shared" si="33"/>
        <v>0.23178997447674984</v>
      </c>
      <c r="Q103" s="72">
        <f t="shared" si="33"/>
        <v>0.22887885636485952</v>
      </c>
      <c r="R103" s="72">
        <f t="shared" si="33"/>
        <v>0.22469533795417437</v>
      </c>
      <c r="S103" s="130">
        <f t="shared" si="33"/>
        <v>0.2192514202321319</v>
      </c>
      <c r="T103" s="130">
        <f t="shared" si="32"/>
        <v>0.21271171960849691</v>
      </c>
      <c r="U103" s="130">
        <f t="shared" si="32"/>
        <v>0.2052901038630579</v>
      </c>
      <c r="V103" s="130">
        <f t="shared" si="32"/>
        <v>0.1973190946496084</v>
      </c>
      <c r="W103" s="130">
        <f t="shared" si="32"/>
        <v>0.18909297318245247</v>
      </c>
      <c r="X103" s="121">
        <f t="shared" si="33"/>
        <v>0.18083948266994485</v>
      </c>
      <c r="Y103" s="121">
        <f t="shared" si="32"/>
        <v>0.17248975584990142</v>
      </c>
      <c r="Z103" s="121">
        <f t="shared" si="32"/>
        <v>0.16422355245739162</v>
      </c>
      <c r="AA103" s="121">
        <f t="shared" si="32"/>
        <v>0.15619173343021539</v>
      </c>
      <c r="AB103" s="121">
        <f t="shared" si="32"/>
        <v>0.14843492850611539</v>
      </c>
      <c r="AC103" s="121">
        <f t="shared" si="33"/>
        <v>0.14100516544366531</v>
      </c>
      <c r="AD103" s="121">
        <f t="shared" si="32"/>
        <v>0.13391813148257409</v>
      </c>
      <c r="AE103" s="121">
        <f t="shared" si="32"/>
        <v>0.12714527796613218</v>
      </c>
      <c r="AF103" s="121">
        <f t="shared" si="32"/>
        <v>0.1207028320769134</v>
      </c>
      <c r="AG103" s="121">
        <f t="shared" si="32"/>
        <v>0.11458778135397005</v>
      </c>
      <c r="AH103" s="121">
        <f t="shared" si="33"/>
        <v>0.10858139696094229</v>
      </c>
      <c r="AI103" s="121">
        <f t="shared" si="32"/>
        <v>0.10280463450280351</v>
      </c>
      <c r="AJ103" s="121">
        <f t="shared" si="32"/>
        <v>9.7290850438272805E-2</v>
      </c>
      <c r="AK103" s="121">
        <f t="shared" si="32"/>
        <v>9.2038985588342032E-2</v>
      </c>
      <c r="AL103" s="121">
        <f t="shared" si="32"/>
        <v>8.7051941580607806E-2</v>
      </c>
      <c r="AM103" s="121">
        <f t="shared" si="33"/>
        <v>8.2373419755617627E-2</v>
      </c>
    </row>
    <row r="104" spans="2:40" x14ac:dyDescent="0.25">
      <c r="B104" s="230"/>
      <c r="C104" s="35" t="s">
        <v>31</v>
      </c>
      <c r="D104" s="54" t="s">
        <v>454</v>
      </c>
      <c r="E104" s="130">
        <f t="shared" si="33"/>
        <v>0.4362143910050581</v>
      </c>
      <c r="F104" s="130">
        <f t="shared" si="33"/>
        <v>0.31461012488034634</v>
      </c>
      <c r="G104" s="130">
        <f t="shared" si="33"/>
        <v>0.28997111472150422</v>
      </c>
      <c r="H104" s="130">
        <f t="shared" si="33"/>
        <v>0.28197665054478194</v>
      </c>
      <c r="I104" s="130">
        <f t="shared" si="33"/>
        <v>0.27405139528966238</v>
      </c>
      <c r="J104" s="129">
        <f t="shared" si="33"/>
        <v>0.26765679948686077</v>
      </c>
      <c r="K104" s="72">
        <f t="shared" si="33"/>
        <v>0.26033371040681619</v>
      </c>
      <c r="L104" s="72">
        <f t="shared" si="33"/>
        <v>0.25263161685964347</v>
      </c>
      <c r="M104" s="72">
        <f t="shared" si="33"/>
        <v>0.24546477078841714</v>
      </c>
      <c r="N104" s="130">
        <f t="shared" si="33"/>
        <v>0.23869634091655803</v>
      </c>
      <c r="O104" s="129">
        <f t="shared" si="33"/>
        <v>0.23226139653528258</v>
      </c>
      <c r="P104" s="72">
        <f t="shared" si="33"/>
        <v>0.22586508778265735</v>
      </c>
      <c r="Q104" s="72">
        <f t="shared" si="33"/>
        <v>0.21923282198438709</v>
      </c>
      <c r="R104" s="72">
        <f t="shared" si="33"/>
        <v>0.2123240560437521</v>
      </c>
      <c r="S104" s="130">
        <f t="shared" si="33"/>
        <v>0.20509163324092128</v>
      </c>
      <c r="T104" s="130">
        <f t="shared" si="32"/>
        <v>0.19757597359351101</v>
      </c>
      <c r="U104" s="130">
        <f t="shared" si="32"/>
        <v>0.18980680271457481</v>
      </c>
      <c r="V104" s="130">
        <f t="shared" si="32"/>
        <v>0.18192574495088179</v>
      </c>
      <c r="W104" s="130">
        <f t="shared" si="32"/>
        <v>0.17405846074224568</v>
      </c>
      <c r="X104" s="121">
        <f t="shared" si="33"/>
        <v>0.16631043187951827</v>
      </c>
      <c r="Y104" s="121">
        <f t="shared" si="32"/>
        <v>0.15855099038131604</v>
      </c>
      <c r="Z104" s="121">
        <f t="shared" si="32"/>
        <v>0.15091071437647974</v>
      </c>
      <c r="AA104" s="121">
        <f t="shared" si="32"/>
        <v>0.1435084498543398</v>
      </c>
      <c r="AB104" s="121">
        <f t="shared" si="32"/>
        <v>0.13637055376408533</v>
      </c>
      <c r="AC104" s="121">
        <f t="shared" si="33"/>
        <v>0.12953912348440644</v>
      </c>
      <c r="AD104" s="121">
        <f t="shared" si="32"/>
        <v>0.1230256019579191</v>
      </c>
      <c r="AE104" s="121">
        <f t="shared" si="32"/>
        <v>0.11680223574376929</v>
      </c>
      <c r="AF104" s="121">
        <f t="shared" si="32"/>
        <v>0.11088317198196096</v>
      </c>
      <c r="AG104" s="121">
        <f t="shared" si="32"/>
        <v>0.10526525614431861</v>
      </c>
      <c r="AH104" s="121">
        <f t="shared" si="33"/>
        <v>9.9747353928757027E-2</v>
      </c>
      <c r="AI104" s="121">
        <f t="shared" si="32"/>
        <v>9.4440490706659511E-2</v>
      </c>
      <c r="AJ104" s="121">
        <f t="shared" si="32"/>
        <v>8.9375260383899188E-2</v>
      </c>
      <c r="AK104" s="121">
        <f t="shared" si="32"/>
        <v>8.4550664795064442E-2</v>
      </c>
      <c r="AL104" s="121">
        <f t="shared" si="32"/>
        <v>7.9969356897692204E-2</v>
      </c>
      <c r="AM104" s="121">
        <f t="shared" si="33"/>
        <v>7.567147608142881E-2</v>
      </c>
    </row>
    <row r="105" spans="2:40" x14ac:dyDescent="0.25">
      <c r="B105" s="230"/>
      <c r="C105" s="35" t="s">
        <v>32</v>
      </c>
      <c r="D105" s="54" t="s">
        <v>455</v>
      </c>
      <c r="E105" s="130">
        <f t="shared" si="33"/>
        <v>0.15386468112104759</v>
      </c>
      <c r="F105" s="130">
        <f t="shared" si="33"/>
        <v>0.10745609234969832</v>
      </c>
      <c r="G105" s="130">
        <f t="shared" si="33"/>
        <v>9.779986903857614E-2</v>
      </c>
      <c r="H105" s="130">
        <f t="shared" si="33"/>
        <v>9.4634586884987631E-2</v>
      </c>
      <c r="I105" s="130">
        <f t="shared" si="33"/>
        <v>9.1310795460022368E-2</v>
      </c>
      <c r="J105" s="129">
        <f t="shared" si="33"/>
        <v>8.7918414104784473E-2</v>
      </c>
      <c r="K105" s="72">
        <f t="shared" si="33"/>
        <v>8.4073127383778395E-2</v>
      </c>
      <c r="L105" s="72">
        <f t="shared" si="33"/>
        <v>8.0096386342492484E-2</v>
      </c>
      <c r="M105" s="72">
        <f t="shared" si="33"/>
        <v>7.647640257521969E-2</v>
      </c>
      <c r="N105" s="130">
        <f t="shared" si="33"/>
        <v>7.3141317167326275E-2</v>
      </c>
      <c r="O105" s="129">
        <f t="shared" si="33"/>
        <v>7.0082789655955532E-2</v>
      </c>
      <c r="P105" s="72">
        <f t="shared" si="33"/>
        <v>6.7207644746249365E-2</v>
      </c>
      <c r="Q105" s="72">
        <f t="shared" si="33"/>
        <v>6.4450175497805406E-2</v>
      </c>
      <c r="R105" s="72">
        <f t="shared" si="33"/>
        <v>6.1808038268569433E-2</v>
      </c>
      <c r="S105" s="130">
        <f t="shared" si="33"/>
        <v>5.9256161501346077E-2</v>
      </c>
      <c r="T105" s="130">
        <f t="shared" si="32"/>
        <v>5.6782554505137972E-2</v>
      </c>
      <c r="U105" s="130">
        <f t="shared" si="32"/>
        <v>5.4359247775072825E-2</v>
      </c>
      <c r="V105" s="130">
        <f t="shared" si="32"/>
        <v>5.1990578303584473E-2</v>
      </c>
      <c r="W105" s="130">
        <f t="shared" si="32"/>
        <v>4.9680471065856074E-2</v>
      </c>
      <c r="X105" s="121">
        <f t="shared" si="33"/>
        <v>4.7436104094755467E-2</v>
      </c>
      <c r="Y105" s="121">
        <f t="shared" si="32"/>
        <v>4.5205375677147504E-2</v>
      </c>
      <c r="Z105" s="121">
        <f t="shared" si="32"/>
        <v>4.301789208557788E-2</v>
      </c>
      <c r="AA105" s="121">
        <f t="shared" si="32"/>
        <v>4.0903186860117222E-2</v>
      </c>
      <c r="AB105" s="121">
        <f t="shared" si="32"/>
        <v>3.8866368859046714E-2</v>
      </c>
      <c r="AC105" s="121">
        <f t="shared" si="33"/>
        <v>3.6918191663627226E-2</v>
      </c>
      <c r="AD105" s="121">
        <f t="shared" si="32"/>
        <v>3.5061271174277778E-2</v>
      </c>
      <c r="AE105" s="121">
        <f t="shared" si="32"/>
        <v>3.3287368668700877E-2</v>
      </c>
      <c r="AF105" s="121">
        <f t="shared" si="32"/>
        <v>3.160035296099558E-2</v>
      </c>
      <c r="AG105" s="121">
        <f t="shared" si="32"/>
        <v>2.9999242552716684E-2</v>
      </c>
      <c r="AH105" s="121">
        <f t="shared" si="33"/>
        <v>2.8426674785142544E-2</v>
      </c>
      <c r="AI105" s="121">
        <f t="shared" si="32"/>
        <v>2.6914270595161549E-2</v>
      </c>
      <c r="AJ105" s="121">
        <f t="shared" si="32"/>
        <v>2.5470738823415197E-2</v>
      </c>
      <c r="AK105" s="121">
        <f t="shared" si="32"/>
        <v>2.4095789840472576E-2</v>
      </c>
      <c r="AL105" s="121">
        <f t="shared" si="32"/>
        <v>2.2790177109240237E-2</v>
      </c>
      <c r="AM105" s="121">
        <f t="shared" si="33"/>
        <v>2.1565338516514092E-2</v>
      </c>
    </row>
    <row r="106" spans="2:40" x14ac:dyDescent="0.25">
      <c r="B106" s="230"/>
      <c r="C106" s="56" t="s">
        <v>33</v>
      </c>
      <c r="D106" s="66" t="s">
        <v>456</v>
      </c>
      <c r="E106" s="132">
        <f t="shared" si="33"/>
        <v>7.0497921241333764E-2</v>
      </c>
      <c r="F106" s="132">
        <f t="shared" si="33"/>
        <v>4.2924016215187995E-2</v>
      </c>
      <c r="G106" s="132">
        <f t="shared" si="33"/>
        <v>3.750626148118464E-2</v>
      </c>
      <c r="H106" s="132">
        <f t="shared" si="33"/>
        <v>3.570164382648236E-2</v>
      </c>
      <c r="I106" s="132">
        <f t="shared" si="33"/>
        <v>3.392956221919223E-2</v>
      </c>
      <c r="J106" s="131">
        <f t="shared" si="33"/>
        <v>3.2247062264257761E-2</v>
      </c>
      <c r="K106" s="73">
        <f t="shared" si="33"/>
        <v>3.0459305099589058E-2</v>
      </c>
      <c r="L106" s="73">
        <f t="shared" si="33"/>
        <v>2.8693599996578084E-2</v>
      </c>
      <c r="M106" s="73">
        <f t="shared" si="33"/>
        <v>2.711821491548521E-2</v>
      </c>
      <c r="N106" s="132">
        <f t="shared" si="33"/>
        <v>2.569473037355571E-2</v>
      </c>
      <c r="O106" s="131">
        <f t="shared" si="33"/>
        <v>2.441867231876562E-2</v>
      </c>
      <c r="P106" s="73">
        <f t="shared" si="33"/>
        <v>2.3249312609582053E-2</v>
      </c>
      <c r="Q106" s="73">
        <f t="shared" si="33"/>
        <v>2.2161756822339861E-2</v>
      </c>
      <c r="R106" s="73">
        <f t="shared" si="33"/>
        <v>2.1154054361739463E-2</v>
      </c>
      <c r="S106" s="132">
        <f t="shared" si="33"/>
        <v>2.0212194503291491E-2</v>
      </c>
      <c r="T106" s="132">
        <f t="shared" si="32"/>
        <v>1.9324559049010332E-2</v>
      </c>
      <c r="U106" s="132">
        <f t="shared" si="32"/>
        <v>1.847355464113911E-2</v>
      </c>
      <c r="V106" s="132">
        <f t="shared" si="32"/>
        <v>1.7654015682390105E-2</v>
      </c>
      <c r="W106" s="132">
        <f t="shared" si="32"/>
        <v>1.6861996503586101E-2</v>
      </c>
      <c r="X106" s="122">
        <f t="shared" si="33"/>
        <v>1.6096439634083318E-2</v>
      </c>
      <c r="Y106" s="122">
        <f t="shared" si="32"/>
        <v>1.5337574459332128E-2</v>
      </c>
      <c r="Z106" s="122">
        <f t="shared" si="32"/>
        <v>1.4594450660372434E-2</v>
      </c>
      <c r="AA106" s="122">
        <f t="shared" si="32"/>
        <v>1.3876554761588479E-2</v>
      </c>
      <c r="AB106" s="122">
        <f t="shared" si="32"/>
        <v>1.3185341660550857E-2</v>
      </c>
      <c r="AC106" s="122">
        <f t="shared" si="33"/>
        <v>1.252432432666007E-2</v>
      </c>
      <c r="AD106" s="122">
        <f t="shared" si="32"/>
        <v>1.1894324318588379E-2</v>
      </c>
      <c r="AE106" s="122">
        <f t="shared" si="32"/>
        <v>1.1292515492990002E-2</v>
      </c>
      <c r="AF106" s="122">
        <f t="shared" si="32"/>
        <v>1.0720195751045162E-2</v>
      </c>
      <c r="AG106" s="122">
        <f t="shared" si="32"/>
        <v>1.017702515083202E-2</v>
      </c>
      <c r="AH106" s="122">
        <f t="shared" si="33"/>
        <v>9.6435406321164763E-3</v>
      </c>
      <c r="AI106" s="122">
        <f t="shared" si="32"/>
        <v>9.1304674867450537E-3</v>
      </c>
      <c r="AJ106" s="122">
        <f t="shared" si="32"/>
        <v>8.6407594444331305E-3</v>
      </c>
      <c r="AK106" s="122">
        <f t="shared" si="32"/>
        <v>8.1743179249910928E-3</v>
      </c>
      <c r="AL106" s="122">
        <f t="shared" si="32"/>
        <v>7.7313983607560505E-3</v>
      </c>
      <c r="AM106" s="122">
        <f t="shared" si="33"/>
        <v>7.3158809025056781E-3</v>
      </c>
    </row>
    <row r="107" spans="2:40" s="3" customFormat="1" x14ac:dyDescent="0.25"/>
    <row r="108" spans="2:40" s="3" customFormat="1" x14ac:dyDescent="0.25"/>
    <row r="109" spans="2:40" s="3" customFormat="1" x14ac:dyDescent="0.25"/>
    <row r="110" spans="2:40" s="3" customFormat="1" x14ac:dyDescent="0.25"/>
    <row r="111" spans="2:40" s="3" customFormat="1" x14ac:dyDescent="0.25"/>
    <row r="112" spans="2:40" s="3" customFormat="1" x14ac:dyDescent="0.25"/>
    <row r="113" s="3" customFormat="1" x14ac:dyDescent="0.25"/>
    <row r="114" s="3" customFormat="1" x14ac:dyDescent="0.25"/>
    <row r="115" s="3" customFormat="1" x14ac:dyDescent="0.25"/>
    <row r="116" s="3" customFormat="1" x14ac:dyDescent="0.25"/>
    <row r="117" s="3" customFormat="1" x14ac:dyDescent="0.25"/>
    <row r="118" s="3" customFormat="1" x14ac:dyDescent="0.25"/>
    <row r="119" s="3" customFormat="1" x14ac:dyDescent="0.25"/>
    <row r="120" s="3" customFormat="1" x14ac:dyDescent="0.25"/>
    <row r="121" s="3" customFormat="1" x14ac:dyDescent="0.25"/>
    <row r="122" s="3" customFormat="1" x14ac:dyDescent="0.25"/>
    <row r="123" s="3" customFormat="1" x14ac:dyDescent="0.25"/>
    <row r="124" s="3" customFormat="1" x14ac:dyDescent="0.25"/>
    <row r="125" s="3" customFormat="1" x14ac:dyDescent="0.25"/>
    <row r="126" s="3" customFormat="1" x14ac:dyDescent="0.25"/>
    <row r="127" s="3" customFormat="1" x14ac:dyDescent="0.25"/>
    <row r="128" s="3" customFormat="1" x14ac:dyDescent="0.25"/>
    <row r="129" s="3" customFormat="1" x14ac:dyDescent="0.25"/>
    <row r="130" s="3" customFormat="1" x14ac:dyDescent="0.25"/>
    <row r="131" s="3" customFormat="1" x14ac:dyDescent="0.25"/>
    <row r="132" s="3" customFormat="1" x14ac:dyDescent="0.25"/>
    <row r="133" s="3" customFormat="1" x14ac:dyDescent="0.25"/>
    <row r="134" s="3" customFormat="1" x14ac:dyDescent="0.25"/>
    <row r="135" s="3" customFormat="1" x14ac:dyDescent="0.25"/>
    <row r="136" s="3" customFormat="1" x14ac:dyDescent="0.25"/>
    <row r="137" s="3" customFormat="1" x14ac:dyDescent="0.25"/>
    <row r="138" s="3" customFormat="1" x14ac:dyDescent="0.25"/>
    <row r="139" s="3" customFormat="1" x14ac:dyDescent="0.25"/>
    <row r="140" s="3" customFormat="1" x14ac:dyDescent="0.25"/>
    <row r="141" s="3" customFormat="1" x14ac:dyDescent="0.25"/>
    <row r="142" s="3" customFormat="1" x14ac:dyDescent="0.25"/>
    <row r="143" s="3" customFormat="1" x14ac:dyDescent="0.25"/>
    <row r="144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="3" customFormat="1" x14ac:dyDescent="0.25"/>
    <row r="194" s="3" customFormat="1" x14ac:dyDescent="0.25"/>
    <row r="195" s="3" customFormat="1" x14ac:dyDescent="0.25"/>
    <row r="196" s="3" customFormat="1" x14ac:dyDescent="0.25"/>
    <row r="197" s="3" customFormat="1" x14ac:dyDescent="0.25"/>
    <row r="198" s="3" customFormat="1" x14ac:dyDescent="0.25"/>
    <row r="199" s="3" customFormat="1" x14ac:dyDescent="0.25"/>
    <row r="200" s="3" customFormat="1" x14ac:dyDescent="0.25"/>
    <row r="201" s="3" customFormat="1" x14ac:dyDescent="0.25"/>
    <row r="202" s="3" customFormat="1" x14ac:dyDescent="0.25"/>
    <row r="203" s="3" customFormat="1" x14ac:dyDescent="0.25"/>
    <row r="204" s="3" customFormat="1" x14ac:dyDescent="0.25"/>
    <row r="205" s="3" customFormat="1" x14ac:dyDescent="0.25"/>
    <row r="206" s="3" customFormat="1" x14ac:dyDescent="0.25"/>
    <row r="207" s="3" customFormat="1" x14ac:dyDescent="0.25"/>
    <row r="208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  <row r="372" s="3" customFormat="1" x14ac:dyDescent="0.25"/>
    <row r="373" s="3" customFormat="1" x14ac:dyDescent="0.25"/>
    <row r="374" s="3" customFormat="1" x14ac:dyDescent="0.25"/>
    <row r="375" s="3" customFormat="1" x14ac:dyDescent="0.25"/>
    <row r="376" s="3" customFormat="1" x14ac:dyDescent="0.25"/>
    <row r="377" s="3" customFormat="1" x14ac:dyDescent="0.25"/>
    <row r="378" s="3" customFormat="1" x14ac:dyDescent="0.25"/>
    <row r="379" s="3" customFormat="1" x14ac:dyDescent="0.25"/>
    <row r="380" s="3" customFormat="1" x14ac:dyDescent="0.25"/>
    <row r="381" s="3" customFormat="1" x14ac:dyDescent="0.25"/>
    <row r="382" s="3" customFormat="1" x14ac:dyDescent="0.25"/>
    <row r="383" s="3" customFormat="1" x14ac:dyDescent="0.25"/>
    <row r="384" s="3" customFormat="1" x14ac:dyDescent="0.25"/>
    <row r="385" s="3" customFormat="1" x14ac:dyDescent="0.25"/>
    <row r="386" s="3" customFormat="1" x14ac:dyDescent="0.25"/>
    <row r="387" s="3" customFormat="1" x14ac:dyDescent="0.25"/>
    <row r="388" s="3" customFormat="1" x14ac:dyDescent="0.25"/>
    <row r="389" s="3" customFormat="1" x14ac:dyDescent="0.25"/>
    <row r="390" s="3" customFormat="1" x14ac:dyDescent="0.25"/>
    <row r="391" s="3" customFormat="1" x14ac:dyDescent="0.25"/>
    <row r="392" s="3" customFormat="1" x14ac:dyDescent="0.25"/>
    <row r="393" s="3" customFormat="1" x14ac:dyDescent="0.25"/>
    <row r="394" s="3" customFormat="1" x14ac:dyDescent="0.25"/>
    <row r="395" s="3" customFormat="1" x14ac:dyDescent="0.25"/>
    <row r="396" s="3" customFormat="1" x14ac:dyDescent="0.25"/>
    <row r="397" s="3" customFormat="1" x14ac:dyDescent="0.25"/>
    <row r="398" s="3" customFormat="1" x14ac:dyDescent="0.25"/>
    <row r="399" s="3" customFormat="1" x14ac:dyDescent="0.25"/>
    <row r="400" s="3" customFormat="1" x14ac:dyDescent="0.25"/>
    <row r="401" s="3" customFormat="1" x14ac:dyDescent="0.25"/>
    <row r="402" s="3" customFormat="1" x14ac:dyDescent="0.25"/>
    <row r="403" s="3" customFormat="1" x14ac:dyDescent="0.25"/>
    <row r="404" s="3" customFormat="1" x14ac:dyDescent="0.25"/>
    <row r="405" s="3" customFormat="1" x14ac:dyDescent="0.25"/>
    <row r="406" s="3" customFormat="1" x14ac:dyDescent="0.25"/>
    <row r="407" s="3" customFormat="1" x14ac:dyDescent="0.25"/>
    <row r="408" s="3" customFormat="1" x14ac:dyDescent="0.25"/>
    <row r="409" s="3" customFormat="1" x14ac:dyDescent="0.25"/>
    <row r="410" s="3" customFormat="1" x14ac:dyDescent="0.25"/>
    <row r="411" s="3" customFormat="1" x14ac:dyDescent="0.25"/>
    <row r="412" s="3" customFormat="1" x14ac:dyDescent="0.25"/>
    <row r="413" s="3" customFormat="1" x14ac:dyDescent="0.25"/>
    <row r="414" s="3" customFormat="1" x14ac:dyDescent="0.25"/>
    <row r="415" s="3" customFormat="1" x14ac:dyDescent="0.25"/>
    <row r="416" s="3" customFormat="1" x14ac:dyDescent="0.25"/>
    <row r="417" s="3" customFormat="1" x14ac:dyDescent="0.25"/>
    <row r="418" s="3" customFormat="1" x14ac:dyDescent="0.25"/>
    <row r="419" s="3" customFormat="1" x14ac:dyDescent="0.25"/>
    <row r="420" s="3" customFormat="1" x14ac:dyDescent="0.25"/>
    <row r="421" s="3" customFormat="1" x14ac:dyDescent="0.25"/>
    <row r="422" s="3" customFormat="1" x14ac:dyDescent="0.25"/>
    <row r="423" s="3" customFormat="1" x14ac:dyDescent="0.25"/>
    <row r="424" s="3" customFormat="1" x14ac:dyDescent="0.25"/>
    <row r="425" s="3" customFormat="1" x14ac:dyDescent="0.25"/>
    <row r="426" s="3" customFormat="1" x14ac:dyDescent="0.25"/>
    <row r="427" s="3" customFormat="1" x14ac:dyDescent="0.25"/>
    <row r="428" s="3" customFormat="1" x14ac:dyDescent="0.25"/>
    <row r="429" s="3" customFormat="1" x14ac:dyDescent="0.25"/>
    <row r="430" s="3" customFormat="1" x14ac:dyDescent="0.25"/>
    <row r="431" s="3" customFormat="1" x14ac:dyDescent="0.25"/>
    <row r="432" s="3" customFormat="1" x14ac:dyDescent="0.25"/>
    <row r="433" s="3" customFormat="1" x14ac:dyDescent="0.25"/>
    <row r="434" s="3" customFormat="1" x14ac:dyDescent="0.25"/>
    <row r="435" s="3" customFormat="1" x14ac:dyDescent="0.25"/>
    <row r="436" s="3" customFormat="1" x14ac:dyDescent="0.25"/>
    <row r="437" s="3" customFormat="1" x14ac:dyDescent="0.25"/>
    <row r="438" s="3" customFormat="1" x14ac:dyDescent="0.25"/>
    <row r="439" s="3" customFormat="1" x14ac:dyDescent="0.25"/>
    <row r="440" s="3" customFormat="1" x14ac:dyDescent="0.25"/>
    <row r="441" s="3" customFormat="1" x14ac:dyDescent="0.25"/>
    <row r="442" s="3" customFormat="1" x14ac:dyDescent="0.25"/>
    <row r="443" s="3" customFormat="1" x14ac:dyDescent="0.25"/>
    <row r="444" s="3" customFormat="1" x14ac:dyDescent="0.25"/>
    <row r="445" s="3" customFormat="1" x14ac:dyDescent="0.25"/>
    <row r="446" s="3" customFormat="1" x14ac:dyDescent="0.25"/>
    <row r="447" s="3" customFormat="1" x14ac:dyDescent="0.25"/>
    <row r="448" s="3" customFormat="1" x14ac:dyDescent="0.25"/>
    <row r="449" s="3" customFormat="1" x14ac:dyDescent="0.25"/>
    <row r="450" s="3" customFormat="1" x14ac:dyDescent="0.25"/>
    <row r="451" s="3" customFormat="1" x14ac:dyDescent="0.25"/>
    <row r="452" s="3" customFormat="1" x14ac:dyDescent="0.25"/>
    <row r="453" s="3" customFormat="1" x14ac:dyDescent="0.25"/>
    <row r="454" s="3" customFormat="1" x14ac:dyDescent="0.25"/>
    <row r="455" s="3" customFormat="1" x14ac:dyDescent="0.25"/>
    <row r="456" s="3" customFormat="1" x14ac:dyDescent="0.25"/>
    <row r="457" s="3" customFormat="1" x14ac:dyDescent="0.25"/>
    <row r="458" s="3" customFormat="1" x14ac:dyDescent="0.25"/>
    <row r="459" s="3" customFormat="1" x14ac:dyDescent="0.25"/>
    <row r="460" s="3" customFormat="1" x14ac:dyDescent="0.25"/>
    <row r="461" s="3" customFormat="1" x14ac:dyDescent="0.25"/>
    <row r="462" s="3" customFormat="1" x14ac:dyDescent="0.25"/>
    <row r="463" s="3" customFormat="1" x14ac:dyDescent="0.25"/>
    <row r="464" s="3" customFormat="1" x14ac:dyDescent="0.25"/>
    <row r="465" s="3" customFormat="1" x14ac:dyDescent="0.25"/>
    <row r="466" s="3" customFormat="1" x14ac:dyDescent="0.25"/>
    <row r="467" s="3" customFormat="1" x14ac:dyDescent="0.25"/>
    <row r="468" s="3" customFormat="1" x14ac:dyDescent="0.25"/>
    <row r="469" s="3" customFormat="1" x14ac:dyDescent="0.25"/>
    <row r="470" s="3" customFormat="1" x14ac:dyDescent="0.25"/>
    <row r="471" s="3" customFormat="1" x14ac:dyDescent="0.25"/>
    <row r="472" s="3" customFormat="1" x14ac:dyDescent="0.25"/>
    <row r="473" s="3" customFormat="1" x14ac:dyDescent="0.25"/>
    <row r="474" s="3" customFormat="1" x14ac:dyDescent="0.25"/>
    <row r="475" s="3" customFormat="1" x14ac:dyDescent="0.25"/>
    <row r="476" s="3" customFormat="1" x14ac:dyDescent="0.25"/>
    <row r="477" s="3" customFormat="1" x14ac:dyDescent="0.25"/>
    <row r="478" s="3" customFormat="1" x14ac:dyDescent="0.25"/>
    <row r="479" s="3" customFormat="1" x14ac:dyDescent="0.25"/>
    <row r="480" s="3" customFormat="1" x14ac:dyDescent="0.25"/>
    <row r="481" s="3" customFormat="1" x14ac:dyDescent="0.25"/>
    <row r="482" s="3" customFormat="1" x14ac:dyDescent="0.25"/>
    <row r="483" s="3" customFormat="1" x14ac:dyDescent="0.25"/>
    <row r="484" s="3" customFormat="1" x14ac:dyDescent="0.25"/>
    <row r="485" s="3" customFormat="1" x14ac:dyDescent="0.25"/>
    <row r="486" s="3" customFormat="1" x14ac:dyDescent="0.25"/>
    <row r="487" s="3" customFormat="1" x14ac:dyDescent="0.25"/>
    <row r="488" s="3" customFormat="1" x14ac:dyDescent="0.25"/>
    <row r="489" s="3" customFormat="1" x14ac:dyDescent="0.25"/>
    <row r="490" s="3" customFormat="1" x14ac:dyDescent="0.25"/>
    <row r="491" s="3" customFormat="1" x14ac:dyDescent="0.25"/>
    <row r="492" s="3" customFormat="1" x14ac:dyDescent="0.25"/>
    <row r="493" s="3" customFormat="1" x14ac:dyDescent="0.25"/>
    <row r="494" s="3" customFormat="1" x14ac:dyDescent="0.25"/>
    <row r="495" s="3" customFormat="1" x14ac:dyDescent="0.25"/>
    <row r="496" s="3" customFormat="1" x14ac:dyDescent="0.25"/>
    <row r="497" s="3" customFormat="1" x14ac:dyDescent="0.25"/>
    <row r="498" s="3" customFormat="1" x14ac:dyDescent="0.25"/>
    <row r="499" s="3" customFormat="1" x14ac:dyDescent="0.25"/>
    <row r="500" s="3" customFormat="1" x14ac:dyDescent="0.25"/>
    <row r="501" s="3" customFormat="1" x14ac:dyDescent="0.25"/>
    <row r="502" s="3" customFormat="1" x14ac:dyDescent="0.25"/>
    <row r="503" s="3" customFormat="1" x14ac:dyDescent="0.25"/>
    <row r="504" s="3" customFormat="1" x14ac:dyDescent="0.25"/>
    <row r="505" s="3" customFormat="1" x14ac:dyDescent="0.25"/>
    <row r="506" s="3" customFormat="1" x14ac:dyDescent="0.25"/>
    <row r="507" s="3" customFormat="1" x14ac:dyDescent="0.25"/>
    <row r="508" s="3" customFormat="1" x14ac:dyDescent="0.25"/>
    <row r="509" s="3" customFormat="1" x14ac:dyDescent="0.25"/>
    <row r="510" s="3" customFormat="1" x14ac:dyDescent="0.25"/>
    <row r="511" s="3" customFormat="1" x14ac:dyDescent="0.25"/>
    <row r="512" s="3" customFormat="1" x14ac:dyDescent="0.25"/>
    <row r="513" s="3" customFormat="1" x14ac:dyDescent="0.25"/>
    <row r="514" s="3" customFormat="1" x14ac:dyDescent="0.25"/>
    <row r="515" s="3" customFormat="1" x14ac:dyDescent="0.25"/>
    <row r="516" s="3" customFormat="1" x14ac:dyDescent="0.25"/>
    <row r="517" s="3" customFormat="1" x14ac:dyDescent="0.25"/>
    <row r="518" s="3" customFormat="1" x14ac:dyDescent="0.25"/>
    <row r="519" s="3" customFormat="1" x14ac:dyDescent="0.25"/>
    <row r="520" s="3" customFormat="1" x14ac:dyDescent="0.25"/>
    <row r="521" s="3" customFormat="1" x14ac:dyDescent="0.25"/>
    <row r="522" s="3" customFormat="1" x14ac:dyDescent="0.25"/>
    <row r="523" s="3" customFormat="1" x14ac:dyDescent="0.25"/>
    <row r="524" s="3" customFormat="1" x14ac:dyDescent="0.25"/>
    <row r="525" s="3" customFormat="1" x14ac:dyDescent="0.25"/>
    <row r="526" s="3" customFormat="1" x14ac:dyDescent="0.25"/>
    <row r="527" s="3" customFormat="1" x14ac:dyDescent="0.25"/>
    <row r="528" s="3" customFormat="1" x14ac:dyDescent="0.25"/>
    <row r="529" s="3" customFormat="1" x14ac:dyDescent="0.25"/>
    <row r="530" s="3" customFormat="1" x14ac:dyDescent="0.25"/>
    <row r="531" s="3" customFormat="1" x14ac:dyDescent="0.25"/>
    <row r="532" s="3" customFormat="1" x14ac:dyDescent="0.25"/>
    <row r="533" s="3" customFormat="1" x14ac:dyDescent="0.25"/>
    <row r="534" s="3" customFormat="1" x14ac:dyDescent="0.25"/>
    <row r="535" s="3" customFormat="1" x14ac:dyDescent="0.25"/>
    <row r="536" s="3" customFormat="1" x14ac:dyDescent="0.25"/>
    <row r="537" s="3" customFormat="1" x14ac:dyDescent="0.25"/>
    <row r="538" s="3" customFormat="1" x14ac:dyDescent="0.25"/>
    <row r="539" s="3" customFormat="1" x14ac:dyDescent="0.25"/>
    <row r="540" s="3" customFormat="1" x14ac:dyDescent="0.25"/>
    <row r="541" s="3" customFormat="1" x14ac:dyDescent="0.25"/>
    <row r="542" s="3" customFormat="1" x14ac:dyDescent="0.25"/>
    <row r="543" s="3" customFormat="1" x14ac:dyDescent="0.25"/>
    <row r="544" s="3" customFormat="1" x14ac:dyDescent="0.25"/>
    <row r="545" s="3" customFormat="1" x14ac:dyDescent="0.25"/>
    <row r="546" s="3" customFormat="1" x14ac:dyDescent="0.25"/>
    <row r="547" s="3" customFormat="1" x14ac:dyDescent="0.25"/>
    <row r="548" s="3" customFormat="1" x14ac:dyDescent="0.25"/>
    <row r="549" s="3" customFormat="1" x14ac:dyDescent="0.25"/>
    <row r="550" s="3" customFormat="1" x14ac:dyDescent="0.25"/>
    <row r="551" s="3" customFormat="1" x14ac:dyDescent="0.25"/>
    <row r="552" s="3" customFormat="1" x14ac:dyDescent="0.25"/>
    <row r="553" s="3" customFormat="1" x14ac:dyDescent="0.25"/>
    <row r="554" s="3" customFormat="1" x14ac:dyDescent="0.25"/>
    <row r="555" s="3" customFormat="1" x14ac:dyDescent="0.25"/>
    <row r="556" s="3" customFormat="1" x14ac:dyDescent="0.25"/>
    <row r="557" s="3" customFormat="1" x14ac:dyDescent="0.25"/>
    <row r="558" s="3" customFormat="1" x14ac:dyDescent="0.25"/>
    <row r="559" s="3" customFormat="1" x14ac:dyDescent="0.25"/>
    <row r="560" s="3" customFormat="1" x14ac:dyDescent="0.25"/>
    <row r="561" s="3" customFormat="1" x14ac:dyDescent="0.25"/>
    <row r="562" s="3" customFormat="1" x14ac:dyDescent="0.25"/>
    <row r="563" s="3" customFormat="1" x14ac:dyDescent="0.25"/>
    <row r="564" s="3" customFormat="1" x14ac:dyDescent="0.25"/>
    <row r="565" s="3" customFormat="1" x14ac:dyDescent="0.25"/>
    <row r="566" s="3" customFormat="1" x14ac:dyDescent="0.25"/>
    <row r="567" s="3" customFormat="1" x14ac:dyDescent="0.25"/>
    <row r="568" s="3" customFormat="1" x14ac:dyDescent="0.25"/>
    <row r="569" s="3" customFormat="1" x14ac:dyDescent="0.25"/>
    <row r="570" s="3" customFormat="1" x14ac:dyDescent="0.25"/>
    <row r="571" s="3" customFormat="1" x14ac:dyDescent="0.25"/>
    <row r="572" s="3" customFormat="1" x14ac:dyDescent="0.25"/>
    <row r="573" s="3" customFormat="1" x14ac:dyDescent="0.25"/>
    <row r="574" s="3" customFormat="1" x14ac:dyDescent="0.25"/>
    <row r="575" s="3" customFormat="1" x14ac:dyDescent="0.25"/>
    <row r="576" s="3" customFormat="1" x14ac:dyDescent="0.25"/>
    <row r="577" s="3" customFormat="1" x14ac:dyDescent="0.25"/>
    <row r="578" s="3" customFormat="1" x14ac:dyDescent="0.25"/>
    <row r="579" s="3" customFormat="1" x14ac:dyDescent="0.25"/>
    <row r="580" s="3" customFormat="1" x14ac:dyDescent="0.25"/>
    <row r="581" s="3" customFormat="1" x14ac:dyDescent="0.25"/>
    <row r="582" s="3" customFormat="1" x14ac:dyDescent="0.25"/>
    <row r="583" s="3" customFormat="1" x14ac:dyDescent="0.25"/>
    <row r="584" s="3" customFormat="1" x14ac:dyDescent="0.25"/>
    <row r="585" s="3" customFormat="1" x14ac:dyDescent="0.25"/>
    <row r="586" s="3" customFormat="1" x14ac:dyDescent="0.25"/>
    <row r="587" s="3" customFormat="1" x14ac:dyDescent="0.25"/>
    <row r="588" s="3" customFormat="1" x14ac:dyDescent="0.25"/>
    <row r="589" s="3" customFormat="1" x14ac:dyDescent="0.25"/>
    <row r="590" s="3" customFormat="1" x14ac:dyDescent="0.25"/>
    <row r="591" s="3" customFormat="1" x14ac:dyDescent="0.25"/>
    <row r="592" s="3" customFormat="1" x14ac:dyDescent="0.25"/>
    <row r="593" s="3" customFormat="1" x14ac:dyDescent="0.25"/>
    <row r="594" s="3" customFormat="1" x14ac:dyDescent="0.25"/>
    <row r="595" s="3" customFormat="1" x14ac:dyDescent="0.25"/>
    <row r="596" s="3" customFormat="1" x14ac:dyDescent="0.25"/>
    <row r="597" s="3" customFormat="1" x14ac:dyDescent="0.25"/>
    <row r="598" s="3" customFormat="1" x14ac:dyDescent="0.25"/>
    <row r="599" s="3" customFormat="1" x14ac:dyDescent="0.25"/>
    <row r="600" s="3" customFormat="1" x14ac:dyDescent="0.25"/>
    <row r="601" s="3" customFormat="1" x14ac:dyDescent="0.25"/>
    <row r="602" s="3" customFormat="1" x14ac:dyDescent="0.25"/>
    <row r="603" s="3" customFormat="1" x14ac:dyDescent="0.25"/>
    <row r="604" s="3" customFormat="1" x14ac:dyDescent="0.25"/>
    <row r="605" s="3" customFormat="1" x14ac:dyDescent="0.25"/>
    <row r="606" s="3" customFormat="1" x14ac:dyDescent="0.25"/>
    <row r="607" s="3" customFormat="1" x14ac:dyDescent="0.25"/>
    <row r="608" s="3" customFormat="1" x14ac:dyDescent="0.25"/>
    <row r="609" s="3" customFormat="1" x14ac:dyDescent="0.25"/>
    <row r="610" s="3" customFormat="1" x14ac:dyDescent="0.25"/>
    <row r="611" s="3" customFormat="1" x14ac:dyDescent="0.25"/>
    <row r="612" s="3" customFormat="1" x14ac:dyDescent="0.25"/>
    <row r="613" s="3" customFormat="1" x14ac:dyDescent="0.25"/>
    <row r="614" s="3" customFormat="1" x14ac:dyDescent="0.25"/>
    <row r="615" s="3" customFormat="1" x14ac:dyDescent="0.25"/>
    <row r="616" s="3" customFormat="1" x14ac:dyDescent="0.25"/>
    <row r="617" s="3" customFormat="1" x14ac:dyDescent="0.25"/>
    <row r="618" s="3" customFormat="1" x14ac:dyDescent="0.25"/>
    <row r="619" s="3" customFormat="1" x14ac:dyDescent="0.25"/>
    <row r="620" s="3" customFormat="1" x14ac:dyDescent="0.25"/>
    <row r="621" s="3" customFormat="1" x14ac:dyDescent="0.25"/>
    <row r="622" s="3" customFormat="1" x14ac:dyDescent="0.25"/>
    <row r="623" s="3" customFormat="1" x14ac:dyDescent="0.25"/>
    <row r="624" s="3" customFormat="1" x14ac:dyDescent="0.25"/>
    <row r="625" s="3" customFormat="1" x14ac:dyDescent="0.25"/>
    <row r="626" s="3" customFormat="1" x14ac:dyDescent="0.25"/>
    <row r="627" s="3" customFormat="1" x14ac:dyDescent="0.25"/>
    <row r="628" s="3" customFormat="1" x14ac:dyDescent="0.25"/>
    <row r="629" s="3" customFormat="1" x14ac:dyDescent="0.25"/>
    <row r="630" s="3" customFormat="1" x14ac:dyDescent="0.25"/>
    <row r="631" s="3" customFormat="1" x14ac:dyDescent="0.25"/>
    <row r="632" s="3" customFormat="1" x14ac:dyDescent="0.25"/>
    <row r="633" s="3" customFormat="1" x14ac:dyDescent="0.25"/>
    <row r="634" s="3" customFormat="1" x14ac:dyDescent="0.25"/>
    <row r="635" s="3" customFormat="1" x14ac:dyDescent="0.25"/>
    <row r="636" s="3" customFormat="1" x14ac:dyDescent="0.25"/>
    <row r="637" s="3" customFormat="1" x14ac:dyDescent="0.25"/>
    <row r="638" s="3" customFormat="1" x14ac:dyDescent="0.25"/>
    <row r="639" s="3" customFormat="1" x14ac:dyDescent="0.25"/>
    <row r="640" s="3" customFormat="1" x14ac:dyDescent="0.25"/>
    <row r="641" s="3" customFormat="1" x14ac:dyDescent="0.25"/>
    <row r="642" s="3" customFormat="1" x14ac:dyDescent="0.25"/>
    <row r="643" s="3" customFormat="1" x14ac:dyDescent="0.25"/>
    <row r="644" s="3" customFormat="1" x14ac:dyDescent="0.25"/>
    <row r="645" s="3" customFormat="1" x14ac:dyDescent="0.25"/>
    <row r="646" s="3" customFormat="1" x14ac:dyDescent="0.25"/>
    <row r="647" s="3" customFormat="1" x14ac:dyDescent="0.25"/>
    <row r="648" s="3" customFormat="1" x14ac:dyDescent="0.25"/>
  </sheetData>
  <pageMargins left="0.7" right="0.7" top="0.75" bottom="0.75" header="0.3" footer="0.3"/>
  <pageSetup paperSize="9" scale="65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Feuil18"/>
  <dimension ref="B4:B11"/>
  <sheetViews>
    <sheetView workbookViewId="0">
      <selection activeCell="B4" sqref="B4"/>
    </sheetView>
  </sheetViews>
  <sheetFormatPr baseColWidth="10" defaultRowHeight="15" x14ac:dyDescent="0.25"/>
  <cols>
    <col min="2" max="2" width="68.5703125" customWidth="1"/>
  </cols>
  <sheetData>
    <row r="4" spans="2:2" x14ac:dyDescent="0.25">
      <c r="B4" t="str">
        <f>Résultats!B1&amp;" : Energie finale par usage et énergie primaire (Mtep)"</f>
        <v>SNBC3 : Energie finale par usage et énergie primaire (Mtep)</v>
      </c>
    </row>
    <row r="5" spans="2:2" x14ac:dyDescent="0.25">
      <c r="B5" t="str">
        <f>Résultats!B1&amp;" : Ventilation du mix énergie (Mtep)"</f>
        <v>SNBC3 : Ventilation du mix énergie (Mtep)</v>
      </c>
    </row>
    <row r="6" spans="2:2" x14ac:dyDescent="0.25">
      <c r="B6" t="str">
        <f>Résultats!B1&amp;" : Ventilation du mix electrique (%)"</f>
        <v>SNBC3 : Ventilation du mix electrique (%)</v>
      </c>
    </row>
    <row r="7" spans="2:2" x14ac:dyDescent="0.25">
      <c r="B7" t="str">
        <f>Résultats!B1&amp;" : Ventilation du mix carburant (%)"</f>
        <v>SNBC3 : Ventilation du mix carburant (%)</v>
      </c>
    </row>
    <row r="8" spans="2:2" x14ac:dyDescent="0.25">
      <c r="B8" t="str">
        <f>Résultats!B1&amp;" : Ventilation du mix gaz (%)"</f>
        <v>SNBC3 : Ventilation du mix gaz (%)</v>
      </c>
    </row>
    <row r="9" spans="2:2" x14ac:dyDescent="0.25">
      <c r="B9" t="str">
        <f>Résultats!B1&amp;" : Emissions CO2 (Mt.eqCO2)"</f>
        <v>SNBC3 : Emissions CO2 (Mt.eqCO2)</v>
      </c>
    </row>
    <row r="10" spans="2:2" x14ac:dyDescent="0.25">
      <c r="B10" t="str">
        <f>Résultats!B1&amp;" : Ventilation du parc auto (%)"</f>
        <v>SNBC3 : Ventilation du parc auto (%)</v>
      </c>
    </row>
    <row r="11" spans="2:2" x14ac:dyDescent="0.25">
      <c r="B11" t="str">
        <f>Résultats!B1&amp;" : Ventilation du parc de logements (%)"</f>
        <v>SNBC3 : Ventilation du parc de logements (%)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Feuilles de calcul</vt:lpstr>
      </vt:variant>
      <vt:variant>
        <vt:i4>8</vt:i4>
      </vt:variant>
      <vt:variant>
        <vt:lpstr>Graphiques</vt:lpstr>
      </vt:variant>
      <vt:variant>
        <vt:i4>10</vt:i4>
      </vt:variant>
      <vt:variant>
        <vt:lpstr>Plages nommées</vt:lpstr>
      </vt:variant>
      <vt:variant>
        <vt:i4>2</vt:i4>
      </vt:variant>
    </vt:vector>
  </HeadingPairs>
  <TitlesOfParts>
    <vt:vector size="20" baseType="lpstr">
      <vt:lpstr>T energie vecteurs</vt:lpstr>
      <vt:lpstr>T energie usages</vt:lpstr>
      <vt:lpstr>T transport</vt:lpstr>
      <vt:lpstr>Résultats</vt:lpstr>
      <vt:lpstr>T CO2</vt:lpstr>
      <vt:lpstr>T logement</vt:lpstr>
      <vt:lpstr>T parc auto</vt:lpstr>
      <vt:lpstr>Table Graphs</vt:lpstr>
      <vt:lpstr>G energie</vt:lpstr>
      <vt:lpstr>G mix energie</vt:lpstr>
      <vt:lpstr>G mix élec</vt:lpstr>
      <vt:lpstr>G mix carb</vt:lpstr>
      <vt:lpstr>G mix gaz</vt:lpstr>
      <vt:lpstr>G CO2</vt:lpstr>
      <vt:lpstr>G parc auto total</vt:lpstr>
      <vt:lpstr>G parc elec</vt:lpstr>
      <vt:lpstr>G parc auto</vt:lpstr>
      <vt:lpstr>G parc logt</vt:lpstr>
      <vt:lpstr>'T parc auto'!Zone_d_impression</vt:lpstr>
      <vt:lpstr>'T transport'!Zone_d_impression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GISSELA LANDA RIVERA</dc:creator>
  <cp:lastModifiedBy>CALLONNEC Gaël</cp:lastModifiedBy>
  <cp:lastPrinted>2018-11-29T16:44:02Z</cp:lastPrinted>
  <dcterms:created xsi:type="dcterms:W3CDTF">2016-06-15T08:53:28Z</dcterms:created>
  <dcterms:modified xsi:type="dcterms:W3CDTF">2025-04-04T08:28:31Z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8ce3bfb-fff1-481a-835b-0a342757958d_Enabled">
    <vt:lpwstr>true</vt:lpwstr>
  </property>
  <property fmtid="{D5CDD505-2E9C-101B-9397-08002B2CF9AE}" pid="3" name="MSIP_Label_98ce3bfb-fff1-481a-835b-0a342757958d_SetDate">
    <vt:lpwstr>2025-03-12T13:29:27Z</vt:lpwstr>
  </property>
  <property fmtid="{D5CDD505-2E9C-101B-9397-08002B2CF9AE}" pid="4" name="MSIP_Label_98ce3bfb-fff1-481a-835b-0a342757958d_Method">
    <vt:lpwstr>Standard</vt:lpwstr>
  </property>
  <property fmtid="{D5CDD505-2E9C-101B-9397-08002B2CF9AE}" pid="5" name="MSIP_Label_98ce3bfb-fff1-481a-835b-0a342757958d_Name">
    <vt:lpwstr>C0 - Public</vt:lpwstr>
  </property>
  <property fmtid="{D5CDD505-2E9C-101B-9397-08002B2CF9AE}" pid="6" name="MSIP_Label_98ce3bfb-fff1-481a-835b-0a342757958d_SiteId">
    <vt:lpwstr>cb6c2492-4a85-4b15-85a1-ed94d47e5849</vt:lpwstr>
  </property>
  <property fmtid="{D5CDD505-2E9C-101B-9397-08002B2CF9AE}" pid="7" name="MSIP_Label_98ce3bfb-fff1-481a-835b-0a342757958d_ActionId">
    <vt:lpwstr>3cca8261-751f-4fae-93e7-83dd1c3f6774</vt:lpwstr>
  </property>
  <property fmtid="{D5CDD505-2E9C-101B-9397-08002B2CF9AE}" pid="8" name="MSIP_Label_98ce3bfb-fff1-481a-835b-0a342757958d_ContentBits">
    <vt:lpwstr>0</vt:lpwstr>
  </property>
  <property fmtid="{D5CDD505-2E9C-101B-9397-08002B2CF9AE}" pid="9" name="MSIP_Label_98ce3bfb-fff1-481a-835b-0a342757958d_Tag">
    <vt:lpwstr>10, 3, 0, 1</vt:lpwstr>
  </property>
</Properties>
</file>